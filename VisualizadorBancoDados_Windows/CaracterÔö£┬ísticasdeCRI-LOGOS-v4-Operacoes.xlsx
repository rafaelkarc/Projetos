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7f5a5a9b956faf/Desktop/Beckup seguro/sistema_ativos_salvamento_corrigido/sistema_ativos/"/>
    </mc:Choice>
  </mc:AlternateContent>
  <xr:revisionPtr revIDLastSave="0" documentId="13_ncr:1_{4E30E4E5-A109-9446-A7AE-20765DE15C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racterísticas de CRI - LOGOS" sheetId="1" r:id="rId1"/>
    <sheet name="Prestadores de Serviço" sheetId="5" r:id="rId2"/>
    <sheet name="Investidores" sheetId="3" r:id="rId3"/>
    <sheet name="Distribuiçōes" sheetId="4" r:id="rId4"/>
    <sheet name="Resumo" sheetId="2" r:id="rId5"/>
  </sheets>
  <definedNames>
    <definedName name="_xlnm._FilterDatabase" localSheetId="0" hidden="1">'Características de CRI - LOGOS'!$A$1:$AH$68</definedName>
    <definedName name="_xlnm._FilterDatabase" localSheetId="4" hidden="1">Resumo!$A$1:$F$1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" i="1" l="1"/>
  <c r="X18" i="1"/>
  <c r="X45" i="1"/>
  <c r="X44" i="1"/>
  <c r="X37" i="1"/>
  <c r="X36" i="1"/>
  <c r="X35" i="1"/>
  <c r="X27" i="1"/>
  <c r="X26" i="1"/>
  <c r="X25" i="1"/>
  <c r="X24" i="1"/>
  <c r="X22" i="1"/>
  <c r="X19" i="1"/>
  <c r="X16" i="1"/>
  <c r="X15" i="1"/>
  <c r="X14" i="1"/>
  <c r="X13" i="1"/>
  <c r="X12" i="1"/>
  <c r="X11" i="1"/>
  <c r="X10" i="1"/>
  <c r="X9" i="1"/>
  <c r="X8" i="1"/>
  <c r="X7" i="1"/>
  <c r="X6" i="1"/>
  <c r="X4" i="1"/>
  <c r="X3" i="1"/>
  <c r="X69" i="1" l="1"/>
  <c r="Y69" i="1"/>
  <c r="AC28" i="1"/>
  <c r="AC69" i="1" s="1"/>
  <c r="AB39" i="1"/>
  <c r="AB28" i="1"/>
  <c r="F3" i="2"/>
  <c r="F4" i="2"/>
  <c r="F5" i="2"/>
  <c r="F6" i="2"/>
  <c r="F7" i="2"/>
  <c r="F8" i="2"/>
  <c r="F9" i="2"/>
  <c r="F10" i="2"/>
  <c r="F11" i="2"/>
  <c r="F12" i="2"/>
  <c r="F13" i="2"/>
  <c r="F14" i="2"/>
  <c r="F2" i="2"/>
  <c r="AB69" i="1" l="1"/>
  <c r="AB71" i="1" s="1"/>
  <c r="F15" i="2"/>
  <c r="B3" i="2" l="1"/>
  <c r="B4" i="2"/>
  <c r="B5" i="2"/>
  <c r="B6" i="2"/>
  <c r="B7" i="2"/>
  <c r="B8" i="2"/>
  <c r="B9" i="2"/>
  <c r="B10" i="2"/>
  <c r="B11" i="2"/>
  <c r="B12" i="2"/>
  <c r="B13" i="2"/>
  <c r="B14" i="2"/>
  <c r="B2" i="2"/>
  <c r="D6" i="2"/>
  <c r="D15" i="2" s="1"/>
  <c r="E15" i="2"/>
  <c r="C3" i="2"/>
  <c r="C4" i="2"/>
  <c r="C5" i="2"/>
  <c r="C6" i="2"/>
  <c r="C7" i="2"/>
  <c r="C8" i="2"/>
  <c r="C9" i="2"/>
  <c r="C10" i="2"/>
  <c r="C11" i="2"/>
  <c r="C12" i="2"/>
  <c r="C13" i="2"/>
  <c r="C14" i="2"/>
  <c r="C2" i="2"/>
  <c r="AA69" i="1"/>
  <c r="C15" i="2" l="1"/>
</calcChain>
</file>

<file path=xl/sharedStrings.xml><?xml version="1.0" encoding="utf-8"?>
<sst xmlns="http://schemas.openxmlformats.org/spreadsheetml/2006/main" count="1204" uniqueCount="376">
  <si>
    <t>Série</t>
  </si>
  <si>
    <t>Emissão</t>
  </si>
  <si>
    <t>Papel</t>
  </si>
  <si>
    <t>Código IF</t>
  </si>
  <si>
    <t>ISIN</t>
  </si>
  <si>
    <t>Investidor</t>
  </si>
  <si>
    <t>Emissor</t>
  </si>
  <si>
    <t>Agente Fiduci·rio</t>
  </si>
  <si>
    <t>Cedente</t>
  </si>
  <si>
    <t>Qtd Emitida</t>
  </si>
  <si>
    <t>Volume Emiss„o</t>
  </si>
  <si>
    <t>Saldo Devedor</t>
  </si>
  <si>
    <t>Data de Emiss„o</t>
  </si>
  <si>
    <t>Data de Vencimento</t>
  </si>
  <si>
    <t>Data Final de DistribuiÁ„o</t>
  </si>
  <si>
    <t>Indexador</t>
  </si>
  <si>
    <t>% Taxa Flutuante</t>
  </si>
  <si>
    <t>Taxa de Juros PrÈ/Spread</t>
  </si>
  <si>
    <t>Pagamento de Juros</t>
  </si>
  <si>
    <t>AmortizaÁ„o</t>
  </si>
  <si>
    <t>CRI</t>
  </si>
  <si>
    <t>15L0542115</t>
  </si>
  <si>
    <t>PH</t>
  </si>
  <si>
    <t>LOGOS COMPANHIA SECURITIZADORA S/A</t>
  </si>
  <si>
    <t>PENTAGONO DTVM SA</t>
  </si>
  <si>
    <t>Paysage</t>
  </si>
  <si>
    <t>IPCA</t>
  </si>
  <si>
    <t>Percentual variavel, periodos uniformes, sobre valor remanescente</t>
  </si>
  <si>
    <t>18F0732035</t>
  </si>
  <si>
    <t>BRLGOSCRI0H2</t>
  </si>
  <si>
    <t>Nexus e BoticárioPrev</t>
  </si>
  <si>
    <t>Premoaço</t>
  </si>
  <si>
    <t>DI</t>
  </si>
  <si>
    <t>17G1668350</t>
  </si>
  <si>
    <t>BRLGOSCRI0A7</t>
  </si>
  <si>
    <t>17G1668137</t>
  </si>
  <si>
    <t>BRLGOSCRI0B5</t>
  </si>
  <si>
    <t>17L0911027</t>
  </si>
  <si>
    <t>Nexus</t>
  </si>
  <si>
    <t>Rodobens e Paysage</t>
  </si>
  <si>
    <t>IGP-M</t>
  </si>
  <si>
    <t>19I0151853</t>
  </si>
  <si>
    <t>19I0151856</t>
  </si>
  <si>
    <t>19I0301816</t>
  </si>
  <si>
    <t>BRLGOSCRI0K6</t>
  </si>
  <si>
    <t>Tecnobens</t>
  </si>
  <si>
    <t>19I0301867</t>
  </si>
  <si>
    <t>BRLGOSCRI0L4</t>
  </si>
  <si>
    <t>20C0937823</t>
  </si>
  <si>
    <t>H. Commcor</t>
  </si>
  <si>
    <t>DJR Participações S.A.</t>
  </si>
  <si>
    <t>20C0937926</t>
  </si>
  <si>
    <t>20F0849615</t>
  </si>
  <si>
    <t>20K0609818</t>
  </si>
  <si>
    <t>Nexus, BoticárioPrev e PH</t>
  </si>
  <si>
    <t>CRA</t>
  </si>
  <si>
    <t>CRA020003VG</t>
  </si>
  <si>
    <t>Nexus e Grupo CiaTC</t>
  </si>
  <si>
    <t>Ciatc</t>
  </si>
  <si>
    <t>CRA020003VH</t>
  </si>
  <si>
    <t>21A0618761</t>
  </si>
  <si>
    <t>Life</t>
  </si>
  <si>
    <t>21A0618769</t>
  </si>
  <si>
    <t>21A0618771</t>
  </si>
  <si>
    <t>21H1083493</t>
  </si>
  <si>
    <t>GCD Partners</t>
  </si>
  <si>
    <t>22F1187231</t>
  </si>
  <si>
    <t>CRA023008SP</t>
  </si>
  <si>
    <t>23L1537405</t>
  </si>
  <si>
    <t>23L1537490</t>
  </si>
  <si>
    <t>23L2859168</t>
  </si>
  <si>
    <t>Fundo Artemis</t>
  </si>
  <si>
    <t>Vortx DTVM Ltda.</t>
  </si>
  <si>
    <t>23L2884758</t>
  </si>
  <si>
    <t>23L2884760</t>
  </si>
  <si>
    <t>23L2884761</t>
  </si>
  <si>
    <t>23L2884762</t>
  </si>
  <si>
    <t>23L2884763</t>
  </si>
  <si>
    <t>24D3312860</t>
  </si>
  <si>
    <t>24D3312914</t>
  </si>
  <si>
    <t>24D3313010</t>
  </si>
  <si>
    <t>24D3313141</t>
  </si>
  <si>
    <t>24D3313259</t>
  </si>
  <si>
    <t>24D3313323</t>
  </si>
  <si>
    <t>Operação</t>
  </si>
  <si>
    <t>4ª Série - Paysage</t>
  </si>
  <si>
    <t>12ª Série - Paysage</t>
  </si>
  <si>
    <t>18ª, 19ª, 20ª Séries - Premoaço</t>
  </si>
  <si>
    <t>22ª Série - Rodobens</t>
  </si>
  <si>
    <t>27ª, 28ª Séries - Paysage</t>
  </si>
  <si>
    <t>29ª, 30ª e 37ª Séries - Tecnobens</t>
  </si>
  <si>
    <t>31ª, 32ª e 46ª Séries - DJR</t>
  </si>
  <si>
    <t>33ª Série - Paysage</t>
  </si>
  <si>
    <t>35ª e 36ª - Mascor</t>
  </si>
  <si>
    <t>38ª, 39ª e 47ª Séries - CiaTC</t>
  </si>
  <si>
    <t>40ª, 41ª, 42ª, 48ª e 49ª Séries - Life</t>
  </si>
  <si>
    <t>45ª Série - Paysage</t>
  </si>
  <si>
    <t>1ª a 12ª Séries - Fundo Artemis</t>
  </si>
  <si>
    <t>Gestão</t>
  </si>
  <si>
    <t>Servicer</t>
  </si>
  <si>
    <t>TOTAL</t>
  </si>
  <si>
    <t>Escriturador</t>
  </si>
  <si>
    <t>Oliveira Trust</t>
  </si>
  <si>
    <t>Vortx</t>
  </si>
  <si>
    <t>Servicing</t>
  </si>
  <si>
    <t>GESTAO + SERVICING</t>
  </si>
  <si>
    <t>OBS: CRA RECEBE 90K ANUAL, FOI DIVIDO EM 12x PARA CALCULO MENSAL.</t>
  </si>
  <si>
    <t>1ª a 18ª Séries - Fundo Artemis</t>
  </si>
  <si>
    <t>BRLGOSCRI0T7</t>
  </si>
  <si>
    <t>BRLGOSCRI0U5</t>
  </si>
  <si>
    <t>BRLGOSCRI0X9</t>
  </si>
  <si>
    <t>BRLGOSCRI0Y7</t>
  </si>
  <si>
    <t>BRLGOSCRI0N0</t>
  </si>
  <si>
    <t>BRLGOSCRI0Z4</t>
  </si>
  <si>
    <t>Qtd Integralizada</t>
  </si>
  <si>
    <t>Observaçāo</t>
  </si>
  <si>
    <t>ENVIAR AGT B3</t>
  </si>
  <si>
    <t>CANCELAR CRIS</t>
  </si>
  <si>
    <t>BRLGOSCRI0R1</t>
  </si>
  <si>
    <t>BRLGOSCRI110</t>
  </si>
  <si>
    <t>BRLGOSCRI128</t>
  </si>
  <si>
    <t>BRLGOSCRI136</t>
  </si>
  <si>
    <t>BRLGOSCRI144</t>
  </si>
  <si>
    <t>BRLGOSCRI151</t>
  </si>
  <si>
    <t>BRLGOSCRI185</t>
  </si>
  <si>
    <t>BRLGOSCRI193</t>
  </si>
  <si>
    <t>BRLGOSCRA000</t>
  </si>
  <si>
    <t>BRLGOSCRI1A5</t>
  </si>
  <si>
    <t>BRLGOSCRI1B3</t>
  </si>
  <si>
    <t>BRLGOSCRI1C1</t>
  </si>
  <si>
    <t>BRLGOSCRI1D9</t>
  </si>
  <si>
    <t>BRLGOSCRI1E7</t>
  </si>
  <si>
    <t>BRLGOSCRI1F4</t>
  </si>
  <si>
    <t>BRLGOSCRI1G2</t>
  </si>
  <si>
    <t>BRLGOSCRI1H0</t>
  </si>
  <si>
    <t>BRLGOSCRI1I8</t>
  </si>
  <si>
    <t>BRLGOSCRI1J6</t>
  </si>
  <si>
    <t>BRLGOSCRI1K4</t>
  </si>
  <si>
    <t>BRLGOSCRI1L2</t>
  </si>
  <si>
    <t>BRLGOSCRI1M0</t>
  </si>
  <si>
    <t>BRLGOSCRI1N8</t>
  </si>
  <si>
    <t>24H1626820</t>
  </si>
  <si>
    <t>24H1626902</t>
  </si>
  <si>
    <t>25A3984169</t>
  </si>
  <si>
    <t>25A3985624</t>
  </si>
  <si>
    <t>25C4762727</t>
  </si>
  <si>
    <t>25C4762773</t>
  </si>
  <si>
    <t>BRLGOSCRI1O6</t>
  </si>
  <si>
    <t>BRLGOSCRI1P3</t>
  </si>
  <si>
    <t>BRLGOSCRI1Q1</t>
  </si>
  <si>
    <t>BRLGOSCRI1R9</t>
  </si>
  <si>
    <t>BRLGOSCRI1S7</t>
  </si>
  <si>
    <t>BRLGOSCRI1T5</t>
  </si>
  <si>
    <t>PU Emissāo</t>
  </si>
  <si>
    <t>Ágio</t>
  </si>
  <si>
    <t>Dados Pessoais</t>
  </si>
  <si>
    <t>Campo</t>
  </si>
  <si>
    <t>Código do Cliente</t>
  </si>
  <si>
    <t>Nome do Cliente</t>
  </si>
  <si>
    <t>CPF</t>
  </si>
  <si>
    <t>Tipo de documento</t>
  </si>
  <si>
    <t>Número do documento</t>
  </si>
  <si>
    <t>Data de emissão</t>
  </si>
  <si>
    <t>Órgão Emissor</t>
  </si>
  <si>
    <t>UF do emissor</t>
  </si>
  <si>
    <t>Data de Nascimento</t>
  </si>
  <si>
    <t>Sexo</t>
  </si>
  <si>
    <t>Local de Nascimento</t>
  </si>
  <si>
    <t>UF (Nascimento)</t>
  </si>
  <si>
    <t>País de Nascimento</t>
  </si>
  <si>
    <t>País de Residência Fiscal</t>
  </si>
  <si>
    <t>NIF</t>
  </si>
  <si>
    <t>Nome do Pai</t>
  </si>
  <si>
    <t>Nome da Mãe</t>
  </si>
  <si>
    <t>Estado Civil</t>
  </si>
  <si>
    <t>Nome do Cônjuge</t>
  </si>
  <si>
    <t>Endereço</t>
  </si>
  <si>
    <t>Número</t>
  </si>
  <si>
    <t>Complemento</t>
  </si>
  <si>
    <t>Bairro</t>
  </si>
  <si>
    <t>Cidade</t>
  </si>
  <si>
    <t>UF</t>
  </si>
  <si>
    <t>CEP</t>
  </si>
  <si>
    <t>Caixa Postal</t>
  </si>
  <si>
    <t>Skype</t>
  </si>
  <si>
    <t>Telefone Residencial</t>
  </si>
  <si>
    <t>Celular</t>
  </si>
  <si>
    <t>E-mail</t>
  </si>
  <si>
    <t>Ocupação Principal</t>
  </si>
  <si>
    <t>Cargo/Função</t>
  </si>
  <si>
    <t>Empresa que Trabalha</t>
  </si>
  <si>
    <t>Endereço Comercial</t>
  </si>
  <si>
    <t>Telefone Comercial</t>
  </si>
  <si>
    <t>Endereço para correspondência</t>
  </si>
  <si>
    <t>Dados Bancários</t>
  </si>
  <si>
    <t>Banco</t>
  </si>
  <si>
    <t>Agência</t>
  </si>
  <si>
    <t>Número da Conta</t>
  </si>
  <si>
    <t>Co-Titular</t>
  </si>
  <si>
    <t>CPF do Co-Titular</t>
  </si>
  <si>
    <t>Bens Imóveis (Tipo)</t>
  </si>
  <si>
    <t>Endereço do Imóvel</t>
  </si>
  <si>
    <t>Valor</t>
  </si>
  <si>
    <t>Outros Bens (Tipo)</t>
  </si>
  <si>
    <t>Descrição</t>
  </si>
  <si>
    <t>Ativos Financeiros</t>
  </si>
  <si>
    <t>Salário/Pró Labore</t>
  </si>
  <si>
    <t>Outros Rendimentos</t>
  </si>
  <si>
    <t>Valor Total (Patrimônio)</t>
  </si>
  <si>
    <t>Opera por conta própria?</t>
  </si>
  <si>
    <t>Pessoa Vinculada à Securitizadora?</t>
  </si>
  <si>
    <t>Pessoa Politicamente Exposta?</t>
  </si>
  <si>
    <t>Autoriza transmissão por procurador?</t>
  </si>
  <si>
    <t>Forma de transmissão de ordens: Verbal ( ) / Escrito ( )</t>
  </si>
  <si>
    <t>Permite carteira própria como contraparte? (Concordo/Não Concordo/Consulta)</t>
  </si>
  <si>
    <t>É US Person?</t>
  </si>
  <si>
    <t>País de nascimento/cidadania é EUA?</t>
  </si>
  <si>
    <t>Possui Green Card?</t>
  </si>
  <si>
    <t>Residência fiscal nos EUA?</t>
  </si>
  <si>
    <t>Americano Naturalizado?</t>
  </si>
  <si>
    <t>Pai/Mãe estrangeiros? (Se sim, país)</t>
  </si>
  <si>
    <t>Observações</t>
  </si>
  <si>
    <t>Assinatura do Cliente</t>
  </si>
  <si>
    <t>Data</t>
  </si>
  <si>
    <t>Nome do Responsável (Securitizadora)</t>
  </si>
  <si>
    <t>Assinatura do Responsável</t>
  </si>
  <si>
    <t>Data_assinatura_cad_inv</t>
  </si>
  <si>
    <t>Data_conferencia_cad_inv</t>
  </si>
  <si>
    <t>Preço Unitário</t>
  </si>
  <si>
    <t>Quantidades</t>
  </si>
  <si>
    <t>Valor total</t>
  </si>
  <si>
    <t>Tipo ativo</t>
  </si>
  <si>
    <t>Codigo_if</t>
  </si>
  <si>
    <t>Coordenador Líder</t>
  </si>
  <si>
    <t>CCI</t>
  </si>
  <si>
    <t>Debêntures</t>
  </si>
  <si>
    <t>Cessāo Fiduciária, AF Quotas, AF Açōes</t>
  </si>
  <si>
    <t>Estrutura/</t>
  </si>
  <si>
    <t>Cessāo Conta Bancária</t>
  </si>
  <si>
    <t>Cessāo Definitiva, CCI</t>
  </si>
  <si>
    <t>BTS, Contrato de Cessāo Aluguel</t>
  </si>
  <si>
    <t>Cessāo Fiduciária</t>
  </si>
  <si>
    <t>Operação - Apelido</t>
  </si>
  <si>
    <t>egoria</t>
  </si>
  <si>
    <t>Tipo de Dado</t>
  </si>
  <si>
    <t>Obrigatório?</t>
  </si>
  <si>
    <t>Exemplo</t>
  </si>
  <si>
    <t>Dados Cadastrais</t>
  </si>
  <si>
    <t>Razão Social</t>
  </si>
  <si>
    <t>Texto</t>
  </si>
  <si>
    <t>Sim</t>
  </si>
  <si>
    <t>XYZ Indústria Ltda.</t>
  </si>
  <si>
    <t>Nome Fantasia</t>
  </si>
  <si>
    <t>Não</t>
  </si>
  <si>
    <t>XYZ Soluções</t>
  </si>
  <si>
    <t>CNPJ</t>
  </si>
  <si>
    <t>Número (14 dígitos)</t>
  </si>
  <si>
    <t>12.345.678/0001-99</t>
  </si>
  <si>
    <t>Inscrição Estadual (IE)</t>
  </si>
  <si>
    <t>Depende*</t>
  </si>
  <si>
    <t>Inscrição Municipal (IM)</t>
  </si>
  <si>
    <t>Data de Abertura</t>
  </si>
  <si>
    <t>CNAE Principal</t>
  </si>
  <si>
    <t>Número (7 dígitos)</t>
  </si>
  <si>
    <t>2829-1/00</t>
  </si>
  <si>
    <t>Dados Fiscais</t>
  </si>
  <si>
    <t>Regime Tributário</t>
  </si>
  <si>
    <t>Lista (Simples, Lucro Real/Presumido)</t>
  </si>
  <si>
    <t>Simples Nacional</t>
  </si>
  <si>
    <t>Optante pelo SIMPLES?</t>
  </si>
  <si>
    <t>Sim/Não</t>
  </si>
  <si>
    <t>Substituição Tributária?</t>
  </si>
  <si>
    <t>Certificado Digital (e-CNPJ)?</t>
  </si>
  <si>
    <t>Logradouro</t>
  </si>
  <si>
    <t>Av. das Indústrias</t>
  </si>
  <si>
    <t>Texto/Número</t>
  </si>
  <si>
    <t>Bloco B, Sala 301</t>
  </si>
  <si>
    <t>Industrial</t>
  </si>
  <si>
    <t>São Paulo</t>
  </si>
  <si>
    <t>Lista (BR)</t>
  </si>
  <si>
    <t>SP</t>
  </si>
  <si>
    <t>Número (8 dígitos)</t>
  </si>
  <si>
    <t>01234-567</t>
  </si>
  <si>
    <t>Contato</t>
  </si>
  <si>
    <t>Telefone Principal</t>
  </si>
  <si>
    <t>(11) 98765-4321</t>
  </si>
  <si>
    <t>contato@xyz.com.br</t>
  </si>
  <si>
    <t>Nome do Responsável</t>
  </si>
  <si>
    <t>João Silva</t>
  </si>
  <si>
    <t>Cargo do Responsável</t>
  </si>
  <si>
    <t>Gerente Comercial</t>
  </si>
  <si>
    <t>Banco do Brasil</t>
  </si>
  <si>
    <t>Conta Corrente</t>
  </si>
  <si>
    <t>Número/Texto</t>
  </si>
  <si>
    <t>56789-0</t>
  </si>
  <si>
    <t>Tipo de Conta (Corrente/Poupança)</t>
  </si>
  <si>
    <t>Lista</t>
  </si>
  <si>
    <t>Corrente</t>
  </si>
  <si>
    <t>Pix (Chave)</t>
  </si>
  <si>
    <t>12.345.678/0001-99 (CNPJ)</t>
  </si>
  <si>
    <t>Informações Adicionais</t>
  </si>
  <si>
    <t>Produtos/Serviços Fornecidos</t>
  </si>
  <si>
    <t>Peças automotivas</t>
  </si>
  <si>
    <t>Prazo de Entrega Médio</t>
  </si>
  <si>
    <t>15 dias úteis</t>
  </si>
  <si>
    <t>Condições de Pagamento</t>
  </si>
  <si>
    <t>30 dias após fatura</t>
  </si>
  <si>
    <t>Texto Livre</t>
  </si>
  <si>
    <t>Fornecedor preferencial desde 2018</t>
  </si>
  <si>
    <t>Coordenador Lider</t>
  </si>
  <si>
    <t>Conta Emissor</t>
  </si>
  <si>
    <t>Conta Coordenador Líder</t>
  </si>
  <si>
    <t>Conta Escriturador</t>
  </si>
  <si>
    <t>Banco_custodiante</t>
  </si>
  <si>
    <t>Conta_banco_custodiante</t>
  </si>
  <si>
    <t>Tipo da Oferta</t>
  </si>
  <si>
    <t>CVM 476</t>
  </si>
  <si>
    <t>RCVM 60</t>
  </si>
  <si>
    <t>1ª Série - Paysage</t>
  </si>
  <si>
    <t>3ª Série - Paysage</t>
  </si>
  <si>
    <t>2ª Série - Paysage</t>
  </si>
  <si>
    <t>5ª e 6ª Séries - Paysage</t>
  </si>
  <si>
    <t>7ª e 8ª Séries - Paysage</t>
  </si>
  <si>
    <t>9ª e 10ª Séries - Premoaço</t>
  </si>
  <si>
    <t>11ª e 12ª Séries - Paysage</t>
  </si>
  <si>
    <t>13ª, 14ª, 15ª Séries - Helio Winter</t>
  </si>
  <si>
    <t>16ª e 17ª Séries - Paysage</t>
  </si>
  <si>
    <t>21ª Série - Premoaço</t>
  </si>
  <si>
    <t>37ª Séries - Tecnobens</t>
  </si>
  <si>
    <t>29ª e 30ª Séries - Tecnobens</t>
  </si>
  <si>
    <t>31ª e 32ª Séries - DJR</t>
  </si>
  <si>
    <t>46ª Série - DJR</t>
  </si>
  <si>
    <t>33ª e 34ª Séries - Paysage</t>
  </si>
  <si>
    <t>35ª e 36ª Séries - Mascor</t>
  </si>
  <si>
    <t>43ª e 44ª Séries - Life</t>
  </si>
  <si>
    <t>Data de Resgate Antecipado</t>
  </si>
  <si>
    <t>14J0107228</t>
  </si>
  <si>
    <t>BRL Trust DTVM</t>
  </si>
  <si>
    <t>Data da 1a Integralizaçāo</t>
  </si>
  <si>
    <t>14L0093591</t>
  </si>
  <si>
    <t>Helio Winter</t>
  </si>
  <si>
    <t>15F0494185</t>
  </si>
  <si>
    <t>Status</t>
  </si>
  <si>
    <t>Resgatada Antecipadamente</t>
  </si>
  <si>
    <t>Ativo</t>
  </si>
  <si>
    <t>15L0622052</t>
  </si>
  <si>
    <t>15L0622157</t>
  </si>
  <si>
    <t>16D0138913</t>
  </si>
  <si>
    <t>16D0144796</t>
  </si>
  <si>
    <t>CDI</t>
  </si>
  <si>
    <t>16I0999053</t>
  </si>
  <si>
    <t>16I0999358</t>
  </si>
  <si>
    <t>CM Capital Markets</t>
  </si>
  <si>
    <t>17B0186197</t>
  </si>
  <si>
    <t>17B0186441</t>
  </si>
  <si>
    <t>17B0221371</t>
  </si>
  <si>
    <t>17B0221403</t>
  </si>
  <si>
    <t>17B0221509</t>
  </si>
  <si>
    <t>18C0722274</t>
  </si>
  <si>
    <t>18C0722263</t>
  </si>
  <si>
    <t>17J0883403</t>
  </si>
  <si>
    <t>23ª e 24ª Séries - Mascor</t>
  </si>
  <si>
    <t>25ª e 26ª Séries - Life</t>
  </si>
  <si>
    <t>Mascor Imóveis</t>
  </si>
  <si>
    <t>18E0828391</t>
  </si>
  <si>
    <t>18E0828589</t>
  </si>
  <si>
    <t>19C0026866</t>
  </si>
  <si>
    <t>19C0026867</t>
  </si>
  <si>
    <t>20F0849616</t>
  </si>
  <si>
    <t>20F0784454</t>
  </si>
  <si>
    <t>20F0784574</t>
  </si>
  <si>
    <t>Terra Investimentos DTVM</t>
  </si>
  <si>
    <t>21A0619266</t>
  </si>
  <si>
    <t>21A0618773</t>
  </si>
  <si>
    <t>-</t>
  </si>
  <si>
    <t>Solicitar o cancelamento na 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</si>
</sst>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</font>
    <font>
      <sz val="16"/>
      <color rgb="FF404040"/>
      <name val="Helvetica Neue"/>
      <family val="2"/>
    </font>
    <font>
      <b/>
      <sz val="16"/>
      <color rgb="FF404040"/>
      <name val="Helvetica Neue"/>
      <family val="2"/>
    </font>
    <font>
      <sz val="12"/>
      <color rgb="FF404040"/>
      <name val="Calibri"/>
      <family val="2"/>
    </font>
    <font>
      <u/>
      <sz val="12"/>
      <color theme="1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38">
    <xf numFmtId="0" fontId="0" fillId="0" borderId="0" xfId="0"/>
    <xf numFmtId="4" fontId="0" fillId="0" borderId="0" xfId="0" applyNumberFormat="1"/>
    <xf numFmtId="14" fontId="0" fillId="0" borderId="0" xfId="0" applyNumberFormat="1"/>
    <xf numFmtId="9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0" borderId="10" xfId="0" applyBorder="1"/>
    <xf numFmtId="0" fontId="16" fillId="33" borderId="10" xfId="0" applyFont="1" applyFill="1" applyBorder="1"/>
    <xf numFmtId="0" fontId="16" fillId="33" borderId="0" xfId="0" applyFont="1" applyFill="1"/>
    <xf numFmtId="4" fontId="16" fillId="34" borderId="0" xfId="0" applyNumberFormat="1" applyFont="1" applyFill="1"/>
    <xf numFmtId="0" fontId="16" fillId="35" borderId="10" xfId="0" applyFont="1" applyFill="1" applyBorder="1"/>
    <xf numFmtId="43" fontId="0" fillId="0" borderId="0" xfId="42" applyFont="1"/>
    <xf numFmtId="43" fontId="0" fillId="0" borderId="10" xfId="42" applyFont="1" applyBorder="1"/>
    <xf numFmtId="0" fontId="16" fillId="35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43" fontId="16" fillId="34" borderId="0" xfId="42" applyFont="1" applyFill="1"/>
    <xf numFmtId="43" fontId="14" fillId="0" borderId="0" xfId="42" applyFont="1"/>
    <xf numFmtId="4" fontId="0" fillId="0" borderId="0" xfId="0" applyNumberFormat="1" applyAlignment="1">
      <alignment wrapText="1"/>
    </xf>
    <xf numFmtId="4" fontId="0" fillId="36" borderId="0" xfId="0" applyNumberFormat="1" applyFill="1"/>
    <xf numFmtId="0" fontId="0" fillId="36" borderId="0" xfId="0" applyFill="1"/>
    <xf numFmtId="0" fontId="0" fillId="0" borderId="11" xfId="0" applyBorder="1"/>
    <xf numFmtId="4" fontId="16" fillId="34" borderId="12" xfId="0" applyNumberFormat="1" applyFont="1" applyFill="1" applyBorder="1"/>
    <xf numFmtId="4" fontId="0" fillId="37" borderId="0" xfId="0" applyNumberFormat="1" applyFill="1"/>
    <xf numFmtId="164" fontId="0" fillId="0" borderId="0" xfId="42" applyNumberFormat="1" applyFont="1"/>
    <xf numFmtId="0" fontId="0" fillId="34" borderId="0" xfId="0" applyFill="1"/>
    <xf numFmtId="164" fontId="0" fillId="0" borderId="0" xfId="42" applyNumberFormat="1" applyFont="1" applyBorder="1"/>
    <xf numFmtId="0" fontId="16" fillId="34" borderId="10" xfId="0" applyFont="1" applyFill="1" applyBorder="1"/>
    <xf numFmtId="2" fontId="0" fillId="0" borderId="0" xfId="0" applyNumberForma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21" fillId="0" borderId="0" xfId="0" applyFont="1"/>
    <xf numFmtId="3" fontId="19" fillId="0" borderId="0" xfId="0" applyNumberFormat="1" applyFont="1"/>
    <xf numFmtId="14" fontId="19" fillId="0" borderId="0" xfId="0" applyNumberFormat="1" applyFont="1"/>
    <xf numFmtId="0" fontId="22" fillId="0" borderId="0" xfId="43"/>
    <xf numFmtId="11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horizont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3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ilto:contato@xyz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73"/>
  <sheetViews>
    <sheetView showGridLines="0" tabSelected="1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E1" sqref="E1"/>
    </sheetView>
  </sheetViews>
  <sheetFormatPr defaultColWidth="11.19921875" defaultRowHeight="15.6"/>
  <cols>
    <col min="1" max="1" width="30.296875" bestFit="1" customWidth="1"/>
    <col min="2" max="2" width="30.296875" customWidth="1"/>
    <col min="3" max="3" width="8" bestFit="1" customWidth="1"/>
    <col min="4" max="4" width="5.69921875" bestFit="1" customWidth="1"/>
    <col min="5" max="5" width="13.19921875" customWidth="1"/>
    <col min="6" max="6" width="5.296875" customWidth="1"/>
    <col min="7" max="7" width="13.19921875" customWidth="1"/>
    <col min="8" max="8" width="14.69921875" customWidth="1"/>
    <col min="9" max="9" width="18.19921875" bestFit="1" customWidth="1"/>
    <col min="10" max="10" width="23" bestFit="1" customWidth="1"/>
    <col min="11" max="11" width="23" customWidth="1"/>
    <col min="12" max="12" width="14.69921875" customWidth="1"/>
    <col min="13" max="13" width="22.296875" bestFit="1" customWidth="1"/>
    <col min="14" max="14" width="14.19921875" customWidth="1"/>
    <col min="15" max="15" width="33.5" bestFit="1" customWidth="1"/>
    <col min="16" max="16" width="22.5" customWidth="1"/>
    <col min="17" max="17" width="37.19921875" bestFit="1" customWidth="1"/>
    <col min="18" max="18" width="20.296875" bestFit="1" customWidth="1"/>
    <col min="19" max="19" width="20.296875" customWidth="1"/>
    <col min="20" max="22" width="19.19921875" customWidth="1"/>
    <col min="23" max="23" width="11.19921875" customWidth="1"/>
    <col min="24" max="26" width="14.69921875" customWidth="1"/>
    <col min="27" max="27" width="19.19921875" bestFit="1" customWidth="1"/>
    <col min="28" max="28" width="9.5" bestFit="1" customWidth="1"/>
    <col min="29" max="29" width="11.19921875" bestFit="1" customWidth="1"/>
    <col min="30" max="30" width="9.296875" bestFit="1" customWidth="1"/>
    <col min="31" max="31" width="15.5" bestFit="1" customWidth="1"/>
    <col min="32" max="32" width="22.5" bestFit="1" customWidth="1"/>
    <col min="33" max="33" width="17.796875" bestFit="1" customWidth="1"/>
    <col min="34" max="34" width="57" bestFit="1" customWidth="1"/>
  </cols>
  <sheetData>
    <row r="1" spans="1:34" s="8" customFormat="1" ht="16.2" thickBot="1">
      <c r="A1" s="10" t="s">
        <v>242</v>
      </c>
      <c r="B1" s="10" t="s">
        <v>342</v>
      </c>
      <c r="C1" s="7" t="s">
        <v>1</v>
      </c>
      <c r="D1" s="7" t="s">
        <v>2</v>
      </c>
      <c r="E1" s="7" t="s">
        <v>3</v>
      </c>
      <c r="F1" s="7" t="s">
        <v>0</v>
      </c>
      <c r="G1" s="7" t="s">
        <v>101</v>
      </c>
      <c r="H1" s="7" t="s">
        <v>12</v>
      </c>
      <c r="I1" s="7" t="s">
        <v>13</v>
      </c>
      <c r="J1" s="7" t="s">
        <v>14</v>
      </c>
      <c r="K1" s="7" t="s">
        <v>335</v>
      </c>
      <c r="L1" s="7" t="s">
        <v>315</v>
      </c>
      <c r="M1" s="7" t="s">
        <v>338</v>
      </c>
      <c r="N1" s="7" t="s">
        <v>4</v>
      </c>
      <c r="O1" s="7" t="s">
        <v>237</v>
      </c>
      <c r="P1" s="7" t="s">
        <v>5</v>
      </c>
      <c r="Q1" s="7" t="s">
        <v>6</v>
      </c>
      <c r="R1" s="7" t="s">
        <v>7</v>
      </c>
      <c r="S1" s="7" t="s">
        <v>233</v>
      </c>
      <c r="T1" s="7" t="s">
        <v>8</v>
      </c>
      <c r="U1" s="7" t="s">
        <v>153</v>
      </c>
      <c r="V1" s="7" t="s">
        <v>154</v>
      </c>
      <c r="W1" s="7" t="s">
        <v>9</v>
      </c>
      <c r="X1" s="7" t="s">
        <v>10</v>
      </c>
      <c r="Y1" s="7" t="s">
        <v>114</v>
      </c>
      <c r="Z1" s="26" t="s">
        <v>115</v>
      </c>
      <c r="AA1" s="7" t="s">
        <v>11</v>
      </c>
      <c r="AB1" s="7" t="s">
        <v>98</v>
      </c>
      <c r="AC1" s="7" t="s">
        <v>104</v>
      </c>
      <c r="AD1" s="7" t="s">
        <v>15</v>
      </c>
      <c r="AE1" s="7" t="s">
        <v>16</v>
      </c>
      <c r="AF1" s="7" t="s">
        <v>17</v>
      </c>
      <c r="AG1" s="7" t="s">
        <v>18</v>
      </c>
      <c r="AH1" s="7" t="s">
        <v>19</v>
      </c>
    </row>
    <row r="2" spans="1:34">
      <c r="A2" t="s">
        <v>318</v>
      </c>
      <c r="B2" t="s">
        <v>343</v>
      </c>
      <c r="C2">
        <v>1</v>
      </c>
      <c r="D2" t="s">
        <v>20</v>
      </c>
      <c r="E2" t="s">
        <v>336</v>
      </c>
      <c r="F2">
        <v>1</v>
      </c>
      <c r="G2" t="s">
        <v>102</v>
      </c>
      <c r="H2" s="2">
        <v>41932</v>
      </c>
      <c r="I2" s="2">
        <v>45555</v>
      </c>
      <c r="J2" s="2">
        <v>42112</v>
      </c>
      <c r="K2" s="2">
        <v>44459</v>
      </c>
      <c r="L2" s="2" t="s">
        <v>316</v>
      </c>
      <c r="M2" s="2">
        <v>41936</v>
      </c>
      <c r="O2" t="s">
        <v>241</v>
      </c>
      <c r="P2" t="s">
        <v>22</v>
      </c>
      <c r="Q2" t="s">
        <v>23</v>
      </c>
      <c r="R2" t="s">
        <v>24</v>
      </c>
      <c r="S2" t="s">
        <v>337</v>
      </c>
      <c r="T2" t="s">
        <v>25</v>
      </c>
      <c r="U2" s="11">
        <v>1000000</v>
      </c>
      <c r="V2" s="11"/>
      <c r="W2">
        <v>10</v>
      </c>
      <c r="X2" s="1">
        <v>10000000</v>
      </c>
      <c r="Y2" s="23">
        <v>10</v>
      </c>
      <c r="Z2" s="23"/>
      <c r="AA2" s="1"/>
      <c r="AB2" s="1"/>
      <c r="AC2" s="1"/>
      <c r="AD2" t="s">
        <v>26</v>
      </c>
      <c r="AF2" s="5">
        <v>0.09</v>
      </c>
      <c r="AG2">
        <v>360</v>
      </c>
      <c r="AH2" t="s">
        <v>27</v>
      </c>
    </row>
    <row r="3" spans="1:34">
      <c r="A3" t="s">
        <v>320</v>
      </c>
      <c r="B3" t="s">
        <v>343</v>
      </c>
      <c r="C3">
        <v>1</v>
      </c>
      <c r="D3" t="s">
        <v>20</v>
      </c>
      <c r="E3" t="s">
        <v>339</v>
      </c>
      <c r="F3">
        <v>2</v>
      </c>
      <c r="G3" t="s">
        <v>102</v>
      </c>
      <c r="H3" s="2">
        <v>41988</v>
      </c>
      <c r="I3" s="2">
        <v>44885</v>
      </c>
      <c r="J3" s="2">
        <v>42168</v>
      </c>
      <c r="K3" s="2"/>
      <c r="L3" s="2" t="s">
        <v>316</v>
      </c>
      <c r="M3" s="2">
        <v>41992</v>
      </c>
      <c r="O3" t="s">
        <v>241</v>
      </c>
      <c r="P3" t="s">
        <v>38</v>
      </c>
      <c r="Q3" t="s">
        <v>23</v>
      </c>
      <c r="R3" t="s">
        <v>24</v>
      </c>
      <c r="S3" t="s">
        <v>337</v>
      </c>
      <c r="T3" t="s">
        <v>25</v>
      </c>
      <c r="U3" s="11">
        <v>304305.66472221998</v>
      </c>
      <c r="V3" s="11"/>
      <c r="W3">
        <v>42</v>
      </c>
      <c r="X3" s="1">
        <f>W3*U3</f>
        <v>12780837.91833324</v>
      </c>
      <c r="Y3" s="23">
        <v>42</v>
      </c>
      <c r="Z3" s="23"/>
      <c r="AA3" s="1"/>
      <c r="AB3" s="1"/>
      <c r="AC3" s="1"/>
      <c r="AD3" t="s">
        <v>26</v>
      </c>
      <c r="AF3" s="5">
        <v>9.5000000000000001E-2</v>
      </c>
      <c r="AG3">
        <v>360</v>
      </c>
      <c r="AH3" t="s">
        <v>27</v>
      </c>
    </row>
    <row r="4" spans="1:34">
      <c r="A4" t="s">
        <v>319</v>
      </c>
      <c r="B4" t="s">
        <v>343</v>
      </c>
      <c r="C4">
        <v>1</v>
      </c>
      <c r="D4" t="s">
        <v>20</v>
      </c>
      <c r="E4" t="s">
        <v>341</v>
      </c>
      <c r="F4">
        <v>3</v>
      </c>
      <c r="G4" t="s">
        <v>102</v>
      </c>
      <c r="H4" s="2">
        <v>42160</v>
      </c>
      <c r="I4" s="2">
        <v>45036</v>
      </c>
      <c r="J4" s="2">
        <v>42343</v>
      </c>
      <c r="K4" s="2"/>
      <c r="L4" s="2" t="s">
        <v>316</v>
      </c>
      <c r="M4" s="2">
        <v>42164</v>
      </c>
      <c r="O4" t="s">
        <v>241</v>
      </c>
      <c r="P4" t="s">
        <v>30</v>
      </c>
      <c r="Q4" t="s">
        <v>23</v>
      </c>
      <c r="R4" t="s">
        <v>24</v>
      </c>
      <c r="S4" t="s">
        <v>337</v>
      </c>
      <c r="T4" t="s">
        <v>25</v>
      </c>
      <c r="U4" s="11">
        <v>303030.30303031002</v>
      </c>
      <c r="V4" s="11"/>
      <c r="W4">
        <v>66</v>
      </c>
      <c r="X4" s="1">
        <f>W4*U4</f>
        <v>20000000.000000462</v>
      </c>
      <c r="Y4" s="23">
        <v>66</v>
      </c>
      <c r="Z4" s="23"/>
      <c r="AA4" s="1"/>
      <c r="AB4" s="1"/>
      <c r="AC4" s="1"/>
      <c r="AD4" t="s">
        <v>26</v>
      </c>
      <c r="AF4" s="5">
        <v>9.5000000000000001E-2</v>
      </c>
      <c r="AG4">
        <v>360</v>
      </c>
      <c r="AH4" t="s">
        <v>27</v>
      </c>
    </row>
    <row r="5" spans="1:34" hidden="1">
      <c r="A5" t="s">
        <v>85</v>
      </c>
      <c r="B5" t="s">
        <v>344</v>
      </c>
      <c r="C5">
        <v>1</v>
      </c>
      <c r="D5" t="s">
        <v>20</v>
      </c>
      <c r="E5" t="s">
        <v>21</v>
      </c>
      <c r="F5">
        <v>4</v>
      </c>
      <c r="G5" t="s">
        <v>102</v>
      </c>
      <c r="H5" s="2">
        <v>42348</v>
      </c>
      <c r="I5" s="2">
        <v>47684</v>
      </c>
      <c r="J5" s="2">
        <v>42539</v>
      </c>
      <c r="K5" s="2"/>
      <c r="L5" s="2" t="s">
        <v>316</v>
      </c>
      <c r="M5" s="2"/>
      <c r="N5" t="s">
        <v>108</v>
      </c>
      <c r="O5" t="s">
        <v>241</v>
      </c>
      <c r="P5" t="s">
        <v>22</v>
      </c>
      <c r="Q5" t="s">
        <v>23</v>
      </c>
      <c r="R5" t="s">
        <v>24</v>
      </c>
      <c r="T5" t="s">
        <v>25</v>
      </c>
      <c r="U5" s="11">
        <v>1000000</v>
      </c>
      <c r="V5" s="11">
        <v>0</v>
      </c>
      <c r="W5">
        <v>5</v>
      </c>
      <c r="X5" s="1">
        <v>5000000</v>
      </c>
      <c r="Y5" s="23">
        <v>5</v>
      </c>
      <c r="Z5" s="23"/>
      <c r="AA5" s="1">
        <v>2658662.96</v>
      </c>
      <c r="AB5" s="1">
        <v>9652.32</v>
      </c>
      <c r="AC5" s="1">
        <v>837.68</v>
      </c>
      <c r="AD5" t="s">
        <v>26</v>
      </c>
      <c r="AF5" s="5">
        <v>0.11</v>
      </c>
      <c r="AG5">
        <v>360</v>
      </c>
      <c r="AH5" t="s">
        <v>27</v>
      </c>
    </row>
    <row r="6" spans="1:34">
      <c r="A6" t="s">
        <v>321</v>
      </c>
      <c r="B6" t="s">
        <v>343</v>
      </c>
      <c r="C6">
        <v>1</v>
      </c>
      <c r="D6" t="s">
        <v>20</v>
      </c>
      <c r="E6" t="s">
        <v>345</v>
      </c>
      <c r="F6">
        <v>5</v>
      </c>
      <c r="G6" t="s">
        <v>102</v>
      </c>
      <c r="H6" s="2">
        <v>42353</v>
      </c>
      <c r="I6" s="2">
        <v>44545</v>
      </c>
      <c r="J6" s="2">
        <v>42536</v>
      </c>
      <c r="K6" s="2">
        <v>43175</v>
      </c>
      <c r="L6" s="2" t="s">
        <v>316</v>
      </c>
      <c r="M6" s="2"/>
      <c r="O6" t="s">
        <v>241</v>
      </c>
      <c r="P6" t="s">
        <v>30</v>
      </c>
      <c r="Q6" t="s">
        <v>23</v>
      </c>
      <c r="R6" t="s">
        <v>24</v>
      </c>
      <c r="S6" t="s">
        <v>337</v>
      </c>
      <c r="T6" t="s">
        <v>25</v>
      </c>
      <c r="U6" s="11">
        <v>10000</v>
      </c>
      <c r="V6" s="11"/>
      <c r="W6">
        <v>2450</v>
      </c>
      <c r="X6" s="1">
        <f t="shared" ref="X6:X19" si="0">W6*U6</f>
        <v>24500000</v>
      </c>
      <c r="Y6" s="23">
        <v>2450</v>
      </c>
      <c r="Z6" s="23"/>
      <c r="AA6" s="1"/>
      <c r="AB6" s="1"/>
      <c r="AC6" s="1"/>
      <c r="AD6" t="s">
        <v>26</v>
      </c>
      <c r="AF6" s="5">
        <v>8.5000000000000006E-2</v>
      </c>
      <c r="AG6">
        <v>360</v>
      </c>
      <c r="AH6" t="s">
        <v>27</v>
      </c>
    </row>
    <row r="7" spans="1:34">
      <c r="A7" t="s">
        <v>321</v>
      </c>
      <c r="B7" t="s">
        <v>343</v>
      </c>
      <c r="C7">
        <v>1</v>
      </c>
      <c r="D7" t="s">
        <v>20</v>
      </c>
      <c r="E7" t="s">
        <v>346</v>
      </c>
      <c r="F7">
        <v>6</v>
      </c>
      <c r="G7" t="s">
        <v>102</v>
      </c>
      <c r="H7" s="2">
        <v>42353</v>
      </c>
      <c r="I7" s="2">
        <v>45703</v>
      </c>
      <c r="J7" s="2">
        <v>42536</v>
      </c>
      <c r="K7" s="2">
        <v>43175</v>
      </c>
      <c r="L7" s="2" t="s">
        <v>316</v>
      </c>
      <c r="M7" s="2"/>
      <c r="O7" t="s">
        <v>241</v>
      </c>
      <c r="P7" t="s">
        <v>30</v>
      </c>
      <c r="Q7" t="s">
        <v>23</v>
      </c>
      <c r="R7" t="s">
        <v>24</v>
      </c>
      <c r="S7" t="s">
        <v>337</v>
      </c>
      <c r="T7" t="s">
        <v>25</v>
      </c>
      <c r="U7" s="11">
        <v>10000</v>
      </c>
      <c r="V7" s="11"/>
      <c r="W7">
        <v>1050</v>
      </c>
      <c r="X7" s="1">
        <f t="shared" si="0"/>
        <v>10500000</v>
      </c>
      <c r="Y7" s="23">
        <v>1050</v>
      </c>
      <c r="Z7" s="23"/>
      <c r="AA7" s="1"/>
      <c r="AB7" s="1"/>
      <c r="AC7" s="1"/>
      <c r="AD7" t="s">
        <v>26</v>
      </c>
      <c r="AF7" s="5">
        <v>0.13500000000000001</v>
      </c>
      <c r="AG7">
        <v>360</v>
      </c>
      <c r="AH7" t="s">
        <v>27</v>
      </c>
    </row>
    <row r="8" spans="1:34">
      <c r="A8" t="s">
        <v>322</v>
      </c>
      <c r="B8" t="s">
        <v>343</v>
      </c>
      <c r="C8">
        <v>1</v>
      </c>
      <c r="D8" t="s">
        <v>20</v>
      </c>
      <c r="E8" t="s">
        <v>347</v>
      </c>
      <c r="F8">
        <v>7</v>
      </c>
      <c r="G8" t="s">
        <v>102</v>
      </c>
      <c r="H8" s="2">
        <v>42472</v>
      </c>
      <c r="I8" s="2">
        <v>46127</v>
      </c>
      <c r="J8" s="2">
        <v>42502</v>
      </c>
      <c r="K8" s="2">
        <v>44392</v>
      </c>
      <c r="L8" s="2" t="s">
        <v>316</v>
      </c>
      <c r="M8" s="2"/>
      <c r="O8" t="s">
        <v>241</v>
      </c>
      <c r="P8" t="s">
        <v>30</v>
      </c>
      <c r="Q8" t="s">
        <v>23</v>
      </c>
      <c r="R8" t="s">
        <v>24</v>
      </c>
      <c r="S8" t="s">
        <v>337</v>
      </c>
      <c r="T8" t="s">
        <v>25</v>
      </c>
      <c r="U8" s="11">
        <v>10000</v>
      </c>
      <c r="V8" s="11"/>
      <c r="W8">
        <v>1841</v>
      </c>
      <c r="X8" s="1">
        <f t="shared" si="0"/>
        <v>18410000</v>
      </c>
      <c r="Y8" s="23">
        <v>1841</v>
      </c>
      <c r="Z8" s="23"/>
      <c r="AA8" s="1"/>
      <c r="AB8" s="1"/>
      <c r="AC8" s="1"/>
      <c r="AD8" t="s">
        <v>26</v>
      </c>
      <c r="AF8" s="5">
        <v>8.5000000000000006E-2</v>
      </c>
      <c r="AG8">
        <v>360</v>
      </c>
      <c r="AH8" t="s">
        <v>27</v>
      </c>
    </row>
    <row r="9" spans="1:34">
      <c r="A9" t="s">
        <v>322</v>
      </c>
      <c r="B9" t="s">
        <v>343</v>
      </c>
      <c r="C9">
        <v>1</v>
      </c>
      <c r="D9" t="s">
        <v>20</v>
      </c>
      <c r="E9" t="s">
        <v>348</v>
      </c>
      <c r="F9">
        <v>8</v>
      </c>
      <c r="G9" t="s">
        <v>102</v>
      </c>
      <c r="H9" s="2">
        <v>42472</v>
      </c>
      <c r="I9" s="2">
        <v>44392</v>
      </c>
      <c r="J9" s="2">
        <v>42502</v>
      </c>
      <c r="K9" s="2">
        <v>44392</v>
      </c>
      <c r="L9" s="2" t="s">
        <v>316</v>
      </c>
      <c r="M9" s="2"/>
      <c r="O9" t="s">
        <v>241</v>
      </c>
      <c r="P9" t="s">
        <v>30</v>
      </c>
      <c r="Q9" t="s">
        <v>23</v>
      </c>
      <c r="R9" t="s">
        <v>24</v>
      </c>
      <c r="S9" t="s">
        <v>337</v>
      </c>
      <c r="T9" t="s">
        <v>25</v>
      </c>
      <c r="U9" s="11">
        <v>10000</v>
      </c>
      <c r="V9" s="11"/>
      <c r="W9">
        <v>789</v>
      </c>
      <c r="X9" s="1">
        <f t="shared" si="0"/>
        <v>7890000</v>
      </c>
      <c r="Y9" s="23">
        <v>789</v>
      </c>
      <c r="Z9" s="23"/>
      <c r="AA9" s="1"/>
      <c r="AB9" s="1"/>
      <c r="AC9" s="1"/>
      <c r="AD9" t="s">
        <v>26</v>
      </c>
      <c r="AF9" s="5">
        <v>0.13750000000000001</v>
      </c>
      <c r="AG9">
        <v>360</v>
      </c>
      <c r="AH9" t="s">
        <v>27</v>
      </c>
    </row>
    <row r="10" spans="1:34">
      <c r="A10" t="s">
        <v>323</v>
      </c>
      <c r="B10" t="s">
        <v>343</v>
      </c>
      <c r="C10">
        <v>1</v>
      </c>
      <c r="D10" t="s">
        <v>20</v>
      </c>
      <c r="E10" t="s">
        <v>350</v>
      </c>
      <c r="F10">
        <v>9</v>
      </c>
      <c r="G10" t="s">
        <v>102</v>
      </c>
      <c r="H10" s="2">
        <v>42643</v>
      </c>
      <c r="I10" s="2">
        <v>45458</v>
      </c>
      <c r="J10" s="2"/>
      <c r="K10" s="2"/>
      <c r="L10" s="2" t="s">
        <v>316</v>
      </c>
      <c r="M10" s="2">
        <v>42660</v>
      </c>
      <c r="O10" t="s">
        <v>240</v>
      </c>
      <c r="P10" t="s">
        <v>30</v>
      </c>
      <c r="Q10" t="s">
        <v>23</v>
      </c>
      <c r="R10" t="s">
        <v>24</v>
      </c>
      <c r="S10" t="s">
        <v>352</v>
      </c>
      <c r="T10" t="s">
        <v>31</v>
      </c>
      <c r="U10" s="11">
        <v>1</v>
      </c>
      <c r="V10" s="11"/>
      <c r="W10">
        <v>13200000</v>
      </c>
      <c r="X10" s="1">
        <f t="shared" si="0"/>
        <v>13200000</v>
      </c>
      <c r="Y10" s="23"/>
      <c r="Z10" s="23"/>
      <c r="AA10" s="1"/>
      <c r="AB10" s="1"/>
      <c r="AC10" s="1"/>
      <c r="AD10" t="s">
        <v>349</v>
      </c>
      <c r="AE10">
        <v>100</v>
      </c>
      <c r="AF10" s="5">
        <v>1.4999999999999999E-2</v>
      </c>
      <c r="AG10">
        <v>252</v>
      </c>
      <c r="AH10" t="s">
        <v>27</v>
      </c>
    </row>
    <row r="11" spans="1:34">
      <c r="A11" t="s">
        <v>323</v>
      </c>
      <c r="B11" t="s">
        <v>343</v>
      </c>
      <c r="C11">
        <v>1</v>
      </c>
      <c r="D11" t="s">
        <v>20</v>
      </c>
      <c r="E11" t="s">
        <v>351</v>
      </c>
      <c r="F11">
        <v>10</v>
      </c>
      <c r="G11" t="s">
        <v>102</v>
      </c>
      <c r="H11" s="2">
        <v>42643</v>
      </c>
      <c r="I11" s="2">
        <v>45915</v>
      </c>
      <c r="J11" s="2"/>
      <c r="K11" s="2"/>
      <c r="L11" s="2" t="s">
        <v>316</v>
      </c>
      <c r="M11" s="2">
        <v>42660</v>
      </c>
      <c r="O11" t="s">
        <v>240</v>
      </c>
      <c r="P11" t="s">
        <v>30</v>
      </c>
      <c r="Q11" t="s">
        <v>23</v>
      </c>
      <c r="R11" t="s">
        <v>24</v>
      </c>
      <c r="S11" t="s">
        <v>352</v>
      </c>
      <c r="T11" t="s">
        <v>31</v>
      </c>
      <c r="U11" s="11">
        <v>1</v>
      </c>
      <c r="V11" s="11"/>
      <c r="W11">
        <v>5660000</v>
      </c>
      <c r="X11" s="1">
        <f t="shared" si="0"/>
        <v>5660000</v>
      </c>
      <c r="Y11" s="23"/>
      <c r="Z11" s="23"/>
      <c r="AA11" s="1"/>
      <c r="AB11" s="1"/>
      <c r="AC11" s="1"/>
      <c r="AD11" t="s">
        <v>349</v>
      </c>
      <c r="AE11">
        <v>100</v>
      </c>
      <c r="AF11" s="5">
        <v>9.4700000000000006E-2</v>
      </c>
      <c r="AG11">
        <v>252</v>
      </c>
      <c r="AH11" t="s">
        <v>27</v>
      </c>
    </row>
    <row r="12" spans="1:34">
      <c r="A12" t="s">
        <v>324</v>
      </c>
      <c r="B12" t="s">
        <v>343</v>
      </c>
      <c r="C12">
        <v>1</v>
      </c>
      <c r="D12" t="s">
        <v>20</v>
      </c>
      <c r="E12" t="s">
        <v>353</v>
      </c>
      <c r="F12">
        <v>11</v>
      </c>
      <c r="G12" t="s">
        <v>102</v>
      </c>
      <c r="H12" s="2">
        <v>42782</v>
      </c>
      <c r="I12" s="2">
        <v>45427</v>
      </c>
      <c r="J12" s="2">
        <v>42967</v>
      </c>
      <c r="K12" s="2"/>
      <c r="L12" s="2" t="s">
        <v>316</v>
      </c>
      <c r="M12" s="2"/>
      <c r="O12" t="s">
        <v>241</v>
      </c>
      <c r="P12" t="s">
        <v>22</v>
      </c>
      <c r="Q12" t="s">
        <v>23</v>
      </c>
      <c r="R12" t="s">
        <v>24</v>
      </c>
      <c r="S12" t="s">
        <v>352</v>
      </c>
      <c r="T12" t="s">
        <v>25</v>
      </c>
      <c r="U12" s="11">
        <v>1</v>
      </c>
      <c r="V12" s="11"/>
      <c r="W12">
        <v>14000000</v>
      </c>
      <c r="X12" s="1">
        <f t="shared" si="0"/>
        <v>14000000</v>
      </c>
      <c r="Y12" s="23"/>
      <c r="Z12" s="23"/>
      <c r="AA12" s="1"/>
      <c r="AB12" s="1"/>
      <c r="AC12" s="1"/>
      <c r="AD12" t="s">
        <v>26</v>
      </c>
      <c r="AF12" s="5">
        <v>8.5000000000000006E-2</v>
      </c>
      <c r="AG12">
        <v>360</v>
      </c>
      <c r="AH12" t="s">
        <v>27</v>
      </c>
    </row>
    <row r="13" spans="1:34">
      <c r="A13" t="s">
        <v>324</v>
      </c>
      <c r="B13" t="s">
        <v>343</v>
      </c>
      <c r="C13">
        <v>1</v>
      </c>
      <c r="D13" t="s">
        <v>20</v>
      </c>
      <c r="E13" t="s">
        <v>354</v>
      </c>
      <c r="F13">
        <v>12</v>
      </c>
      <c r="G13" t="s">
        <v>102</v>
      </c>
      <c r="H13" s="2">
        <v>42782</v>
      </c>
      <c r="I13" s="2">
        <v>47041</v>
      </c>
      <c r="J13" s="2">
        <v>42967</v>
      </c>
      <c r="K13" s="2"/>
      <c r="L13" s="2" t="s">
        <v>316</v>
      </c>
      <c r="M13" s="2"/>
      <c r="O13" t="s">
        <v>241</v>
      </c>
      <c r="P13" t="s">
        <v>22</v>
      </c>
      <c r="Q13" t="s">
        <v>23</v>
      </c>
      <c r="R13" t="s">
        <v>24</v>
      </c>
      <c r="S13" t="s">
        <v>352</v>
      </c>
      <c r="T13" t="s">
        <v>25</v>
      </c>
      <c r="U13" s="11">
        <v>1</v>
      </c>
      <c r="V13" s="11"/>
      <c r="W13">
        <v>6000000</v>
      </c>
      <c r="X13" s="1">
        <f t="shared" si="0"/>
        <v>6000000</v>
      </c>
      <c r="Y13" s="23">
        <v>5866847</v>
      </c>
      <c r="Z13" s="23" t="s">
        <v>375</v>
      </c>
      <c r="AA13" s="1"/>
      <c r="AB13" s="1"/>
      <c r="AC13" s="1"/>
      <c r="AD13" t="s">
        <v>26</v>
      </c>
      <c r="AF13" s="5">
        <v>0.13880000000000001</v>
      </c>
      <c r="AG13">
        <v>360</v>
      </c>
      <c r="AH13" t="s">
        <v>27</v>
      </c>
    </row>
    <row r="14" spans="1:34">
      <c r="A14" t="s">
        <v>325</v>
      </c>
      <c r="B14" t="s">
        <v>343</v>
      </c>
      <c r="C14">
        <v>1</v>
      </c>
      <c r="D14" t="s">
        <v>20</v>
      </c>
      <c r="E14" t="s">
        <v>355</v>
      </c>
      <c r="F14">
        <v>13</v>
      </c>
      <c r="G14" t="s">
        <v>102</v>
      </c>
      <c r="H14" s="2">
        <v>42786</v>
      </c>
      <c r="I14" s="2">
        <v>46006</v>
      </c>
      <c r="J14" s="2">
        <v>42967</v>
      </c>
      <c r="K14" s="2"/>
      <c r="L14" s="2" t="s">
        <v>316</v>
      </c>
      <c r="M14" s="2"/>
      <c r="O14" t="s">
        <v>241</v>
      </c>
      <c r="Q14" t="s">
        <v>23</v>
      </c>
      <c r="R14" t="s">
        <v>24</v>
      </c>
      <c r="S14" t="s">
        <v>352</v>
      </c>
      <c r="T14" t="s">
        <v>340</v>
      </c>
      <c r="U14" s="11">
        <v>1</v>
      </c>
      <c r="V14" s="11"/>
      <c r="W14">
        <v>2000000</v>
      </c>
      <c r="X14" s="1">
        <f t="shared" si="0"/>
        <v>2000000</v>
      </c>
      <c r="Y14" s="23">
        <v>2000000</v>
      </c>
      <c r="Z14" s="23"/>
      <c r="AA14" s="1"/>
      <c r="AB14" s="1"/>
      <c r="AC14" s="1"/>
      <c r="AD14" t="s">
        <v>40</v>
      </c>
      <c r="AF14" s="5">
        <v>0.09</v>
      </c>
      <c r="AG14">
        <v>360</v>
      </c>
      <c r="AH14" t="s">
        <v>27</v>
      </c>
    </row>
    <row r="15" spans="1:34">
      <c r="A15" t="s">
        <v>325</v>
      </c>
      <c r="B15" t="s">
        <v>343</v>
      </c>
      <c r="C15">
        <v>1</v>
      </c>
      <c r="D15" t="s">
        <v>20</v>
      </c>
      <c r="E15" t="s">
        <v>356</v>
      </c>
      <c r="F15">
        <v>14</v>
      </c>
      <c r="G15" t="s">
        <v>102</v>
      </c>
      <c r="H15" s="2">
        <v>42786</v>
      </c>
      <c r="I15" s="2">
        <v>46006</v>
      </c>
      <c r="J15" s="2">
        <v>42967</v>
      </c>
      <c r="K15" s="2"/>
      <c r="L15" s="2" t="s">
        <v>316</v>
      </c>
      <c r="M15" s="2"/>
      <c r="O15" t="s">
        <v>241</v>
      </c>
      <c r="Q15" t="s">
        <v>23</v>
      </c>
      <c r="R15" t="s">
        <v>24</v>
      </c>
      <c r="S15" t="s">
        <v>352</v>
      </c>
      <c r="T15" t="s">
        <v>340</v>
      </c>
      <c r="U15" s="11">
        <v>1</v>
      </c>
      <c r="V15" s="11"/>
      <c r="W15">
        <v>3000000</v>
      </c>
      <c r="X15" s="1">
        <f t="shared" si="0"/>
        <v>3000000</v>
      </c>
      <c r="Y15" s="23">
        <v>3000000</v>
      </c>
      <c r="Z15" s="23"/>
      <c r="AA15" s="1"/>
      <c r="AB15" s="1"/>
      <c r="AC15" s="1"/>
      <c r="AD15" t="s">
        <v>40</v>
      </c>
      <c r="AF15" s="5">
        <v>9.5000000000000001E-2</v>
      </c>
      <c r="AG15">
        <v>360</v>
      </c>
      <c r="AH15" t="s">
        <v>27</v>
      </c>
    </row>
    <row r="16" spans="1:34">
      <c r="A16" t="s">
        <v>325</v>
      </c>
      <c r="B16" t="s">
        <v>343</v>
      </c>
      <c r="C16">
        <v>1</v>
      </c>
      <c r="D16" t="s">
        <v>20</v>
      </c>
      <c r="E16" t="s">
        <v>357</v>
      </c>
      <c r="F16">
        <v>15</v>
      </c>
      <c r="G16" t="s">
        <v>102</v>
      </c>
      <c r="H16" s="2">
        <v>42786</v>
      </c>
      <c r="I16" s="2">
        <v>46006</v>
      </c>
      <c r="J16" s="2"/>
      <c r="K16" s="2"/>
      <c r="L16" s="2" t="s">
        <v>316</v>
      </c>
      <c r="M16" s="2"/>
      <c r="O16" t="s">
        <v>241</v>
      </c>
      <c r="Q16" t="s">
        <v>23</v>
      </c>
      <c r="R16" t="s">
        <v>24</v>
      </c>
      <c r="S16" t="s">
        <v>352</v>
      </c>
      <c r="T16" t="s">
        <v>340</v>
      </c>
      <c r="U16" s="11">
        <v>1</v>
      </c>
      <c r="V16" s="11"/>
      <c r="W16">
        <v>1000000</v>
      </c>
      <c r="X16" s="1">
        <f t="shared" si="0"/>
        <v>1000000</v>
      </c>
      <c r="Y16" s="23">
        <v>1000000</v>
      </c>
      <c r="Z16" s="23"/>
      <c r="AA16" s="1"/>
      <c r="AB16" s="1"/>
      <c r="AC16" s="1"/>
      <c r="AD16" t="s">
        <v>40</v>
      </c>
      <c r="AF16" s="5">
        <v>0.12</v>
      </c>
      <c r="AG16">
        <v>360</v>
      </c>
      <c r="AH16" t="s">
        <v>27</v>
      </c>
    </row>
    <row r="17" spans="1:34">
      <c r="A17" t="s">
        <v>326</v>
      </c>
      <c r="B17" t="s">
        <v>343</v>
      </c>
      <c r="C17">
        <v>1</v>
      </c>
      <c r="D17" t="s">
        <v>20</v>
      </c>
      <c r="E17" t="s">
        <v>358</v>
      </c>
      <c r="F17">
        <v>16</v>
      </c>
      <c r="G17" t="s">
        <v>102</v>
      </c>
      <c r="H17" s="2">
        <v>43171</v>
      </c>
      <c r="I17" s="2">
        <v>46241</v>
      </c>
      <c r="J17" s="2">
        <v>43355</v>
      </c>
      <c r="K17" s="2">
        <v>44964</v>
      </c>
      <c r="L17" s="2" t="s">
        <v>316</v>
      </c>
      <c r="M17" s="2"/>
      <c r="O17" t="s">
        <v>241</v>
      </c>
      <c r="P17" t="s">
        <v>30</v>
      </c>
      <c r="Q17" t="s">
        <v>23</v>
      </c>
      <c r="R17" t="s">
        <v>24</v>
      </c>
      <c r="S17" t="s">
        <v>352</v>
      </c>
      <c r="T17" t="s">
        <v>25</v>
      </c>
      <c r="U17" s="11">
        <v>10000</v>
      </c>
      <c r="V17" s="11"/>
      <c r="W17">
        <v>2590</v>
      </c>
      <c r="X17" s="1">
        <f t="shared" si="0"/>
        <v>25900000</v>
      </c>
      <c r="Y17" s="23">
        <v>2590</v>
      </c>
      <c r="Z17" s="23"/>
      <c r="AA17" s="1"/>
      <c r="AB17" s="1"/>
      <c r="AC17" s="1"/>
      <c r="AD17" t="s">
        <v>26</v>
      </c>
      <c r="AF17" s="5">
        <v>8.5000000000000006E-2</v>
      </c>
      <c r="AG17">
        <v>360</v>
      </c>
      <c r="AH17" t="s">
        <v>27</v>
      </c>
    </row>
    <row r="18" spans="1:34">
      <c r="A18" t="s">
        <v>326</v>
      </c>
      <c r="B18" t="s">
        <v>343</v>
      </c>
      <c r="C18">
        <v>1</v>
      </c>
      <c r="D18" t="s">
        <v>20</v>
      </c>
      <c r="E18" t="s">
        <v>359</v>
      </c>
      <c r="F18">
        <v>17</v>
      </c>
      <c r="G18" t="s">
        <v>102</v>
      </c>
      <c r="H18" s="2">
        <v>43171</v>
      </c>
      <c r="I18" s="2">
        <v>47975</v>
      </c>
      <c r="J18" s="2">
        <v>43355</v>
      </c>
      <c r="K18" s="2">
        <v>44964</v>
      </c>
      <c r="L18" s="2" t="s">
        <v>316</v>
      </c>
      <c r="M18" s="2"/>
      <c r="O18" t="s">
        <v>241</v>
      </c>
      <c r="P18" t="s">
        <v>30</v>
      </c>
      <c r="Q18" t="s">
        <v>23</v>
      </c>
      <c r="R18" t="s">
        <v>24</v>
      </c>
      <c r="S18" t="s">
        <v>352</v>
      </c>
      <c r="T18" t="s">
        <v>25</v>
      </c>
      <c r="U18" s="11">
        <v>10000</v>
      </c>
      <c r="V18" s="11"/>
      <c r="W18">
        <v>1110</v>
      </c>
      <c r="X18" s="1">
        <f t="shared" si="0"/>
        <v>11100000</v>
      </c>
      <c r="Y18" s="23">
        <v>1110</v>
      </c>
      <c r="Z18" s="23"/>
      <c r="AA18" s="1"/>
      <c r="AB18" s="1"/>
      <c r="AC18" s="1"/>
      <c r="AD18" t="s">
        <v>26</v>
      </c>
      <c r="AF18" s="5">
        <v>0.13500000000000001</v>
      </c>
      <c r="AG18">
        <v>360</v>
      </c>
      <c r="AH18" t="s">
        <v>27</v>
      </c>
    </row>
    <row r="19" spans="1:34" hidden="1">
      <c r="A19" s="19" t="s">
        <v>87</v>
      </c>
      <c r="B19" t="s">
        <v>344</v>
      </c>
      <c r="C19">
        <v>1</v>
      </c>
      <c r="D19" t="s">
        <v>20</v>
      </c>
      <c r="E19" t="s">
        <v>28</v>
      </c>
      <c r="F19">
        <v>18</v>
      </c>
      <c r="G19" t="s">
        <v>102</v>
      </c>
      <c r="H19" s="2">
        <v>43262</v>
      </c>
      <c r="I19" s="2">
        <v>47983</v>
      </c>
      <c r="J19" s="2">
        <v>43453</v>
      </c>
      <c r="K19" s="2"/>
      <c r="L19" s="2" t="s">
        <v>316</v>
      </c>
      <c r="M19" s="2"/>
      <c r="N19" t="s">
        <v>29</v>
      </c>
      <c r="O19" t="s">
        <v>240</v>
      </c>
      <c r="P19" t="s">
        <v>30</v>
      </c>
      <c r="Q19" t="s">
        <v>23</v>
      </c>
      <c r="R19" t="s">
        <v>24</v>
      </c>
      <c r="S19" t="s">
        <v>352</v>
      </c>
      <c r="T19" t="s">
        <v>31</v>
      </c>
      <c r="U19" s="27">
        <v>1</v>
      </c>
      <c r="V19" s="27"/>
      <c r="W19" s="4">
        <v>7200000</v>
      </c>
      <c r="X19" s="1">
        <f t="shared" si="0"/>
        <v>7200000</v>
      </c>
      <c r="Y19" s="23">
        <v>7200000</v>
      </c>
      <c r="Z19" s="23"/>
      <c r="AA19" s="1">
        <v>3755938.75</v>
      </c>
      <c r="AB19" s="18">
        <v>0</v>
      </c>
      <c r="AC19" s="1"/>
      <c r="AD19" t="s">
        <v>349</v>
      </c>
      <c r="AE19">
        <v>100</v>
      </c>
      <c r="AF19" s="5">
        <v>5.2499999999999998E-2</v>
      </c>
      <c r="AG19">
        <v>252</v>
      </c>
      <c r="AH19" t="s">
        <v>27</v>
      </c>
    </row>
    <row r="20" spans="1:34" hidden="1">
      <c r="A20" t="s">
        <v>87</v>
      </c>
      <c r="B20" t="s">
        <v>344</v>
      </c>
      <c r="C20">
        <v>1</v>
      </c>
      <c r="D20" t="s">
        <v>20</v>
      </c>
      <c r="E20" t="s">
        <v>33</v>
      </c>
      <c r="F20">
        <v>19</v>
      </c>
      <c r="G20" t="s">
        <v>102</v>
      </c>
      <c r="H20" s="2">
        <v>42941</v>
      </c>
      <c r="I20" s="2">
        <v>45641</v>
      </c>
      <c r="J20" s="2">
        <v>43126</v>
      </c>
      <c r="K20" s="2"/>
      <c r="L20" s="2" t="s">
        <v>316</v>
      </c>
      <c r="M20" s="2"/>
      <c r="N20" t="s">
        <v>34</v>
      </c>
      <c r="O20" t="s">
        <v>240</v>
      </c>
      <c r="P20" t="s">
        <v>30</v>
      </c>
      <c r="Q20" t="s">
        <v>23</v>
      </c>
      <c r="R20" t="s">
        <v>24</v>
      </c>
      <c r="T20" t="s">
        <v>31</v>
      </c>
      <c r="U20" s="27">
        <v>1</v>
      </c>
      <c r="V20" s="27">
        <v>0</v>
      </c>
      <c r="W20" s="4">
        <v>18246106</v>
      </c>
      <c r="X20" s="1">
        <v>18246106</v>
      </c>
      <c r="Y20" s="23">
        <v>0</v>
      </c>
      <c r="Z20" s="23"/>
      <c r="AA20" s="1">
        <v>113590.63</v>
      </c>
      <c r="AB20" s="1">
        <v>10761.36</v>
      </c>
      <c r="AC20" s="1"/>
      <c r="AD20" t="s">
        <v>32</v>
      </c>
      <c r="AE20">
        <v>100</v>
      </c>
      <c r="AF20" s="5">
        <v>1.4999999999999999E-2</v>
      </c>
      <c r="AG20">
        <v>252</v>
      </c>
      <c r="AH20" t="s">
        <v>27</v>
      </c>
    </row>
    <row r="21" spans="1:34" hidden="1">
      <c r="A21" t="s">
        <v>87</v>
      </c>
      <c r="B21" t="s">
        <v>344</v>
      </c>
      <c r="C21">
        <v>1</v>
      </c>
      <c r="D21" t="s">
        <v>20</v>
      </c>
      <c r="E21" t="s">
        <v>35</v>
      </c>
      <c r="F21">
        <v>20</v>
      </c>
      <c r="G21" t="s">
        <v>102</v>
      </c>
      <c r="H21" s="2">
        <v>42941</v>
      </c>
      <c r="I21" s="2">
        <v>46188</v>
      </c>
      <c r="J21" s="2">
        <v>43126</v>
      </c>
      <c r="K21" s="2"/>
      <c r="L21" s="2" t="s">
        <v>316</v>
      </c>
      <c r="M21" s="2"/>
      <c r="N21" t="s">
        <v>36</v>
      </c>
      <c r="O21" t="s">
        <v>240</v>
      </c>
      <c r="P21" t="s">
        <v>30</v>
      </c>
      <c r="Q21" t="s">
        <v>23</v>
      </c>
      <c r="R21" t="s">
        <v>24</v>
      </c>
      <c r="T21" t="s">
        <v>31</v>
      </c>
      <c r="U21" s="27">
        <v>1</v>
      </c>
      <c r="V21" s="27">
        <v>0</v>
      </c>
      <c r="W21" s="4">
        <v>7819760</v>
      </c>
      <c r="X21" s="1">
        <v>7819760</v>
      </c>
      <c r="Y21" s="23">
        <v>7805513</v>
      </c>
      <c r="Z21" s="23"/>
      <c r="AA21" s="1">
        <v>1854069.18</v>
      </c>
      <c r="AB21" s="1">
        <v>0</v>
      </c>
      <c r="AC21" s="1"/>
      <c r="AD21" t="s">
        <v>32</v>
      </c>
      <c r="AE21">
        <v>100</v>
      </c>
      <c r="AF21" s="5">
        <v>9.4E-2</v>
      </c>
      <c r="AG21">
        <v>252</v>
      </c>
      <c r="AH21" t="s">
        <v>27</v>
      </c>
    </row>
    <row r="22" spans="1:34">
      <c r="A22" t="s">
        <v>327</v>
      </c>
      <c r="B22" t="s">
        <v>343</v>
      </c>
      <c r="C22">
        <v>1</v>
      </c>
      <c r="D22" t="s">
        <v>20</v>
      </c>
      <c r="E22" t="s">
        <v>360</v>
      </c>
      <c r="F22">
        <v>21</v>
      </c>
      <c r="G22" t="s">
        <v>102</v>
      </c>
      <c r="H22" s="2">
        <v>43039</v>
      </c>
      <c r="I22" s="2">
        <v>47467</v>
      </c>
      <c r="J22" s="2">
        <v>43220</v>
      </c>
      <c r="K22" s="2">
        <v>43273</v>
      </c>
      <c r="L22" s="2" t="s">
        <v>316</v>
      </c>
      <c r="M22" s="2"/>
      <c r="O22" t="s">
        <v>240</v>
      </c>
      <c r="P22" t="s">
        <v>30</v>
      </c>
      <c r="Q22" t="s">
        <v>23</v>
      </c>
      <c r="R22" t="s">
        <v>24</v>
      </c>
      <c r="S22" t="s">
        <v>352</v>
      </c>
      <c r="T22" t="s">
        <v>31</v>
      </c>
      <c r="U22" s="27">
        <v>1</v>
      </c>
      <c r="V22" s="27"/>
      <c r="W22" s="4">
        <v>3500000</v>
      </c>
      <c r="X22" s="1">
        <f>W22*U22</f>
        <v>3500000</v>
      </c>
      <c r="Y22" s="23">
        <v>3500000</v>
      </c>
      <c r="Z22" s="23"/>
      <c r="AA22" s="1"/>
      <c r="AB22" s="1"/>
      <c r="AC22" s="1"/>
      <c r="AD22" t="s">
        <v>349</v>
      </c>
      <c r="AE22">
        <v>100</v>
      </c>
      <c r="AF22" s="5">
        <v>5.2499999999999998E-2</v>
      </c>
      <c r="AG22">
        <v>252</v>
      </c>
      <c r="AH22" t="s">
        <v>27</v>
      </c>
    </row>
    <row r="23" spans="1:34" hidden="1">
      <c r="A23" s="19" t="s">
        <v>88</v>
      </c>
      <c r="B23" s="19" t="s">
        <v>344</v>
      </c>
      <c r="C23">
        <v>1</v>
      </c>
      <c r="D23" t="s">
        <v>20</v>
      </c>
      <c r="E23" t="s">
        <v>37</v>
      </c>
      <c r="F23">
        <v>22</v>
      </c>
      <c r="G23" t="s">
        <v>102</v>
      </c>
      <c r="H23" s="2">
        <v>43095</v>
      </c>
      <c r="I23" s="2">
        <v>47832</v>
      </c>
      <c r="J23" s="2">
        <v>43278</v>
      </c>
      <c r="K23" s="2"/>
      <c r="L23" s="2" t="s">
        <v>316</v>
      </c>
      <c r="M23" s="2"/>
      <c r="N23" t="s">
        <v>109</v>
      </c>
      <c r="O23" t="s">
        <v>239</v>
      </c>
      <c r="P23" t="s">
        <v>38</v>
      </c>
      <c r="Q23" t="s">
        <v>23</v>
      </c>
      <c r="R23" t="s">
        <v>24</v>
      </c>
      <c r="T23" t="s">
        <v>39</v>
      </c>
      <c r="U23" s="27">
        <v>1</v>
      </c>
      <c r="V23" s="27">
        <v>0</v>
      </c>
      <c r="W23" s="4">
        <v>6996891</v>
      </c>
      <c r="X23" s="1">
        <v>6996891</v>
      </c>
      <c r="Y23" s="23">
        <v>6996891</v>
      </c>
      <c r="Z23" s="23"/>
      <c r="AA23" s="1">
        <v>5429079.2300000004</v>
      </c>
      <c r="AB23" s="18">
        <v>0</v>
      </c>
      <c r="AC23" s="1"/>
      <c r="AD23" t="s">
        <v>40</v>
      </c>
      <c r="AF23" s="5">
        <v>8.4000000000000005E-2</v>
      </c>
      <c r="AG23">
        <v>365</v>
      </c>
      <c r="AH23" t="s">
        <v>27</v>
      </c>
    </row>
    <row r="24" spans="1:34">
      <c r="A24" t="s">
        <v>361</v>
      </c>
      <c r="B24" t="s">
        <v>343</v>
      </c>
      <c r="C24">
        <v>1</v>
      </c>
      <c r="D24" t="s">
        <v>20</v>
      </c>
      <c r="E24" s="35" t="s">
        <v>364</v>
      </c>
      <c r="F24">
        <v>23</v>
      </c>
      <c r="G24" t="s">
        <v>102</v>
      </c>
      <c r="H24" s="2">
        <v>43238</v>
      </c>
      <c r="I24" s="2">
        <v>44941</v>
      </c>
      <c r="J24" s="2"/>
      <c r="K24" s="2">
        <v>44012</v>
      </c>
      <c r="L24" s="2" t="s">
        <v>316</v>
      </c>
      <c r="M24" s="2"/>
      <c r="O24" t="s">
        <v>241</v>
      </c>
      <c r="P24" t="s">
        <v>30</v>
      </c>
      <c r="Q24" t="s">
        <v>23</v>
      </c>
      <c r="R24" t="s">
        <v>24</v>
      </c>
      <c r="S24" t="s">
        <v>352</v>
      </c>
      <c r="T24" t="s">
        <v>363</v>
      </c>
      <c r="U24" s="27">
        <v>1</v>
      </c>
      <c r="V24" s="27"/>
      <c r="W24" s="4">
        <v>40000000</v>
      </c>
      <c r="X24" s="1">
        <f t="shared" ref="X24:X27" si="1">W24*U24</f>
        <v>40000000</v>
      </c>
      <c r="Y24" s="23"/>
      <c r="Z24" s="23"/>
      <c r="AA24" s="1"/>
      <c r="AB24" s="18"/>
      <c r="AC24" s="1"/>
      <c r="AD24" t="s">
        <v>40</v>
      </c>
      <c r="AF24" s="5">
        <v>8.5000000000000006E-2</v>
      </c>
      <c r="AG24">
        <v>360</v>
      </c>
      <c r="AH24" t="s">
        <v>27</v>
      </c>
    </row>
    <row r="25" spans="1:34">
      <c r="A25" t="s">
        <v>361</v>
      </c>
      <c r="B25" t="s">
        <v>343</v>
      </c>
      <c r="C25">
        <v>1</v>
      </c>
      <c r="D25" t="s">
        <v>20</v>
      </c>
      <c r="E25" s="35" t="s">
        <v>365</v>
      </c>
      <c r="F25">
        <v>24</v>
      </c>
      <c r="G25" t="s">
        <v>102</v>
      </c>
      <c r="H25" s="2">
        <v>43238</v>
      </c>
      <c r="I25" s="2">
        <v>45580</v>
      </c>
      <c r="J25" s="2"/>
      <c r="K25" s="2">
        <v>44012</v>
      </c>
      <c r="L25" s="2" t="s">
        <v>316</v>
      </c>
      <c r="M25" s="2"/>
      <c r="O25" t="s">
        <v>241</v>
      </c>
      <c r="P25" t="s">
        <v>30</v>
      </c>
      <c r="Q25" t="s">
        <v>23</v>
      </c>
      <c r="R25" t="s">
        <v>24</v>
      </c>
      <c r="S25" t="s">
        <v>352</v>
      </c>
      <c r="T25" t="s">
        <v>363</v>
      </c>
      <c r="U25" s="27">
        <v>1</v>
      </c>
      <c r="V25" s="27"/>
      <c r="W25" s="4">
        <v>10000000</v>
      </c>
      <c r="X25" s="1">
        <f t="shared" si="1"/>
        <v>10000000</v>
      </c>
      <c r="Y25" s="23"/>
      <c r="Z25" s="23"/>
      <c r="AA25" s="1"/>
      <c r="AB25" s="18"/>
      <c r="AC25" s="1"/>
      <c r="AD25" t="s">
        <v>40</v>
      </c>
      <c r="AF25" s="5">
        <v>0.1452</v>
      </c>
      <c r="AG25">
        <v>360</v>
      </c>
      <c r="AH25" t="s">
        <v>27</v>
      </c>
    </row>
    <row r="26" spans="1:34">
      <c r="A26" t="s">
        <v>362</v>
      </c>
      <c r="B26" t="s">
        <v>343</v>
      </c>
      <c r="C26">
        <v>1</v>
      </c>
      <c r="D26" t="s">
        <v>20</v>
      </c>
      <c r="E26" t="s">
        <v>366</v>
      </c>
      <c r="F26">
        <v>25</v>
      </c>
      <c r="G26" t="s">
        <v>102</v>
      </c>
      <c r="H26" s="2">
        <v>43525</v>
      </c>
      <c r="I26" s="2">
        <v>48415</v>
      </c>
      <c r="J26" s="2"/>
      <c r="K26" s="2">
        <v>44215</v>
      </c>
      <c r="L26" s="2" t="s">
        <v>316</v>
      </c>
      <c r="M26" s="2"/>
      <c r="O26" t="s">
        <v>236</v>
      </c>
      <c r="P26" t="s">
        <v>30</v>
      </c>
      <c r="Q26" t="s">
        <v>23</v>
      </c>
      <c r="R26" t="s">
        <v>24</v>
      </c>
      <c r="S26" t="s">
        <v>352</v>
      </c>
      <c r="T26" t="s">
        <v>61</v>
      </c>
      <c r="U26" s="27">
        <v>1</v>
      </c>
      <c r="V26" s="27"/>
      <c r="W26" s="4">
        <v>40000000</v>
      </c>
      <c r="X26" s="1">
        <f t="shared" si="1"/>
        <v>40000000</v>
      </c>
      <c r="Y26" s="23"/>
      <c r="Z26" s="23"/>
      <c r="AA26" s="1"/>
      <c r="AB26" s="18"/>
      <c r="AC26" s="1"/>
      <c r="AD26" t="s">
        <v>26</v>
      </c>
      <c r="AF26" s="5">
        <v>8.5000000000000006E-2</v>
      </c>
      <c r="AG26">
        <v>360</v>
      </c>
      <c r="AH26" t="s">
        <v>27</v>
      </c>
    </row>
    <row r="27" spans="1:34">
      <c r="A27" t="s">
        <v>362</v>
      </c>
      <c r="B27" t="s">
        <v>343</v>
      </c>
      <c r="C27">
        <v>1</v>
      </c>
      <c r="D27" t="s">
        <v>20</v>
      </c>
      <c r="E27" t="s">
        <v>367</v>
      </c>
      <c r="F27">
        <v>26</v>
      </c>
      <c r="G27" t="s">
        <v>102</v>
      </c>
      <c r="H27" s="2">
        <v>43525</v>
      </c>
      <c r="I27" s="2">
        <v>48964</v>
      </c>
      <c r="J27" s="2"/>
      <c r="K27" s="2">
        <v>44215</v>
      </c>
      <c r="L27" s="2" t="s">
        <v>316</v>
      </c>
      <c r="M27" s="2"/>
      <c r="O27" t="s">
        <v>236</v>
      </c>
      <c r="P27" t="s">
        <v>30</v>
      </c>
      <c r="Q27" t="s">
        <v>23</v>
      </c>
      <c r="R27" t="s">
        <v>24</v>
      </c>
      <c r="S27" t="s">
        <v>352</v>
      </c>
      <c r="T27" t="s">
        <v>61</v>
      </c>
      <c r="U27" s="27">
        <v>1</v>
      </c>
      <c r="V27" s="27"/>
      <c r="W27" s="4">
        <v>10000000</v>
      </c>
      <c r="X27" s="1">
        <f t="shared" si="1"/>
        <v>10000000</v>
      </c>
      <c r="Y27" s="23"/>
      <c r="Z27" s="23"/>
      <c r="AA27" s="1"/>
      <c r="AB27" s="18"/>
      <c r="AC27" s="1"/>
      <c r="AD27" t="s">
        <v>26</v>
      </c>
      <c r="AF27" s="5">
        <v>0.16800000000000001</v>
      </c>
      <c r="AG27">
        <v>360</v>
      </c>
      <c r="AH27" t="s">
        <v>27</v>
      </c>
    </row>
    <row r="28" spans="1:34" hidden="1">
      <c r="A28" t="s">
        <v>89</v>
      </c>
      <c r="B28" t="s">
        <v>344</v>
      </c>
      <c r="C28">
        <v>1</v>
      </c>
      <c r="D28" t="s">
        <v>20</v>
      </c>
      <c r="E28" t="s">
        <v>41</v>
      </c>
      <c r="F28">
        <v>27</v>
      </c>
      <c r="G28" t="s">
        <v>102</v>
      </c>
      <c r="H28" s="2">
        <v>43718</v>
      </c>
      <c r="I28" s="2">
        <v>47776</v>
      </c>
      <c r="J28" s="2">
        <v>43901</v>
      </c>
      <c r="K28" s="2"/>
      <c r="L28" s="2" t="s">
        <v>316</v>
      </c>
      <c r="M28" s="2"/>
      <c r="N28" t="s">
        <v>110</v>
      </c>
      <c r="O28" t="s">
        <v>236</v>
      </c>
      <c r="P28" t="s">
        <v>22</v>
      </c>
      <c r="Q28" t="s">
        <v>23</v>
      </c>
      <c r="R28" t="s">
        <v>24</v>
      </c>
      <c r="T28" t="s">
        <v>25</v>
      </c>
      <c r="U28" s="27">
        <v>1</v>
      </c>
      <c r="V28" s="27">
        <v>0</v>
      </c>
      <c r="W28" s="4">
        <v>11040000</v>
      </c>
      <c r="X28" s="1">
        <v>11040000</v>
      </c>
      <c r="Y28" s="23">
        <v>11010010</v>
      </c>
      <c r="Z28" s="23"/>
      <c r="AA28" s="17">
        <v>4866328.08</v>
      </c>
      <c r="AB28" s="17">
        <f>5336.36+1952.49+1116.9</f>
        <v>8405.75</v>
      </c>
      <c r="AC28" s="17">
        <f>66.27+1586+226.16</f>
        <v>1878.43</v>
      </c>
      <c r="AD28" t="s">
        <v>26</v>
      </c>
      <c r="AF28" s="5">
        <v>8.5000000000000006E-2</v>
      </c>
      <c r="AG28">
        <v>360</v>
      </c>
      <c r="AH28" t="s">
        <v>27</v>
      </c>
    </row>
    <row r="29" spans="1:34" hidden="1">
      <c r="A29" t="s">
        <v>89</v>
      </c>
      <c r="B29" t="s">
        <v>344</v>
      </c>
      <c r="C29">
        <v>1</v>
      </c>
      <c r="D29" t="s">
        <v>20</v>
      </c>
      <c r="E29" t="s">
        <v>42</v>
      </c>
      <c r="F29">
        <v>28</v>
      </c>
      <c r="G29" t="s">
        <v>102</v>
      </c>
      <c r="H29" s="2">
        <v>43718</v>
      </c>
      <c r="I29" s="2">
        <v>48750</v>
      </c>
      <c r="J29" s="2">
        <v>43901</v>
      </c>
      <c r="K29" s="2"/>
      <c r="L29" s="2" t="s">
        <v>316</v>
      </c>
      <c r="M29" s="2"/>
      <c r="N29" t="s">
        <v>111</v>
      </c>
      <c r="O29" t="s">
        <v>236</v>
      </c>
      <c r="P29" t="s">
        <v>22</v>
      </c>
      <c r="Q29" t="s">
        <v>23</v>
      </c>
      <c r="R29" t="s">
        <v>24</v>
      </c>
      <c r="T29" t="s">
        <v>25</v>
      </c>
      <c r="U29" s="27">
        <v>1</v>
      </c>
      <c r="V29" s="27">
        <v>0</v>
      </c>
      <c r="W29" s="4">
        <v>2760000</v>
      </c>
      <c r="X29" s="1">
        <v>2760000</v>
      </c>
      <c r="Y29" s="23">
        <v>2748117</v>
      </c>
      <c r="Z29" s="23"/>
      <c r="AA29" s="1">
        <v>1861380.6</v>
      </c>
      <c r="AB29" s="1">
        <v>0</v>
      </c>
      <c r="AC29" s="1"/>
      <c r="AD29" t="s">
        <v>26</v>
      </c>
      <c r="AF29" s="5">
        <v>0.14899999999999999</v>
      </c>
      <c r="AG29">
        <v>360</v>
      </c>
      <c r="AH29" t="s">
        <v>27</v>
      </c>
    </row>
    <row r="30" spans="1:34" hidden="1">
      <c r="A30" t="s">
        <v>329</v>
      </c>
      <c r="B30" t="s">
        <v>344</v>
      </c>
      <c r="C30">
        <v>1</v>
      </c>
      <c r="D30" t="s">
        <v>20</v>
      </c>
      <c r="E30" t="s">
        <v>43</v>
      </c>
      <c r="F30">
        <v>29</v>
      </c>
      <c r="G30" t="s">
        <v>102</v>
      </c>
      <c r="H30" s="2">
        <v>43728</v>
      </c>
      <c r="I30" s="2">
        <v>44824</v>
      </c>
      <c r="J30" s="2">
        <v>43910</v>
      </c>
      <c r="K30" s="2"/>
      <c r="L30" s="2" t="s">
        <v>316</v>
      </c>
      <c r="M30" s="2"/>
      <c r="N30" t="s">
        <v>44</v>
      </c>
      <c r="O30" t="s">
        <v>236</v>
      </c>
      <c r="P30" t="s">
        <v>30</v>
      </c>
      <c r="Q30" t="s">
        <v>23</v>
      </c>
      <c r="R30" t="s">
        <v>24</v>
      </c>
      <c r="T30" t="s">
        <v>45</v>
      </c>
      <c r="U30" s="27">
        <v>1</v>
      </c>
      <c r="V30" s="27">
        <v>0</v>
      </c>
      <c r="W30" s="4">
        <v>34000000</v>
      </c>
      <c r="X30" s="1">
        <v>34000000</v>
      </c>
      <c r="Y30" s="23">
        <v>32631725</v>
      </c>
      <c r="Z30" s="23" t="s">
        <v>116</v>
      </c>
      <c r="AA30" s="1">
        <v>28719742.760000002</v>
      </c>
      <c r="AB30" s="1">
        <v>11768.04</v>
      </c>
      <c r="AC30" s="1">
        <v>817.74</v>
      </c>
      <c r="AD30" t="s">
        <v>26</v>
      </c>
      <c r="AF30" s="5">
        <v>7.0000000000000007E-2</v>
      </c>
      <c r="AG30">
        <v>360</v>
      </c>
      <c r="AH30" t="s">
        <v>27</v>
      </c>
    </row>
    <row r="31" spans="1:34" hidden="1">
      <c r="A31" t="s">
        <v>329</v>
      </c>
      <c r="B31" t="s">
        <v>344</v>
      </c>
      <c r="C31">
        <v>1</v>
      </c>
      <c r="D31" t="s">
        <v>20</v>
      </c>
      <c r="E31" t="s">
        <v>46</v>
      </c>
      <c r="F31">
        <v>30</v>
      </c>
      <c r="G31" t="s">
        <v>102</v>
      </c>
      <c r="H31" s="2">
        <v>43728</v>
      </c>
      <c r="I31" s="2">
        <v>44824</v>
      </c>
      <c r="J31" s="2">
        <v>43910</v>
      </c>
      <c r="K31" s="2"/>
      <c r="L31" s="2" t="s">
        <v>316</v>
      </c>
      <c r="M31" s="2"/>
      <c r="N31" t="s">
        <v>47</v>
      </c>
      <c r="O31" t="s">
        <v>236</v>
      </c>
      <c r="P31" t="s">
        <v>30</v>
      </c>
      <c r="Q31" t="s">
        <v>23</v>
      </c>
      <c r="R31" t="s">
        <v>24</v>
      </c>
      <c r="T31" t="s">
        <v>45</v>
      </c>
      <c r="U31" s="27">
        <v>1</v>
      </c>
      <c r="V31" s="27">
        <v>0</v>
      </c>
      <c r="W31" s="4">
        <v>6000000</v>
      </c>
      <c r="X31" s="1">
        <v>6000000</v>
      </c>
      <c r="Y31" s="23">
        <v>5172958</v>
      </c>
      <c r="Z31" s="23" t="s">
        <v>116</v>
      </c>
      <c r="AA31" s="1">
        <v>6341737.8799999999</v>
      </c>
      <c r="AB31" s="1">
        <v>0</v>
      </c>
      <c r="AC31" s="1"/>
      <c r="AD31" t="s">
        <v>26</v>
      </c>
      <c r="AF31" s="5">
        <v>0.39100000000000001</v>
      </c>
      <c r="AG31">
        <v>360</v>
      </c>
      <c r="AH31" t="s">
        <v>27</v>
      </c>
    </row>
    <row r="32" spans="1:34" hidden="1">
      <c r="A32" t="s">
        <v>330</v>
      </c>
      <c r="B32" t="s">
        <v>344</v>
      </c>
      <c r="C32">
        <v>1</v>
      </c>
      <c r="D32" t="s">
        <v>20</v>
      </c>
      <c r="E32" t="s">
        <v>48</v>
      </c>
      <c r="F32">
        <v>31</v>
      </c>
      <c r="G32" t="s">
        <v>103</v>
      </c>
      <c r="H32" s="2">
        <v>43906</v>
      </c>
      <c r="I32" s="2">
        <v>48908</v>
      </c>
      <c r="L32" s="2" t="s">
        <v>316</v>
      </c>
      <c r="M32" s="2"/>
      <c r="N32" t="s">
        <v>112</v>
      </c>
      <c r="O32" t="s">
        <v>235</v>
      </c>
      <c r="P32" t="s">
        <v>30</v>
      </c>
      <c r="Q32" t="s">
        <v>23</v>
      </c>
      <c r="R32" t="s">
        <v>49</v>
      </c>
      <c r="T32" t="s">
        <v>50</v>
      </c>
      <c r="U32" s="27">
        <v>1</v>
      </c>
      <c r="V32" s="27">
        <v>0</v>
      </c>
      <c r="W32" s="4">
        <v>80000000</v>
      </c>
      <c r="X32" s="4">
        <v>80000000</v>
      </c>
      <c r="Y32" s="23">
        <v>39334942</v>
      </c>
      <c r="Z32" s="23" t="s">
        <v>117</v>
      </c>
      <c r="AA32" s="1">
        <v>63882373.560000002</v>
      </c>
      <c r="AB32" s="1">
        <v>0</v>
      </c>
      <c r="AC32" s="1"/>
      <c r="AD32" t="s">
        <v>26</v>
      </c>
      <c r="AF32" s="5">
        <v>7.0000000000000007E-2</v>
      </c>
      <c r="AG32">
        <v>360</v>
      </c>
      <c r="AH32" t="s">
        <v>27</v>
      </c>
    </row>
    <row r="33" spans="1:34" hidden="1">
      <c r="A33" t="s">
        <v>330</v>
      </c>
      <c r="B33" t="s">
        <v>344</v>
      </c>
      <c r="C33">
        <v>1</v>
      </c>
      <c r="D33" t="s">
        <v>20</v>
      </c>
      <c r="E33" t="s">
        <v>51</v>
      </c>
      <c r="F33">
        <v>32</v>
      </c>
      <c r="G33" t="s">
        <v>103</v>
      </c>
      <c r="H33" s="2">
        <v>43906</v>
      </c>
      <c r="I33" s="2">
        <v>49334</v>
      </c>
      <c r="L33" s="2" t="s">
        <v>316</v>
      </c>
      <c r="M33" s="2"/>
      <c r="N33" s="24" t="s">
        <v>113</v>
      </c>
      <c r="O33" t="s">
        <v>235</v>
      </c>
      <c r="P33" t="s">
        <v>30</v>
      </c>
      <c r="Q33" t="s">
        <v>23</v>
      </c>
      <c r="R33" t="s">
        <v>49</v>
      </c>
      <c r="T33" t="s">
        <v>50</v>
      </c>
      <c r="U33" s="27">
        <v>1</v>
      </c>
      <c r="V33" s="27">
        <v>0</v>
      </c>
      <c r="W33" s="4">
        <v>20000000</v>
      </c>
      <c r="X33" s="4">
        <v>20000000</v>
      </c>
      <c r="Y33" s="23">
        <v>9801433</v>
      </c>
      <c r="Z33" s="23"/>
      <c r="AA33" s="1">
        <v>19178089.140000001</v>
      </c>
      <c r="AB33" s="1">
        <v>0</v>
      </c>
      <c r="AC33" s="1"/>
      <c r="AD33" t="s">
        <v>26</v>
      </c>
      <c r="AF33" s="5">
        <v>0.11</v>
      </c>
      <c r="AG33">
        <v>360</v>
      </c>
      <c r="AH33" t="s">
        <v>27</v>
      </c>
    </row>
    <row r="34" spans="1:34" hidden="1">
      <c r="A34" t="s">
        <v>332</v>
      </c>
      <c r="B34" t="s">
        <v>344</v>
      </c>
      <c r="C34">
        <v>1</v>
      </c>
      <c r="D34" t="s">
        <v>20</v>
      </c>
      <c r="E34" t="s">
        <v>52</v>
      </c>
      <c r="F34">
        <v>33</v>
      </c>
      <c r="G34" t="s">
        <v>102</v>
      </c>
      <c r="H34" s="2">
        <v>44012</v>
      </c>
      <c r="I34" s="2">
        <v>47107</v>
      </c>
      <c r="L34" s="2" t="s">
        <v>316</v>
      </c>
      <c r="M34" s="2"/>
      <c r="N34" s="24" t="s">
        <v>113</v>
      </c>
      <c r="O34" t="s">
        <v>238</v>
      </c>
      <c r="P34" t="s">
        <v>22</v>
      </c>
      <c r="Q34" t="s">
        <v>23</v>
      </c>
      <c r="R34" t="s">
        <v>24</v>
      </c>
      <c r="T34" t="s">
        <v>25</v>
      </c>
      <c r="U34" s="27">
        <v>1</v>
      </c>
      <c r="V34" s="27">
        <v>0</v>
      </c>
      <c r="W34" s="4">
        <v>16000000</v>
      </c>
      <c r="X34" s="4">
        <v>16000000</v>
      </c>
      <c r="Y34" s="23">
        <v>15005117</v>
      </c>
      <c r="Z34" s="23"/>
      <c r="AA34" s="1">
        <v>15406810.130000001</v>
      </c>
      <c r="AB34" s="1">
        <v>8109.39</v>
      </c>
      <c r="AC34" s="1"/>
      <c r="AD34" t="s">
        <v>26</v>
      </c>
      <c r="AF34" s="5">
        <v>0.09</v>
      </c>
      <c r="AG34">
        <v>360</v>
      </c>
      <c r="AH34" t="s">
        <v>27</v>
      </c>
    </row>
    <row r="35" spans="1:34">
      <c r="A35" t="s">
        <v>332</v>
      </c>
      <c r="B35" t="s">
        <v>343</v>
      </c>
      <c r="C35">
        <v>1</v>
      </c>
      <c r="D35" t="s">
        <v>20</v>
      </c>
      <c r="E35" t="s">
        <v>368</v>
      </c>
      <c r="F35">
        <v>34</v>
      </c>
      <c r="G35" t="s">
        <v>102</v>
      </c>
      <c r="H35" s="2">
        <v>44012</v>
      </c>
      <c r="I35" s="2">
        <v>47623</v>
      </c>
      <c r="K35" s="2">
        <v>44277</v>
      </c>
      <c r="L35" s="2" t="s">
        <v>316</v>
      </c>
      <c r="M35" s="2"/>
      <c r="N35" s="24"/>
      <c r="O35" t="s">
        <v>238</v>
      </c>
      <c r="P35" t="s">
        <v>22</v>
      </c>
      <c r="Q35" t="s">
        <v>23</v>
      </c>
      <c r="R35" t="s">
        <v>24</v>
      </c>
      <c r="S35" t="s">
        <v>352</v>
      </c>
      <c r="T35" t="s">
        <v>25</v>
      </c>
      <c r="U35" s="27">
        <v>1</v>
      </c>
      <c r="V35" s="27"/>
      <c r="W35" s="4">
        <v>4000000</v>
      </c>
      <c r="X35" s="1">
        <f t="shared" ref="X35:X37" si="2">W35*U35</f>
        <v>4000000</v>
      </c>
      <c r="Y35" s="23">
        <v>963999</v>
      </c>
      <c r="Z35" s="23" t="s">
        <v>375</v>
      </c>
      <c r="AA35" s="1"/>
      <c r="AB35" s="1"/>
      <c r="AC35" s="1"/>
      <c r="AD35" t="s">
        <v>26</v>
      </c>
      <c r="AF35" s="5">
        <v>0.13880000000000001</v>
      </c>
      <c r="AG35">
        <v>360</v>
      </c>
      <c r="AH35" t="s">
        <v>27</v>
      </c>
    </row>
    <row r="36" spans="1:34">
      <c r="A36" t="s">
        <v>333</v>
      </c>
      <c r="B36" t="s">
        <v>343</v>
      </c>
      <c r="C36">
        <v>1</v>
      </c>
      <c r="D36" t="s">
        <v>20</v>
      </c>
      <c r="E36" t="s">
        <v>369</v>
      </c>
      <c r="F36">
        <v>35</v>
      </c>
      <c r="G36" t="s">
        <v>102</v>
      </c>
      <c r="H36" s="2">
        <v>44007</v>
      </c>
      <c r="I36" s="2">
        <v>45797</v>
      </c>
      <c r="K36" s="2">
        <v>45586</v>
      </c>
      <c r="L36" s="2" t="s">
        <v>316</v>
      </c>
      <c r="M36" s="2"/>
      <c r="N36" s="24"/>
      <c r="O36" t="s">
        <v>241</v>
      </c>
      <c r="P36" t="s">
        <v>30</v>
      </c>
      <c r="Q36" t="s">
        <v>23</v>
      </c>
      <c r="R36" t="s">
        <v>24</v>
      </c>
      <c r="S36" t="s">
        <v>23</v>
      </c>
      <c r="T36" t="s">
        <v>363</v>
      </c>
      <c r="U36" s="27">
        <v>1</v>
      </c>
      <c r="V36" s="27"/>
      <c r="W36" s="4">
        <v>85000000</v>
      </c>
      <c r="X36" s="1">
        <f t="shared" si="2"/>
        <v>85000000</v>
      </c>
      <c r="Y36" s="4">
        <v>63750000</v>
      </c>
      <c r="Z36" s="23" t="s">
        <v>375</v>
      </c>
      <c r="AA36" s="1"/>
      <c r="AB36" s="1"/>
      <c r="AC36" s="1"/>
      <c r="AD36" t="s">
        <v>40</v>
      </c>
      <c r="AF36" s="5">
        <v>6.5000000000000002E-2</v>
      </c>
      <c r="AG36">
        <v>360</v>
      </c>
      <c r="AH36" t="s">
        <v>27</v>
      </c>
    </row>
    <row r="37" spans="1:34">
      <c r="A37" t="s">
        <v>333</v>
      </c>
      <c r="B37" t="s">
        <v>343</v>
      </c>
      <c r="C37">
        <v>1</v>
      </c>
      <c r="D37" t="s">
        <v>20</v>
      </c>
      <c r="E37" t="s">
        <v>370</v>
      </c>
      <c r="F37">
        <v>36</v>
      </c>
      <c r="G37" t="s">
        <v>102</v>
      </c>
      <c r="H37" s="2">
        <v>44007</v>
      </c>
      <c r="I37" s="2">
        <v>46162</v>
      </c>
      <c r="K37" s="2">
        <v>45586</v>
      </c>
      <c r="L37" s="2" t="s">
        <v>316</v>
      </c>
      <c r="M37" s="2"/>
      <c r="N37" s="24"/>
      <c r="O37" t="s">
        <v>241</v>
      </c>
      <c r="P37" t="s">
        <v>30</v>
      </c>
      <c r="Q37" t="s">
        <v>23</v>
      </c>
      <c r="R37" t="s">
        <v>24</v>
      </c>
      <c r="S37" t="s">
        <v>23</v>
      </c>
      <c r="T37" t="s">
        <v>363</v>
      </c>
      <c r="U37" s="27">
        <v>1</v>
      </c>
      <c r="V37" s="27"/>
      <c r="W37" s="4">
        <v>15000000</v>
      </c>
      <c r="X37" s="1">
        <f t="shared" si="2"/>
        <v>15000000</v>
      </c>
      <c r="Y37" s="4">
        <v>11250000</v>
      </c>
      <c r="Z37" s="23" t="s">
        <v>375</v>
      </c>
      <c r="AA37" s="1"/>
      <c r="AB37" s="1"/>
      <c r="AC37" s="1"/>
      <c r="AD37" t="s">
        <v>40</v>
      </c>
      <c r="AF37" s="5">
        <v>0.1338</v>
      </c>
      <c r="AG37">
        <v>360</v>
      </c>
      <c r="AH37" t="s">
        <v>27</v>
      </c>
    </row>
    <row r="38" spans="1:34" hidden="1">
      <c r="A38" s="19" t="s">
        <v>328</v>
      </c>
      <c r="B38" s="19" t="s">
        <v>344</v>
      </c>
      <c r="C38">
        <v>1</v>
      </c>
      <c r="D38" t="s">
        <v>20</v>
      </c>
      <c r="E38" t="s">
        <v>53</v>
      </c>
      <c r="F38">
        <v>37</v>
      </c>
      <c r="G38" t="s">
        <v>102</v>
      </c>
      <c r="H38" s="2">
        <v>44151</v>
      </c>
      <c r="I38" s="2">
        <v>45250</v>
      </c>
      <c r="L38" s="2" t="s">
        <v>316</v>
      </c>
      <c r="M38" s="2"/>
      <c r="N38" t="s">
        <v>118</v>
      </c>
      <c r="O38" t="s">
        <v>236</v>
      </c>
      <c r="P38" t="s">
        <v>54</v>
      </c>
      <c r="Q38" t="s">
        <v>23</v>
      </c>
      <c r="R38" t="s">
        <v>24</v>
      </c>
      <c r="T38" t="s">
        <v>45</v>
      </c>
      <c r="U38" s="27">
        <v>1</v>
      </c>
      <c r="V38" s="27">
        <v>0</v>
      </c>
      <c r="W38" s="4">
        <v>13000000</v>
      </c>
      <c r="X38" s="4">
        <v>13000000</v>
      </c>
      <c r="Y38" s="23">
        <v>10302019</v>
      </c>
      <c r="Z38" s="23"/>
      <c r="AA38" s="1">
        <v>10492164.289999999</v>
      </c>
      <c r="AB38" s="18">
        <v>0</v>
      </c>
      <c r="AC38" s="1"/>
      <c r="AD38" t="s">
        <v>26</v>
      </c>
      <c r="AF38" s="5">
        <v>0.1275</v>
      </c>
      <c r="AG38">
        <v>360</v>
      </c>
      <c r="AH38" t="s">
        <v>27</v>
      </c>
    </row>
    <row r="39" spans="1:34" hidden="1">
      <c r="A39" t="s">
        <v>94</v>
      </c>
      <c r="B39" t="s">
        <v>344</v>
      </c>
      <c r="C39">
        <v>1</v>
      </c>
      <c r="D39" t="s">
        <v>55</v>
      </c>
      <c r="E39" t="s">
        <v>56</v>
      </c>
      <c r="F39">
        <v>38</v>
      </c>
      <c r="G39" t="s">
        <v>103</v>
      </c>
      <c r="H39" s="2">
        <v>44180</v>
      </c>
      <c r="I39" s="2">
        <v>46381</v>
      </c>
      <c r="L39" s="2" t="s">
        <v>316</v>
      </c>
      <c r="M39" s="2"/>
      <c r="N39" t="s">
        <v>119</v>
      </c>
      <c r="O39" t="s">
        <v>235</v>
      </c>
      <c r="P39" t="s">
        <v>57</v>
      </c>
      <c r="Q39" t="s">
        <v>23</v>
      </c>
      <c r="R39" t="s">
        <v>49</v>
      </c>
      <c r="T39" t="s">
        <v>58</v>
      </c>
      <c r="U39" s="27">
        <v>1</v>
      </c>
      <c r="V39" s="27">
        <v>0</v>
      </c>
      <c r="W39" s="4">
        <v>10000000</v>
      </c>
      <c r="X39" s="4">
        <v>10000000</v>
      </c>
      <c r="Y39" s="23">
        <v>6790542</v>
      </c>
      <c r="Z39" s="23"/>
      <c r="AA39" s="1">
        <v>4381426.9800000004</v>
      </c>
      <c r="AB39" s="22">
        <f>90000/12</f>
        <v>7500</v>
      </c>
      <c r="AC39" s="1"/>
      <c r="AD39" t="s">
        <v>26</v>
      </c>
      <c r="AF39" s="5">
        <v>5.5E-2</v>
      </c>
      <c r="AG39">
        <v>360</v>
      </c>
      <c r="AH39" t="s">
        <v>27</v>
      </c>
    </row>
    <row r="40" spans="1:34" hidden="1">
      <c r="A40" t="s">
        <v>94</v>
      </c>
      <c r="B40" t="s">
        <v>344</v>
      </c>
      <c r="C40">
        <v>1</v>
      </c>
      <c r="D40" t="s">
        <v>55</v>
      </c>
      <c r="E40" t="s">
        <v>59</v>
      </c>
      <c r="F40">
        <v>39</v>
      </c>
      <c r="G40" t="s">
        <v>103</v>
      </c>
      <c r="H40" s="2">
        <v>44180</v>
      </c>
      <c r="I40" s="2">
        <v>46381</v>
      </c>
      <c r="L40" s="2" t="s">
        <v>316</v>
      </c>
      <c r="M40" s="2"/>
      <c r="N40" t="s">
        <v>120</v>
      </c>
      <c r="O40" t="s">
        <v>235</v>
      </c>
      <c r="P40" t="s">
        <v>57</v>
      </c>
      <c r="Q40" t="s">
        <v>23</v>
      </c>
      <c r="R40" t="s">
        <v>49</v>
      </c>
      <c r="T40" t="s">
        <v>58</v>
      </c>
      <c r="U40" s="27">
        <v>1</v>
      </c>
      <c r="V40" s="27">
        <v>0</v>
      </c>
      <c r="W40" s="4">
        <v>20000000</v>
      </c>
      <c r="X40" s="4">
        <v>20000000</v>
      </c>
      <c r="Y40" s="23">
        <v>19400435</v>
      </c>
      <c r="Z40" s="23"/>
      <c r="AA40" s="1">
        <v>12534083.85</v>
      </c>
      <c r="AB40" s="1">
        <v>0</v>
      </c>
      <c r="AC40" s="1"/>
      <c r="AD40" t="s">
        <v>26</v>
      </c>
      <c r="AF40" s="5">
        <v>0.06</v>
      </c>
      <c r="AG40">
        <v>360</v>
      </c>
      <c r="AH40" t="s">
        <v>27</v>
      </c>
    </row>
    <row r="41" spans="1:34" hidden="1">
      <c r="A41" t="s">
        <v>95</v>
      </c>
      <c r="B41" t="s">
        <v>344</v>
      </c>
      <c r="C41">
        <v>1</v>
      </c>
      <c r="D41" t="s">
        <v>20</v>
      </c>
      <c r="E41" t="s">
        <v>60</v>
      </c>
      <c r="F41">
        <v>40</v>
      </c>
      <c r="H41" s="2">
        <v>44210</v>
      </c>
      <c r="I41" s="2">
        <v>49663</v>
      </c>
      <c r="L41" s="2" t="s">
        <v>316</v>
      </c>
      <c r="M41" s="2"/>
      <c r="N41" t="s">
        <v>121</v>
      </c>
      <c r="O41" t="s">
        <v>235</v>
      </c>
      <c r="P41" t="s">
        <v>30</v>
      </c>
      <c r="Q41" t="s">
        <v>23</v>
      </c>
      <c r="R41" t="s">
        <v>49</v>
      </c>
      <c r="T41" t="s">
        <v>61</v>
      </c>
      <c r="U41" s="27">
        <v>1</v>
      </c>
      <c r="V41" s="27">
        <v>0</v>
      </c>
      <c r="W41" s="4">
        <v>35000000</v>
      </c>
      <c r="X41" s="4">
        <v>35000000</v>
      </c>
      <c r="Y41" s="23">
        <v>35000000</v>
      </c>
      <c r="Z41" s="23"/>
      <c r="AA41" s="1">
        <v>41382629.399999999</v>
      </c>
      <c r="AB41" s="1">
        <v>15444.59</v>
      </c>
      <c r="AC41" s="1"/>
      <c r="AD41" t="s">
        <v>26</v>
      </c>
      <c r="AF41" s="5">
        <v>0.105</v>
      </c>
      <c r="AG41">
        <v>360</v>
      </c>
      <c r="AH41" t="s">
        <v>27</v>
      </c>
    </row>
    <row r="42" spans="1:34" hidden="1">
      <c r="A42" t="s">
        <v>95</v>
      </c>
      <c r="B42" t="s">
        <v>344</v>
      </c>
      <c r="C42">
        <v>1</v>
      </c>
      <c r="D42" t="s">
        <v>20</v>
      </c>
      <c r="E42" t="s">
        <v>62</v>
      </c>
      <c r="F42">
        <v>41</v>
      </c>
      <c r="H42" s="2">
        <v>44210</v>
      </c>
      <c r="I42" s="2">
        <v>49663</v>
      </c>
      <c r="L42" s="2" t="s">
        <v>316</v>
      </c>
      <c r="M42" s="2"/>
      <c r="N42" t="s">
        <v>122</v>
      </c>
      <c r="O42" t="s">
        <v>235</v>
      </c>
      <c r="P42" t="s">
        <v>30</v>
      </c>
      <c r="Q42" t="s">
        <v>23</v>
      </c>
      <c r="R42" t="s">
        <v>49</v>
      </c>
      <c r="T42" t="s">
        <v>61</v>
      </c>
      <c r="U42" s="27">
        <v>1</v>
      </c>
      <c r="V42" s="27">
        <v>0</v>
      </c>
      <c r="W42" s="4">
        <v>66860907</v>
      </c>
      <c r="X42" s="4">
        <v>66860907</v>
      </c>
      <c r="Y42" s="23">
        <v>65445547</v>
      </c>
      <c r="Z42" s="23"/>
      <c r="AA42" s="1">
        <v>77380251.920000002</v>
      </c>
      <c r="AB42" s="1">
        <v>0</v>
      </c>
      <c r="AC42" s="1"/>
      <c r="AD42" t="s">
        <v>26</v>
      </c>
      <c r="AF42" s="5">
        <v>7.0000000000000007E-2</v>
      </c>
      <c r="AG42">
        <v>360</v>
      </c>
      <c r="AH42" t="s">
        <v>27</v>
      </c>
    </row>
    <row r="43" spans="1:34" hidden="1">
      <c r="A43" t="s">
        <v>95</v>
      </c>
      <c r="B43" t="s">
        <v>344</v>
      </c>
      <c r="C43">
        <v>1</v>
      </c>
      <c r="D43" t="s">
        <v>20</v>
      </c>
      <c r="E43" t="s">
        <v>63</v>
      </c>
      <c r="F43">
        <v>42</v>
      </c>
      <c r="H43" s="2">
        <v>44210</v>
      </c>
      <c r="I43" s="2">
        <v>49663</v>
      </c>
      <c r="L43" s="2" t="s">
        <v>316</v>
      </c>
      <c r="M43" s="2"/>
      <c r="N43" t="s">
        <v>123</v>
      </c>
      <c r="O43" t="s">
        <v>235</v>
      </c>
      <c r="P43" t="s">
        <v>30</v>
      </c>
      <c r="Q43" t="s">
        <v>23</v>
      </c>
      <c r="R43" t="s">
        <v>49</v>
      </c>
      <c r="T43" t="s">
        <v>61</v>
      </c>
      <c r="U43" s="27">
        <v>1</v>
      </c>
      <c r="V43" s="27">
        <v>0</v>
      </c>
      <c r="W43" s="4">
        <v>11798984</v>
      </c>
      <c r="X43" s="4">
        <v>11798984</v>
      </c>
      <c r="Y43" s="23">
        <v>11798984</v>
      </c>
      <c r="Z43" s="23"/>
      <c r="AA43" s="1">
        <v>13080211.359999999</v>
      </c>
      <c r="AB43" s="1">
        <v>0</v>
      </c>
      <c r="AC43" s="1"/>
      <c r="AD43" t="s">
        <v>26</v>
      </c>
      <c r="AF43" s="5">
        <v>0.1734</v>
      </c>
      <c r="AG43">
        <v>360</v>
      </c>
      <c r="AH43" t="s">
        <v>27</v>
      </c>
    </row>
    <row r="44" spans="1:34">
      <c r="A44" t="s">
        <v>334</v>
      </c>
      <c r="B44" t="s">
        <v>343</v>
      </c>
      <c r="C44">
        <v>1</v>
      </c>
      <c r="D44" t="s">
        <v>20</v>
      </c>
      <c r="E44" t="s">
        <v>373</v>
      </c>
      <c r="F44">
        <v>43</v>
      </c>
      <c r="G44" t="s">
        <v>102</v>
      </c>
      <c r="H44" s="2">
        <v>44210</v>
      </c>
      <c r="I44" s="2">
        <v>49663</v>
      </c>
      <c r="J44" s="2">
        <v>44940</v>
      </c>
      <c r="K44" s="37" t="s">
        <v>374</v>
      </c>
      <c r="L44" s="2" t="s">
        <v>316</v>
      </c>
      <c r="M44" s="2"/>
      <c r="O44" t="s">
        <v>236</v>
      </c>
      <c r="P44" t="s">
        <v>30</v>
      </c>
      <c r="Q44" t="s">
        <v>23</v>
      </c>
      <c r="R44" t="s">
        <v>24</v>
      </c>
      <c r="S44" t="s">
        <v>371</v>
      </c>
      <c r="T44" t="s">
        <v>61</v>
      </c>
      <c r="U44" s="27">
        <v>1</v>
      </c>
      <c r="V44" s="27"/>
      <c r="W44" s="4">
        <v>73389093</v>
      </c>
      <c r="X44" s="1">
        <f t="shared" ref="X44:X45" si="3">W44*U44</f>
        <v>73389093</v>
      </c>
      <c r="Z44" s="23" t="s">
        <v>375</v>
      </c>
      <c r="AA44" s="1"/>
      <c r="AB44" s="1"/>
      <c r="AC44" s="1"/>
      <c r="AD44" t="s">
        <v>26</v>
      </c>
      <c r="AF44" s="5">
        <v>7.0000000000000007E-2</v>
      </c>
      <c r="AG44">
        <v>360</v>
      </c>
      <c r="AH44" t="s">
        <v>27</v>
      </c>
    </row>
    <row r="45" spans="1:34">
      <c r="A45" t="s">
        <v>334</v>
      </c>
      <c r="B45" t="s">
        <v>343</v>
      </c>
      <c r="C45">
        <v>1</v>
      </c>
      <c r="D45" t="s">
        <v>20</v>
      </c>
      <c r="E45" t="s">
        <v>372</v>
      </c>
      <c r="F45">
        <v>44</v>
      </c>
      <c r="G45" t="s">
        <v>102</v>
      </c>
      <c r="H45" s="2">
        <v>44210</v>
      </c>
      <c r="I45" s="36">
        <v>49663</v>
      </c>
      <c r="J45" s="2">
        <v>44940</v>
      </c>
      <c r="K45" s="2">
        <v>45275</v>
      </c>
      <c r="L45" s="2" t="s">
        <v>316</v>
      </c>
      <c r="M45" s="2"/>
      <c r="O45" t="s">
        <v>236</v>
      </c>
      <c r="P45" t="s">
        <v>30</v>
      </c>
      <c r="Q45" t="s">
        <v>23</v>
      </c>
      <c r="R45" t="s">
        <v>24</v>
      </c>
      <c r="S45" t="s">
        <v>371</v>
      </c>
      <c r="T45" t="s">
        <v>61</v>
      </c>
      <c r="U45" s="27">
        <v>1</v>
      </c>
      <c r="V45" s="27"/>
      <c r="W45" s="4">
        <v>12951016</v>
      </c>
      <c r="X45" s="1">
        <f t="shared" si="3"/>
        <v>12951016</v>
      </c>
      <c r="Y45" s="23">
        <v>1384871</v>
      </c>
      <c r="Z45" s="23"/>
      <c r="AA45" s="1"/>
      <c r="AB45" s="1"/>
      <c r="AC45" s="1"/>
      <c r="AD45" t="s">
        <v>26</v>
      </c>
      <c r="AF45" s="5">
        <v>0.1734</v>
      </c>
      <c r="AG45">
        <v>360</v>
      </c>
      <c r="AH45" t="s">
        <v>27</v>
      </c>
    </row>
    <row r="46" spans="1:34" hidden="1">
      <c r="A46" t="s">
        <v>96</v>
      </c>
      <c r="B46" t="s">
        <v>344</v>
      </c>
      <c r="C46">
        <v>1</v>
      </c>
      <c r="D46" t="s">
        <v>20</v>
      </c>
      <c r="E46" t="s">
        <v>64</v>
      </c>
      <c r="F46">
        <v>45</v>
      </c>
      <c r="G46" t="s">
        <v>102</v>
      </c>
      <c r="H46" s="2">
        <v>44469</v>
      </c>
      <c r="I46" s="2">
        <v>48080</v>
      </c>
      <c r="L46" s="2" t="s">
        <v>316</v>
      </c>
      <c r="M46" s="2"/>
      <c r="N46" t="s">
        <v>124</v>
      </c>
      <c r="O46" t="s">
        <v>236</v>
      </c>
      <c r="P46" t="s">
        <v>22</v>
      </c>
      <c r="Q46" t="s">
        <v>23</v>
      </c>
      <c r="R46" t="s">
        <v>65</v>
      </c>
      <c r="T46" t="s">
        <v>25</v>
      </c>
      <c r="U46" s="27">
        <v>1</v>
      </c>
      <c r="V46" s="27">
        <v>0</v>
      </c>
      <c r="W46" s="4">
        <v>20000000</v>
      </c>
      <c r="X46" s="4">
        <v>20000000</v>
      </c>
      <c r="Y46" s="23">
        <v>20000000</v>
      </c>
      <c r="Z46" s="23"/>
      <c r="AA46" s="1">
        <v>2039779.2</v>
      </c>
      <c r="AB46" s="1">
        <v>6290.3</v>
      </c>
      <c r="AC46" s="1"/>
      <c r="AD46" t="s">
        <v>26</v>
      </c>
      <c r="AF46" s="5">
        <v>9.5000000000000001E-2</v>
      </c>
      <c r="AG46">
        <v>360</v>
      </c>
      <c r="AH46" t="s">
        <v>27</v>
      </c>
    </row>
    <row r="47" spans="1:34" hidden="1">
      <c r="A47" t="s">
        <v>331</v>
      </c>
      <c r="B47" t="s">
        <v>344</v>
      </c>
      <c r="C47">
        <v>1</v>
      </c>
      <c r="D47" t="s">
        <v>20</v>
      </c>
      <c r="E47" t="s">
        <v>66</v>
      </c>
      <c r="F47">
        <v>46</v>
      </c>
      <c r="H47" s="2">
        <v>44739</v>
      </c>
      <c r="I47" s="2">
        <v>48908</v>
      </c>
      <c r="L47" s="2" t="s">
        <v>316</v>
      </c>
      <c r="M47" s="2"/>
      <c r="N47" t="s">
        <v>125</v>
      </c>
      <c r="O47" t="s">
        <v>235</v>
      </c>
      <c r="P47" t="s">
        <v>38</v>
      </c>
      <c r="Q47" t="s">
        <v>23</v>
      </c>
      <c r="R47" t="s">
        <v>49</v>
      </c>
      <c r="T47" t="s">
        <v>50</v>
      </c>
      <c r="U47" s="27">
        <v>1</v>
      </c>
      <c r="V47" s="27">
        <v>0</v>
      </c>
      <c r="W47" s="4">
        <v>100000000</v>
      </c>
      <c r="X47" s="4">
        <v>100000000</v>
      </c>
      <c r="Y47" s="23">
        <v>24317016</v>
      </c>
      <c r="Z47" s="23"/>
      <c r="AA47" s="1">
        <v>32474628.09</v>
      </c>
      <c r="AB47" s="1">
        <v>0</v>
      </c>
      <c r="AC47" s="1"/>
      <c r="AD47" t="s">
        <v>26</v>
      </c>
      <c r="AF47" s="5">
        <v>9.5000000000000001E-2</v>
      </c>
      <c r="AG47">
        <v>360</v>
      </c>
      <c r="AH47" t="s">
        <v>27</v>
      </c>
    </row>
    <row r="48" spans="1:34" hidden="1">
      <c r="A48" t="s">
        <v>94</v>
      </c>
      <c r="B48" t="s">
        <v>344</v>
      </c>
      <c r="C48">
        <v>1</v>
      </c>
      <c r="D48" t="s">
        <v>55</v>
      </c>
      <c r="E48" t="s">
        <v>67</v>
      </c>
      <c r="F48">
        <v>47</v>
      </c>
      <c r="H48" s="2">
        <v>45041</v>
      </c>
      <c r="I48" s="2">
        <v>46137</v>
      </c>
      <c r="L48" s="2" t="s">
        <v>317</v>
      </c>
      <c r="M48" s="2"/>
      <c r="N48" t="s">
        <v>126</v>
      </c>
      <c r="O48" t="s">
        <v>235</v>
      </c>
      <c r="P48" t="s">
        <v>57</v>
      </c>
      <c r="Q48" t="s">
        <v>23</v>
      </c>
      <c r="R48" t="s">
        <v>49</v>
      </c>
      <c r="T48" t="s">
        <v>58</v>
      </c>
      <c r="U48" s="27">
        <v>1</v>
      </c>
      <c r="V48" s="27">
        <v>0</v>
      </c>
      <c r="W48" s="4">
        <v>15000000</v>
      </c>
      <c r="X48" s="4">
        <v>15000000</v>
      </c>
      <c r="Y48" s="23">
        <v>14745477</v>
      </c>
      <c r="Z48" s="23"/>
      <c r="AA48" s="1">
        <v>12615533.1</v>
      </c>
      <c r="AB48" s="1">
        <v>0</v>
      </c>
      <c r="AC48" s="1"/>
      <c r="AD48" t="s">
        <v>26</v>
      </c>
      <c r="AF48" s="5">
        <v>8.5000000000000006E-2</v>
      </c>
      <c r="AG48">
        <v>360</v>
      </c>
      <c r="AH48" t="s">
        <v>27</v>
      </c>
    </row>
    <row r="49" spans="1:34" hidden="1">
      <c r="A49" t="s">
        <v>95</v>
      </c>
      <c r="B49" t="s">
        <v>344</v>
      </c>
      <c r="C49">
        <v>1</v>
      </c>
      <c r="D49" t="s">
        <v>20</v>
      </c>
      <c r="E49" t="s">
        <v>68</v>
      </c>
      <c r="F49">
        <v>48</v>
      </c>
      <c r="H49" s="2">
        <v>45267</v>
      </c>
      <c r="I49" s="2">
        <v>50729</v>
      </c>
      <c r="L49" s="2" t="s">
        <v>317</v>
      </c>
      <c r="M49" s="2"/>
      <c r="N49" t="s">
        <v>127</v>
      </c>
      <c r="O49" t="s">
        <v>235</v>
      </c>
      <c r="P49" t="s">
        <v>30</v>
      </c>
      <c r="Q49" t="s">
        <v>23</v>
      </c>
      <c r="R49" t="s">
        <v>49</v>
      </c>
      <c r="T49" t="s">
        <v>61</v>
      </c>
      <c r="U49" s="27">
        <v>1</v>
      </c>
      <c r="V49" s="27">
        <v>0</v>
      </c>
      <c r="W49" s="4">
        <v>102000000</v>
      </c>
      <c r="X49" s="4">
        <v>102000000</v>
      </c>
      <c r="Y49" s="23">
        <v>21250000</v>
      </c>
      <c r="Z49" s="23"/>
      <c r="AA49" s="1">
        <v>21250929.68</v>
      </c>
      <c r="AB49" s="1">
        <v>0</v>
      </c>
      <c r="AC49" s="1"/>
      <c r="AD49" t="s">
        <v>26</v>
      </c>
      <c r="AF49" s="3">
        <v>7.0000000000000007E-2</v>
      </c>
      <c r="AG49">
        <v>360</v>
      </c>
      <c r="AH49" t="s">
        <v>27</v>
      </c>
    </row>
    <row r="50" spans="1:34" hidden="1">
      <c r="A50" t="s">
        <v>95</v>
      </c>
      <c r="B50" t="s">
        <v>344</v>
      </c>
      <c r="C50">
        <v>1</v>
      </c>
      <c r="D50" t="s">
        <v>20</v>
      </c>
      <c r="E50" t="s">
        <v>69</v>
      </c>
      <c r="F50">
        <v>49</v>
      </c>
      <c r="H50" s="2">
        <v>45267</v>
      </c>
      <c r="I50" s="2">
        <v>50729</v>
      </c>
      <c r="L50" s="2" t="s">
        <v>317</v>
      </c>
      <c r="M50" s="2"/>
      <c r="N50" t="s">
        <v>128</v>
      </c>
      <c r="O50" t="s">
        <v>235</v>
      </c>
      <c r="P50" t="s">
        <v>30</v>
      </c>
      <c r="Q50" t="s">
        <v>23</v>
      </c>
      <c r="R50" t="s">
        <v>49</v>
      </c>
      <c r="T50" t="s">
        <v>61</v>
      </c>
      <c r="U50" s="27">
        <v>1</v>
      </c>
      <c r="V50" s="27">
        <v>0</v>
      </c>
      <c r="W50" s="4">
        <v>18000000</v>
      </c>
      <c r="X50" s="4">
        <v>18000000</v>
      </c>
      <c r="Y50" s="23">
        <v>5212225</v>
      </c>
      <c r="Z50" s="23"/>
      <c r="AA50" s="1">
        <v>4639316.4000000004</v>
      </c>
      <c r="AB50" s="1">
        <v>0</v>
      </c>
      <c r="AC50" s="1"/>
      <c r="AD50" t="s">
        <v>26</v>
      </c>
      <c r="AF50" s="3">
        <v>0.22</v>
      </c>
      <c r="AG50">
        <v>360</v>
      </c>
      <c r="AH50" t="s">
        <v>27</v>
      </c>
    </row>
    <row r="51" spans="1:34" hidden="1">
      <c r="A51" t="s">
        <v>107</v>
      </c>
      <c r="B51" t="s">
        <v>344</v>
      </c>
      <c r="C51">
        <v>2</v>
      </c>
      <c r="D51" t="s">
        <v>20</v>
      </c>
      <c r="E51" t="s">
        <v>70</v>
      </c>
      <c r="F51">
        <v>1</v>
      </c>
      <c r="H51" s="2">
        <v>45279</v>
      </c>
      <c r="I51" s="2">
        <v>50734</v>
      </c>
      <c r="L51" s="2" t="s">
        <v>317</v>
      </c>
      <c r="M51" s="2"/>
      <c r="N51" t="s">
        <v>129</v>
      </c>
      <c r="O51" t="s">
        <v>234</v>
      </c>
      <c r="P51" t="s">
        <v>71</v>
      </c>
      <c r="Q51" t="s">
        <v>23</v>
      </c>
      <c r="R51" t="s">
        <v>72</v>
      </c>
      <c r="T51" t="s">
        <v>61</v>
      </c>
      <c r="U51" s="27">
        <v>1</v>
      </c>
      <c r="V51" s="27"/>
      <c r="W51" s="4">
        <v>3853412</v>
      </c>
      <c r="X51" s="4">
        <v>3853412</v>
      </c>
      <c r="Y51" s="23">
        <v>3853412</v>
      </c>
      <c r="Z51" s="23"/>
      <c r="AA51" s="1">
        <v>3745267.14</v>
      </c>
      <c r="AB51" s="1">
        <v>7000</v>
      </c>
      <c r="AC51" s="1"/>
      <c r="AD51" t="s">
        <v>26</v>
      </c>
      <c r="AF51" s="5">
        <v>0.1193</v>
      </c>
      <c r="AG51">
        <v>252</v>
      </c>
      <c r="AH51" t="s">
        <v>27</v>
      </c>
    </row>
    <row r="52" spans="1:34" hidden="1">
      <c r="A52" t="s">
        <v>107</v>
      </c>
      <c r="B52" t="s">
        <v>344</v>
      </c>
      <c r="C52">
        <v>2</v>
      </c>
      <c r="D52" t="s">
        <v>20</v>
      </c>
      <c r="E52" t="s">
        <v>73</v>
      </c>
      <c r="F52">
        <v>2</v>
      </c>
      <c r="H52" s="2">
        <v>45279</v>
      </c>
      <c r="I52" s="2">
        <v>50734</v>
      </c>
      <c r="L52" s="2" t="s">
        <v>317</v>
      </c>
      <c r="M52" s="2"/>
      <c r="N52" t="s">
        <v>130</v>
      </c>
      <c r="O52" t="s">
        <v>234</v>
      </c>
      <c r="P52" t="s">
        <v>71</v>
      </c>
      <c r="Q52" t="s">
        <v>23</v>
      </c>
      <c r="R52" t="s">
        <v>72</v>
      </c>
      <c r="T52" t="s">
        <v>61</v>
      </c>
      <c r="U52" s="27">
        <v>1</v>
      </c>
      <c r="V52" s="27"/>
      <c r="W52" s="4">
        <v>3471185</v>
      </c>
      <c r="X52" s="4">
        <v>3471185</v>
      </c>
      <c r="Y52" s="23">
        <v>3471185</v>
      </c>
      <c r="Z52" s="23"/>
      <c r="AA52" s="1">
        <v>3323130.55</v>
      </c>
      <c r="AB52" s="1">
        <v>0</v>
      </c>
      <c r="AC52" s="1"/>
      <c r="AD52" t="s">
        <v>26</v>
      </c>
      <c r="AF52" s="5">
        <v>0.1193</v>
      </c>
      <c r="AG52">
        <v>252</v>
      </c>
      <c r="AH52" t="s">
        <v>27</v>
      </c>
    </row>
    <row r="53" spans="1:34" hidden="1">
      <c r="A53" t="s">
        <v>107</v>
      </c>
      <c r="B53" t="s">
        <v>344</v>
      </c>
      <c r="C53">
        <v>2</v>
      </c>
      <c r="D53" t="s">
        <v>20</v>
      </c>
      <c r="E53" t="s">
        <v>74</v>
      </c>
      <c r="F53">
        <v>3</v>
      </c>
      <c r="H53" s="2">
        <v>45279</v>
      </c>
      <c r="I53" s="2">
        <v>50734</v>
      </c>
      <c r="L53" s="2" t="s">
        <v>317</v>
      </c>
      <c r="M53" s="2"/>
      <c r="N53" t="s">
        <v>131</v>
      </c>
      <c r="O53" t="s">
        <v>234</v>
      </c>
      <c r="P53" t="s">
        <v>71</v>
      </c>
      <c r="Q53" t="s">
        <v>23</v>
      </c>
      <c r="R53" t="s">
        <v>72</v>
      </c>
      <c r="T53" t="s">
        <v>61</v>
      </c>
      <c r="U53" s="27">
        <v>1</v>
      </c>
      <c r="V53" s="27"/>
      <c r="W53" s="4">
        <v>3868594</v>
      </c>
      <c r="X53" s="4">
        <v>3868594</v>
      </c>
      <c r="Y53" s="23">
        <v>3868594</v>
      </c>
      <c r="Z53" s="23"/>
      <c r="AA53" s="1">
        <v>3683852.89</v>
      </c>
      <c r="AB53" s="1">
        <v>0</v>
      </c>
      <c r="AC53" s="1"/>
      <c r="AD53" t="s">
        <v>26</v>
      </c>
      <c r="AF53" s="5">
        <v>0.1193</v>
      </c>
      <c r="AG53">
        <v>252</v>
      </c>
      <c r="AH53" t="s">
        <v>27</v>
      </c>
    </row>
    <row r="54" spans="1:34" hidden="1">
      <c r="A54" t="s">
        <v>107</v>
      </c>
      <c r="B54" t="s">
        <v>344</v>
      </c>
      <c r="C54">
        <v>2</v>
      </c>
      <c r="D54" t="s">
        <v>20</v>
      </c>
      <c r="E54" t="s">
        <v>75</v>
      </c>
      <c r="F54">
        <v>4</v>
      </c>
      <c r="H54" s="2">
        <v>45279</v>
      </c>
      <c r="I54" s="2">
        <v>50734</v>
      </c>
      <c r="L54" s="2" t="s">
        <v>317</v>
      </c>
      <c r="M54" s="2"/>
      <c r="N54" t="s">
        <v>132</v>
      </c>
      <c r="O54" t="s">
        <v>234</v>
      </c>
      <c r="P54" t="s">
        <v>71</v>
      </c>
      <c r="Q54" t="s">
        <v>23</v>
      </c>
      <c r="R54" t="s">
        <v>72</v>
      </c>
      <c r="T54" t="s">
        <v>61</v>
      </c>
      <c r="U54" s="27">
        <v>1</v>
      </c>
      <c r="V54" s="27"/>
      <c r="W54" s="4">
        <v>4099594</v>
      </c>
      <c r="X54" s="4">
        <v>4099594</v>
      </c>
      <c r="Y54" s="23">
        <v>4099594</v>
      </c>
      <c r="Z54" s="23"/>
      <c r="AA54" s="1">
        <v>3866270.56</v>
      </c>
      <c r="AB54" s="1">
        <v>0</v>
      </c>
      <c r="AC54" s="1"/>
      <c r="AD54" t="s">
        <v>26</v>
      </c>
      <c r="AF54" s="5">
        <v>0.1193</v>
      </c>
      <c r="AG54">
        <v>252</v>
      </c>
      <c r="AH54" t="s">
        <v>27</v>
      </c>
    </row>
    <row r="55" spans="1:34" hidden="1">
      <c r="A55" t="s">
        <v>107</v>
      </c>
      <c r="B55" t="s">
        <v>344</v>
      </c>
      <c r="C55">
        <v>2</v>
      </c>
      <c r="D55" t="s">
        <v>20</v>
      </c>
      <c r="E55" t="s">
        <v>76</v>
      </c>
      <c r="F55">
        <v>5</v>
      </c>
      <c r="H55" s="2">
        <v>45279</v>
      </c>
      <c r="I55" s="2">
        <v>50734</v>
      </c>
      <c r="L55" s="2" t="s">
        <v>317</v>
      </c>
      <c r="M55" s="2"/>
      <c r="N55" t="s">
        <v>133</v>
      </c>
      <c r="O55" t="s">
        <v>234</v>
      </c>
      <c r="P55" t="s">
        <v>71</v>
      </c>
      <c r="Q55" t="s">
        <v>23</v>
      </c>
      <c r="R55" t="s">
        <v>72</v>
      </c>
      <c r="T55" t="s">
        <v>61</v>
      </c>
      <c r="U55" s="27">
        <v>1</v>
      </c>
      <c r="V55" s="27"/>
      <c r="W55" s="4">
        <v>3726870</v>
      </c>
      <c r="X55" s="4">
        <v>3726870</v>
      </c>
      <c r="Y55" s="23">
        <v>3726870</v>
      </c>
      <c r="Z55" s="23"/>
      <c r="AA55" s="1">
        <v>3304333.02</v>
      </c>
      <c r="AB55" s="1">
        <v>0</v>
      </c>
      <c r="AC55" s="1"/>
      <c r="AD55" t="s">
        <v>26</v>
      </c>
      <c r="AF55" s="5">
        <v>0.1193</v>
      </c>
      <c r="AG55">
        <v>252</v>
      </c>
      <c r="AH55" t="s">
        <v>27</v>
      </c>
    </row>
    <row r="56" spans="1:34" hidden="1">
      <c r="A56" t="s">
        <v>107</v>
      </c>
      <c r="B56" t="s">
        <v>344</v>
      </c>
      <c r="C56">
        <v>2</v>
      </c>
      <c r="D56" t="s">
        <v>20</v>
      </c>
      <c r="E56" t="s">
        <v>77</v>
      </c>
      <c r="F56">
        <v>6</v>
      </c>
      <c r="H56" s="2">
        <v>45279</v>
      </c>
      <c r="I56" s="2">
        <v>50734</v>
      </c>
      <c r="L56" s="2" t="s">
        <v>317</v>
      </c>
      <c r="M56" s="2"/>
      <c r="N56" t="s">
        <v>134</v>
      </c>
      <c r="O56" t="s">
        <v>234</v>
      </c>
      <c r="P56" t="s">
        <v>71</v>
      </c>
      <c r="Q56" t="s">
        <v>23</v>
      </c>
      <c r="R56" t="s">
        <v>72</v>
      </c>
      <c r="T56" t="s">
        <v>61</v>
      </c>
      <c r="U56" s="27">
        <v>1</v>
      </c>
      <c r="V56" s="27"/>
      <c r="W56" s="4">
        <v>3882659</v>
      </c>
      <c r="X56" s="4">
        <v>3882659</v>
      </c>
      <c r="Y56" s="23">
        <v>3882659</v>
      </c>
      <c r="Z56" s="23"/>
      <c r="AA56" s="1">
        <v>3562291.56</v>
      </c>
      <c r="AB56" s="1">
        <v>0</v>
      </c>
      <c r="AC56" s="1"/>
      <c r="AD56" t="s">
        <v>26</v>
      </c>
      <c r="AF56" s="5">
        <v>0.1193</v>
      </c>
      <c r="AG56">
        <v>252</v>
      </c>
      <c r="AH56" t="s">
        <v>27</v>
      </c>
    </row>
    <row r="57" spans="1:34" hidden="1">
      <c r="A57" t="s">
        <v>107</v>
      </c>
      <c r="B57" t="s">
        <v>344</v>
      </c>
      <c r="C57">
        <v>2</v>
      </c>
      <c r="D57" t="s">
        <v>20</v>
      </c>
      <c r="E57" t="s">
        <v>78</v>
      </c>
      <c r="F57">
        <v>7</v>
      </c>
      <c r="H57" s="2">
        <v>45401</v>
      </c>
      <c r="I57" s="2">
        <v>50854</v>
      </c>
      <c r="L57" s="2" t="s">
        <v>317</v>
      </c>
      <c r="M57" s="2"/>
      <c r="N57" t="s">
        <v>135</v>
      </c>
      <c r="O57" t="s">
        <v>234</v>
      </c>
      <c r="P57" t="s">
        <v>71</v>
      </c>
      <c r="Q57" t="s">
        <v>23</v>
      </c>
      <c r="R57" t="s">
        <v>72</v>
      </c>
      <c r="T57" t="s">
        <v>61</v>
      </c>
      <c r="U57" s="27">
        <v>1</v>
      </c>
      <c r="V57" s="27"/>
      <c r="W57" s="4">
        <v>4982038</v>
      </c>
      <c r="X57" s="4">
        <v>4982038</v>
      </c>
      <c r="Y57" s="23">
        <v>4982038</v>
      </c>
      <c r="Z57" s="23"/>
      <c r="AA57" s="1">
        <v>4816427.83</v>
      </c>
      <c r="AB57" s="1">
        <v>0</v>
      </c>
      <c r="AC57" s="1"/>
      <c r="AD57" t="s">
        <v>26</v>
      </c>
      <c r="AF57" s="5">
        <v>0.105</v>
      </c>
      <c r="AG57">
        <v>252</v>
      </c>
      <c r="AH57" t="s">
        <v>27</v>
      </c>
    </row>
    <row r="58" spans="1:34" hidden="1">
      <c r="A58" t="s">
        <v>107</v>
      </c>
      <c r="B58" t="s">
        <v>344</v>
      </c>
      <c r="C58">
        <v>2</v>
      </c>
      <c r="D58" t="s">
        <v>20</v>
      </c>
      <c r="E58" t="s">
        <v>79</v>
      </c>
      <c r="F58">
        <v>8</v>
      </c>
      <c r="H58" s="2">
        <v>45401</v>
      </c>
      <c r="I58" s="2">
        <v>50854</v>
      </c>
      <c r="L58" s="2" t="s">
        <v>317</v>
      </c>
      <c r="M58" s="2"/>
      <c r="N58" t="s">
        <v>136</v>
      </c>
      <c r="O58" t="s">
        <v>234</v>
      </c>
      <c r="P58" t="s">
        <v>71</v>
      </c>
      <c r="Q58" t="s">
        <v>23</v>
      </c>
      <c r="R58" t="s">
        <v>72</v>
      </c>
      <c r="T58" t="s">
        <v>61</v>
      </c>
      <c r="U58" s="27">
        <v>1</v>
      </c>
      <c r="V58" s="27"/>
      <c r="W58" s="4">
        <v>4727722</v>
      </c>
      <c r="X58" s="4">
        <v>4727722</v>
      </c>
      <c r="Y58" s="23">
        <v>4727722</v>
      </c>
      <c r="Z58" s="23"/>
      <c r="AA58" s="1">
        <v>4493116.6399999997</v>
      </c>
      <c r="AB58" s="1">
        <v>0</v>
      </c>
      <c r="AC58" s="1"/>
      <c r="AD58" t="s">
        <v>26</v>
      </c>
      <c r="AF58" s="5">
        <v>0.105</v>
      </c>
      <c r="AG58">
        <v>252</v>
      </c>
      <c r="AH58" t="s">
        <v>27</v>
      </c>
    </row>
    <row r="59" spans="1:34" hidden="1">
      <c r="A59" t="s">
        <v>107</v>
      </c>
      <c r="B59" t="s">
        <v>344</v>
      </c>
      <c r="C59">
        <v>2</v>
      </c>
      <c r="D59" t="s">
        <v>20</v>
      </c>
      <c r="E59" t="s">
        <v>80</v>
      </c>
      <c r="F59">
        <v>9</v>
      </c>
      <c r="H59" s="2">
        <v>45401</v>
      </c>
      <c r="I59" s="2">
        <v>50854</v>
      </c>
      <c r="L59" s="2" t="s">
        <v>317</v>
      </c>
      <c r="M59" s="2"/>
      <c r="N59" t="s">
        <v>137</v>
      </c>
      <c r="O59" t="s">
        <v>234</v>
      </c>
      <c r="P59" t="s">
        <v>71</v>
      </c>
      <c r="Q59" t="s">
        <v>23</v>
      </c>
      <c r="R59" t="s">
        <v>72</v>
      </c>
      <c r="T59" t="s">
        <v>61</v>
      </c>
      <c r="U59" s="27">
        <v>1</v>
      </c>
      <c r="V59" s="27"/>
      <c r="W59" s="4">
        <v>5460147</v>
      </c>
      <c r="X59" s="4">
        <v>5460147</v>
      </c>
      <c r="Y59" s="23">
        <v>5460147</v>
      </c>
      <c r="Z59" s="23"/>
      <c r="AA59" s="1">
        <v>5054523.2699999996</v>
      </c>
      <c r="AB59" s="1">
        <v>0</v>
      </c>
      <c r="AC59" s="1"/>
      <c r="AD59" t="s">
        <v>26</v>
      </c>
      <c r="AF59" s="5">
        <v>0.105</v>
      </c>
      <c r="AG59">
        <v>252</v>
      </c>
      <c r="AH59" t="s">
        <v>27</v>
      </c>
    </row>
    <row r="60" spans="1:34" hidden="1">
      <c r="A60" t="s">
        <v>107</v>
      </c>
      <c r="B60" t="s">
        <v>344</v>
      </c>
      <c r="C60">
        <v>2</v>
      </c>
      <c r="D60" t="s">
        <v>20</v>
      </c>
      <c r="E60" t="s">
        <v>81</v>
      </c>
      <c r="F60">
        <v>10</v>
      </c>
      <c r="H60" s="2">
        <v>45401</v>
      </c>
      <c r="I60" s="2">
        <v>50854</v>
      </c>
      <c r="L60" s="2" t="s">
        <v>317</v>
      </c>
      <c r="M60" s="2"/>
      <c r="N60" t="s">
        <v>138</v>
      </c>
      <c r="O60" t="s">
        <v>234</v>
      </c>
      <c r="P60" t="s">
        <v>71</v>
      </c>
      <c r="Q60" t="s">
        <v>23</v>
      </c>
      <c r="R60" t="s">
        <v>72</v>
      </c>
      <c r="T60" t="s">
        <v>61</v>
      </c>
      <c r="U60" s="27">
        <v>1</v>
      </c>
      <c r="V60" s="27"/>
      <c r="W60" s="4">
        <v>5297424</v>
      </c>
      <c r="X60" s="4">
        <v>5297424</v>
      </c>
      <c r="Y60" s="23">
        <v>5297424</v>
      </c>
      <c r="Z60" s="23"/>
      <c r="AA60" s="1">
        <v>4921596.08</v>
      </c>
      <c r="AB60" s="1">
        <v>0</v>
      </c>
      <c r="AC60" s="1"/>
      <c r="AD60" t="s">
        <v>26</v>
      </c>
      <c r="AF60" s="5">
        <v>0.105</v>
      </c>
      <c r="AG60">
        <v>252</v>
      </c>
      <c r="AH60" t="s">
        <v>27</v>
      </c>
    </row>
    <row r="61" spans="1:34" hidden="1">
      <c r="A61" t="s">
        <v>107</v>
      </c>
      <c r="B61" t="s">
        <v>344</v>
      </c>
      <c r="C61">
        <v>2</v>
      </c>
      <c r="D61" t="s">
        <v>20</v>
      </c>
      <c r="E61" t="s">
        <v>82</v>
      </c>
      <c r="F61">
        <v>11</v>
      </c>
      <c r="H61" s="2">
        <v>45401</v>
      </c>
      <c r="I61" s="2">
        <v>50854</v>
      </c>
      <c r="L61" s="2" t="s">
        <v>317</v>
      </c>
      <c r="M61" s="2"/>
      <c r="N61" t="s">
        <v>139</v>
      </c>
      <c r="O61" t="s">
        <v>234</v>
      </c>
      <c r="P61" t="s">
        <v>71</v>
      </c>
      <c r="Q61" t="s">
        <v>23</v>
      </c>
      <c r="R61" t="s">
        <v>72</v>
      </c>
      <c r="T61" t="s">
        <v>61</v>
      </c>
      <c r="U61" s="27">
        <v>1</v>
      </c>
      <c r="V61" s="27"/>
      <c r="W61" s="4">
        <v>5421143</v>
      </c>
      <c r="X61" s="4">
        <v>5421143</v>
      </c>
      <c r="Y61" s="23">
        <v>5421143</v>
      </c>
      <c r="Z61" s="23"/>
      <c r="AA61" s="1">
        <v>5212901.5999999996</v>
      </c>
      <c r="AB61" s="1">
        <v>0</v>
      </c>
      <c r="AC61" s="1"/>
      <c r="AD61" t="s">
        <v>26</v>
      </c>
      <c r="AF61" s="5">
        <v>0.105</v>
      </c>
      <c r="AG61">
        <v>252</v>
      </c>
      <c r="AH61" t="s">
        <v>27</v>
      </c>
    </row>
    <row r="62" spans="1:34" hidden="1">
      <c r="A62" t="s">
        <v>107</v>
      </c>
      <c r="B62" t="s">
        <v>344</v>
      </c>
      <c r="C62">
        <v>2</v>
      </c>
      <c r="D62" t="s">
        <v>20</v>
      </c>
      <c r="E62" t="s">
        <v>83</v>
      </c>
      <c r="F62">
        <v>12</v>
      </c>
      <c r="H62" s="2">
        <v>45401</v>
      </c>
      <c r="I62" s="2">
        <v>50854</v>
      </c>
      <c r="L62" s="2" t="s">
        <v>317</v>
      </c>
      <c r="M62" s="2"/>
      <c r="N62" t="s">
        <v>140</v>
      </c>
      <c r="O62" t="s">
        <v>234</v>
      </c>
      <c r="P62" t="s">
        <v>71</v>
      </c>
      <c r="Q62" t="s">
        <v>23</v>
      </c>
      <c r="R62" t="s">
        <v>72</v>
      </c>
      <c r="T62" t="s">
        <v>61</v>
      </c>
      <c r="U62" s="27">
        <v>1</v>
      </c>
      <c r="V62" s="27"/>
      <c r="W62" s="4">
        <v>4118100</v>
      </c>
      <c r="X62" s="4">
        <v>4118100</v>
      </c>
      <c r="Y62" s="23">
        <v>4118100</v>
      </c>
      <c r="Z62" s="25"/>
      <c r="AA62" s="1">
        <v>3961698.84</v>
      </c>
      <c r="AB62" s="1">
        <v>0</v>
      </c>
      <c r="AC62" s="1"/>
      <c r="AD62" t="s">
        <v>26</v>
      </c>
      <c r="AF62" s="5">
        <v>0.105</v>
      </c>
      <c r="AG62">
        <v>252</v>
      </c>
      <c r="AH62" t="s">
        <v>27</v>
      </c>
    </row>
    <row r="63" spans="1:34" hidden="1">
      <c r="A63" t="s">
        <v>107</v>
      </c>
      <c r="B63" t="s">
        <v>344</v>
      </c>
      <c r="C63">
        <v>2</v>
      </c>
      <c r="D63" t="s">
        <v>20</v>
      </c>
      <c r="E63" t="s">
        <v>141</v>
      </c>
      <c r="F63">
        <v>13</v>
      </c>
      <c r="H63" s="2">
        <v>45519</v>
      </c>
      <c r="I63" s="2">
        <v>50885</v>
      </c>
      <c r="L63" s="2" t="s">
        <v>317</v>
      </c>
      <c r="M63" s="2"/>
      <c r="N63" t="s">
        <v>147</v>
      </c>
      <c r="O63" t="s">
        <v>234</v>
      </c>
      <c r="P63" t="s">
        <v>71</v>
      </c>
      <c r="Q63" t="s">
        <v>23</v>
      </c>
      <c r="R63" t="s">
        <v>72</v>
      </c>
      <c r="T63" t="s">
        <v>61</v>
      </c>
      <c r="U63" s="27">
        <v>1</v>
      </c>
      <c r="V63" s="27"/>
      <c r="W63" s="4">
        <v>5047048</v>
      </c>
      <c r="X63" s="4">
        <v>5047048</v>
      </c>
      <c r="Y63" s="23">
        <v>5047048</v>
      </c>
      <c r="Z63" s="4"/>
      <c r="AA63" s="1"/>
      <c r="AB63" s="1"/>
      <c r="AC63" s="1"/>
      <c r="AD63" t="s">
        <v>26</v>
      </c>
      <c r="AF63" s="5">
        <v>0.105</v>
      </c>
      <c r="AG63">
        <v>253</v>
      </c>
      <c r="AH63" t="s">
        <v>27</v>
      </c>
    </row>
    <row r="64" spans="1:34" hidden="1">
      <c r="A64" t="s">
        <v>107</v>
      </c>
      <c r="B64" t="s">
        <v>344</v>
      </c>
      <c r="C64">
        <v>2</v>
      </c>
      <c r="D64" t="s">
        <v>20</v>
      </c>
      <c r="E64" t="s">
        <v>142</v>
      </c>
      <c r="F64">
        <v>14</v>
      </c>
      <c r="H64" s="2">
        <v>45519</v>
      </c>
      <c r="I64" s="2">
        <v>50885</v>
      </c>
      <c r="L64" s="2" t="s">
        <v>317</v>
      </c>
      <c r="M64" s="2"/>
      <c r="N64" t="s">
        <v>148</v>
      </c>
      <c r="O64" t="s">
        <v>234</v>
      </c>
      <c r="P64" t="s">
        <v>71</v>
      </c>
      <c r="Q64" t="s">
        <v>23</v>
      </c>
      <c r="R64" t="s">
        <v>72</v>
      </c>
      <c r="T64" t="s">
        <v>61</v>
      </c>
      <c r="U64" s="27">
        <v>1</v>
      </c>
      <c r="V64" s="27"/>
      <c r="W64" s="4">
        <v>6006205</v>
      </c>
      <c r="X64" s="4">
        <v>6006205</v>
      </c>
      <c r="Y64" s="23">
        <v>5818686</v>
      </c>
      <c r="Z64" s="4" t="s">
        <v>117</v>
      </c>
      <c r="AA64" s="1"/>
      <c r="AB64" s="1"/>
      <c r="AC64" s="1"/>
      <c r="AD64" t="s">
        <v>26</v>
      </c>
      <c r="AF64" s="5">
        <v>0.105</v>
      </c>
      <c r="AG64">
        <v>254</v>
      </c>
      <c r="AH64" t="s">
        <v>27</v>
      </c>
    </row>
    <row r="65" spans="1:34" hidden="1">
      <c r="A65" t="s">
        <v>107</v>
      </c>
      <c r="B65" t="s">
        <v>344</v>
      </c>
      <c r="C65">
        <v>2</v>
      </c>
      <c r="D65" t="s">
        <v>20</v>
      </c>
      <c r="E65" t="s">
        <v>143</v>
      </c>
      <c r="F65">
        <v>15</v>
      </c>
      <c r="H65" s="2">
        <v>45681</v>
      </c>
      <c r="I65" s="2">
        <v>51007</v>
      </c>
      <c r="L65" s="2" t="s">
        <v>317</v>
      </c>
      <c r="M65" s="2"/>
      <c r="N65" t="s">
        <v>149</v>
      </c>
      <c r="O65" t="s">
        <v>234</v>
      </c>
      <c r="P65" t="s">
        <v>71</v>
      </c>
      <c r="Q65" t="s">
        <v>23</v>
      </c>
      <c r="R65" t="s">
        <v>72</v>
      </c>
      <c r="T65" t="s">
        <v>61</v>
      </c>
      <c r="U65" s="27">
        <v>1</v>
      </c>
      <c r="V65" s="27"/>
      <c r="W65" s="4">
        <v>5006524</v>
      </c>
      <c r="X65" s="4">
        <v>5006524</v>
      </c>
      <c r="Y65" s="23">
        <v>5006524</v>
      </c>
      <c r="Z65" s="4"/>
      <c r="AA65" s="1"/>
      <c r="AB65" s="1"/>
      <c r="AC65" s="1"/>
      <c r="AD65" t="s">
        <v>26</v>
      </c>
      <c r="AF65" s="5">
        <v>0.12</v>
      </c>
      <c r="AG65">
        <v>255</v>
      </c>
      <c r="AH65" t="s">
        <v>27</v>
      </c>
    </row>
    <row r="66" spans="1:34" hidden="1">
      <c r="A66" t="s">
        <v>107</v>
      </c>
      <c r="B66" t="s">
        <v>344</v>
      </c>
      <c r="C66">
        <v>2</v>
      </c>
      <c r="D66" t="s">
        <v>20</v>
      </c>
      <c r="E66" t="s">
        <v>144</v>
      </c>
      <c r="F66">
        <v>16</v>
      </c>
      <c r="H66" s="2">
        <v>45681</v>
      </c>
      <c r="I66" s="2">
        <v>51007</v>
      </c>
      <c r="L66" s="2" t="s">
        <v>317</v>
      </c>
      <c r="M66" s="2"/>
      <c r="N66" t="s">
        <v>150</v>
      </c>
      <c r="O66" t="s">
        <v>234</v>
      </c>
      <c r="P66" t="s">
        <v>71</v>
      </c>
      <c r="Q66" t="s">
        <v>23</v>
      </c>
      <c r="R66" t="s">
        <v>72</v>
      </c>
      <c r="T66" t="s">
        <v>61</v>
      </c>
      <c r="U66" s="27">
        <v>1</v>
      </c>
      <c r="V66" s="27"/>
      <c r="W66" s="4">
        <v>4999991</v>
      </c>
      <c r="X66" s="4">
        <v>4999991</v>
      </c>
      <c r="Y66" s="23">
        <v>4999991</v>
      </c>
      <c r="Z66" s="4"/>
      <c r="AA66" s="1"/>
      <c r="AB66" s="1"/>
      <c r="AC66" s="1"/>
      <c r="AD66" t="s">
        <v>26</v>
      </c>
      <c r="AF66" s="5">
        <v>0.12</v>
      </c>
      <c r="AG66">
        <v>256</v>
      </c>
      <c r="AH66" t="s">
        <v>27</v>
      </c>
    </row>
    <row r="67" spans="1:34" hidden="1">
      <c r="A67" t="s">
        <v>107</v>
      </c>
      <c r="B67" t="s">
        <v>344</v>
      </c>
      <c r="C67">
        <v>2</v>
      </c>
      <c r="D67" t="s">
        <v>20</v>
      </c>
      <c r="E67" t="s">
        <v>145</v>
      </c>
      <c r="F67">
        <v>17</v>
      </c>
      <c r="H67" s="2">
        <v>45740</v>
      </c>
      <c r="I67" s="2">
        <v>50946</v>
      </c>
      <c r="L67" s="2" t="s">
        <v>317</v>
      </c>
      <c r="M67" s="2"/>
      <c r="N67" t="s">
        <v>151</v>
      </c>
      <c r="O67" t="s">
        <v>234</v>
      </c>
      <c r="P67" t="s">
        <v>71</v>
      </c>
      <c r="Q67" t="s">
        <v>23</v>
      </c>
      <c r="R67" t="s">
        <v>72</v>
      </c>
      <c r="T67" t="s">
        <v>61</v>
      </c>
      <c r="U67" s="27">
        <v>1</v>
      </c>
      <c r="V67" s="27"/>
      <c r="W67" s="4">
        <v>5397603</v>
      </c>
      <c r="X67" s="4">
        <v>5397603</v>
      </c>
      <c r="Y67" s="23">
        <v>5397603</v>
      </c>
      <c r="Z67" s="4"/>
      <c r="AA67" s="1"/>
      <c r="AB67" s="1"/>
      <c r="AC67" s="1"/>
      <c r="AD67" t="s">
        <v>26</v>
      </c>
      <c r="AF67" s="5">
        <v>0.12</v>
      </c>
      <c r="AG67">
        <v>257</v>
      </c>
      <c r="AH67" t="s">
        <v>27</v>
      </c>
    </row>
    <row r="68" spans="1:34" hidden="1">
      <c r="A68" t="s">
        <v>107</v>
      </c>
      <c r="B68" t="s">
        <v>344</v>
      </c>
      <c r="C68">
        <v>2</v>
      </c>
      <c r="D68" t="s">
        <v>20</v>
      </c>
      <c r="E68" t="s">
        <v>146</v>
      </c>
      <c r="F68">
        <v>18</v>
      </c>
      <c r="H68" s="2">
        <v>45740</v>
      </c>
      <c r="I68" s="2">
        <v>50764</v>
      </c>
      <c r="L68" s="2" t="s">
        <v>317</v>
      </c>
      <c r="M68" s="2"/>
      <c r="N68" t="s">
        <v>152</v>
      </c>
      <c r="O68" t="s">
        <v>234</v>
      </c>
      <c r="P68" t="s">
        <v>71</v>
      </c>
      <c r="Q68" t="s">
        <v>23</v>
      </c>
      <c r="R68" t="s">
        <v>72</v>
      </c>
      <c r="T68" t="s">
        <v>61</v>
      </c>
      <c r="U68" s="27">
        <v>1</v>
      </c>
      <c r="V68" s="27"/>
      <c r="W68" s="4">
        <v>5286002</v>
      </c>
      <c r="X68" s="4">
        <v>5286002</v>
      </c>
      <c r="Y68" s="23">
        <v>5286002</v>
      </c>
      <c r="Z68" s="4"/>
      <c r="AA68" s="1"/>
      <c r="AB68" s="1"/>
      <c r="AC68" s="1"/>
      <c r="AD68" t="s">
        <v>26</v>
      </c>
      <c r="AF68" s="5">
        <v>0.12</v>
      </c>
      <c r="AG68">
        <v>258</v>
      </c>
      <c r="AH68" t="s">
        <v>27</v>
      </c>
    </row>
    <row r="69" spans="1:34">
      <c r="X69" s="23">
        <f>SUM(X2:X68)</f>
        <v>1191155855.9183338</v>
      </c>
      <c r="Y69" s="23">
        <f>SUM(Y5:Y68)</f>
        <v>549159245</v>
      </c>
      <c r="AA69" s="9">
        <f>SUBTOTAL(9,AA5:AA62)</f>
        <v>0</v>
      </c>
      <c r="AB69" s="9">
        <f t="shared" ref="AB69:AC69" si="4">SUBTOTAL(9,AB5:AB62)</f>
        <v>0</v>
      </c>
      <c r="AC69" s="9">
        <f t="shared" si="4"/>
        <v>0</v>
      </c>
    </row>
    <row r="70" spans="1:34" ht="16.2" thickBot="1"/>
    <row r="71" spans="1:34" ht="16.2" thickBot="1">
      <c r="AA71" s="20" t="s">
        <v>105</v>
      </c>
      <c r="AB71" s="21">
        <f>SUM(AB69:AC69)</f>
        <v>0</v>
      </c>
    </row>
    <row r="73" spans="1:34">
      <c r="AA73" t="s">
        <v>106</v>
      </c>
    </row>
  </sheetData>
  <autoFilter ref="A1:AH68" xr:uid="{00000000-0001-0000-0000-000000000000}">
    <filterColumn colId="1">
      <filters>
        <filter val="Resgatada Antecipadamente"/>
      </filters>
    </filterColumn>
  </autoFilter>
  <pageMargins left="0.78740157499999996" right="0.78740157499999996" top="0.984251969" bottom="0.984251969" header="0.4921259845" footer="0.492125984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C38B-5BCF-E14D-953B-D568DD83ECDB}">
  <dimension ref="B2:F33"/>
  <sheetViews>
    <sheetView workbookViewId="0">
      <selection activeCell="D11" sqref="D11"/>
    </sheetView>
  </sheetViews>
  <sheetFormatPr defaultColWidth="11" defaultRowHeight="15.6"/>
  <cols>
    <col min="2" max="2" width="32.19921875" bestFit="1" customWidth="1"/>
    <col min="3" max="3" width="45" bestFit="1" customWidth="1"/>
    <col min="4" max="4" width="48.19921875" bestFit="1" customWidth="1"/>
    <col min="5" max="5" width="17.69921875" bestFit="1" customWidth="1"/>
    <col min="6" max="6" width="45.796875" bestFit="1" customWidth="1"/>
  </cols>
  <sheetData>
    <row r="2" spans="2:6" ht="21">
      <c r="B2" s="28" t="s">
        <v>243</v>
      </c>
      <c r="C2" s="28" t="s">
        <v>156</v>
      </c>
      <c r="D2" s="28" t="s">
        <v>244</v>
      </c>
      <c r="E2" s="28" t="s">
        <v>245</v>
      </c>
      <c r="F2" s="28" t="s">
        <v>246</v>
      </c>
    </row>
    <row r="3" spans="2:6" ht="21">
      <c r="B3" s="28" t="s">
        <v>247</v>
      </c>
      <c r="C3" s="29" t="s">
        <v>248</v>
      </c>
      <c r="D3" s="29" t="s">
        <v>249</v>
      </c>
      <c r="E3" s="29" t="s">
        <v>250</v>
      </c>
      <c r="F3" s="29" t="s">
        <v>251</v>
      </c>
    </row>
    <row r="4" spans="2:6" ht="20.399999999999999">
      <c r="B4" s="29"/>
      <c r="C4" s="29" t="s">
        <v>252</v>
      </c>
      <c r="D4" s="29" t="s">
        <v>249</v>
      </c>
      <c r="E4" s="29" t="s">
        <v>253</v>
      </c>
      <c r="F4" s="29" t="s">
        <v>254</v>
      </c>
    </row>
    <row r="5" spans="2:6" ht="20.399999999999999">
      <c r="B5" s="29"/>
      <c r="C5" s="29" t="s">
        <v>255</v>
      </c>
      <c r="D5" s="29" t="s">
        <v>256</v>
      </c>
      <c r="E5" s="29" t="s">
        <v>250</v>
      </c>
      <c r="F5" s="29" t="s">
        <v>257</v>
      </c>
    </row>
    <row r="6" spans="2:6" ht="20.399999999999999">
      <c r="B6" s="29"/>
      <c r="C6" s="29" t="s">
        <v>258</v>
      </c>
      <c r="D6" s="29" t="s">
        <v>249</v>
      </c>
      <c r="E6" s="29" t="s">
        <v>259</v>
      </c>
      <c r="F6" s="32">
        <v>123456789112</v>
      </c>
    </row>
    <row r="7" spans="2:6" ht="20.399999999999999">
      <c r="B7" s="29"/>
      <c r="C7" s="29" t="s">
        <v>260</v>
      </c>
      <c r="D7" s="29" t="s">
        <v>249</v>
      </c>
      <c r="E7" s="29" t="s">
        <v>259</v>
      </c>
      <c r="F7" s="29">
        <v>987654</v>
      </c>
    </row>
    <row r="8" spans="2:6" ht="20.399999999999999">
      <c r="B8" s="29"/>
      <c r="C8" s="29" t="s">
        <v>261</v>
      </c>
      <c r="D8" s="29" t="s">
        <v>223</v>
      </c>
      <c r="E8" s="29" t="s">
        <v>250</v>
      </c>
      <c r="F8" s="33">
        <v>40252</v>
      </c>
    </row>
    <row r="9" spans="2:6" ht="20.399999999999999">
      <c r="B9" s="29"/>
      <c r="C9" s="29" t="s">
        <v>262</v>
      </c>
      <c r="D9" s="29" t="s">
        <v>263</v>
      </c>
      <c r="E9" s="29" t="s">
        <v>250</v>
      </c>
      <c r="F9" s="29" t="s">
        <v>264</v>
      </c>
    </row>
    <row r="10" spans="2:6" ht="21">
      <c r="B10" s="28" t="s">
        <v>265</v>
      </c>
      <c r="C10" s="29" t="s">
        <v>266</v>
      </c>
      <c r="D10" s="29" t="s">
        <v>267</v>
      </c>
      <c r="E10" s="29" t="s">
        <v>250</v>
      </c>
      <c r="F10" s="29" t="s">
        <v>268</v>
      </c>
    </row>
    <row r="11" spans="2:6" ht="20.399999999999999">
      <c r="B11" s="29"/>
      <c r="C11" s="29" t="s">
        <v>269</v>
      </c>
      <c r="D11" s="29" t="s">
        <v>270</v>
      </c>
      <c r="E11" s="29" t="s">
        <v>250</v>
      </c>
      <c r="F11" s="29" t="s">
        <v>250</v>
      </c>
    </row>
    <row r="12" spans="2:6" ht="20.399999999999999">
      <c r="B12" s="29"/>
      <c r="C12" s="29" t="s">
        <v>271</v>
      </c>
      <c r="D12" s="29" t="s">
        <v>270</v>
      </c>
      <c r="E12" s="29" t="s">
        <v>250</v>
      </c>
      <c r="F12" s="29" t="s">
        <v>253</v>
      </c>
    </row>
    <row r="13" spans="2:6" ht="20.399999999999999">
      <c r="B13" s="29"/>
      <c r="C13" s="29" t="s">
        <v>272</v>
      </c>
      <c r="D13" s="29" t="s">
        <v>270</v>
      </c>
      <c r="E13" s="29" t="s">
        <v>253</v>
      </c>
      <c r="F13" s="29" t="s">
        <v>250</v>
      </c>
    </row>
    <row r="14" spans="2:6" ht="21">
      <c r="B14" s="28" t="s">
        <v>176</v>
      </c>
      <c r="C14" s="29" t="s">
        <v>273</v>
      </c>
      <c r="D14" s="29" t="s">
        <v>249</v>
      </c>
      <c r="E14" s="29" t="s">
        <v>250</v>
      </c>
      <c r="F14" s="29" t="s">
        <v>274</v>
      </c>
    </row>
    <row r="15" spans="2:6" ht="20.399999999999999">
      <c r="B15" s="29"/>
      <c r="C15" s="29" t="s">
        <v>177</v>
      </c>
      <c r="D15" s="29" t="s">
        <v>275</v>
      </c>
      <c r="E15" s="29" t="s">
        <v>250</v>
      </c>
      <c r="F15" s="29">
        <v>1500</v>
      </c>
    </row>
    <row r="16" spans="2:6" ht="20.399999999999999">
      <c r="B16" s="29"/>
      <c r="C16" s="29" t="s">
        <v>178</v>
      </c>
      <c r="D16" s="29" t="s">
        <v>249</v>
      </c>
      <c r="E16" s="29" t="s">
        <v>253</v>
      </c>
      <c r="F16" s="29" t="s">
        <v>276</v>
      </c>
    </row>
    <row r="17" spans="2:6" ht="20.399999999999999">
      <c r="B17" s="29"/>
      <c r="C17" s="29" t="s">
        <v>179</v>
      </c>
      <c r="D17" s="29" t="s">
        <v>249</v>
      </c>
      <c r="E17" s="29" t="s">
        <v>250</v>
      </c>
      <c r="F17" s="29" t="s">
        <v>277</v>
      </c>
    </row>
    <row r="18" spans="2:6" ht="20.399999999999999">
      <c r="B18" s="29"/>
      <c r="C18" s="29" t="s">
        <v>180</v>
      </c>
      <c r="D18" s="29" t="s">
        <v>249</v>
      </c>
      <c r="E18" s="29" t="s">
        <v>250</v>
      </c>
      <c r="F18" s="29" t="s">
        <v>278</v>
      </c>
    </row>
    <row r="19" spans="2:6" ht="20.399999999999999">
      <c r="B19" s="29"/>
      <c r="C19" s="29" t="s">
        <v>181</v>
      </c>
      <c r="D19" s="29" t="s">
        <v>279</v>
      </c>
      <c r="E19" s="29" t="s">
        <v>250</v>
      </c>
      <c r="F19" s="29" t="s">
        <v>280</v>
      </c>
    </row>
    <row r="20" spans="2:6" ht="20.399999999999999">
      <c r="B20" s="29"/>
      <c r="C20" s="29" t="s">
        <v>182</v>
      </c>
      <c r="D20" s="29" t="s">
        <v>281</v>
      </c>
      <c r="E20" s="29" t="s">
        <v>250</v>
      </c>
      <c r="F20" s="29" t="s">
        <v>282</v>
      </c>
    </row>
    <row r="21" spans="2:6" ht="21">
      <c r="B21" s="28" t="s">
        <v>283</v>
      </c>
      <c r="C21" s="29" t="s">
        <v>284</v>
      </c>
      <c r="D21" s="29" t="s">
        <v>249</v>
      </c>
      <c r="E21" s="29" t="s">
        <v>250</v>
      </c>
      <c r="F21" s="29" t="s">
        <v>285</v>
      </c>
    </row>
    <row r="22" spans="2:6" ht="20.399999999999999">
      <c r="B22" s="29"/>
      <c r="C22" s="29" t="s">
        <v>187</v>
      </c>
      <c r="D22" s="29" t="s">
        <v>187</v>
      </c>
      <c r="E22" s="29" t="s">
        <v>250</v>
      </c>
      <c r="F22" s="34" t="s">
        <v>286</v>
      </c>
    </row>
    <row r="23" spans="2:6" ht="20.399999999999999">
      <c r="B23" s="29"/>
      <c r="C23" s="29" t="s">
        <v>287</v>
      </c>
      <c r="D23" s="29" t="s">
        <v>249</v>
      </c>
      <c r="E23" s="29" t="s">
        <v>250</v>
      </c>
      <c r="F23" s="29" t="s">
        <v>288</v>
      </c>
    </row>
    <row r="24" spans="2:6" ht="20.399999999999999">
      <c r="B24" s="29"/>
      <c r="C24" s="29" t="s">
        <v>289</v>
      </c>
      <c r="D24" s="29" t="s">
        <v>249</v>
      </c>
      <c r="E24" s="29" t="s">
        <v>253</v>
      </c>
      <c r="F24" s="29" t="s">
        <v>290</v>
      </c>
    </row>
    <row r="25" spans="2:6" ht="21">
      <c r="B25" s="28" t="s">
        <v>194</v>
      </c>
      <c r="C25" s="29" t="s">
        <v>195</v>
      </c>
      <c r="D25" s="29" t="s">
        <v>249</v>
      </c>
      <c r="E25" s="29" t="s">
        <v>253</v>
      </c>
      <c r="F25" s="29" t="s">
        <v>291</v>
      </c>
    </row>
    <row r="26" spans="2:6" ht="20.399999999999999">
      <c r="B26" s="29"/>
      <c r="C26" s="29" t="s">
        <v>196</v>
      </c>
      <c r="D26" s="29" t="s">
        <v>177</v>
      </c>
      <c r="E26" s="29" t="s">
        <v>253</v>
      </c>
      <c r="F26" s="29">
        <v>1234</v>
      </c>
    </row>
    <row r="27" spans="2:6" ht="20.399999999999999">
      <c r="B27" s="29"/>
      <c r="C27" s="29" t="s">
        <v>292</v>
      </c>
      <c r="D27" s="29" t="s">
        <v>293</v>
      </c>
      <c r="E27" s="29" t="s">
        <v>253</v>
      </c>
      <c r="F27" s="29" t="s">
        <v>294</v>
      </c>
    </row>
    <row r="28" spans="2:6" ht="20.399999999999999">
      <c r="B28" s="29"/>
      <c r="C28" s="29" t="s">
        <v>295</v>
      </c>
      <c r="D28" s="29" t="s">
        <v>296</v>
      </c>
      <c r="E28" s="29" t="s">
        <v>253</v>
      </c>
      <c r="F28" s="29" t="s">
        <v>297</v>
      </c>
    </row>
    <row r="29" spans="2:6" ht="20.399999999999999">
      <c r="B29" s="29"/>
      <c r="C29" s="29" t="s">
        <v>298</v>
      </c>
      <c r="D29" s="29" t="s">
        <v>249</v>
      </c>
      <c r="E29" s="29" t="s">
        <v>253</v>
      </c>
      <c r="F29" s="29" t="s">
        <v>299</v>
      </c>
    </row>
    <row r="30" spans="2:6" ht="21">
      <c r="B30" s="28" t="s">
        <v>300</v>
      </c>
      <c r="C30" s="29" t="s">
        <v>301</v>
      </c>
      <c r="D30" s="29" t="s">
        <v>249</v>
      </c>
      <c r="E30" s="29" t="s">
        <v>253</v>
      </c>
      <c r="F30" s="29" t="s">
        <v>302</v>
      </c>
    </row>
    <row r="31" spans="2:6" ht="20.399999999999999">
      <c r="B31" s="29"/>
      <c r="C31" s="29" t="s">
        <v>303</v>
      </c>
      <c r="D31" s="29" t="s">
        <v>249</v>
      </c>
      <c r="E31" s="29" t="s">
        <v>253</v>
      </c>
      <c r="F31" s="29" t="s">
        <v>304</v>
      </c>
    </row>
    <row r="32" spans="2:6" ht="20.399999999999999">
      <c r="B32" s="29"/>
      <c r="C32" s="29" t="s">
        <v>305</v>
      </c>
      <c r="D32" s="29" t="s">
        <v>249</v>
      </c>
      <c r="E32" s="29" t="s">
        <v>253</v>
      </c>
      <c r="F32" s="29" t="s">
        <v>306</v>
      </c>
    </row>
    <row r="33" spans="2:6" ht="20.399999999999999">
      <c r="B33" s="29"/>
      <c r="C33" s="29" t="s">
        <v>221</v>
      </c>
      <c r="D33" s="29" t="s">
        <v>307</v>
      </c>
      <c r="E33" s="29" t="s">
        <v>253</v>
      </c>
      <c r="F33" s="29" t="s">
        <v>308</v>
      </c>
    </row>
  </sheetData>
  <hyperlinks>
    <hyperlink ref="F22" r:id="rId1" display="https://mailto:contato@xyz.com.br/" xr:uid="{FD9E0487-C9C5-E84A-B1CA-D9951E1441D2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702E-DED7-D742-8F91-8AD2B6CADF41}">
  <dimension ref="A2:CG86"/>
  <sheetViews>
    <sheetView workbookViewId="0">
      <selection activeCell="CB36" sqref="CB36"/>
    </sheetView>
  </sheetViews>
  <sheetFormatPr defaultColWidth="23.69921875" defaultRowHeight="15.6"/>
  <cols>
    <col min="1" max="1" width="23.296875" bestFit="1" customWidth="1"/>
    <col min="2" max="2" width="22.19921875" bestFit="1" customWidth="1"/>
    <col min="3" max="3" width="6.69921875" bestFit="1" customWidth="1"/>
    <col min="4" max="4" width="25" bestFit="1" customWidth="1"/>
    <col min="5" max="5" width="29.69921875" bestFit="1" customWidth="1"/>
    <col min="6" max="6" width="21.796875" bestFit="1" customWidth="1"/>
    <col min="7" max="7" width="19.296875" bestFit="1" customWidth="1"/>
    <col min="8" max="8" width="19" bestFit="1" customWidth="1"/>
    <col min="9" max="9" width="26.5" bestFit="1" customWidth="1"/>
    <col min="10" max="10" width="7.5" bestFit="1" customWidth="1"/>
    <col min="11" max="11" width="27.69921875" bestFit="1" customWidth="1"/>
    <col min="12" max="12" width="22" bestFit="1" customWidth="1"/>
    <col min="13" max="13" width="25.69921875" bestFit="1" customWidth="1"/>
    <col min="14" max="14" width="32.5" bestFit="1" customWidth="1"/>
    <col min="15" max="15" width="5.69921875" bestFit="1" customWidth="1"/>
    <col min="16" max="16" width="17.19921875" bestFit="1" customWidth="1"/>
    <col min="17" max="17" width="18.5" bestFit="1" customWidth="1"/>
    <col min="18" max="18" width="15.796875" bestFit="1" customWidth="1"/>
    <col min="19" max="19" width="23.5" bestFit="1" customWidth="1"/>
    <col min="20" max="20" width="12.796875" bestFit="1" customWidth="1"/>
    <col min="21" max="21" width="11" bestFit="1" customWidth="1"/>
    <col min="22" max="22" width="18.796875" bestFit="1" customWidth="1"/>
    <col min="23" max="23" width="8.69921875" bestFit="1" customWidth="1"/>
    <col min="24" max="24" width="10.19921875" bestFit="1" customWidth="1"/>
    <col min="25" max="25" width="5" bestFit="1" customWidth="1"/>
    <col min="26" max="26" width="6.796875" bestFit="1" customWidth="1"/>
    <col min="27" max="27" width="16.796875" bestFit="1" customWidth="1"/>
    <col min="28" max="28" width="8.796875" bestFit="1" customWidth="1"/>
    <col min="29" max="29" width="27.296875" bestFit="1" customWidth="1"/>
    <col min="30" max="30" width="10.19921875" bestFit="1" customWidth="1"/>
    <col min="31" max="31" width="9.296875" bestFit="1" customWidth="1"/>
    <col min="32" max="32" width="25.19921875" bestFit="1" customWidth="1"/>
    <col min="33" max="33" width="18.796875" bestFit="1" customWidth="1"/>
    <col min="34" max="34" width="29" bestFit="1" customWidth="1"/>
    <col min="35" max="35" width="26" bestFit="1" customWidth="1"/>
    <col min="36" max="36" width="11" bestFit="1" customWidth="1"/>
    <col min="37" max="37" width="18.796875" bestFit="1" customWidth="1"/>
    <col min="38" max="38" width="8.69921875" bestFit="1" customWidth="1"/>
    <col min="39" max="39" width="10.19921875" bestFit="1" customWidth="1"/>
    <col min="40" max="40" width="5" bestFit="1" customWidth="1"/>
    <col min="41" max="41" width="6.796875" bestFit="1" customWidth="1"/>
    <col min="42" max="42" width="16.796875" bestFit="1" customWidth="1"/>
    <col min="43" max="43" width="8.796875" bestFit="1" customWidth="1"/>
    <col min="44" max="44" width="25.5" bestFit="1" customWidth="1"/>
    <col min="45" max="45" width="10.19921875" bestFit="1" customWidth="1"/>
    <col min="46" max="46" width="9.296875" bestFit="1" customWidth="1"/>
    <col min="47" max="47" width="40.69921875" bestFit="1" customWidth="1"/>
    <col min="48" max="48" width="9.296875" bestFit="1" customWidth="1"/>
    <col min="49" max="49" width="11.19921875" bestFit="1" customWidth="1"/>
    <col min="50" max="50" width="23" bestFit="1" customWidth="1"/>
    <col min="51" max="51" width="13.5" bestFit="1" customWidth="1"/>
    <col min="52" max="52" width="23.296875" bestFit="1" customWidth="1"/>
    <col min="53" max="53" width="25.19921875" bestFit="1" customWidth="1"/>
    <col min="54" max="54" width="25.69921875" bestFit="1" customWidth="1"/>
    <col min="55" max="55" width="10.19921875" bestFit="1" customWidth="1"/>
    <col min="56" max="56" width="5" bestFit="1" customWidth="1"/>
    <col min="57" max="57" width="7.69921875" bestFit="1" customWidth="1"/>
    <col min="58" max="58" width="23.796875" bestFit="1" customWidth="1"/>
    <col min="59" max="59" width="13.5" bestFit="1" customWidth="1"/>
    <col min="60" max="60" width="7.69921875" bestFit="1" customWidth="1"/>
    <col min="61" max="61" width="23.796875" bestFit="1" customWidth="1"/>
    <col min="62" max="62" width="13.5" bestFit="1" customWidth="1"/>
    <col min="63" max="63" width="7.69921875" bestFit="1" customWidth="1"/>
    <col min="64" max="64" width="24.19921875" bestFit="1" customWidth="1"/>
    <col min="65" max="65" width="26.5" bestFit="1" customWidth="1"/>
    <col min="66" max="66" width="29.796875" bestFit="1" customWidth="1"/>
    <col min="67" max="67" width="32.5" bestFit="1" customWidth="1"/>
    <col min="68" max="68" width="45.19921875" bestFit="1" customWidth="1"/>
    <col min="69" max="69" width="40.296875" bestFit="1" customWidth="1"/>
    <col min="70" max="70" width="47.796875" bestFit="1" customWidth="1"/>
    <col min="71" max="71" width="67.796875" bestFit="1" customWidth="1"/>
    <col min="72" max="72" width="99.796875" bestFit="1" customWidth="1"/>
    <col min="73" max="73" width="18.296875" bestFit="1" customWidth="1"/>
    <col min="74" max="74" width="48.19921875" bestFit="1" customWidth="1"/>
    <col min="75" max="75" width="25.796875" bestFit="1" customWidth="1"/>
    <col min="76" max="76" width="34.796875" bestFit="1" customWidth="1"/>
    <col min="77" max="77" width="32.69921875" bestFit="1" customWidth="1"/>
    <col min="78" max="78" width="45.796875" bestFit="1" customWidth="1"/>
    <col min="79" max="79" width="27.69921875" bestFit="1" customWidth="1"/>
    <col min="80" max="80" width="32.296875" bestFit="1" customWidth="1"/>
    <col min="81" max="81" width="49" bestFit="1" customWidth="1"/>
    <col min="82" max="82" width="34.69921875" bestFit="1" customWidth="1"/>
    <col min="83" max="83" width="34.19921875" bestFit="1" customWidth="1"/>
  </cols>
  <sheetData>
    <row r="2" spans="1:85">
      <c r="A2" t="s">
        <v>155</v>
      </c>
    </row>
    <row r="3" spans="1:85" s="30" customFormat="1">
      <c r="A3" s="31" t="s">
        <v>157</v>
      </c>
      <c r="B3" s="31" t="s">
        <v>158</v>
      </c>
      <c r="C3" s="31" t="s">
        <v>159</v>
      </c>
      <c r="D3" s="31" t="s">
        <v>160</v>
      </c>
      <c r="E3" s="31" t="s">
        <v>161</v>
      </c>
      <c r="F3" s="31" t="s">
        <v>162</v>
      </c>
      <c r="G3" s="31" t="s">
        <v>163</v>
      </c>
      <c r="H3" s="31" t="s">
        <v>164</v>
      </c>
      <c r="I3" s="31" t="s">
        <v>165</v>
      </c>
      <c r="J3" s="31" t="s">
        <v>166</v>
      </c>
      <c r="K3" s="31" t="s">
        <v>167</v>
      </c>
      <c r="L3" s="31" t="s">
        <v>168</v>
      </c>
      <c r="M3" s="31" t="s">
        <v>169</v>
      </c>
      <c r="N3" s="31" t="s">
        <v>170</v>
      </c>
      <c r="O3" s="31" t="s">
        <v>171</v>
      </c>
      <c r="P3" s="31" t="s">
        <v>172</v>
      </c>
      <c r="Q3" s="31" t="s">
        <v>173</v>
      </c>
      <c r="R3" s="31" t="s">
        <v>174</v>
      </c>
      <c r="S3" s="31" t="s">
        <v>175</v>
      </c>
      <c r="T3" s="31" t="s">
        <v>176</v>
      </c>
      <c r="U3" s="31" t="s">
        <v>177</v>
      </c>
      <c r="V3" s="31" t="s">
        <v>178</v>
      </c>
      <c r="W3" s="31" t="s">
        <v>179</v>
      </c>
      <c r="X3" s="31" t="s">
        <v>180</v>
      </c>
      <c r="Y3" s="31" t="s">
        <v>181</v>
      </c>
      <c r="Z3" s="31" t="s">
        <v>182</v>
      </c>
      <c r="AA3" s="31" t="s">
        <v>183</v>
      </c>
      <c r="AB3" s="31" t="s">
        <v>184</v>
      </c>
      <c r="AC3" s="31" t="s">
        <v>185</v>
      </c>
      <c r="AD3" s="31" t="s">
        <v>186</v>
      </c>
      <c r="AE3" s="31" t="s">
        <v>187</v>
      </c>
      <c r="AF3" s="31" t="s">
        <v>188</v>
      </c>
      <c r="AG3" s="31" t="s">
        <v>189</v>
      </c>
      <c r="AH3" s="31" t="s">
        <v>190</v>
      </c>
      <c r="AI3" s="31" t="s">
        <v>191</v>
      </c>
      <c r="AJ3" s="31" t="s">
        <v>177</v>
      </c>
      <c r="AK3" s="31" t="s">
        <v>178</v>
      </c>
      <c r="AL3" s="31" t="s">
        <v>179</v>
      </c>
      <c r="AM3" s="31" t="s">
        <v>180</v>
      </c>
      <c r="AN3" s="31" t="s">
        <v>181</v>
      </c>
      <c r="AO3" s="31" t="s">
        <v>182</v>
      </c>
      <c r="AP3" s="31" t="s">
        <v>183</v>
      </c>
      <c r="AQ3" s="31" t="s">
        <v>184</v>
      </c>
      <c r="AR3" s="31" t="s">
        <v>192</v>
      </c>
      <c r="AS3" s="31" t="s">
        <v>186</v>
      </c>
      <c r="AT3" s="31" t="s">
        <v>187</v>
      </c>
      <c r="AU3" s="31" t="s">
        <v>193</v>
      </c>
      <c r="AV3" s="31" t="s">
        <v>195</v>
      </c>
      <c r="AW3" s="31" t="s">
        <v>196</v>
      </c>
      <c r="AX3" s="31" t="s">
        <v>197</v>
      </c>
      <c r="AY3" s="31" t="s">
        <v>198</v>
      </c>
      <c r="AZ3" s="31" t="s">
        <v>199</v>
      </c>
      <c r="BA3" s="31" t="s">
        <v>200</v>
      </c>
      <c r="BB3" s="31" t="s">
        <v>201</v>
      </c>
      <c r="BC3" s="31" t="s">
        <v>180</v>
      </c>
      <c r="BD3" s="31" t="s">
        <v>181</v>
      </c>
      <c r="BE3" s="31" t="s">
        <v>202</v>
      </c>
      <c r="BF3" s="31" t="s">
        <v>203</v>
      </c>
      <c r="BG3" s="31" t="s">
        <v>204</v>
      </c>
      <c r="BH3" s="31" t="s">
        <v>202</v>
      </c>
      <c r="BI3" s="31" t="s">
        <v>205</v>
      </c>
      <c r="BJ3" s="31" t="s">
        <v>204</v>
      </c>
      <c r="BK3" s="31" t="s">
        <v>202</v>
      </c>
      <c r="BL3" s="31" t="s">
        <v>206</v>
      </c>
      <c r="BM3" s="31" t="s">
        <v>207</v>
      </c>
      <c r="BN3" s="31" t="s">
        <v>208</v>
      </c>
      <c r="BO3" s="31" t="s">
        <v>209</v>
      </c>
      <c r="BP3" s="31" t="s">
        <v>210</v>
      </c>
      <c r="BQ3" s="31" t="s">
        <v>211</v>
      </c>
      <c r="BR3" s="31" t="s">
        <v>212</v>
      </c>
      <c r="BS3" s="31" t="s">
        <v>213</v>
      </c>
      <c r="BT3" s="31" t="s">
        <v>214</v>
      </c>
      <c r="BU3" s="31" t="s">
        <v>215</v>
      </c>
      <c r="BV3" s="31" t="s">
        <v>216</v>
      </c>
      <c r="BW3" s="31" t="s">
        <v>217</v>
      </c>
      <c r="BX3" s="31" t="s">
        <v>218</v>
      </c>
      <c r="BY3" s="31" t="s">
        <v>219</v>
      </c>
      <c r="BZ3" s="31" t="s">
        <v>220</v>
      </c>
      <c r="CA3" s="31" t="s">
        <v>222</v>
      </c>
      <c r="CB3" s="31" t="s">
        <v>226</v>
      </c>
      <c r="CC3" s="31" t="s">
        <v>224</v>
      </c>
      <c r="CD3" s="31" t="s">
        <v>225</v>
      </c>
      <c r="CE3" s="31" t="s">
        <v>227</v>
      </c>
      <c r="CF3" s="31" t="s">
        <v>313</v>
      </c>
      <c r="CG3" s="31" t="s">
        <v>314</v>
      </c>
    </row>
    <row r="23" spans="1:1" ht="20.399999999999999">
      <c r="A23" s="29"/>
    </row>
    <row r="24" spans="1:1" ht="20.399999999999999">
      <c r="A24" s="29"/>
    </row>
    <row r="25" spans="1:1" ht="20.399999999999999">
      <c r="A25" s="29"/>
    </row>
    <row r="26" spans="1:1" ht="20.399999999999999">
      <c r="A26" s="29"/>
    </row>
    <row r="27" spans="1:1" ht="20.399999999999999">
      <c r="A27" s="29"/>
    </row>
    <row r="28" spans="1:1" ht="20.399999999999999">
      <c r="A28" s="29"/>
    </row>
    <row r="29" spans="1:1" ht="20.399999999999999">
      <c r="A29" s="29"/>
    </row>
    <row r="30" spans="1:1" ht="20.399999999999999">
      <c r="A30" s="29"/>
    </row>
    <row r="31" spans="1:1" ht="20.399999999999999">
      <c r="A31" s="29"/>
    </row>
    <row r="32" spans="1:1" ht="20.399999999999999">
      <c r="A32" s="29"/>
    </row>
    <row r="33" spans="1:1" ht="20.399999999999999">
      <c r="A33" s="29"/>
    </row>
    <row r="34" spans="1:1" ht="20.399999999999999">
      <c r="A34" s="29"/>
    </row>
    <row r="35" spans="1:1" ht="20.399999999999999">
      <c r="A35" s="29"/>
    </row>
    <row r="36" spans="1:1" ht="20.399999999999999">
      <c r="A36" s="29"/>
    </row>
    <row r="37" spans="1:1" ht="20.399999999999999">
      <c r="A37" s="29"/>
    </row>
    <row r="38" spans="1:1" ht="20.399999999999999">
      <c r="A38" s="29"/>
    </row>
    <row r="39" spans="1:1" ht="20.399999999999999">
      <c r="A39" s="29"/>
    </row>
    <row r="40" spans="1:1" ht="20.399999999999999">
      <c r="A40" s="29"/>
    </row>
    <row r="41" spans="1:1" ht="20.399999999999999">
      <c r="A41" s="29"/>
    </row>
    <row r="42" spans="1:1" ht="20.399999999999999">
      <c r="A42" s="29"/>
    </row>
    <row r="43" spans="1:1" ht="20.399999999999999">
      <c r="A43" s="29"/>
    </row>
    <row r="44" spans="1:1" ht="20.399999999999999">
      <c r="A44" s="29"/>
    </row>
    <row r="45" spans="1:1" ht="20.399999999999999">
      <c r="A45" s="29"/>
    </row>
    <row r="46" spans="1:1" ht="20.399999999999999">
      <c r="A46" s="29"/>
    </row>
    <row r="47" spans="1:1" ht="20.399999999999999">
      <c r="A47" s="29"/>
    </row>
    <row r="48" spans="1:1" ht="20.399999999999999">
      <c r="A48" s="29"/>
    </row>
    <row r="49" spans="1:1" ht="20.399999999999999">
      <c r="A49" s="29"/>
    </row>
    <row r="50" spans="1:1" ht="20.399999999999999">
      <c r="A50" s="29"/>
    </row>
    <row r="51" spans="1:1" ht="20.399999999999999">
      <c r="A51" s="29"/>
    </row>
    <row r="52" spans="1:1" ht="20.399999999999999">
      <c r="A52" s="29"/>
    </row>
    <row r="53" spans="1:1" ht="20.399999999999999">
      <c r="A53" s="29"/>
    </row>
    <row r="54" spans="1:1" ht="20.399999999999999">
      <c r="A54" s="29"/>
    </row>
    <row r="55" spans="1:1" ht="20.399999999999999">
      <c r="A55" s="29"/>
    </row>
    <row r="56" spans="1:1" ht="20.399999999999999">
      <c r="A56" s="29"/>
    </row>
    <row r="57" spans="1:1" ht="20.399999999999999">
      <c r="A57" s="29"/>
    </row>
    <row r="58" spans="1:1" ht="20.399999999999999">
      <c r="A58" s="29"/>
    </row>
    <row r="59" spans="1:1" ht="20.399999999999999">
      <c r="A59" s="29"/>
    </row>
    <row r="60" spans="1:1" ht="20.399999999999999">
      <c r="A60" s="29"/>
    </row>
    <row r="61" spans="1:1" ht="20.399999999999999">
      <c r="A61" s="29"/>
    </row>
    <row r="62" spans="1:1" ht="20.399999999999999">
      <c r="A62" s="29"/>
    </row>
    <row r="63" spans="1:1" ht="20.399999999999999">
      <c r="A63" s="29"/>
    </row>
    <row r="64" spans="1:1" ht="20.399999999999999">
      <c r="A64" s="29"/>
    </row>
    <row r="65" spans="1:1" ht="20.399999999999999">
      <c r="A65" s="29"/>
    </row>
    <row r="66" spans="1:1" ht="20.399999999999999">
      <c r="A66" s="29"/>
    </row>
    <row r="67" spans="1:1" ht="20.399999999999999">
      <c r="A67" s="29"/>
    </row>
    <row r="68" spans="1:1" ht="20.399999999999999">
      <c r="A68" s="29"/>
    </row>
    <row r="69" spans="1:1" ht="20.399999999999999">
      <c r="A69" s="29"/>
    </row>
    <row r="70" spans="1:1" ht="20.399999999999999">
      <c r="A70" s="29"/>
    </row>
    <row r="71" spans="1:1" ht="20.399999999999999">
      <c r="A71" s="29"/>
    </row>
    <row r="72" spans="1:1" ht="20.399999999999999">
      <c r="A72" s="29"/>
    </row>
    <row r="73" spans="1:1" ht="20.399999999999999">
      <c r="A73" s="29"/>
    </row>
    <row r="74" spans="1:1" ht="20.399999999999999">
      <c r="A74" s="29"/>
    </row>
    <row r="75" spans="1:1" ht="20.399999999999999">
      <c r="A75" s="29"/>
    </row>
    <row r="76" spans="1:1" ht="20.399999999999999">
      <c r="A76" s="29"/>
    </row>
    <row r="77" spans="1:1" ht="20.399999999999999">
      <c r="A77" s="29"/>
    </row>
    <row r="78" spans="1:1" ht="20.399999999999999">
      <c r="A78" s="29"/>
    </row>
    <row r="79" spans="1:1" ht="20.399999999999999">
      <c r="A79" s="29"/>
    </row>
    <row r="80" spans="1:1" ht="20.399999999999999">
      <c r="A80" s="29"/>
    </row>
    <row r="81" spans="1:1" ht="20.399999999999999">
      <c r="A81" s="29"/>
    </row>
    <row r="82" spans="1:1" ht="20.399999999999999">
      <c r="A82" s="29"/>
    </row>
    <row r="83" spans="1:1" ht="20.399999999999999">
      <c r="A83" s="29"/>
    </row>
    <row r="84" spans="1:1" ht="20.399999999999999">
      <c r="A84" s="29"/>
    </row>
    <row r="85" spans="1:1" ht="20.399999999999999">
      <c r="A85" s="29"/>
    </row>
    <row r="86" spans="1:1" ht="20.399999999999999">
      <c r="A86" s="2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6BAD-E2D3-4B46-84F2-B7A42DDA0A80}">
  <dimension ref="A1:L1"/>
  <sheetViews>
    <sheetView workbookViewId="0">
      <selection activeCell="K23" sqref="K23"/>
    </sheetView>
  </sheetViews>
  <sheetFormatPr defaultColWidth="11" defaultRowHeight="15.6"/>
  <cols>
    <col min="1" max="1" width="5" bestFit="1" customWidth="1"/>
    <col min="2" max="2" width="9.19921875" bestFit="1" customWidth="1"/>
    <col min="3" max="3" width="8.796875" bestFit="1" customWidth="1"/>
    <col min="4" max="4" width="12.796875" bestFit="1" customWidth="1"/>
    <col min="5" max="5" width="11.5" bestFit="1" customWidth="1"/>
    <col min="6" max="6" width="9.796875" bestFit="1" customWidth="1"/>
    <col min="8" max="8" width="16.296875" bestFit="1" customWidth="1"/>
    <col min="9" max="9" width="16" bestFit="1" customWidth="1"/>
    <col min="10" max="10" width="12.796875" bestFit="1" customWidth="1"/>
    <col min="11" max="11" width="22" bestFit="1" customWidth="1"/>
    <col min="12" max="12" width="9.19921875" bestFit="1" customWidth="1"/>
  </cols>
  <sheetData>
    <row r="1" spans="1:12">
      <c r="A1" t="s">
        <v>223</v>
      </c>
      <c r="B1" t="s">
        <v>231</v>
      </c>
      <c r="C1" t="s">
        <v>232</v>
      </c>
      <c r="D1" t="s">
        <v>228</v>
      </c>
      <c r="E1" t="s">
        <v>229</v>
      </c>
      <c r="F1" t="s">
        <v>230</v>
      </c>
      <c r="G1" t="s">
        <v>101</v>
      </c>
      <c r="H1" t="s">
        <v>312</v>
      </c>
      <c r="I1" t="s">
        <v>309</v>
      </c>
      <c r="J1" t="s">
        <v>310</v>
      </c>
      <c r="K1" t="s">
        <v>311</v>
      </c>
      <c r="L1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133C-FAB5-9F4D-A1EA-CF5D88155BA1}">
  <dimension ref="A1:F15"/>
  <sheetViews>
    <sheetView showGridLines="0" workbookViewId="0">
      <selection activeCell="C13" sqref="C13"/>
    </sheetView>
  </sheetViews>
  <sheetFormatPr defaultColWidth="11.19921875" defaultRowHeight="15.6"/>
  <cols>
    <col min="1" max="1" width="30.296875" bestFit="1" customWidth="1"/>
    <col min="2" max="2" width="30.296875" customWidth="1"/>
    <col min="3" max="3" width="15" bestFit="1" customWidth="1"/>
    <col min="4" max="4" width="11.5" bestFit="1" customWidth="1"/>
    <col min="6" max="6" width="12.69921875" customWidth="1"/>
  </cols>
  <sheetData>
    <row r="1" spans="1:6" ht="16.2" thickBot="1">
      <c r="A1" s="13" t="s">
        <v>84</v>
      </c>
      <c r="B1" s="14" t="s">
        <v>11</v>
      </c>
      <c r="C1" s="14" t="s">
        <v>11</v>
      </c>
      <c r="D1" s="14" t="s">
        <v>98</v>
      </c>
      <c r="E1" s="14" t="s">
        <v>99</v>
      </c>
      <c r="F1" s="14" t="s">
        <v>100</v>
      </c>
    </row>
    <row r="2" spans="1:6">
      <c r="A2" t="s">
        <v>85</v>
      </c>
      <c r="B2" t="str">
        <f>VLOOKUP(A2,'Características de CRI - LOGOS'!$A$5:$P$62,7,0)</f>
        <v>Oliveira Trust</v>
      </c>
      <c r="C2" s="11">
        <f>SUMIF('Características de CRI - LOGOS'!$A$5:$A$62,Resumo!A2,'Características de CRI - LOGOS'!$AA$5:$AA$69)</f>
        <v>2658662.96</v>
      </c>
      <c r="D2" s="11">
        <v>10284.84</v>
      </c>
      <c r="E2" s="11">
        <v>902.91748732671431</v>
      </c>
      <c r="F2" s="11">
        <f>SUM(D2:E2)</f>
        <v>11187.757487326715</v>
      </c>
    </row>
    <row r="3" spans="1:6">
      <c r="A3" t="s">
        <v>86</v>
      </c>
      <c r="B3" t="e">
        <f>VLOOKUP(A3,'Características de CRI - LOGOS'!$A$5:$P$62,7,0)</f>
        <v>#N/A</v>
      </c>
      <c r="C3" s="11">
        <f>SUMIF('Características de CRI - LOGOS'!$A$5:$A$62,Resumo!A3,'Características de CRI - LOGOS'!$AA$5:$AA$69)</f>
        <v>0</v>
      </c>
      <c r="D3" s="16">
        <v>19068.95</v>
      </c>
      <c r="E3" s="16">
        <v>2081.1680283529495</v>
      </c>
      <c r="F3" s="16">
        <f t="shared" ref="F3:F14" si="0">SUM(D3:E3)</f>
        <v>21150.11802835295</v>
      </c>
    </row>
    <row r="4" spans="1:6">
      <c r="A4" t="s">
        <v>87</v>
      </c>
      <c r="B4" t="str">
        <f>VLOOKUP(A4,'Características de CRI - LOGOS'!$A$5:$P$62,7,0)</f>
        <v>Oliveira Trust</v>
      </c>
      <c r="C4" s="11">
        <f>SUMIF('Características de CRI - LOGOS'!$A$5:$A$62,Resumo!A4,'Características de CRI - LOGOS'!$AA$5:$AA$69)</f>
        <v>5723598.5599999996</v>
      </c>
      <c r="D4" s="11">
        <v>11388.81</v>
      </c>
      <c r="E4" s="11"/>
      <c r="F4" s="11">
        <f t="shared" si="0"/>
        <v>11388.81</v>
      </c>
    </row>
    <row r="5" spans="1:6">
      <c r="A5" t="s">
        <v>88</v>
      </c>
      <c r="B5" t="str">
        <f>VLOOKUP(A5,'Características de CRI - LOGOS'!$A$5:$P$62,7,0)</f>
        <v>Oliveira Trust</v>
      </c>
      <c r="C5" s="11">
        <f>SUMIF('Características de CRI - LOGOS'!$A$5:$A$62,Resumo!A5,'Características de CRI - LOGOS'!$AA$5:$AA$69)</f>
        <v>5429079.2300000004</v>
      </c>
      <c r="D5" s="11">
        <v>0</v>
      </c>
      <c r="E5" s="11"/>
      <c r="F5" s="11">
        <f t="shared" si="0"/>
        <v>0</v>
      </c>
    </row>
    <row r="6" spans="1:6">
      <c r="A6" t="s">
        <v>89</v>
      </c>
      <c r="B6" t="str">
        <f>VLOOKUP(A6,'Características de CRI - LOGOS'!$A$5:$P$62,7,0)</f>
        <v>Oliveira Trust</v>
      </c>
      <c r="C6" s="11">
        <f>SUMIF('Características de CRI - LOGOS'!$A$5:$A$62,Resumo!A6,'Características de CRI - LOGOS'!$AA$5:$AA$69)</f>
        <v>6727708.6799999997</v>
      </c>
      <c r="D6" s="11">
        <f>5441.29+1990.88+1138.36</f>
        <v>8570.5300000000007</v>
      </c>
      <c r="E6" s="11">
        <v>2106.0736005813797</v>
      </c>
      <c r="F6" s="11">
        <f t="shared" si="0"/>
        <v>10676.60360058138</v>
      </c>
    </row>
    <row r="7" spans="1:6">
      <c r="A7" t="s">
        <v>90</v>
      </c>
      <c r="B7" t="e">
        <f>VLOOKUP(A7,'Características de CRI - LOGOS'!$A$5:$P$62,7,0)</f>
        <v>#N/A</v>
      </c>
      <c r="C7" s="11">
        <f>SUMIF('Características de CRI - LOGOS'!$A$5:$A$62,Resumo!A7,'Características de CRI - LOGOS'!$AA$5:$AA$69)</f>
        <v>0</v>
      </c>
      <c r="D7" s="11">
        <v>11700.36</v>
      </c>
      <c r="E7" s="11">
        <v>813.06000000000006</v>
      </c>
      <c r="F7" s="11">
        <f t="shared" si="0"/>
        <v>12513.42</v>
      </c>
    </row>
    <row r="8" spans="1:6">
      <c r="A8" t="s">
        <v>91</v>
      </c>
      <c r="B8" t="e">
        <f>VLOOKUP(A8,'Características de CRI - LOGOS'!$A$5:$P$62,7,0)</f>
        <v>#N/A</v>
      </c>
      <c r="C8" s="11">
        <f>SUMIF('Características de CRI - LOGOS'!$A$5:$A$62,Resumo!A8,'Características de CRI - LOGOS'!$AA$5:$AA$69)</f>
        <v>0</v>
      </c>
      <c r="D8" s="11">
        <v>0</v>
      </c>
      <c r="E8" s="11"/>
      <c r="F8" s="11">
        <f t="shared" si="0"/>
        <v>0</v>
      </c>
    </row>
    <row r="9" spans="1:6">
      <c r="A9" t="s">
        <v>92</v>
      </c>
      <c r="B9" t="e">
        <f>VLOOKUP(A9,'Características de CRI - LOGOS'!$A$5:$P$62,7,0)</f>
        <v>#N/A</v>
      </c>
      <c r="C9" s="11">
        <f>SUMIF('Características de CRI - LOGOS'!$A$5:$A$62,Resumo!A9,'Características de CRI - LOGOS'!$AA$5:$AA$69)</f>
        <v>0</v>
      </c>
      <c r="D9" s="11">
        <v>8333.4599999999991</v>
      </c>
      <c r="E9" s="11"/>
      <c r="F9" s="11">
        <f t="shared" si="0"/>
        <v>8333.4599999999991</v>
      </c>
    </row>
    <row r="10" spans="1:6">
      <c r="A10" t="s">
        <v>93</v>
      </c>
      <c r="B10" t="e">
        <f>VLOOKUP(A10,'Características de CRI - LOGOS'!$A$5:$P$62,7,0)</f>
        <v>#N/A</v>
      </c>
      <c r="C10" s="11">
        <f>SUMIF('Características de CRI - LOGOS'!$A$5:$A$62,Resumo!A10,'Características de CRI - LOGOS'!$AA$5:$AA$69)</f>
        <v>0</v>
      </c>
      <c r="D10" s="11">
        <v>17011.59</v>
      </c>
      <c r="E10" s="11"/>
      <c r="F10" s="11">
        <f t="shared" si="0"/>
        <v>17011.59</v>
      </c>
    </row>
    <row r="11" spans="1:6">
      <c r="A11" t="s">
        <v>94</v>
      </c>
      <c r="B11" t="str">
        <f>VLOOKUP(A11,'Características de CRI - LOGOS'!$A$5:$P$62,7,0)</f>
        <v>Vortx</v>
      </c>
      <c r="C11" s="11">
        <f>SUMIF('Características de CRI - LOGOS'!$A$5:$A$62,Resumo!A11,'Características de CRI - LOGOS'!$AA$5:$AA$69)</f>
        <v>29531043.93</v>
      </c>
      <c r="D11" s="11">
        <v>75000</v>
      </c>
      <c r="E11" s="11"/>
      <c r="F11" s="11">
        <f t="shared" si="0"/>
        <v>75000</v>
      </c>
    </row>
    <row r="12" spans="1:6">
      <c r="A12" t="s">
        <v>95</v>
      </c>
      <c r="B12">
        <f>VLOOKUP(A12,'Características de CRI - LOGOS'!$A$5:$P$62,7,0)</f>
        <v>0</v>
      </c>
      <c r="C12" s="11">
        <f>SUMIF('Características de CRI - LOGOS'!$A$5:$A$62,Resumo!A12,'Características de CRI - LOGOS'!$AA$5:$AA$69)</f>
        <v>157733338.75999999</v>
      </c>
      <c r="D12" s="11">
        <v>16456.669999999998</v>
      </c>
      <c r="E12" s="11"/>
      <c r="F12" s="11">
        <f t="shared" si="0"/>
        <v>16456.669999999998</v>
      </c>
    </row>
    <row r="13" spans="1:6">
      <c r="A13" t="s">
        <v>96</v>
      </c>
      <c r="B13" t="str">
        <f>VLOOKUP(A13,'Características de CRI - LOGOS'!$A$5:$P$62,7,0)</f>
        <v>Oliveira Trust</v>
      </c>
      <c r="C13" s="11">
        <f>SUMIF('Características de CRI - LOGOS'!$A$5:$A$62,Resumo!A13,'Características de CRI - LOGOS'!$AA$5:$AA$69)</f>
        <v>2039779.2</v>
      </c>
      <c r="D13" s="11">
        <v>6702</v>
      </c>
      <c r="E13" s="11"/>
      <c r="F13" s="11">
        <f t="shared" si="0"/>
        <v>6702</v>
      </c>
    </row>
    <row r="14" spans="1:6" ht="16.2" thickBot="1">
      <c r="A14" s="6" t="s">
        <v>97</v>
      </c>
      <c r="B14" s="6" t="e">
        <f>VLOOKUP(A14,'Características de CRI - LOGOS'!$A$5:$P$62,7,0)</f>
        <v>#N/A</v>
      </c>
      <c r="C14" s="12">
        <f>SUMIF('Características de CRI - LOGOS'!$A$5:$A$62,Resumo!A14,'Características de CRI - LOGOS'!$AA$5:$AA$69)</f>
        <v>0</v>
      </c>
      <c r="D14" s="12">
        <v>5500</v>
      </c>
      <c r="E14" s="12"/>
      <c r="F14" s="12">
        <f t="shared" si="0"/>
        <v>5500</v>
      </c>
    </row>
    <row r="15" spans="1:6">
      <c r="C15" s="15">
        <f>SUM(C2:C14)</f>
        <v>209843211.31999999</v>
      </c>
      <c r="D15" s="15">
        <f t="shared" ref="D15:F15" si="1">SUM(D2:D14)</f>
        <v>190017.20999999996</v>
      </c>
      <c r="E15" s="15">
        <f t="shared" si="1"/>
        <v>5903.2191162610443</v>
      </c>
      <c r="F15" s="15">
        <f t="shared" si="1"/>
        <v>195920.42911626102</v>
      </c>
    </row>
  </sheetData>
  <autoFilter ref="A1:F1" xr:uid="{B460133C-FAB5-9F4D-A1EA-CF5D88155BA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Características de CRI - LOGOS</vt:lpstr>
      <vt:lpstr>Prestadores de Serviço</vt:lpstr>
      <vt:lpstr>Investidores</vt:lpstr>
      <vt:lpstr>Distribuiçōes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Santos da Rosa</dc:creator>
  <cp:lastModifiedBy>Rafael Karczmarski</cp:lastModifiedBy>
  <dcterms:created xsi:type="dcterms:W3CDTF">2024-06-12T17:23:16Z</dcterms:created>
  <dcterms:modified xsi:type="dcterms:W3CDTF">2025-09-30T14:51:16Z</dcterms:modified>
</cp:coreProperties>
</file>