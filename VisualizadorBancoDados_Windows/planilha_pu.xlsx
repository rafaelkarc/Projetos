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296" yWindow="3216" windowWidth="11076" windowHeight="5748" tabRatio="600" firstSheet="1" activeTab="1" autoFilterDateGrouping="1"/>
  </bookViews>
  <sheets>
    <sheet xmlns:r="http://schemas.openxmlformats.org/officeDocument/2006/relationships" name="PU" sheetId="1" state="hidden" r:id="rId1"/>
    <sheet xmlns:r="http://schemas.openxmlformats.org/officeDocument/2006/relationships" name="22F1187231" sheetId="2" state="visible" r:id="rId2"/>
    <sheet xmlns:r="http://schemas.openxmlformats.org/officeDocument/2006/relationships" name="Amort TS" sheetId="3" state="visible" r:id="rId3"/>
    <sheet xmlns:r="http://schemas.openxmlformats.org/officeDocument/2006/relationships" name="IPCA" sheetId="4" state="visible" r:id="rId4"/>
    <sheet xmlns:r="http://schemas.openxmlformats.org/officeDocument/2006/relationships" name=" Nexus" sheetId="5" state="hidden" r:id="rId5"/>
    <sheet xmlns:r="http://schemas.openxmlformats.org/officeDocument/2006/relationships" name="Filtros Estatisticos" sheetId="6" state="visible" r:id="rId6"/>
    <sheet xmlns:r="http://schemas.openxmlformats.org/officeDocument/2006/relationships" name="PU Operacao" sheetId="7" state="visible" r:id="rId7"/>
  </sheets>
  <definedNames>
    <definedName name="FDSFER">#REF!</definedName>
    <definedName name="FER">#REF!</definedName>
    <definedName name="MATRIZ">#REF!</definedName>
    <definedName name="_xlnm._FilterDatabase" localSheetId="1" hidden="1">'22F1187231'!$B$3:$J$4161</definedName>
  </definedNames>
  <calcPr calcId="191029" fullCalcOnLoad="1"/>
</workbook>
</file>

<file path=xl/styles.xml><?xml version="1.0" encoding="utf-8"?>
<styleSheet xmlns="http://schemas.openxmlformats.org/spreadsheetml/2006/main">
  <numFmts count="20">
    <numFmt numFmtId="164" formatCode="_(* #,##0.0000000_);_(* \(#,##0.0000000\);_(* &quot;-&quot;??_);_(@_)"/>
    <numFmt numFmtId="165" formatCode="_(* #,##0.00000000_);_(* \(#,##0.00000000\);_(* &quot;-&quot;??_);_(@_)"/>
    <numFmt numFmtId="166" formatCode="0.0000%"/>
    <numFmt numFmtId="167" formatCode="mmm/yyyy"/>
    <numFmt numFmtId="168" formatCode="&quot;R$&quot;\ #,##0.00"/>
    <numFmt numFmtId="169" formatCode="_-* #,##0.00000000_-;\-* #,##0.00000000_-;_-* &quot;-&quot;????????_-;_-@_-"/>
    <numFmt numFmtId="170" formatCode="_-* #,##0.00_-;\-* #,##0.00_-;_-* &quot;-&quot;????????_-;_-@_-"/>
    <numFmt numFmtId="171" formatCode="_-* #,##0.00_-;\-* #,##0.00_-;_-* &quot;-&quot;??_-;_-@_-"/>
    <numFmt numFmtId="172" formatCode="_(* #,##0_);_(* \(#,##0\);_(* &quot;-&quot;??_);_(@_)"/>
    <numFmt numFmtId="173" formatCode="0.00000000%"/>
    <numFmt numFmtId="174" formatCode="_-* #,##0_-;\-* #,##0_-;_-* &quot;-&quot;??_-;_-@_-"/>
    <numFmt numFmtId="175" formatCode="&quot;R$&quot;\ #,##0.00;\-&quot;R$&quot;\ #,##0.00"/>
    <numFmt numFmtId="176" formatCode="&quot;R$&quot;\ #,##0.00000000;\-&quot;R$&quot;\ #,##0.00000000"/>
    <numFmt numFmtId="177" formatCode="&quot;R$&quot;\ #,##0.00;[Red]\-&quot;R$&quot;\ #,##0.00"/>
    <numFmt numFmtId="178" formatCode="dd\ mmmm\,\ yyyy"/>
    <numFmt numFmtId="179" formatCode="&quot;R$&quot;\ #,##0.00000000;[Red]\-&quot;R$&quot;\ #,##0.00000000"/>
    <numFmt numFmtId="180" formatCode="dd/mm/yy;@"/>
    <numFmt numFmtId="181" formatCode="_-&quot;R$&quot;\ * #,##0.00_-;\-&quot;R$&quot;\ * #,##0.00_-;_-&quot;R$&quot;\ * &quot;-&quot;??_-;_-@_-"/>
    <numFmt numFmtId="182" formatCode="yyyy\-mm\-dd\ h:mm:ss"/>
    <numFmt numFmtId="183" formatCode="yyyy-mm-dd h:mm:ss"/>
  </numFmts>
  <fonts count="28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sz val="10"/>
    </font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2"/>
    </font>
    <font>
      <name val="Arial"/>
      <family val="2"/>
      <b val="1"/>
      <color theme="0"/>
      <sz val="10"/>
    </font>
    <font>
      <name val="Calibri"/>
      <family val="2"/>
      <sz val="10"/>
      <scheme val="minor"/>
    </font>
    <font>
      <name val="Arial"/>
      <family val="2"/>
      <color rgb="FFFF0000"/>
      <sz val="10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charset val="129"/>
      <family val="2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color theme="3" tint="-0.249977111117893"/>
      <sz val="11"/>
      <scheme val="minor"/>
    </font>
    <font>
      <name val="Arial"/>
      <family val="2"/>
      <color rgb="FFFF0000"/>
      <sz val="8"/>
    </font>
    <font>
      <name val="Calibri"/>
      <family val="2"/>
      <color theme="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2">
    <xf numFmtId="0" fontId="7" fillId="0" borderId="0"/>
    <xf numFmtId="44" fontId="6" fillId="0" borderId="0"/>
    <xf numFmtId="0" fontId="6" fillId="0" borderId="0"/>
    <xf numFmtId="0" fontId="6" fillId="0" borderId="0"/>
    <xf numFmtId="0" fontId="6" fillId="0" borderId="0"/>
    <xf numFmtId="9" fontId="6" fillId="0" borderId="0"/>
    <xf numFmtId="9" fontId="6" fillId="0" borderId="0"/>
    <xf numFmtId="43" fontId="6" fillId="0" borderId="0"/>
    <xf numFmtId="43" fontId="6" fillId="0" borderId="0"/>
    <xf numFmtId="43" fontId="8" fillId="0" borderId="0"/>
    <xf numFmtId="43" fontId="8" fillId="0" borderId="0"/>
    <xf numFmtId="43" fontId="8" fillId="0" borderId="0"/>
  </cellStyleXfs>
  <cellXfs count="323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14" fontId="3" fillId="0" borderId="1" applyAlignment="1" pivotButton="0" quotePrefix="0" xfId="0">
      <alignment horizontal="center"/>
    </xf>
    <xf numFmtId="164" fontId="3" fillId="0" borderId="1" pivotButton="0" quotePrefix="0" xfId="7"/>
    <xf numFmtId="165" fontId="3" fillId="0" borderId="1" pivotButton="0" quotePrefix="0" xfId="7"/>
    <xf numFmtId="14" fontId="0" fillId="0" borderId="0" pivotButton="0" quotePrefix="0" xfId="0"/>
    <xf numFmtId="0" fontId="1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165" fontId="1" fillId="0" borderId="1" pivotButton="0" quotePrefix="0" xfId="7"/>
    <xf numFmtId="164" fontId="1" fillId="0" borderId="1" pivotButton="0" quotePrefix="0" xfId="7"/>
    <xf numFmtId="0" fontId="1" fillId="0" borderId="0" pivotButton="0" quotePrefix="0" xfId="0"/>
    <xf numFmtId="0" fontId="2" fillId="2" borderId="2" applyAlignment="1" pivotButton="0" quotePrefix="0" xfId="0">
      <alignment horizontal="center"/>
    </xf>
    <xf numFmtId="0" fontId="9" fillId="3" borderId="3" pivotButton="0" quotePrefix="0" xfId="0"/>
    <xf numFmtId="0" fontId="9" fillId="3" borderId="4" pivotButton="0" quotePrefix="0" xfId="0"/>
    <xf numFmtId="0" fontId="9" fillId="3" borderId="5" pivotButton="0" quotePrefix="0" xfId="0"/>
    <xf numFmtId="0" fontId="9" fillId="3" borderId="6" pivotButton="0" quotePrefix="0" xfId="0"/>
    <xf numFmtId="0" fontId="9" fillId="3" borderId="7" pivotButton="0" quotePrefix="0" xfId="0"/>
    <xf numFmtId="0" fontId="9" fillId="3" borderId="8" pivotButton="0" quotePrefix="0" xfId="0"/>
    <xf numFmtId="166" fontId="10" fillId="3" borderId="1" applyAlignment="1" pivotButton="0" quotePrefix="0" xfId="0">
      <alignment horizontal="center"/>
    </xf>
    <xf numFmtId="167" fontId="2" fillId="4" borderId="9" applyAlignment="1" pivotButton="0" quotePrefix="0" xfId="0">
      <alignment horizontal="center"/>
    </xf>
    <xf numFmtId="10" fontId="2" fillId="4" borderId="9" applyAlignment="1" pivotButton="0" quotePrefix="0" xfId="5">
      <alignment horizontal="center"/>
    </xf>
    <xf numFmtId="168" fontId="0" fillId="0" borderId="0" pivotButton="0" quotePrefix="0" xfId="0"/>
    <xf numFmtId="0" fontId="3" fillId="5" borderId="1" applyAlignment="1" pivotButton="0" quotePrefix="0" xfId="0">
      <alignment horizontal="center"/>
    </xf>
    <xf numFmtId="14" fontId="3" fillId="5" borderId="1" applyAlignment="1" pivotButton="0" quotePrefix="0" xfId="0">
      <alignment horizontal="center"/>
    </xf>
    <xf numFmtId="165" fontId="1" fillId="5" borderId="1" pivotButton="0" quotePrefix="0" xfId="7"/>
    <xf numFmtId="165" fontId="3" fillId="5" borderId="1" pivotButton="0" quotePrefix="0" xfId="7"/>
    <xf numFmtId="164" fontId="3" fillId="5" borderId="1" pivotButton="0" quotePrefix="0" xfId="7"/>
    <xf numFmtId="169" fontId="0" fillId="0" borderId="0" pivotButton="0" quotePrefix="0" xfId="0"/>
    <xf numFmtId="165" fontId="1" fillId="0" borderId="1" applyAlignment="1" pivotButton="0" quotePrefix="0" xfId="0">
      <alignment horizontal="center"/>
    </xf>
    <xf numFmtId="169" fontId="1" fillId="0" borderId="1" applyAlignment="1" pivotButton="0" quotePrefix="0" xfId="0">
      <alignment horizontal="center"/>
    </xf>
    <xf numFmtId="169" fontId="1" fillId="0" borderId="0" pivotButton="0" quotePrefix="0" xfId="0"/>
    <xf numFmtId="170" fontId="2" fillId="5" borderId="9" pivotButton="0" quotePrefix="0" xfId="0"/>
    <xf numFmtId="0" fontId="2" fillId="5" borderId="9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169" fontId="1" fillId="0" borderId="10" pivotButton="0" quotePrefix="0" xfId="0"/>
    <xf numFmtId="0" fontId="1" fillId="0" borderId="0" applyAlignment="1" pivotButton="0" quotePrefix="0" xfId="0">
      <alignment horizontal="right"/>
    </xf>
    <xf numFmtId="171" fontId="0" fillId="0" borderId="0" pivotButton="0" quotePrefix="0" xfId="7"/>
    <xf numFmtId="172" fontId="0" fillId="0" borderId="0" applyAlignment="1" pivotButton="0" quotePrefix="0" xfId="7">
      <alignment vertical="top"/>
    </xf>
    <xf numFmtId="170" fontId="1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171" fontId="11" fillId="0" borderId="1" applyAlignment="1" pivotButton="0" quotePrefix="0" xfId="7">
      <alignment horizontal="center"/>
    </xf>
    <xf numFmtId="171" fontId="11" fillId="0" borderId="0" applyAlignment="1" pivotButton="0" quotePrefix="0" xfId="7">
      <alignment horizontal="center"/>
    </xf>
    <xf numFmtId="0" fontId="12" fillId="0" borderId="0" pivotButton="0" quotePrefix="0" xfId="0"/>
    <xf numFmtId="0" fontId="0" fillId="0" borderId="1" pivotButton="0" quotePrefix="0" xfId="0"/>
    <xf numFmtId="0" fontId="0" fillId="6" borderId="0" pivotButton="0" quotePrefix="0" xfId="0"/>
    <xf numFmtId="0" fontId="3" fillId="6" borderId="1" applyAlignment="1" pivotButton="0" quotePrefix="0" xfId="0">
      <alignment horizontal="center"/>
    </xf>
    <xf numFmtId="14" fontId="3" fillId="6" borderId="1" applyAlignment="1" pivotButton="0" quotePrefix="0" xfId="0">
      <alignment horizontal="center"/>
    </xf>
    <xf numFmtId="165" fontId="1" fillId="6" borderId="1" pivotButton="0" quotePrefix="0" xfId="7"/>
    <xf numFmtId="165" fontId="3" fillId="6" borderId="1" pivotButton="0" quotePrefix="0" xfId="7"/>
    <xf numFmtId="0" fontId="12" fillId="6" borderId="1" applyAlignment="1" pivotButton="0" quotePrefix="0" xfId="0">
      <alignment horizontal="center"/>
    </xf>
    <xf numFmtId="165" fontId="12" fillId="6" borderId="1" pivotButton="0" quotePrefix="0" xfId="7"/>
    <xf numFmtId="0" fontId="1" fillId="6" borderId="0" pivotButton="0" quotePrefix="0" xfId="0"/>
    <xf numFmtId="172" fontId="0" fillId="0" borderId="0" pivotButton="0" quotePrefix="0" xfId="7"/>
    <xf numFmtId="0" fontId="1" fillId="6" borderId="1" applyAlignment="1" pivotButton="0" quotePrefix="0" xfId="0">
      <alignment horizontal="center"/>
    </xf>
    <xf numFmtId="173" fontId="0" fillId="0" borderId="0" pivotButton="0" quotePrefix="0" xfId="5"/>
    <xf numFmtId="14" fontId="3" fillId="7" borderId="1" applyAlignment="1" pivotButton="0" quotePrefix="0" xfId="0">
      <alignment horizontal="center"/>
    </xf>
    <xf numFmtId="165" fontId="1" fillId="7" borderId="1" pivotButton="0" quotePrefix="0" xfId="7"/>
    <xf numFmtId="165" fontId="3" fillId="7" borderId="1" pivotButton="0" quotePrefix="0" xfId="7"/>
    <xf numFmtId="171" fontId="11" fillId="8" borderId="1" applyAlignment="1" pivotButton="0" quotePrefix="0" xfId="7">
      <alignment horizontal="center"/>
    </xf>
    <xf numFmtId="0" fontId="1" fillId="9" borderId="0" pivotButton="0" quotePrefix="0" xfId="0"/>
    <xf numFmtId="14" fontId="1" fillId="9" borderId="0" pivotButton="0" quotePrefix="0" xfId="0"/>
    <xf numFmtId="173" fontId="1" fillId="9" borderId="0" pivotButton="0" quotePrefix="0" xfId="5"/>
    <xf numFmtId="0" fontId="0" fillId="0" borderId="11" pivotButton="0" quotePrefix="0" xfId="0"/>
    <xf numFmtId="14" fontId="13" fillId="6" borderId="0" pivotButton="0" quotePrefix="0" xfId="7"/>
    <xf numFmtId="171" fontId="13" fillId="6" borderId="0" pivotButton="0" quotePrefix="0" xfId="7"/>
    <xf numFmtId="174" fontId="13" fillId="6" borderId="0" pivotButton="0" quotePrefix="0" xfId="7"/>
    <xf numFmtId="175" fontId="14" fillId="6" borderId="0" applyAlignment="1" pivotButton="0" quotePrefix="0" xfId="7">
      <alignment horizontal="right" vertical="center"/>
    </xf>
    <xf numFmtId="174" fontId="14" fillId="6" borderId="0" applyAlignment="1" pivotButton="0" quotePrefix="0" xfId="7">
      <alignment vertical="center"/>
    </xf>
    <xf numFmtId="0" fontId="5" fillId="0" borderId="11" pivotButton="0" quotePrefix="0" xfId="0"/>
    <xf numFmtId="171" fontId="14" fillId="6" borderId="0" applyAlignment="1" pivotButton="0" quotePrefix="0" xfId="7">
      <alignment horizontal="right" vertical="center"/>
    </xf>
    <xf numFmtId="171" fontId="14" fillId="6" borderId="0" applyAlignment="1" pivotButton="0" quotePrefix="0" xfId="7">
      <alignment horizontal="left" vertical="center"/>
    </xf>
    <xf numFmtId="0" fontId="5" fillId="0" borderId="11" applyAlignment="1" pivotButton="0" quotePrefix="0" xfId="0">
      <alignment horizontal="center"/>
    </xf>
    <xf numFmtId="14" fontId="14" fillId="6" borderId="0" applyAlignment="1" pivotButton="0" quotePrefix="0" xfId="7">
      <alignment horizontal="right" vertical="center"/>
    </xf>
    <xf numFmtId="14" fontId="14" fillId="6" borderId="0" applyAlignment="1" pivotButton="0" quotePrefix="0" xfId="7">
      <alignment horizontal="left" vertical="center"/>
    </xf>
    <xf numFmtId="168" fontId="14" fillId="6" borderId="0" applyAlignment="1" pivotButton="0" quotePrefix="0" xfId="7">
      <alignment horizontal="right" vertical="center"/>
    </xf>
    <xf numFmtId="176" fontId="14" fillId="0" borderId="0" applyAlignment="1" pivotButton="0" quotePrefix="0" xfId="7">
      <alignment horizontal="right" vertical="center"/>
    </xf>
    <xf numFmtId="0" fontId="14" fillId="6" borderId="0" applyAlignment="1" pivotButton="0" quotePrefix="0" xfId="7">
      <alignment horizontal="left" vertical="center"/>
    </xf>
    <xf numFmtId="168" fontId="14" fillId="0" borderId="0" applyAlignment="1" pivotButton="0" quotePrefix="0" xfId="7">
      <alignment horizontal="right" vertical="center"/>
    </xf>
    <xf numFmtId="171" fontId="15" fillId="6" borderId="0" applyAlignment="1" pivotButton="0" quotePrefix="0" xfId="7">
      <alignment vertical="center"/>
    </xf>
    <xf numFmtId="10" fontId="14" fillId="6" borderId="0" applyAlignment="1" pivotButton="0" quotePrefix="0" xfId="6">
      <alignment horizontal="right" vertical="top"/>
    </xf>
    <xf numFmtId="10" fontId="14" fillId="6" borderId="0" applyAlignment="1" pivotButton="0" quotePrefix="0" xfId="6">
      <alignment vertical="top"/>
    </xf>
    <xf numFmtId="9" fontId="14" fillId="6" borderId="0" applyAlignment="1" pivotButton="0" quotePrefix="0" xfId="6">
      <alignment horizontal="right" vertical="top"/>
    </xf>
    <xf numFmtId="9" fontId="14" fillId="6" borderId="0" applyAlignment="1" pivotButton="0" quotePrefix="0" xfId="6">
      <alignment vertical="top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6" borderId="15" pivotButton="0" quotePrefix="0" xfId="0"/>
    <xf numFmtId="0" fontId="0" fillId="0" borderId="16" pivotButton="0" quotePrefix="0" xfId="0"/>
    <xf numFmtId="0" fontId="0" fillId="6" borderId="17" pivotButton="0" quotePrefix="0" xfId="0"/>
    <xf numFmtId="0" fontId="4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3" fillId="6" borderId="17" applyAlignment="1" pivotButton="0" quotePrefix="0" xfId="0">
      <alignment horizontal="left"/>
    </xf>
    <xf numFmtId="14" fontId="16" fillId="6" borderId="0" applyAlignment="1" pivotButton="0" quotePrefix="0" xfId="0">
      <alignment horizontal="right"/>
    </xf>
    <xf numFmtId="14" fontId="17" fillId="6" borderId="0" applyAlignment="1" pivotButton="0" quotePrefix="0" xfId="0">
      <alignment horizontal="left"/>
    </xf>
    <xf numFmtId="0" fontId="13" fillId="6" borderId="0" applyAlignment="1" pivotButton="0" quotePrefix="0" xfId="0">
      <alignment horizontal="left"/>
    </xf>
    <xf numFmtId="0" fontId="13" fillId="6" borderId="0" applyAlignment="1" pivotButton="0" quotePrefix="0" xfId="0">
      <alignment horizontal="right"/>
    </xf>
    <xf numFmtId="0" fontId="17" fillId="6" borderId="0" pivotButton="0" quotePrefix="0" xfId="0"/>
    <xf numFmtId="0" fontId="13" fillId="6" borderId="0" pivotButton="0" quotePrefix="0" xfId="0"/>
    <xf numFmtId="0" fontId="13" fillId="6" borderId="17" pivotButton="0" quotePrefix="0" xfId="0"/>
    <xf numFmtId="10" fontId="13" fillId="0" borderId="0" applyAlignment="1" pivotButton="0" quotePrefix="0" xfId="0">
      <alignment horizontal="right"/>
    </xf>
    <xf numFmtId="177" fontId="13" fillId="0" borderId="0" applyAlignment="1" pivotButton="0" quotePrefix="0" xfId="0">
      <alignment horizontal="right"/>
    </xf>
    <xf numFmtId="0" fontId="14" fillId="6" borderId="17" pivotButton="0" quotePrefix="0" xfId="0"/>
    <xf numFmtId="0" fontId="18" fillId="6" borderId="17" pivotButton="0" quotePrefix="0" xfId="0"/>
    <xf numFmtId="171" fontId="19" fillId="6" borderId="0" applyAlignment="1" pivotButton="0" quotePrefix="0" xfId="0">
      <alignment horizontal="center"/>
    </xf>
    <xf numFmtId="0" fontId="14" fillId="0" borderId="0" applyAlignment="1" pivotButton="0" quotePrefix="0" xfId="0">
      <alignment horizontal="right"/>
    </xf>
    <xf numFmtId="178" fontId="14" fillId="0" borderId="0" applyAlignment="1" pivotButton="0" quotePrefix="0" xfId="0">
      <alignment horizontal="right"/>
    </xf>
    <xf numFmtId="166" fontId="14" fillId="0" borderId="0" pivotButton="0" quotePrefix="0" xfId="6"/>
    <xf numFmtId="179" fontId="14" fillId="0" borderId="0" applyAlignment="1" pivotButton="0" quotePrefix="0" xfId="7">
      <alignment horizontal="right" vertical="center"/>
    </xf>
    <xf numFmtId="0" fontId="14" fillId="0" borderId="0" applyAlignment="1" pivotButton="0" quotePrefix="0" xfId="7">
      <alignment horizontal="right" vertical="center"/>
    </xf>
    <xf numFmtId="179" fontId="14" fillId="0" borderId="0" applyAlignment="1" pivotButton="0" quotePrefix="0" xfId="0">
      <alignment horizontal="right"/>
    </xf>
    <xf numFmtId="0" fontId="3" fillId="5" borderId="1" applyAlignment="1" applyProtection="1" pivotButton="0" quotePrefix="0" xfId="0">
      <alignment horizontal="center"/>
      <protection locked="0" hidden="0"/>
    </xf>
    <xf numFmtId="14" fontId="3" fillId="5" borderId="1" applyAlignment="1" applyProtection="1" pivotButton="0" quotePrefix="0" xfId="0">
      <alignment horizontal="center"/>
      <protection locked="0" hidden="0"/>
    </xf>
    <xf numFmtId="165" fontId="1" fillId="5" borderId="1" applyProtection="1" pivotButton="0" quotePrefix="0" xfId="7">
      <protection locked="0" hidden="0"/>
    </xf>
    <xf numFmtId="165" fontId="3" fillId="5" borderId="1" applyProtection="1" pivotButton="0" quotePrefix="0" xfId="7"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71" fontId="0" fillId="0" borderId="0" applyProtection="1" pivotButton="0" quotePrefix="0" xfId="7">
      <protection locked="0" hidden="0"/>
    </xf>
    <xf numFmtId="0" fontId="10" fillId="3" borderId="1" applyAlignment="1" applyProtection="1" pivotButton="0" quotePrefix="0" xfId="0">
      <alignment horizontal="center"/>
      <protection locked="0" hidden="0"/>
    </xf>
    <xf numFmtId="165" fontId="1" fillId="0" borderId="1" applyAlignment="1" applyProtection="1" pivotButton="0" quotePrefix="0" xfId="0">
      <alignment horizontal="center"/>
      <protection locked="0" hidden="0"/>
    </xf>
    <xf numFmtId="169" fontId="1" fillId="0" borderId="1" applyAlignment="1" applyProtection="1" pivotButton="0" quotePrefix="0" xfId="0">
      <alignment horizontal="center"/>
      <protection locked="0" hidden="0"/>
    </xf>
    <xf numFmtId="165" fontId="1" fillId="0" borderId="1" applyProtection="1" pivotButton="0" quotePrefix="0" xfId="7">
      <protection locked="0" hidden="0"/>
    </xf>
    <xf numFmtId="0" fontId="0" fillId="6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right"/>
      <protection locked="0" hidden="0"/>
    </xf>
    <xf numFmtId="172" fontId="0" fillId="0" borderId="0" applyAlignment="1" applyProtection="1" pivotButton="0" quotePrefix="0" xfId="7">
      <alignment vertical="top"/>
      <protection locked="0" hidden="0"/>
    </xf>
    <xf numFmtId="169" fontId="1" fillId="0" borderId="0" applyProtection="1" pivotButton="0" quotePrefix="0" xfId="0">
      <protection locked="0" hidden="0"/>
    </xf>
    <xf numFmtId="169" fontId="20" fillId="0" borderId="0" applyProtection="1" pivotButton="0" quotePrefix="0" xfId="0">
      <protection locked="0" hidden="0"/>
    </xf>
    <xf numFmtId="0" fontId="20" fillId="0" borderId="0" applyProtection="1" pivotButton="0" quotePrefix="0" xfId="0">
      <protection locked="0" hidden="0"/>
    </xf>
    <xf numFmtId="0" fontId="12" fillId="0" borderId="0" applyProtection="1" pivotButton="0" quotePrefix="0" xfId="0">
      <protection locked="0" hidden="0"/>
    </xf>
    <xf numFmtId="0" fontId="10" fillId="6" borderId="0" applyAlignment="1" applyProtection="1" pivotButton="0" quotePrefix="0" xfId="0">
      <alignment horizontal="center"/>
      <protection locked="0" hidden="0"/>
    </xf>
    <xf numFmtId="165" fontId="1" fillId="6" borderId="0" applyAlignment="1" applyProtection="1" pivotButton="0" quotePrefix="0" xfId="0">
      <alignment horizontal="center"/>
      <protection locked="0" hidden="0"/>
    </xf>
    <xf numFmtId="169" fontId="1" fillId="6" borderId="0" applyAlignment="1" applyProtection="1" pivotButton="0" quotePrefix="0" xfId="0">
      <alignment horizontal="center"/>
      <protection locked="0" hidden="0"/>
    </xf>
    <xf numFmtId="165" fontId="1" fillId="6" borderId="0" applyProtection="1" pivotButton="0" quotePrefix="0" xfId="7">
      <protection locked="0" hidden="0"/>
    </xf>
    <xf numFmtId="169" fontId="1" fillId="6" borderId="0" applyProtection="1" pivotButton="0" quotePrefix="0" xfId="0">
      <protection locked="0" hidden="0"/>
    </xf>
    <xf numFmtId="0" fontId="1" fillId="6" borderId="0" applyProtection="1" pivotButton="0" quotePrefix="0" xfId="0">
      <protection locked="0" hidden="0"/>
    </xf>
    <xf numFmtId="170" fontId="2" fillId="6" borderId="0" applyProtection="1" pivotButton="0" quotePrefix="0" xfId="0">
      <protection locked="0" hidden="0"/>
    </xf>
    <xf numFmtId="0" fontId="2" fillId="6" borderId="0" applyAlignment="1" applyProtection="1" pivotButton="0" quotePrefix="0" xfId="0">
      <alignment horizontal="center"/>
      <protection locked="0" hidden="0"/>
    </xf>
    <xf numFmtId="0" fontId="10" fillId="3" borderId="18" applyAlignment="1" applyProtection="1" pivotButton="0" quotePrefix="0" xfId="0">
      <alignment horizontal="center"/>
      <protection locked="0" hidden="0"/>
    </xf>
    <xf numFmtId="0" fontId="11" fillId="0" borderId="0" pivotButton="0" quotePrefix="0" xfId="0"/>
    <xf numFmtId="180" fontId="11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66" fontId="11" fillId="0" borderId="0" pivotButton="0" quotePrefix="0" xfId="5"/>
    <xf numFmtId="0" fontId="11" fillId="0" borderId="1" applyAlignment="1" pivotButton="0" quotePrefix="0" xfId="0">
      <alignment horizontal="center"/>
    </xf>
    <xf numFmtId="166" fontId="11" fillId="0" borderId="1" applyAlignment="1" pivotButton="0" quotePrefix="0" xfId="5">
      <alignment horizontal="center"/>
    </xf>
    <xf numFmtId="0" fontId="21" fillId="0" borderId="0" applyAlignment="1" pivotButton="0" quotePrefix="0" xfId="0">
      <alignment horizontal="center"/>
    </xf>
    <xf numFmtId="0" fontId="11" fillId="6" borderId="0" pivotButton="0" quotePrefix="0" xfId="0"/>
    <xf numFmtId="49" fontId="22" fillId="2" borderId="7" applyProtection="1" pivotButton="0" quotePrefix="0" xfId="0">
      <protection locked="0" hidden="0"/>
    </xf>
    <xf numFmtId="0" fontId="11" fillId="0" borderId="0" applyAlignment="1" pivotButton="0" quotePrefix="0" xfId="0">
      <alignment horizontal="left"/>
    </xf>
    <xf numFmtId="180" fontId="11" fillId="8" borderId="1" applyAlignment="1" pivotButton="0" quotePrefix="0" xfId="0">
      <alignment horizontal="center"/>
    </xf>
    <xf numFmtId="166" fontId="11" fillId="8" borderId="1" applyAlignment="1" pivotButton="0" quotePrefix="0" xfId="6">
      <alignment horizontal="center"/>
    </xf>
    <xf numFmtId="180" fontId="11" fillId="0" borderId="0" applyAlignment="1" pivotButton="0" quotePrefix="0" xfId="0">
      <alignment horizontal="center"/>
    </xf>
    <xf numFmtId="166" fontId="11" fillId="0" borderId="0" applyAlignment="1" pivotButton="0" quotePrefix="0" xfId="5">
      <alignment horizontal="center"/>
    </xf>
    <xf numFmtId="0" fontId="11" fillId="2" borderId="0" pivotButton="0" quotePrefix="0" xfId="0"/>
    <xf numFmtId="171" fontId="22" fillId="2" borderId="1" applyAlignment="1" pivotButton="0" quotePrefix="0" xfId="7">
      <alignment horizontal="center"/>
    </xf>
    <xf numFmtId="0" fontId="22" fillId="2" borderId="1" applyAlignment="1" pivotButton="0" quotePrefix="0" xfId="0">
      <alignment horizontal="center" vertical="center"/>
    </xf>
    <xf numFmtId="171" fontId="22" fillId="2" borderId="1" pivotButton="0" quotePrefix="0" xfId="7"/>
    <xf numFmtId="0" fontId="22" fillId="0" borderId="0" pivotButton="0" quotePrefix="0" xfId="0"/>
    <xf numFmtId="0" fontId="22" fillId="2" borderId="1" applyAlignment="1" pivotButton="0" quotePrefix="0" xfId="0">
      <alignment horizontal="center"/>
    </xf>
    <xf numFmtId="180" fontId="22" fillId="2" borderId="1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179" fontId="0" fillId="0" borderId="1" pivotButton="0" quotePrefix="0" xfId="0"/>
    <xf numFmtId="181" fontId="0" fillId="0" borderId="1" pivotButton="0" quotePrefix="0" xfId="0"/>
    <xf numFmtId="181" fontId="2" fillId="0" borderId="1" applyAlignment="1" pivotButton="0" quotePrefix="0" xfId="1">
      <alignment horizontal="center" vertical="center"/>
    </xf>
    <xf numFmtId="181" fontId="2" fillId="0" borderId="1" pivotButton="0" quotePrefix="0" xfId="0"/>
    <xf numFmtId="0" fontId="2" fillId="2" borderId="1" applyAlignment="1" pivotButton="0" quotePrefix="0" xfId="0">
      <alignment horizontal="center" vertical="center"/>
    </xf>
    <xf numFmtId="176" fontId="2" fillId="2" borderId="1" applyAlignment="1" pivotButton="0" quotePrefix="0" xfId="0">
      <alignment horizontal="center" vertical="center"/>
    </xf>
    <xf numFmtId="179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1" pivotButton="0" quotePrefix="0" xfId="0"/>
    <xf numFmtId="174" fontId="13" fillId="0" borderId="0" applyProtection="1" pivotButton="0" quotePrefix="0" xfId="7">
      <protection locked="0" hidden="0"/>
    </xf>
    <xf numFmtId="0" fontId="11" fillId="0" borderId="0" applyProtection="1" pivotButton="0" quotePrefix="0" xfId="0">
      <protection locked="0" hidden="0"/>
    </xf>
    <xf numFmtId="0" fontId="22" fillId="0" borderId="0" applyProtection="1" pivotButton="0" quotePrefix="0" xfId="0">
      <protection locked="0" hidden="0"/>
    </xf>
    <xf numFmtId="0" fontId="11" fillId="0" borderId="0" applyAlignment="1" applyProtection="1" pivotButton="0" quotePrefix="0" xfId="0">
      <alignment horizontal="left"/>
      <protection locked="0" hidden="0"/>
    </xf>
    <xf numFmtId="171" fontId="11" fillId="0" borderId="0" applyProtection="1" pivotButton="0" quotePrefix="0" xfId="0">
      <protection locked="0" hidden="0"/>
    </xf>
    <xf numFmtId="0" fontId="22" fillId="5" borderId="19" applyAlignment="1" applyProtection="1" pivotButton="0" quotePrefix="0" xfId="0">
      <alignment horizontal="center"/>
      <protection locked="0" hidden="0"/>
    </xf>
    <xf numFmtId="0" fontId="22" fillId="5" borderId="20" applyAlignment="1" applyProtection="1" pivotButton="0" quotePrefix="0" xfId="0">
      <alignment horizontal="center"/>
      <protection locked="0" hidden="0"/>
    </xf>
    <xf numFmtId="0" fontId="22" fillId="2" borderId="18" applyAlignment="1" applyProtection="1" pivotButton="0" quotePrefix="0" xfId="0">
      <alignment horizontal="center"/>
      <protection locked="0" hidden="0"/>
    </xf>
    <xf numFmtId="1" fontId="11" fillId="0" borderId="21" applyProtection="1" pivotButton="0" quotePrefix="0" xfId="0">
      <protection locked="0" hidden="0"/>
    </xf>
    <xf numFmtId="0" fontId="11" fillId="0" borderId="22" applyProtection="1" pivotButton="0" quotePrefix="0" xfId="0">
      <protection locked="0" hidden="0"/>
    </xf>
    <xf numFmtId="1" fontId="11" fillId="0" borderId="18" applyProtection="1" pivotButton="0" quotePrefix="0" xfId="0">
      <protection locked="0" hidden="0"/>
    </xf>
    <xf numFmtId="14" fontId="22" fillId="0" borderId="1" applyProtection="1" pivotButton="0" quotePrefix="0" xfId="0">
      <protection locked="0" hidden="0"/>
    </xf>
    <xf numFmtId="171" fontId="11" fillId="0" borderId="23" applyProtection="1" pivotButton="0" quotePrefix="0" xfId="10">
      <protection locked="0" hidden="0"/>
    </xf>
    <xf numFmtId="0" fontId="11" fillId="0" borderId="23" applyProtection="1" pivotButton="0" quotePrefix="0" xfId="0">
      <protection locked="0" hidden="0"/>
    </xf>
    <xf numFmtId="171" fontId="11" fillId="0" borderId="1" applyProtection="1" pivotButton="0" quotePrefix="0" xfId="10">
      <protection locked="0" hidden="0"/>
    </xf>
    <xf numFmtId="0" fontId="22" fillId="0" borderId="1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22" fillId="5" borderId="24" applyAlignment="1" applyProtection="1" pivotButton="0" quotePrefix="0" xfId="0">
      <alignment horizontal="center"/>
      <protection locked="0" hidden="0"/>
    </xf>
    <xf numFmtId="0" fontId="11" fillId="0" borderId="25" applyProtection="1" pivotButton="0" quotePrefix="0" xfId="0">
      <protection locked="0" hidden="0"/>
    </xf>
    <xf numFmtId="0" fontId="21" fillId="0" borderId="0" applyProtection="1" pivotButton="0" quotePrefix="0" xfId="0">
      <protection locked="0" hidden="0"/>
    </xf>
    <xf numFmtId="0" fontId="11" fillId="8" borderId="1" applyAlignment="1" pivotButton="0" quotePrefix="0" xfId="0">
      <alignment horizontal="center"/>
    </xf>
    <xf numFmtId="172" fontId="0" fillId="0" borderId="1" applyProtection="1" pivotButton="0" quotePrefix="0" xfId="7">
      <protection locked="0" hidden="0"/>
    </xf>
    <xf numFmtId="172" fontId="2" fillId="0" borderId="1" pivotButton="0" quotePrefix="0" xfId="7"/>
    <xf numFmtId="14" fontId="14" fillId="0" borderId="0" applyAlignment="1" applyProtection="1" pivotButton="0" quotePrefix="0" xfId="7">
      <alignment horizontal="right" vertical="center"/>
      <protection locked="0" hidden="0"/>
    </xf>
    <xf numFmtId="0" fontId="3" fillId="7" borderId="1" applyAlignment="1" pivotButton="0" quotePrefix="0" xfId="0">
      <alignment horizontal="center"/>
    </xf>
    <xf numFmtId="0" fontId="1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169" fontId="0" fillId="0" borderId="0" applyProtection="1" pivotButton="0" quotePrefix="0" xfId="0">
      <protection locked="0" hidden="0"/>
    </xf>
    <xf numFmtId="4" fontId="0" fillId="0" borderId="0" pivotButton="0" quotePrefix="0" xfId="0"/>
    <xf numFmtId="171" fontId="0" fillId="0" borderId="0" pivotButton="0" quotePrefix="0" xfId="0"/>
    <xf numFmtId="0" fontId="2" fillId="2" borderId="26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/>
    </xf>
    <xf numFmtId="0" fontId="0" fillId="0" borderId="27" pivotButton="0" quotePrefix="0" xfId="0"/>
    <xf numFmtId="0" fontId="2" fillId="2" borderId="28" applyAlignment="1" pivotButton="0" quotePrefix="0" xfId="0">
      <alignment horizontal="center" vertical="center"/>
    </xf>
    <xf numFmtId="14" fontId="0" fillId="0" borderId="25" pivotButton="0" quotePrefix="0" xfId="0"/>
    <xf numFmtId="14" fontId="0" fillId="0" borderId="11" pivotButton="0" quotePrefix="0" xfId="0"/>
    <xf numFmtId="14" fontId="2" fillId="0" borderId="29" pivotButton="0" quotePrefix="0" xfId="0"/>
    <xf numFmtId="171" fontId="0" fillId="0" borderId="23" pivotButton="0" quotePrefix="0" xfId="11"/>
    <xf numFmtId="0" fontId="2" fillId="0" borderId="29" pivotButton="0" quotePrefix="0" xfId="0"/>
    <xf numFmtId="0" fontId="2" fillId="0" borderId="21" pivotButton="0" quotePrefix="0" xfId="0"/>
    <xf numFmtId="171" fontId="0" fillId="0" borderId="30" pivotButton="0" quotePrefix="0" xfId="11"/>
    <xf numFmtId="0" fontId="1" fillId="5" borderId="0" applyAlignment="1" pivotButton="0" quotePrefix="0" xfId="0">
      <alignment horizontal="left"/>
    </xf>
    <xf numFmtId="171" fontId="0" fillId="5" borderId="0" pivotButton="0" quotePrefix="0" xfId="0"/>
    <xf numFmtId="0" fontId="1" fillId="0" borderId="0" pivotButton="0" quotePrefix="0" xfId="3"/>
    <xf numFmtId="0" fontId="2" fillId="2" borderId="31" applyAlignment="1" pivotButton="0" quotePrefix="0" xfId="3">
      <alignment horizontal="center" vertical="center"/>
    </xf>
    <xf numFmtId="0" fontId="2" fillId="5" borderId="1" applyAlignment="1" pivotButton="0" quotePrefix="0" xfId="3">
      <alignment horizontal="center"/>
    </xf>
    <xf numFmtId="14" fontId="2" fillId="0" borderId="1" pivotButton="0" quotePrefix="0" xfId="3"/>
    <xf numFmtId="171" fontId="1" fillId="0" borderId="23" pivotButton="0" quotePrefix="0" xfId="9"/>
    <xf numFmtId="0" fontId="2" fillId="0" borderId="1" pivotButton="0" quotePrefix="0" xfId="3"/>
    <xf numFmtId="171" fontId="1" fillId="0" borderId="1" pivotButton="0" quotePrefix="0" xfId="9"/>
    <xf numFmtId="171" fontId="2" fillId="0" borderId="0" pivotButton="0" quotePrefix="0" xfId="0"/>
    <xf numFmtId="4" fontId="2" fillId="0" borderId="0" pivotButton="0" quotePrefix="0" xfId="0"/>
    <xf numFmtId="0" fontId="3" fillId="10" borderId="1" applyAlignment="1" pivotButton="0" quotePrefix="0" xfId="0">
      <alignment horizontal="center"/>
    </xf>
    <xf numFmtId="14" fontId="3" fillId="10" borderId="1" applyAlignment="1" pivotButton="0" quotePrefix="0" xfId="0">
      <alignment horizontal="center"/>
    </xf>
    <xf numFmtId="165" fontId="1" fillId="10" borderId="1" pivotButton="0" quotePrefix="0" xfId="7"/>
    <xf numFmtId="165" fontId="3" fillId="10" borderId="1" pivotButton="0" quotePrefix="0" xfId="7"/>
    <xf numFmtId="3" fontId="0" fillId="10" borderId="0" applyProtection="1" pivotButton="0" quotePrefix="0" xfId="0">
      <protection locked="0" hidden="0"/>
    </xf>
    <xf numFmtId="4" fontId="0" fillId="10" borderId="0" applyProtection="1" pivotButton="0" quotePrefix="0" xfId="0">
      <protection locked="0" hidden="0"/>
    </xf>
    <xf numFmtId="172" fontId="6" fillId="10" borderId="0" applyProtection="1" pivotButton="0" quotePrefix="0" xfId="7">
      <protection locked="0" hidden="0"/>
    </xf>
    <xf numFmtId="0" fontId="3" fillId="11" borderId="1" applyAlignment="1" pivotButton="0" quotePrefix="0" xfId="0">
      <alignment horizontal="center"/>
    </xf>
    <xf numFmtId="14" fontId="3" fillId="11" borderId="1" applyAlignment="1" pivotButton="0" quotePrefix="0" xfId="0">
      <alignment horizontal="center"/>
    </xf>
    <xf numFmtId="165" fontId="1" fillId="11" borderId="1" pivotButton="0" quotePrefix="0" xfId="7"/>
    <xf numFmtId="165" fontId="3" fillId="11" borderId="1" pivotButton="0" quotePrefix="0" xfId="7"/>
    <xf numFmtId="0" fontId="0" fillId="11" borderId="0" applyProtection="1" pivotButton="0" quotePrefix="0" xfId="0">
      <protection locked="0" hidden="0"/>
    </xf>
    <xf numFmtId="171" fontId="0" fillId="10" borderId="0" applyProtection="1" pivotButton="0" quotePrefix="0" xfId="0">
      <protection locked="0" hidden="0"/>
    </xf>
    <xf numFmtId="0" fontId="3" fillId="12" borderId="1" applyAlignment="1" pivotButton="0" quotePrefix="0" xfId="0">
      <alignment horizontal="center"/>
    </xf>
    <xf numFmtId="14" fontId="3" fillId="12" borderId="1" applyAlignment="1" pivotButton="0" quotePrefix="0" xfId="0">
      <alignment horizontal="center"/>
    </xf>
    <xf numFmtId="165" fontId="1" fillId="12" borderId="1" pivotButton="0" quotePrefix="0" xfId="7"/>
    <xf numFmtId="165" fontId="3" fillId="12" borderId="1" pivotButton="0" quotePrefix="0" xfId="7"/>
    <xf numFmtId="171" fontId="7" fillId="12" borderId="0" applyProtection="1" pivotButton="0" quotePrefix="0" xfId="7">
      <protection locked="0" hidden="0"/>
    </xf>
    <xf numFmtId="182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3" pivotButton="0" quotePrefix="0" xfId="0"/>
    <xf numFmtId="0" fontId="23" fillId="0" borderId="7" applyAlignment="1" pivotButton="0" quotePrefix="0" xfId="0">
      <alignment horizontal="center" vertical="center" wrapText="1"/>
    </xf>
    <xf numFmtId="18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7" pivotButton="0" quotePrefix="0" xfId="0"/>
    <xf numFmtId="0" fontId="22" fillId="2" borderId="35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71" fontId="22" fillId="2" borderId="0" applyAlignment="1" pivotButton="0" quotePrefix="0" xfId="7">
      <alignment horizontal="center" vertical="center"/>
    </xf>
    <xf numFmtId="166" fontId="11" fillId="0" borderId="0" applyAlignment="1" pivotButton="0" quotePrefix="0" xfId="5">
      <alignment horizontal="center"/>
    </xf>
    <xf numFmtId="0" fontId="11" fillId="0" borderId="0" pivotButton="0" quotePrefix="0" xfId="0"/>
    <xf numFmtId="0" fontId="0" fillId="13" borderId="9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171" fontId="22" fillId="5" borderId="1" applyAlignment="1" pivotButton="0" quotePrefix="0" xfId="7">
      <alignment horizontal="center" vertical="center"/>
    </xf>
    <xf numFmtId="0" fontId="22" fillId="2" borderId="0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2" borderId="1" applyAlignment="1" pivotButton="0" quotePrefix="0" xfId="0">
      <alignment horizontal="center"/>
    </xf>
    <xf numFmtId="0" fontId="25" fillId="14" borderId="9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0" fillId="0" borderId="0" pivotButton="0" quotePrefix="0" xfId="0"/>
    <xf numFmtId="0" fontId="26" fillId="6" borderId="0" applyAlignment="1" pivotButton="0" quotePrefix="0" xfId="0">
      <alignment horizontal="center"/>
    </xf>
    <xf numFmtId="171" fontId="27" fillId="6" borderId="0" applyAlignment="1" pivotButton="0" quotePrefix="0" xfId="8">
      <alignment horizontal="center" vertical="center"/>
    </xf>
    <xf numFmtId="0" fontId="24" fillId="6" borderId="0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/>
    </xf>
    <xf numFmtId="0" fontId="0" fillId="0" borderId="27" pivotButton="0" quotePrefix="0" xfId="0"/>
    <xf numFmtId="0" fontId="24" fillId="6" borderId="27" applyAlignment="1" pivotButton="0" quotePrefix="0" xfId="0">
      <alignment horizontal="center" vertical="center"/>
    </xf>
    <xf numFmtId="171" fontId="0" fillId="0" borderId="0" pivotButton="0" quotePrefix="0" xfId="7"/>
    <xf numFmtId="172" fontId="0" fillId="0" borderId="0" applyAlignment="1" pivotButton="0" quotePrefix="0" xfId="7">
      <alignment vertical="top"/>
    </xf>
    <xf numFmtId="172" fontId="0" fillId="0" borderId="0" pivotButton="0" quotePrefix="0" xfId="7"/>
    <xf numFmtId="171" fontId="0" fillId="0" borderId="0" applyProtection="1" pivotButton="0" quotePrefix="0" xfId="7">
      <protection locked="0" hidden="0"/>
    </xf>
    <xf numFmtId="172" fontId="0" fillId="0" borderId="0" applyAlignment="1" applyProtection="1" pivotButton="0" quotePrefix="0" xfId="7">
      <alignment vertical="top"/>
      <protection locked="0" hidden="0"/>
    </xf>
    <xf numFmtId="172" fontId="6" fillId="10" borderId="0" applyProtection="1" pivotButton="0" quotePrefix="0" xfId="7">
      <protection locked="0" hidden="0"/>
    </xf>
    <xf numFmtId="171" fontId="0" fillId="10" borderId="0" applyProtection="1" pivotButton="0" quotePrefix="0" xfId="0">
      <protection locked="0" hidden="0"/>
    </xf>
    <xf numFmtId="171" fontId="7" fillId="12" borderId="0" applyProtection="1" pivotButton="0" quotePrefix="0" xfId="7">
      <protection locked="0" hidden="0"/>
    </xf>
    <xf numFmtId="182" fontId="0" fillId="0" borderId="0" pivotButton="0" quotePrefix="0" xfId="0"/>
    <xf numFmtId="180" fontId="11" fillId="0" borderId="0" applyAlignment="1" pivotButton="0" quotePrefix="0" xfId="0">
      <alignment horizontal="center"/>
    </xf>
    <xf numFmtId="171" fontId="22" fillId="2" borderId="0" applyAlignment="1" pivotButton="0" quotePrefix="0" xfId="7">
      <alignment horizontal="center" vertical="center"/>
    </xf>
    <xf numFmtId="171" fontId="22" fillId="2" borderId="1" applyAlignment="1" pivotButton="0" quotePrefix="0" xfId="7">
      <alignment horizontal="center"/>
    </xf>
    <xf numFmtId="171" fontId="22" fillId="5" borderId="1" applyAlignment="1" pivotButton="0" quotePrefix="0" xfId="7">
      <alignment horizontal="center" vertical="center"/>
    </xf>
    <xf numFmtId="180" fontId="22" fillId="2" borderId="1" applyAlignment="1" pivotButton="0" quotePrefix="0" xfId="0">
      <alignment horizontal="center"/>
    </xf>
    <xf numFmtId="171" fontId="22" fillId="2" borderId="1" pivotButton="0" quotePrefix="0" xfId="7"/>
    <xf numFmtId="180" fontId="11" fillId="0" borderId="1" applyAlignment="1" pivotButton="0" quotePrefix="0" xfId="0">
      <alignment horizontal="center"/>
    </xf>
    <xf numFmtId="171" fontId="11" fillId="0" borderId="1" applyAlignment="1" pivotButton="0" quotePrefix="0" xfId="7">
      <alignment horizontal="center"/>
    </xf>
    <xf numFmtId="171" fontId="11" fillId="0" borderId="0" applyProtection="1" pivotButton="0" quotePrefix="0" xfId="0">
      <protection locked="0" hidden="0"/>
    </xf>
    <xf numFmtId="171" fontId="11" fillId="0" borderId="0" applyAlignment="1" pivotButton="0" quotePrefix="0" xfId="7">
      <alignment horizontal="center"/>
    </xf>
    <xf numFmtId="171" fontId="0" fillId="0" borderId="23" pivotButton="0" quotePrefix="0" xfId="11"/>
    <xf numFmtId="171" fontId="0" fillId="0" borderId="30" pivotButton="0" quotePrefix="0" xfId="11"/>
    <xf numFmtId="171" fontId="0" fillId="5" borderId="0" pivotButton="0" quotePrefix="0" xfId="0"/>
    <xf numFmtId="171" fontId="1" fillId="0" borderId="23" pivotButton="0" quotePrefix="0" xfId="9"/>
    <xf numFmtId="171" fontId="1" fillId="0" borderId="1" pivotButton="0" quotePrefix="0" xfId="9"/>
    <xf numFmtId="171" fontId="11" fillId="0" borderId="23" applyProtection="1" pivotButton="0" quotePrefix="0" xfId="10">
      <protection locked="0" hidden="0"/>
    </xf>
    <xf numFmtId="171" fontId="11" fillId="0" borderId="1" applyProtection="1" pivotButton="0" quotePrefix="0" xfId="10">
      <protection locked="0" hidden="0"/>
    </xf>
    <xf numFmtId="180" fontId="11" fillId="8" borderId="1" applyAlignment="1" pivotButton="0" quotePrefix="0" xfId="0">
      <alignment horizontal="center"/>
    </xf>
    <xf numFmtId="171" fontId="11" fillId="8" borderId="1" applyAlignment="1" pivotButton="0" quotePrefix="0" xfId="7">
      <alignment horizontal="center"/>
    </xf>
    <xf numFmtId="173" fontId="0" fillId="0" borderId="0" pivotButton="0" quotePrefix="0" xfId="5"/>
    <xf numFmtId="173" fontId="1" fillId="9" borderId="0" pivotButton="0" quotePrefix="0" xfId="5"/>
    <xf numFmtId="178" fontId="14" fillId="0" borderId="0" applyAlignment="1" pivotButton="0" quotePrefix="0" xfId="0">
      <alignment horizontal="right"/>
    </xf>
    <xf numFmtId="171" fontId="13" fillId="6" borderId="0" pivotButton="0" quotePrefix="0" xfId="7"/>
    <xf numFmtId="174" fontId="13" fillId="6" borderId="0" pivotButton="0" quotePrefix="0" xfId="7"/>
    <xf numFmtId="176" fontId="2" fillId="2" borderId="1" applyAlignment="1" pivotButton="0" quotePrefix="0" xfId="0">
      <alignment horizontal="center" vertical="center"/>
    </xf>
    <xf numFmtId="179" fontId="2" fillId="2" borderId="1" applyAlignment="1" pivotButton="0" quotePrefix="0" xfId="0">
      <alignment horizontal="center" vertical="center"/>
    </xf>
    <xf numFmtId="174" fontId="13" fillId="0" borderId="0" applyProtection="1" pivotButton="0" quotePrefix="0" xfId="7">
      <protection locked="0" hidden="0"/>
    </xf>
    <xf numFmtId="172" fontId="0" fillId="0" borderId="1" applyProtection="1" pivotButton="0" quotePrefix="0" xfId="7">
      <protection locked="0" hidden="0"/>
    </xf>
    <xf numFmtId="181" fontId="0" fillId="0" borderId="1" pivotButton="0" quotePrefix="0" xfId="0"/>
    <xf numFmtId="179" fontId="0" fillId="0" borderId="1" pivotButton="0" quotePrefix="0" xfId="0"/>
    <xf numFmtId="181" fontId="2" fillId="0" borderId="1" applyAlignment="1" pivotButton="0" quotePrefix="0" xfId="1">
      <alignment horizontal="center" vertical="center"/>
    </xf>
    <xf numFmtId="175" fontId="14" fillId="6" borderId="0" applyAlignment="1" pivotButton="0" quotePrefix="0" xfId="7">
      <alignment horizontal="right" vertical="center"/>
    </xf>
    <xf numFmtId="172" fontId="2" fillId="0" borderId="1" pivotButton="0" quotePrefix="0" xfId="7"/>
    <xf numFmtId="181" fontId="2" fillId="0" borderId="1" pivotButton="0" quotePrefix="0" xfId="0"/>
    <xf numFmtId="177" fontId="13" fillId="0" borderId="0" applyAlignment="1" pivotButton="0" quotePrefix="0" xfId="0">
      <alignment horizontal="right"/>
    </xf>
    <xf numFmtId="171" fontId="2" fillId="0" borderId="0" pivotButton="0" quotePrefix="0" xfId="0"/>
    <xf numFmtId="176" fontId="14" fillId="0" borderId="0" applyAlignment="1" pivotButton="0" quotePrefix="0" xfId="7">
      <alignment horizontal="right" vertical="center"/>
    </xf>
    <xf numFmtId="174" fontId="14" fillId="6" borderId="0" applyAlignment="1" pivotButton="0" quotePrefix="0" xfId="7">
      <alignment vertical="center"/>
    </xf>
    <xf numFmtId="171" fontId="14" fillId="6" borderId="0" applyAlignment="1" pivotButton="0" quotePrefix="0" xfId="7">
      <alignment horizontal="right" vertical="center"/>
    </xf>
    <xf numFmtId="171" fontId="14" fillId="6" borderId="0" applyAlignment="1" pivotButton="0" quotePrefix="0" xfId="7">
      <alignment horizontal="left" vertical="center"/>
    </xf>
    <xf numFmtId="179" fontId="14" fillId="0" borderId="0" applyAlignment="1" pivotButton="0" quotePrefix="0" xfId="7">
      <alignment horizontal="right" vertical="center"/>
    </xf>
    <xf numFmtId="171" fontId="27" fillId="6" borderId="0" applyAlignment="1" pivotButton="0" quotePrefix="0" xfId="8">
      <alignment horizontal="center" vertical="center"/>
    </xf>
    <xf numFmtId="171" fontId="0" fillId="0" borderId="0" pivotButton="0" quotePrefix="0" xfId="0"/>
    <xf numFmtId="179" fontId="14" fillId="0" borderId="0" applyAlignment="1" pivotButton="0" quotePrefix="0" xfId="0">
      <alignment horizontal="right"/>
    </xf>
    <xf numFmtId="171" fontId="15" fillId="6" borderId="0" applyAlignment="1" pivotButton="0" quotePrefix="0" xfId="7">
      <alignment vertical="center"/>
    </xf>
    <xf numFmtId="171" fontId="19" fillId="6" borderId="0" applyAlignment="1" pivotButton="0" quotePrefix="0" xfId="0">
      <alignment horizontal="center"/>
    </xf>
    <xf numFmtId="183" fontId="0" fillId="0" borderId="0" pivotButton="0" quotePrefix="0" xfId="0"/>
  </cellXfs>
  <cellStyles count="12">
    <cellStyle name="Normal" xfId="0" builtinId="0"/>
    <cellStyle name="Moeda" xfId="1" builtinId="4"/>
    <cellStyle name="Normal 2" xfId="2"/>
    <cellStyle name="Normal 2 10" xfId="3"/>
    <cellStyle name="Normal 69" xfId="4"/>
    <cellStyle name="Porcentagem" xfId="5" builtinId="5"/>
    <cellStyle name="Porcentagem 2" xfId="6"/>
    <cellStyle name="Vírgula" xfId="7" builtinId="3"/>
    <cellStyle name="Vírgula 2" xfId="8"/>
    <cellStyle name="Vírgula 2 2" xfId="9"/>
    <cellStyle name="Vírgula 3 2" xfId="10"/>
    <cellStyle name="Vírgula 3 2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User</author>
  </authors>
  <commentList>
    <comment ref="U7" authorId="0" shapeId="0">
      <text>
        <t xml:space="preserve">User:
Verificar se é fim mês.
</t>
      </text>
    </comment>
  </commentList>
</comments>
</file>

<file path=xl/comments/comment2.xml><?xml version="1.0" encoding="utf-8"?>
<comments xmlns="http://schemas.openxmlformats.org/spreadsheetml/2006/main">
  <authors>
    <author>Carlos Vieira</author>
  </authors>
  <commentList>
    <comment ref="J15" authorId="0" shapeId="0">
      <text>
        <t>Miguel</t>
      </text>
    </comment>
    <comment ref="J16" authorId="0" shapeId="0">
      <text>
        <t>Artur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426720</colOff>
      <row>1</row>
      <rowOff>7620</rowOff>
    </from>
    <to>
      <col>2</col>
      <colOff>7620</colOff>
      <row>6</row>
      <rowOff>99060</rowOff>
    </to>
    <pic>
      <nvPicPr>
        <cNvPr id="4391" name="Imagem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55320" y="182880"/>
          <a:ext cx="2209800" cy="106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mailto:securitizacao@ethosgroup.com.br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2"/>
  <sheetViews>
    <sheetView workbookViewId="0">
      <selection activeCell="A1" sqref="A1"/>
    </sheetView>
  </sheetViews>
  <sheetFormatPr baseColWidth="8" defaultRowHeight="13.2"/>
  <cols>
    <col width="3.6640625" customWidth="1" style="260" min="1" max="1"/>
    <col width="4.6640625" customWidth="1" style="260" min="2" max="2"/>
    <col width="12.33203125" customWidth="1" style="260" min="3" max="3"/>
    <col width="16.44140625" bestFit="1" customWidth="1" style="260" min="4" max="4"/>
    <col width="15.44140625" customWidth="1" style="260" min="5" max="5"/>
    <col width="16.44140625" bestFit="1" customWidth="1" style="260" min="6" max="6"/>
    <col width="15.44140625" customWidth="1" style="260" min="7" max="8"/>
    <col width="16.44140625" bestFit="1" customWidth="1" style="260" min="9" max="9"/>
    <col width="20.88671875" customWidth="1" style="260" min="10" max="10"/>
    <col width="19.44140625" customWidth="1" style="260" min="11" max="11"/>
    <col width="20.109375" bestFit="1" customWidth="1" style="260" min="12" max="12"/>
    <col width="19.88671875" customWidth="1" style="260" min="13" max="13"/>
  </cols>
  <sheetData>
    <row r="1" ht="15.6" customHeight="1" s="260">
      <c r="A1" s="12" t="inlineStr">
        <is>
          <t>LOGOS SECURITIZADORA</t>
        </is>
      </c>
      <c r="B1" s="13" t="n"/>
      <c r="C1" s="13" t="n"/>
      <c r="D1" s="13" t="n"/>
      <c r="E1" s="13" t="n"/>
      <c r="F1" s="13" t="n"/>
      <c r="G1" s="13" t="n"/>
      <c r="H1" s="13" t="n"/>
      <c r="I1" s="14" t="n"/>
      <c r="J1" s="10" t="inlineStr">
        <is>
          <t>Data de Vencimento:</t>
        </is>
      </c>
      <c r="K1" s="5" t="n">
        <v>46241</v>
      </c>
    </row>
    <row r="2" ht="15.6" customHeight="1" s="260">
      <c r="A2" s="15" t="inlineStr">
        <is>
          <t>16ª Série da 1ª Emissão (18C0722274)</t>
        </is>
      </c>
      <c r="B2" s="16" t="n"/>
      <c r="C2" s="16" t="n"/>
      <c r="D2" s="16" t="n"/>
      <c r="E2" s="16" t="n"/>
      <c r="F2" s="16" t="n"/>
      <c r="G2" s="16" t="n"/>
      <c r="H2" s="16" t="n"/>
      <c r="I2" s="17" t="n"/>
      <c r="J2" s="10" t="inlineStr">
        <is>
          <t>Data de Emissão:</t>
        </is>
      </c>
      <c r="K2" s="5" t="n">
        <v>43171</v>
      </c>
    </row>
    <row r="3">
      <c r="A3" s="240" t="inlineStr">
        <is>
          <t>dC</t>
        </is>
      </c>
      <c r="B3" s="240" t="inlineStr">
        <is>
          <t>dJ</t>
        </is>
      </c>
      <c r="C3" s="240" t="inlineStr">
        <is>
          <t>DATA</t>
        </is>
      </c>
      <c r="D3" s="240" t="inlineStr">
        <is>
          <t>VNe</t>
        </is>
      </c>
      <c r="E3" s="240" t="inlineStr">
        <is>
          <t>Fator IPCA</t>
        </is>
      </c>
      <c r="F3" s="240" t="inlineStr">
        <is>
          <t>VNa</t>
        </is>
      </c>
      <c r="G3" s="11" t="inlineStr">
        <is>
          <t>FatorJuros</t>
        </is>
      </c>
      <c r="H3" s="240" t="inlineStr">
        <is>
          <t>JUROS</t>
        </is>
      </c>
      <c r="I3" s="240" t="inlineStr">
        <is>
          <t>PU</t>
        </is>
      </c>
      <c r="J3" s="10" t="inlineStr">
        <is>
          <t>Valor Nominal Emissão:</t>
        </is>
      </c>
      <c r="K3" s="21" t="n">
        <v>10000</v>
      </c>
      <c r="M3" t="n">
        <v>2300000</v>
      </c>
    </row>
    <row r="4">
      <c r="A4" s="241" t="n"/>
      <c r="B4" s="241" t="n"/>
      <c r="C4" s="241" t="n"/>
      <c r="D4" s="241" t="n"/>
      <c r="E4" s="241" t="n"/>
      <c r="F4" s="241" t="n"/>
      <c r="G4" s="18" t="n">
        <v>0.08500000000000001</v>
      </c>
      <c r="H4" s="241" t="n"/>
      <c r="I4" s="241" t="n"/>
      <c r="J4" s="10" t="inlineStr">
        <is>
          <t>Início da Rentabilidade</t>
        </is>
      </c>
      <c r="K4" s="5" t="n">
        <v>43175</v>
      </c>
      <c r="M4" t="n">
        <v>1.15</v>
      </c>
    </row>
    <row r="5">
      <c r="A5" s="6" t="n">
        <v>0</v>
      </c>
      <c r="B5" s="6" t="n">
        <v>0</v>
      </c>
      <c r="C5" s="7">
        <f>K2</f>
        <v/>
      </c>
      <c r="D5" s="8">
        <f>TRUNC(($K$3),8)</f>
        <v/>
      </c>
      <c r="E5" s="8" t="n">
        <v>1</v>
      </c>
      <c r="F5" s="8">
        <f>TRUNC((D5*E5),8)</f>
        <v/>
      </c>
      <c r="G5" s="9">
        <f>ROUND(((ROUND((1+$G$4)^TRUNC((1*30/360),9),9))^TRUNC((B5/31),9)),9)</f>
        <v/>
      </c>
      <c r="H5" s="8">
        <f>TRUNC((F5*G5-F5),8)</f>
        <v/>
      </c>
      <c r="I5" s="8">
        <f>F5+H5</f>
        <v/>
      </c>
      <c r="M5" t="inlineStr">
        <is>
          <t>30/10/2025 23:53:03</t>
        </is>
      </c>
    </row>
    <row r="6">
      <c r="A6" s="1" t="n">
        <v>0</v>
      </c>
      <c r="B6" s="1" t="n">
        <v>0</v>
      </c>
      <c r="C6" s="2">
        <f>C5+1</f>
        <v/>
      </c>
      <c r="D6" s="8">
        <f>IF(DAY(C6)=DAY($K$1+1),TRUNC(($D$5),8),D5)</f>
        <v/>
      </c>
      <c r="E6" s="8" t="n">
        <v>1</v>
      </c>
      <c r="F6" s="4">
        <f>TRUNC((D6*E6),8)</f>
        <v/>
      </c>
      <c r="G6" s="3">
        <f>ROUND(((1+$G$4)^(30/360))^(B6/31),9)</f>
        <v/>
      </c>
      <c r="H6" s="4">
        <f>TRUNC((F6*G6-F6),8)</f>
        <v/>
      </c>
      <c r="I6" s="4">
        <f>F6+H6</f>
        <v/>
      </c>
      <c r="K6" s="5" t="n"/>
    </row>
    <row r="7">
      <c r="A7" s="1" t="n">
        <v>0</v>
      </c>
      <c r="B7" s="1" t="n">
        <v>0</v>
      </c>
      <c r="C7" s="2">
        <f>C6+1</f>
        <v/>
      </c>
      <c r="D7" s="8">
        <f>IF(DAY(C7)=DAY($K$1+1),TRUNC(($D$5),8),D6)</f>
        <v/>
      </c>
      <c r="E7" s="8" t="n">
        <v>1</v>
      </c>
      <c r="F7" s="4">
        <f>TRUNC((D7*E7),8)</f>
        <v/>
      </c>
      <c r="G7" s="3">
        <f>ROUND(((1+$G$4)^(30/360))^(B7/31),9)</f>
        <v/>
      </c>
      <c r="H7" s="4">
        <f>TRUNC((F7*G7-F7),8)</f>
        <v/>
      </c>
      <c r="I7" s="4">
        <f>F7+H7</f>
        <v/>
      </c>
    </row>
    <row r="8">
      <c r="A8" s="1" t="n">
        <v>0</v>
      </c>
      <c r="B8" s="1" t="n">
        <v>0</v>
      </c>
      <c r="C8" s="2">
        <f>C7+1</f>
        <v/>
      </c>
      <c r="D8" s="8">
        <f>IF(DAY(C8)=DAY($K$1+1),TRUNC(($D$5),8),D7)</f>
        <v/>
      </c>
      <c r="E8" s="8" t="n">
        <v>1</v>
      </c>
      <c r="F8" s="4">
        <f>TRUNC((D8*E8),8)</f>
        <v/>
      </c>
      <c r="G8" s="3">
        <f>ROUND(((1+$G$4)^(30/360))^(B8/31),9)</f>
        <v/>
      </c>
      <c r="H8" s="4">
        <f>TRUNC((F8*G8-F8),8)</f>
        <v/>
      </c>
      <c r="I8" s="4">
        <f>F8+H8</f>
        <v/>
      </c>
    </row>
    <row r="9">
      <c r="A9" s="1" t="n">
        <v>0</v>
      </c>
      <c r="B9" s="1" t="n">
        <v>0</v>
      </c>
      <c r="C9" s="2">
        <f>C8+1</f>
        <v/>
      </c>
      <c r="D9" s="8">
        <f>IF(DAY(C9)=DAY($K$1+1),TRUNC(($D$5),8),D8)</f>
        <v/>
      </c>
      <c r="E9" s="8" t="n">
        <v>1</v>
      </c>
      <c r="F9" s="4">
        <f>TRUNC((D9*E9),8)</f>
        <v/>
      </c>
      <c r="G9" s="3">
        <f>ROUND(((1+$G$4)^(30/360))^(B9/31),9)</f>
        <v/>
      </c>
      <c r="H9" s="4">
        <f>TRUNC((F9*G9-F9),8)</f>
        <v/>
      </c>
      <c r="I9" s="4">
        <f>F9+H9</f>
        <v/>
      </c>
    </row>
    <row r="10">
      <c r="A10" s="1">
        <f>IF(DAY(C10)=DAY($K$1+1),1,A9+1)</f>
        <v/>
      </c>
      <c r="B10" s="1">
        <f>IF(DAY(C10)=DAY($K$1+1),1,B9+1)</f>
        <v/>
      </c>
      <c r="C10" s="2">
        <f>C9+1</f>
        <v/>
      </c>
      <c r="D10" s="8">
        <f>IF(DAY(C10)=DAY($K$1+1),TRUNC(($D$5),8),D9)</f>
        <v/>
      </c>
      <c r="E10" s="4">
        <f>TRUNC(((1+IPCA!#REF!))^(A10/22),8)</f>
        <v/>
      </c>
      <c r="F10" s="4">
        <f>TRUNC((D10*E10),8)</f>
        <v/>
      </c>
      <c r="G10" s="3">
        <f>ROUND(((1+$G$4)^(30/360))^(B10/31),9)</f>
        <v/>
      </c>
      <c r="H10" s="4">
        <f>TRUNC((F10*G10-F10),8)</f>
        <v/>
      </c>
      <c r="I10" s="4">
        <f>F10+H10</f>
        <v/>
      </c>
      <c r="L10" s="5" t="n"/>
    </row>
    <row r="11">
      <c r="A11" s="1">
        <f>IF(DAY(C11)=DAY($K$1+1),1,A10+1)</f>
        <v/>
      </c>
      <c r="B11" s="1">
        <f>IF(DAY(C11)=DAY($K$1+1),1,B10+1)</f>
        <v/>
      </c>
      <c r="C11" s="2">
        <f>C10+1</f>
        <v/>
      </c>
      <c r="D11" s="8">
        <f>IF(DAY(C11)=DAY($K$1+1),TRUNC(($D$5),8),D10)</f>
        <v/>
      </c>
      <c r="E11" s="4">
        <f>TRUNC(((1+IPCA!#REF!))^(A11/22),8)</f>
        <v/>
      </c>
      <c r="F11" s="4">
        <f>TRUNC((D11*E11),8)</f>
        <v/>
      </c>
      <c r="G11" s="3">
        <f>ROUND(((1+$G$4)^(30/360))^(B11/31),9)</f>
        <v/>
      </c>
      <c r="H11" s="4">
        <f>TRUNC((F11*G11-F11),8)</f>
        <v/>
      </c>
      <c r="I11" s="4">
        <f>F11+H11</f>
        <v/>
      </c>
      <c r="L11" s="5" t="n"/>
    </row>
    <row r="12">
      <c r="A12" s="1">
        <f>IF(DAY(C12)=DAY($K$1+1),1,A11+1)</f>
        <v/>
      </c>
      <c r="B12" s="1">
        <f>IF(DAY(C12)=DAY($K$1+1),1,B11+1)</f>
        <v/>
      </c>
      <c r="C12" s="2">
        <f>C11+1</f>
        <v/>
      </c>
      <c r="D12" s="8">
        <f>IF(DAY(C12)=DAY($K$1+1),TRUNC(($D$5),8),D11)</f>
        <v/>
      </c>
      <c r="E12" s="4">
        <f>TRUNC(((1+IPCA!#REF!))^(A12/22),8)</f>
        <v/>
      </c>
      <c r="F12" s="4">
        <f>TRUNC((D12*E12),8)</f>
        <v/>
      </c>
      <c r="G12" s="3">
        <f>ROUND(((1+$G$4)^(30/360))^(B12/31),9)</f>
        <v/>
      </c>
      <c r="H12" s="4">
        <f>TRUNC((F12*G12-F12),8)</f>
        <v/>
      </c>
      <c r="I12" s="4">
        <f>F12+H12</f>
        <v/>
      </c>
    </row>
    <row r="13">
      <c r="A13" s="1">
        <f>IF(DAY(C13)=DAY($K$1+1),1,A12+1)</f>
        <v/>
      </c>
      <c r="B13" s="1">
        <f>IF(DAY(C13)=DAY($K$1+1),1,B12+1)</f>
        <v/>
      </c>
      <c r="C13" s="2">
        <f>C12+1</f>
        <v/>
      </c>
      <c r="D13" s="8">
        <f>IF(DAY(C13)=DAY($K$1+1),TRUNC(($D$5),8),D12)</f>
        <v/>
      </c>
      <c r="E13" s="4">
        <f>TRUNC(((1+IPCA!#REF!))^(A13/22),8)</f>
        <v/>
      </c>
      <c r="F13" s="4">
        <f>TRUNC((D13*E13),8)</f>
        <v/>
      </c>
      <c r="G13" s="3">
        <f>ROUND(((1+$G$4)^(30/360))^(B13/31),9)</f>
        <v/>
      </c>
      <c r="H13" s="4">
        <f>TRUNC((F13*G13-F13),8)</f>
        <v/>
      </c>
      <c r="I13" s="4">
        <f>F13+H13</f>
        <v/>
      </c>
    </row>
    <row r="14">
      <c r="A14" s="1">
        <f>IF(DAY(C14)=DAY($K$1+1),1,A13+1)</f>
        <v/>
      </c>
      <c r="B14" s="1">
        <f>IF(DAY(C14)=DAY($K$1+1),1,B13+1)</f>
        <v/>
      </c>
      <c r="C14" s="2">
        <f>C13+1</f>
        <v/>
      </c>
      <c r="D14" s="8">
        <f>IF(DAY(C14)=DAY($K$1+1),TRUNC(($D$5),8),D13)</f>
        <v/>
      </c>
      <c r="E14" s="4">
        <f>TRUNC(((1+IPCA!#REF!))^(A14/22),8)</f>
        <v/>
      </c>
      <c r="F14" s="4">
        <f>TRUNC((D14*E14),8)</f>
        <v/>
      </c>
      <c r="G14" s="3">
        <f>ROUND(((1+$G$4)^(30/360))^(B14/31),9)</f>
        <v/>
      </c>
      <c r="H14" s="4">
        <f>TRUNC((F14*G14-F14),8)</f>
        <v/>
      </c>
      <c r="I14" s="4">
        <f>F14+H14</f>
        <v/>
      </c>
    </row>
    <row r="15">
      <c r="A15" s="1">
        <f>IF(DAY(C15)=DAY($K$1+1),1,A14+1)</f>
        <v/>
      </c>
      <c r="B15" s="1">
        <f>IF(DAY(C15)=DAY($K$1+1),1,B14+1)</f>
        <v/>
      </c>
      <c r="C15" s="2">
        <f>C14+1</f>
        <v/>
      </c>
      <c r="D15" s="8">
        <f>IF(DAY(C15)=DAY($K$1+1),TRUNC(($D$5),8),D14)</f>
        <v/>
      </c>
      <c r="E15" s="4">
        <f>TRUNC(((1+IPCA!#REF!))^(A15/22),8)</f>
        <v/>
      </c>
      <c r="F15" s="4">
        <f>TRUNC((D15*E15),8)</f>
        <v/>
      </c>
      <c r="G15" s="3">
        <f>ROUND(((1+$G$4)^(30/360))^(B15/31),9)</f>
        <v/>
      </c>
      <c r="H15" s="4">
        <f>TRUNC((F15*G15-F15),8)</f>
        <v/>
      </c>
      <c r="I15" s="4">
        <f>F15+H15</f>
        <v/>
      </c>
      <c r="K15" s="10" t="n"/>
    </row>
    <row r="16">
      <c r="A16" s="1">
        <f>IF(DAY(C16)=DAY($K$1+1),1,A15+1)</f>
        <v/>
      </c>
      <c r="B16" s="1">
        <f>IF(DAY(C16)=DAY($K$1+1),1,B15+1)</f>
        <v/>
      </c>
      <c r="C16" s="2">
        <f>C15+1</f>
        <v/>
      </c>
      <c r="D16" s="8">
        <f>IF(DAY(C16)=DAY($K$1+1),TRUNC(($D$5),8),D15)</f>
        <v/>
      </c>
      <c r="E16" s="4">
        <f>TRUNC(((1+IPCA!#REF!))^(A16/22),8)</f>
        <v/>
      </c>
      <c r="F16" s="4">
        <f>TRUNC((D16*E16),8)</f>
        <v/>
      </c>
      <c r="G16" s="3">
        <f>ROUND(((1+$G$4)^(30/360))^(B16/31),9)</f>
        <v/>
      </c>
      <c r="H16" s="4">
        <f>TRUNC((F16*G16-F16),8)</f>
        <v/>
      </c>
      <c r="I16" s="4">
        <f>F16+H16</f>
        <v/>
      </c>
    </row>
    <row r="17">
      <c r="A17" s="1">
        <f>IF(DAY(C17)=DAY($K$1+1),1,A16+1)</f>
        <v/>
      </c>
      <c r="B17" s="1">
        <f>IF(DAY(C17)=DAY($K$1+1),1,B16+1)</f>
        <v/>
      </c>
      <c r="C17" s="2">
        <f>C16+1</f>
        <v/>
      </c>
      <c r="D17" s="8">
        <f>IF(DAY(C17)=DAY($K$1+1),TRUNC(($D$5),8),D16)</f>
        <v/>
      </c>
      <c r="E17" s="4">
        <f>TRUNC(((1+IPCA!#REF!))^(A17/22),8)</f>
        <v/>
      </c>
      <c r="F17" s="4">
        <f>TRUNC((D17*E17),8)</f>
        <v/>
      </c>
      <c r="G17" s="3">
        <f>ROUND(((1+$G$4)^(30/360))^(B17/31),9)</f>
        <v/>
      </c>
      <c r="H17" s="4">
        <f>TRUNC((F17*G17-F17),8)</f>
        <v/>
      </c>
      <c r="I17" s="4">
        <f>F17+H17</f>
        <v/>
      </c>
    </row>
    <row r="18">
      <c r="A18" s="1">
        <f>IF(DAY(C18)=DAY($K$1+1),1,A17+1)</f>
        <v/>
      </c>
      <c r="B18" s="1">
        <f>IF(DAY(C18)=DAY($K$1+1),1,B17+1)</f>
        <v/>
      </c>
      <c r="C18" s="2">
        <f>C17+1</f>
        <v/>
      </c>
      <c r="D18" s="8">
        <f>IF(DAY(C18)=DAY($K$1+1),TRUNC(($D$5),8),D17)</f>
        <v/>
      </c>
      <c r="E18" s="4">
        <f>TRUNC(((1+IPCA!#REF!))^(A18/22),8)</f>
        <v/>
      </c>
      <c r="F18" s="4">
        <f>TRUNC((D18*E18),8)</f>
        <v/>
      </c>
      <c r="G18" s="3">
        <f>ROUND(((1+$G$4)^(30/360))^(B18/31),9)</f>
        <v/>
      </c>
      <c r="H18" s="4">
        <f>TRUNC((F18*G18-F18),8)</f>
        <v/>
      </c>
      <c r="I18" s="4">
        <f>F18+H18</f>
        <v/>
      </c>
    </row>
    <row r="19">
      <c r="A19" s="1">
        <f>IF(DAY(C19)=DAY($K$1+1),1,A18+1)</f>
        <v/>
      </c>
      <c r="B19" s="1">
        <f>IF(DAY(C19)=DAY($K$1+1),1,B18+1)</f>
        <v/>
      </c>
      <c r="C19" s="2">
        <f>C18+1</f>
        <v/>
      </c>
      <c r="D19" s="8">
        <f>IF(DAY(C19)=DAY($K$1+1),TRUNC(($D$5),8),D18)</f>
        <v/>
      </c>
      <c r="E19" s="4">
        <f>TRUNC(((1+IPCA!#REF!))^(A19/22),8)</f>
        <v/>
      </c>
      <c r="F19" s="4">
        <f>TRUNC((D19*E19),8)</f>
        <v/>
      </c>
      <c r="G19" s="3">
        <f>ROUND(((1+$G$4)^(30/360))^(B19/31),9)</f>
        <v/>
      </c>
      <c r="H19" s="4">
        <f>TRUNC((F19*G19-F19),8)</f>
        <v/>
      </c>
      <c r="I19" s="4">
        <f>F19+H19</f>
        <v/>
      </c>
    </row>
    <row r="20">
      <c r="A20" s="1">
        <f>IF(DAY(C20)=DAY($K$1+1),1,A19+1)</f>
        <v/>
      </c>
      <c r="B20" s="1">
        <f>IF(DAY(C20)=DAY($K$1+1),1,B19+1)</f>
        <v/>
      </c>
      <c r="C20" s="2">
        <f>C19+1</f>
        <v/>
      </c>
      <c r="D20" s="8">
        <f>IF(DAY(C20)=DAY($K$1+1),TRUNC(($D$5),8),D19)</f>
        <v/>
      </c>
      <c r="E20" s="4">
        <f>TRUNC(((1+IPCA!#REF!))^(A20/22),8)</f>
        <v/>
      </c>
      <c r="F20" s="4">
        <f>TRUNC((D20*E20),8)</f>
        <v/>
      </c>
      <c r="G20" s="3">
        <f>ROUND(((1+$G$4)^(30/360))^(B20/(EDATE(C20-A20,1)-(C20-A20))),9)</f>
        <v/>
      </c>
      <c r="H20" s="4">
        <f>TRUNC((F20*G20-F20),8)</f>
        <v/>
      </c>
      <c r="I20" s="4">
        <f>F20+H20</f>
        <v/>
      </c>
      <c r="J20" s="27" t="n"/>
    </row>
    <row r="21">
      <c r="A21" s="1">
        <f>IF(DAY(C21)=DAY($K$1+1),1,A20+1)</f>
        <v/>
      </c>
      <c r="B21" s="1">
        <f>IF(DAY(C21)=DAY($K$1+1),1,B20+1)</f>
        <v/>
      </c>
      <c r="C21" s="2">
        <f>C20+1</f>
        <v/>
      </c>
      <c r="D21" s="8">
        <f>IF(DAY(C21)=DAY($K$1+1),TRUNC(($D$5),8),D20)</f>
        <v/>
      </c>
      <c r="E21" s="4">
        <f>TRUNC(((1+IPCA!#REF!))^(A21/22),8)</f>
        <v/>
      </c>
      <c r="F21" s="4">
        <f>TRUNC((D21*E21),8)</f>
        <v/>
      </c>
      <c r="G21" s="3">
        <f>ROUND(((1+$G$4)^(30/360))^(B21/(EDATE(C21-A21,1)-(C21-A21))),9)</f>
        <v/>
      </c>
      <c r="H21" s="4">
        <f>TRUNC((F21*G21-F21),8)</f>
        <v/>
      </c>
      <c r="I21" s="4">
        <f>F21+H21</f>
        <v/>
      </c>
    </row>
    <row r="22">
      <c r="A22" s="1">
        <f>IF(DAY(C22)=DAY($K$1+1),1,A21+1)</f>
        <v/>
      </c>
      <c r="B22" s="1">
        <f>IF(DAY(C22)=DAY($K$1+1),1,B21+1)</f>
        <v/>
      </c>
      <c r="C22" s="2">
        <f>C21+1</f>
        <v/>
      </c>
      <c r="D22" s="8">
        <f>IF(DAY(C22)=DAY($K$1+1),TRUNC(($D$5),8),D21)</f>
        <v/>
      </c>
      <c r="E22" s="4">
        <f>TRUNC(((1+IPCA!#REF!))^(A22/22),8)</f>
        <v/>
      </c>
      <c r="F22" s="4">
        <f>TRUNC((D22*E22),8)</f>
        <v/>
      </c>
      <c r="G22" s="3">
        <f>ROUND(((1+$G$4)^(30/360))^(B22/(EDATE(C22-A22,1)-(C22-A22))),9)</f>
        <v/>
      </c>
      <c r="H22" s="4">
        <f>TRUNC((F22*G22-F22),8)</f>
        <v/>
      </c>
      <c r="I22" s="4">
        <f>F22+H22</f>
        <v/>
      </c>
      <c r="M22" s="5" t="n"/>
    </row>
    <row r="23">
      <c r="A23" s="1">
        <f>IF(DAY(C23)=DAY($K$1+1),1,A22+1)</f>
        <v/>
      </c>
      <c r="B23" s="1">
        <f>IF(DAY(C23)=DAY($K$1+1),1,B22+1)</f>
        <v/>
      </c>
      <c r="C23" s="2">
        <f>C22+1</f>
        <v/>
      </c>
      <c r="D23" s="8">
        <f>IF(DAY(C23)=DAY($K$1+1),TRUNC(($D$5),8),D22)</f>
        <v/>
      </c>
      <c r="E23" s="4">
        <f>TRUNC(((1+IPCA!#REF!))^(A23/22),8)</f>
        <v/>
      </c>
      <c r="F23" s="4">
        <f>TRUNC((D23*E23),8)</f>
        <v/>
      </c>
      <c r="G23" s="3">
        <f>ROUND(((1+$G$4)^(30/360))^(B23/(EDATE(C23-A23,1)-(C23-A23))),9)</f>
        <v/>
      </c>
      <c r="H23" s="4">
        <f>TRUNC((F23*G23-F23),8)</f>
        <v/>
      </c>
      <c r="I23" s="4">
        <f>F23+H23</f>
        <v/>
      </c>
      <c r="K23" s="5" t="n"/>
      <c r="M23" s="5" t="n"/>
    </row>
    <row r="24">
      <c r="A24" s="1">
        <f>IF(DAY(C24)=DAY($K$1+1),1,A23+1)</f>
        <v/>
      </c>
      <c r="B24" s="1">
        <f>IF(DAY(C24)=DAY($K$1+1),1,B23+1)</f>
        <v/>
      </c>
      <c r="C24" s="2">
        <f>C23+1</f>
        <v/>
      </c>
      <c r="D24" s="8">
        <f>IF(DAY(C24)=DAY($K$1+1),TRUNC(($D$5),8),D23)</f>
        <v/>
      </c>
      <c r="E24" s="4">
        <f>TRUNC(((1+IPCA!#REF!))^(A24/22),8)</f>
        <v/>
      </c>
      <c r="F24" s="4">
        <f>TRUNC((D24*E24),8)</f>
        <v/>
      </c>
      <c r="G24" s="3">
        <f>ROUND(((1+$G$4)^(30/360))^(B24/(EDATE(C24-A24,1)-(C24-A24))),9)</f>
        <v/>
      </c>
      <c r="H24" s="4">
        <f>TRUNC((F24*G24-F24),8)</f>
        <v/>
      </c>
      <c r="I24" s="4">
        <f>F24+H24</f>
        <v/>
      </c>
      <c r="K24" s="5" t="n"/>
    </row>
    <row r="25">
      <c r="A25" s="1">
        <f>IF(DAY(C25)=DAY($K$1+1),1,A24+1)</f>
        <v/>
      </c>
      <c r="B25" s="1">
        <f>IF(DAY(C25)=DAY($K$1+1),1,B24+1)</f>
        <v/>
      </c>
      <c r="C25" s="2">
        <f>C24+1</f>
        <v/>
      </c>
      <c r="D25" s="8">
        <f>IF(DAY(C25)=DAY($K$1+1),TRUNC(($D$5),8),D24)</f>
        <v/>
      </c>
      <c r="E25" s="4">
        <f>TRUNC(((1+IPCA!#REF!))^(A25/22),8)</f>
        <v/>
      </c>
      <c r="F25" s="4">
        <f>TRUNC((D25*E25),8)</f>
        <v/>
      </c>
      <c r="G25" s="3">
        <f>ROUND(((1+$G$4)^(30/360))^(B25/(EDATE(C25-A25,1)-(C25-A25))),9)</f>
        <v/>
      </c>
      <c r="H25" s="4">
        <f>TRUNC((F25*G25-F25),8)</f>
        <v/>
      </c>
      <c r="I25" s="4">
        <f>F25+H25</f>
        <v/>
      </c>
      <c r="K25" s="5" t="n"/>
    </row>
    <row r="26">
      <c r="A26" s="1">
        <f>IF(DAY(C26)=DAY($K$1+1),1,A25+1)</f>
        <v/>
      </c>
      <c r="B26" s="1">
        <f>IF(DAY(C26)=DAY($K$1+1),1,B25+1)</f>
        <v/>
      </c>
      <c r="C26" s="2">
        <f>C25+1</f>
        <v/>
      </c>
      <c r="D26" s="8">
        <f>IF(DAY(C26)=DAY($K$1+1),TRUNC(($D$5),8),D25)</f>
        <v/>
      </c>
      <c r="E26" s="4">
        <f>TRUNC(((1+IPCA!#REF!))^(A26/22),8)</f>
        <v/>
      </c>
      <c r="F26" s="4">
        <f>TRUNC((D26*E26),8)</f>
        <v/>
      </c>
      <c r="G26" s="3">
        <f>ROUND(((1+$G$4)^(30/360))^(B26/(EDATE(C26-A26,1)-(C26-A26))),9)</f>
        <v/>
      </c>
      <c r="H26" s="4">
        <f>TRUNC((F26*G26-F26),8)</f>
        <v/>
      </c>
      <c r="I26" s="4">
        <f>F26+H26</f>
        <v/>
      </c>
      <c r="K26" s="5" t="n"/>
    </row>
    <row r="27">
      <c r="A27" s="1">
        <f>IF(DAY(C27)=DAY($K$1+1),1,A26+1)</f>
        <v/>
      </c>
      <c r="B27" s="1">
        <f>IF(DAY(C27)=DAY($K$1+1),1,B26+1)</f>
        <v/>
      </c>
      <c r="C27" s="2">
        <f>C26+1</f>
        <v/>
      </c>
      <c r="D27" s="8">
        <f>IF(DAY(C27)=DAY($K$1+1),TRUNC(($D$5),8),D26)</f>
        <v/>
      </c>
      <c r="E27" s="4">
        <f>TRUNC(((1+IPCA!#REF!))^(A27/22),8)</f>
        <v/>
      </c>
      <c r="F27" s="4">
        <f>TRUNC((D27*E27),8)</f>
        <v/>
      </c>
      <c r="G27" s="3">
        <f>ROUND(((1+$G$4)^(30/360))^(B27/(EDATE(C27-A27,1)-(C27-A27))),9)</f>
        <v/>
      </c>
      <c r="H27" s="4">
        <f>TRUNC((F27*G27-F27),8)</f>
        <v/>
      </c>
      <c r="I27" s="4">
        <f>F27+H27</f>
        <v/>
      </c>
      <c r="K27" s="5" t="n"/>
    </row>
    <row r="28">
      <c r="A28" s="1">
        <f>IF(DAY(C28)=DAY($K$1+1),1,A27+1)</f>
        <v/>
      </c>
      <c r="B28" s="1">
        <f>IF(DAY(C28)=DAY($K$1+1),1,B27+1)</f>
        <v/>
      </c>
      <c r="C28" s="2">
        <f>C27+1</f>
        <v/>
      </c>
      <c r="D28" s="8">
        <f>IF(DAY(C28)=DAY($K$1+1),TRUNC(($D$5),8),D27)</f>
        <v/>
      </c>
      <c r="E28" s="4">
        <f>TRUNC(((1+IPCA!#REF!))^(A28/22),8)</f>
        <v/>
      </c>
      <c r="F28" s="4">
        <f>TRUNC((D28*E28),8)</f>
        <v/>
      </c>
      <c r="G28" s="3">
        <f>ROUND(((1+$G$4)^(30/360))^(B28/(EDATE(C28-A28,1)-(C28-A28))),9)</f>
        <v/>
      </c>
      <c r="H28" s="4">
        <f>TRUNC((F28*G28-F28),8)</f>
        <v/>
      </c>
      <c r="I28" s="4">
        <f>F28+H28</f>
        <v/>
      </c>
      <c r="K28" s="5" t="n"/>
    </row>
    <row r="29">
      <c r="A29" s="1">
        <f>IF(DAY(C29)=DAY($K$1+1),1,A28+1)</f>
        <v/>
      </c>
      <c r="B29" s="1">
        <f>IF(DAY(C29)=DAY($K$1+1),1,B28+1)</f>
        <v/>
      </c>
      <c r="C29" s="2">
        <f>C28+1</f>
        <v/>
      </c>
      <c r="D29" s="8">
        <f>IF(DAY(C29)=DAY($K$1+1),TRUNC(($D$5),8),D28)</f>
        <v/>
      </c>
      <c r="E29" s="4">
        <f>TRUNC(((1+IPCA!#REF!))^(A29/22),8)</f>
        <v/>
      </c>
      <c r="F29" s="4">
        <f>TRUNC((D29*E29),8)</f>
        <v/>
      </c>
      <c r="G29" s="3">
        <f>ROUND(((1+$G$4)^(30/360))^(B29/(EDATE(C29-A29,1)-(C29-A29))),9)</f>
        <v/>
      </c>
      <c r="H29" s="4">
        <f>TRUNC((F29*G29-F29),8)</f>
        <v/>
      </c>
      <c r="I29" s="4">
        <f>F29+H29</f>
        <v/>
      </c>
      <c r="K29" s="5" t="n"/>
    </row>
    <row r="30">
      <c r="A30" s="1">
        <f>IF(DAY(C30)=DAY($K$1+1),1,A29+1)</f>
        <v/>
      </c>
      <c r="B30" s="1">
        <f>IF(DAY(C30)=DAY($K$1+1),1,B29+1)</f>
        <v/>
      </c>
      <c r="C30" s="2">
        <f>C29+1</f>
        <v/>
      </c>
      <c r="D30" s="8">
        <f>IF(DAY(C30)=DAY($K$1+1),TRUNC(($D$5),8),D29)</f>
        <v/>
      </c>
      <c r="E30" s="4">
        <f>TRUNC(((1+IPCA!#REF!))^(A30/22),8)</f>
        <v/>
      </c>
      <c r="F30" s="4">
        <f>TRUNC((D30*E30),8)</f>
        <v/>
      </c>
      <c r="G30" s="3">
        <f>ROUND(((1+$G$4)^(30/360))^(B30/(EDATE(C30-A30,1)-(C30-A30))),9)</f>
        <v/>
      </c>
      <c r="H30" s="4">
        <f>TRUNC((F30*G30-F30),8)</f>
        <v/>
      </c>
      <c r="I30" s="4">
        <f>F30+H30</f>
        <v/>
      </c>
      <c r="J30" s="33" t="inlineStr">
        <is>
          <t>JUROS</t>
        </is>
      </c>
      <c r="K30" s="33" t="inlineStr">
        <is>
          <t>AMORTIZAÇÃO</t>
        </is>
      </c>
      <c r="L30" s="33" t="inlineStr">
        <is>
          <t>AMEX</t>
        </is>
      </c>
      <c r="M30" s="33" t="inlineStr">
        <is>
          <t>RESIDUAL</t>
        </is>
      </c>
    </row>
    <row r="31">
      <c r="A31" s="22">
        <f>IF(DAY(C31)=DAY($K$1+1),1,A30+1)</f>
        <v/>
      </c>
      <c r="B31" s="22">
        <f>IF(DAY(C31)=DAY($K$1+1),1,B30+1)</f>
        <v/>
      </c>
      <c r="C31" s="23">
        <f>C30+1</f>
        <v/>
      </c>
      <c r="D31" s="24">
        <f>IF(DAY(C31)=DAY($K$1+1),TRUNC(($D$5),8),D30)</f>
        <v/>
      </c>
      <c r="E31" s="25">
        <f>TRUNC(((1+IPCA!#REF!))^(A31/22),8)</f>
        <v/>
      </c>
      <c r="F31" s="25">
        <f>TRUNC((D31*E31),8)</f>
        <v/>
      </c>
      <c r="G31" s="26">
        <f>ROUND(((1+$G$4)^(30/360))^(B31/(EDATE(C31-A31,1)-(C31-A31))),9)</f>
        <v/>
      </c>
      <c r="H31" s="25">
        <f>TRUNC((F31*G31-F31),8)</f>
        <v/>
      </c>
      <c r="I31" s="25">
        <f>F31+H31</f>
        <v/>
      </c>
      <c r="J31" s="28">
        <f>H31</f>
        <v/>
      </c>
      <c r="K31" s="29" t="n">
        <v>0</v>
      </c>
      <c r="L31" s="29">
        <f>L32/1540</f>
        <v/>
      </c>
      <c r="M31" s="29">
        <f>I31-J31-K31-L31</f>
        <v/>
      </c>
    </row>
    <row r="32">
      <c r="A32" s="1">
        <f>IF(DAY(C32)=DAY($K$1+1),1,A31+1)</f>
        <v/>
      </c>
      <c r="B32" s="1">
        <f>IF(DAY(C32)=DAY($K$1+1),1,B31+1)</f>
        <v/>
      </c>
      <c r="C32" s="2">
        <f>C31+1</f>
        <v/>
      </c>
      <c r="D32" s="8">
        <f>M31</f>
        <v/>
      </c>
      <c r="E32" s="4">
        <f>TRUNC(((1+IPCA!#REF!))^(A32/30),8)</f>
        <v/>
      </c>
      <c r="F32" s="4">
        <f>TRUNC((D32*E32),8)</f>
        <v/>
      </c>
      <c r="G32" s="3">
        <f>ROUND(((1+$G$4)^(30/360))^(B32/(EDATE(C32-A32,1)-(C32-A32))),9)</f>
        <v/>
      </c>
      <c r="H32" s="4">
        <f>TRUNC((F32*G32-F32),8)</f>
        <v/>
      </c>
      <c r="I32" s="4">
        <f>F32+H32</f>
        <v/>
      </c>
      <c r="J32" s="8">
        <f>J31*1540</f>
        <v/>
      </c>
      <c r="K32" s="8">
        <f>K31*1540</f>
        <v/>
      </c>
      <c r="L32" s="8">
        <f>(147598.16*0.7)</f>
        <v/>
      </c>
      <c r="M32" s="8">
        <f>M31*1540</f>
        <v/>
      </c>
    </row>
    <row r="33" ht="13.8" customHeight="1" s="260" thickBot="1">
      <c r="A33" s="1">
        <f>IF(DAY(C33)=DAY($K$1+1),1,A32+1)</f>
        <v/>
      </c>
      <c r="B33" s="1">
        <f>IF(DAY(C33)=DAY($K$1+1),1,B32+1)</f>
        <v/>
      </c>
      <c r="C33" s="2">
        <f>C32+1</f>
        <v/>
      </c>
      <c r="D33" s="8">
        <f>IF(DAY(C33)=DAY($K$1+1),TRUNC(($D$5),8),D32)</f>
        <v/>
      </c>
      <c r="E33" s="4">
        <f>TRUNC(((1+IPCA!#REF!))^(A33/30),8)</f>
        <v/>
      </c>
      <c r="F33" s="4">
        <f>TRUNC((D33*E33),8)</f>
        <v/>
      </c>
      <c r="G33" s="3">
        <f>ROUND(((1+$G$4)^(30/360))^(B33/(EDATE(C33-A33,1)-(C33-A33))),9)</f>
        <v/>
      </c>
      <c r="H33" s="4">
        <f>TRUNC((F33*G33-F33),8)</f>
        <v/>
      </c>
      <c r="I33" s="4">
        <f>F33+H33</f>
        <v/>
      </c>
      <c r="J33" s="34" t="n"/>
      <c r="K33" s="30" t="n"/>
      <c r="L33" s="10" t="n"/>
    </row>
    <row r="34" ht="13.8" customHeight="1" s="260" thickBot="1">
      <c r="A34" s="1">
        <f>IF(DAY(C34)=DAY($K$1+1),1,A33+1)</f>
        <v/>
      </c>
      <c r="B34" s="1">
        <f>IF(DAY(C34)=DAY($K$1+1),1,B33+1)</f>
        <v/>
      </c>
      <c r="C34" s="2">
        <f>C33+1</f>
        <v/>
      </c>
      <c r="D34" s="8">
        <f>IF(DAY(C34)=DAY($K$1+1),TRUNC(($D$5),8),D33)</f>
        <v/>
      </c>
      <c r="E34" s="4">
        <f>TRUNC(((1+IPCA!#REF!))^(A34/30),8)</f>
        <v/>
      </c>
      <c r="F34" s="4">
        <f>TRUNC((D34*E34),8)</f>
        <v/>
      </c>
      <c r="G34" s="3">
        <f>ROUND(((1+$G$4)^(30/360))^(B34/(EDATE(C34-A34,1)-(C34-A34))),9)</f>
        <v/>
      </c>
      <c r="H34" s="4">
        <f>TRUNC((F34*G34-F34),8)</f>
        <v/>
      </c>
      <c r="I34" s="4">
        <f>F34+H34</f>
        <v/>
      </c>
      <c r="J34" s="31">
        <f>SUM(J32:K32)</f>
        <v/>
      </c>
      <c r="K34" s="32" t="inlineStr">
        <is>
          <t>TOTAL PMT</t>
        </is>
      </c>
      <c r="L34" s="10" t="n"/>
    </row>
    <row r="35">
      <c r="A35" s="1">
        <f>IF(DAY(C35)=DAY($K$1+1),1,A34+1)</f>
        <v/>
      </c>
      <c r="B35" s="1">
        <f>IF(DAY(C35)=DAY($K$1+1),1,B34+1)</f>
        <v/>
      </c>
      <c r="C35" s="2">
        <f>C34+1</f>
        <v/>
      </c>
      <c r="D35" s="8">
        <f>IF(DAY(C35)=DAY($K$1+1),TRUNC(($D$5),8),D34)</f>
        <v/>
      </c>
      <c r="E35" s="4">
        <f>TRUNC(((1+IPCA!#REF!))^(A35/30),8)</f>
        <v/>
      </c>
      <c r="F35" s="4">
        <f>TRUNC((D35*E35),8)</f>
        <v/>
      </c>
      <c r="G35" s="3">
        <f>ROUND(((1+$G$4)^(30/360))^(B35/(EDATE(C35-A35,1)-(C35-A35))),9)</f>
        <v/>
      </c>
      <c r="H35" s="4">
        <f>TRUNC((F35*G35-F35),8)</f>
        <v/>
      </c>
      <c r="I35" s="4">
        <f>F35+H35</f>
        <v/>
      </c>
      <c r="J35" s="267">
        <f>SUM(J32:L32)</f>
        <v/>
      </c>
      <c r="K35" s="5" t="n"/>
    </row>
    <row r="36">
      <c r="A36" s="1">
        <f>IF(DAY(C36)=DAY($K$1+1),1,A35+1)</f>
        <v/>
      </c>
      <c r="B36" s="1">
        <f>IF(DAY(C36)=DAY($K$1+1),1,B35+1)</f>
        <v/>
      </c>
      <c r="C36" s="2">
        <f>C35+1</f>
        <v/>
      </c>
      <c r="D36" s="8">
        <f>IF(DAY(C36)=DAY($K$1+1),TRUNC(($D$5),8),D35)</f>
        <v/>
      </c>
      <c r="E36" s="4">
        <f>TRUNC(((1+IPCA!#REF!))^(A36/30),8)</f>
        <v/>
      </c>
      <c r="F36" s="4">
        <f>TRUNC((D36*E36),8)</f>
        <v/>
      </c>
      <c r="G36" s="3">
        <f>ROUND(((1+$G$4)^(30/360))^(B36/(EDATE(C36-A36,1)-(C36-A36))),9)</f>
        <v/>
      </c>
      <c r="H36" s="4">
        <f>TRUNC((F36*G36-F36),8)</f>
        <v/>
      </c>
      <c r="I36" s="4">
        <f>F36+H36</f>
        <v/>
      </c>
      <c r="K36" s="5" t="n"/>
    </row>
    <row r="37">
      <c r="A37" s="1">
        <f>IF(DAY(C37)=DAY($K$1+1),1,A36+1)</f>
        <v/>
      </c>
      <c r="B37" s="1">
        <f>IF(DAY(C37)=DAY($K$1+1),1,B36+1)</f>
        <v/>
      </c>
      <c r="C37" s="2">
        <f>C36+1</f>
        <v/>
      </c>
      <c r="D37" s="8">
        <f>IF(DAY(C37)=DAY($K$1+1),TRUNC(($D$5),8),D36)</f>
        <v/>
      </c>
      <c r="E37" s="4">
        <f>TRUNC(((1+IPCA!#REF!))^(A37/30),8)</f>
        <v/>
      </c>
      <c r="F37" s="4">
        <f>TRUNC((D37*E37),8)</f>
        <v/>
      </c>
      <c r="G37" s="3">
        <f>ROUND(((1+$G$4)^(30/360))^(B37/(EDATE(C37-A37,1)-(C37-A37))),9)</f>
        <v/>
      </c>
      <c r="H37" s="4">
        <f>TRUNC((F37*G37-F37),8)</f>
        <v/>
      </c>
      <c r="I37" s="4">
        <f>F37+H37</f>
        <v/>
      </c>
      <c r="K37" s="5" t="n"/>
    </row>
    <row r="38">
      <c r="A38" s="1">
        <f>IF(DAY(C38)=DAY($K$1+1),1,A37+1)</f>
        <v/>
      </c>
      <c r="B38" s="1">
        <f>IF(DAY(C38)=DAY($K$1+1),1,B37+1)</f>
        <v/>
      </c>
      <c r="C38" s="2">
        <f>C37+1</f>
        <v/>
      </c>
      <c r="D38" s="8">
        <f>IF(DAY(C38)=DAY($K$1+1),TRUNC(($D$5),8),D37)</f>
        <v/>
      </c>
      <c r="E38" s="4">
        <f>TRUNC(((1+IPCA!#REF!))^(A38/30),8)</f>
        <v/>
      </c>
      <c r="F38" s="4">
        <f>TRUNC((D38*E38),8)</f>
        <v/>
      </c>
      <c r="G38" s="3">
        <f>ROUND(((1+$G$4)^(30/360))^(B38/(EDATE(C38-A38,1)-(C38-A38))),9)</f>
        <v/>
      </c>
      <c r="H38" s="4">
        <f>TRUNC((F38*G38-F38),8)</f>
        <v/>
      </c>
      <c r="I38" s="4">
        <f>F38+H38</f>
        <v/>
      </c>
      <c r="K38" s="5" t="n"/>
    </row>
    <row r="39">
      <c r="A39" s="1">
        <f>IF(DAY(C39)=DAY($K$1+1),1,A38+1)</f>
        <v/>
      </c>
      <c r="B39" s="1">
        <f>IF(DAY(C39)=DAY($K$1+1),1,B38+1)</f>
        <v/>
      </c>
      <c r="C39" s="2">
        <f>C38+1</f>
        <v/>
      </c>
      <c r="D39" s="8">
        <f>IF(DAY(C39)=DAY($K$1+1),TRUNC(($D$5),8),D38)</f>
        <v/>
      </c>
      <c r="E39" s="4">
        <f>TRUNC(((1+IPCA!#REF!))^(A39/30),8)</f>
        <v/>
      </c>
      <c r="F39" s="4">
        <f>TRUNC((D39*E39),8)</f>
        <v/>
      </c>
      <c r="G39" s="3">
        <f>ROUND(((1+$G$4)^(30/360))^(B39/(EDATE(C39-A39,1)-(C39-A39))),9)</f>
        <v/>
      </c>
      <c r="H39" s="4">
        <f>TRUNC((F39*G39-F39),8)</f>
        <v/>
      </c>
      <c r="I39" s="4">
        <f>F39+H39</f>
        <v/>
      </c>
      <c r="K39" s="5" t="n"/>
    </row>
    <row r="40">
      <c r="A40" s="1">
        <f>IF(DAY(C40)=DAY($K$1+1),1,A39+1)</f>
        <v/>
      </c>
      <c r="B40" s="1">
        <f>IF(DAY(C40)=DAY($K$1+1),1,B39+1)</f>
        <v/>
      </c>
      <c r="C40" s="2">
        <f>C39+1</f>
        <v/>
      </c>
      <c r="D40" s="8">
        <f>IF(DAY(C40)=DAY($K$1+1),TRUNC(($D$5),8),D39)</f>
        <v/>
      </c>
      <c r="E40" s="4">
        <f>TRUNC(((1+IPCA!#REF!))^(A40/30),8)</f>
        <v/>
      </c>
      <c r="F40" s="4">
        <f>TRUNC((D40*E40),8)</f>
        <v/>
      </c>
      <c r="G40" s="3">
        <f>ROUND(((1+$G$4)^(30/360))^(B40/(EDATE(C40-A40,1)-(C40-A40))),9)</f>
        <v/>
      </c>
      <c r="H40" s="4">
        <f>TRUNC((F40*G40-F40),8)</f>
        <v/>
      </c>
      <c r="I40" s="4">
        <f>F40+H40</f>
        <v/>
      </c>
      <c r="K40" s="5" t="n"/>
    </row>
    <row r="41">
      <c r="A41" s="1">
        <f>IF(DAY(C41)=DAY($K$1+1),1,A40+1)</f>
        <v/>
      </c>
      <c r="B41" s="1">
        <f>IF(DAY(C41)=DAY($K$1+1),1,B40+1)</f>
        <v/>
      </c>
      <c r="C41" s="2">
        <f>C40+1</f>
        <v/>
      </c>
      <c r="D41" s="8">
        <f>IF(DAY(C41)=DAY($K$1+1),TRUNC(($D$5),8),D40)</f>
        <v/>
      </c>
      <c r="E41" s="4">
        <f>TRUNC(((1+IPCA!#REF!))^(A41/30),8)</f>
        <v/>
      </c>
      <c r="F41" s="4">
        <f>TRUNC((D41*E41),8)</f>
        <v/>
      </c>
      <c r="G41" s="3">
        <f>ROUND(((1+$G$4)^(30/360))^(B41/(EDATE(C41-A41,1)-(C41-A41))),9)</f>
        <v/>
      </c>
      <c r="H41" s="4">
        <f>TRUNC((F41*G41-F41),8)</f>
        <v/>
      </c>
      <c r="I41" s="4">
        <f>F41+H41</f>
        <v/>
      </c>
      <c r="K41" s="5" t="n"/>
    </row>
    <row r="42">
      <c r="A42" s="1">
        <f>IF(DAY(C42)=DAY($K$1+1),1,A41+1)</f>
        <v/>
      </c>
      <c r="B42" s="1">
        <f>IF(DAY(C42)=DAY($K$1+1),1,B41+1)</f>
        <v/>
      </c>
      <c r="C42" s="2">
        <f>C41+1</f>
        <v/>
      </c>
      <c r="D42" s="8">
        <f>IF(DAY(C42)=DAY($K$1+1),TRUNC(($D$5),8),D41)</f>
        <v/>
      </c>
      <c r="E42" s="4">
        <f>TRUNC(((1+IPCA!#REF!))^(A42/30),8)</f>
        <v/>
      </c>
      <c r="F42" s="4">
        <f>TRUNC((D42*E42),8)</f>
        <v/>
      </c>
      <c r="G42" s="3">
        <f>ROUND(((1+$G$4)^(30/360))^(B42/(EDATE(C42-A42,1)-(C42-A42))),9)</f>
        <v/>
      </c>
      <c r="H42" s="4">
        <f>TRUNC((F42*G42-F42),8)</f>
        <v/>
      </c>
      <c r="I42" s="4">
        <f>F42+H42</f>
        <v/>
      </c>
      <c r="K42" s="5" t="n"/>
    </row>
    <row r="43">
      <c r="A43" s="1">
        <f>IF(DAY(C43)=DAY($K$1+1),1,A42+1)</f>
        <v/>
      </c>
      <c r="B43" s="1">
        <f>IF(DAY(C43)=DAY($K$1+1),1,B42+1)</f>
        <v/>
      </c>
      <c r="C43" s="2">
        <f>C42+1</f>
        <v/>
      </c>
      <c r="D43" s="8">
        <f>IF(DAY(C43)=DAY($K$1+1),TRUNC(($D$5),8),D42)</f>
        <v/>
      </c>
      <c r="E43" s="4">
        <f>TRUNC(((1+IPCA!#REF!))^(A43/30),8)</f>
        <v/>
      </c>
      <c r="F43" s="4">
        <f>TRUNC((D43*E43),8)</f>
        <v/>
      </c>
      <c r="G43" s="3">
        <f>ROUND(((1+$G$4)^(30/360))^(B43/(EDATE(C43-A43,1)-(C43-A43))),9)</f>
        <v/>
      </c>
      <c r="H43" s="4">
        <f>TRUNC((F43*G43-F43),8)</f>
        <v/>
      </c>
      <c r="I43" s="4">
        <f>F43+H43</f>
        <v/>
      </c>
      <c r="K43" s="5" t="n"/>
    </row>
    <row r="44">
      <c r="A44" s="1">
        <f>IF(DAY(C44)=DAY($K$1+1),1,A43+1)</f>
        <v/>
      </c>
      <c r="B44" s="1">
        <f>IF(DAY(C44)=DAY($K$1+1),1,B43+1)</f>
        <v/>
      </c>
      <c r="C44" s="2">
        <f>C43+1</f>
        <v/>
      </c>
      <c r="D44" s="8">
        <f>IF(DAY(C44)=DAY($K$1+1),TRUNC(($D$5),8),D43)</f>
        <v/>
      </c>
      <c r="E44" s="4">
        <f>TRUNC(((1+IPCA!#REF!))^(A44/30),8)</f>
        <v/>
      </c>
      <c r="F44" s="4">
        <f>TRUNC((D44*E44),8)</f>
        <v/>
      </c>
      <c r="G44" s="3">
        <f>ROUND(((1+$G$4)^(30/360))^(B44/(EDATE(C44-A44,1)-(C44-A44))),9)</f>
        <v/>
      </c>
      <c r="H44" s="4">
        <f>TRUNC((F44*G44-F44),8)</f>
        <v/>
      </c>
      <c r="I44" s="4">
        <f>F44+H44</f>
        <v/>
      </c>
      <c r="K44" s="5" t="n"/>
    </row>
    <row r="45">
      <c r="A45" s="1">
        <f>IF(DAY(C45)=DAY($K$1+1),1,A44+1)</f>
        <v/>
      </c>
      <c r="B45" s="1">
        <f>IF(DAY(C45)=DAY($K$1+1),1,B44+1)</f>
        <v/>
      </c>
      <c r="C45" s="2">
        <f>C44+1</f>
        <v/>
      </c>
      <c r="D45" s="8">
        <f>IF(DAY(C45)=DAY($K$1+1),TRUNC(($D$5),8),D44)</f>
        <v/>
      </c>
      <c r="E45" s="4">
        <f>TRUNC(((1+IPCA!#REF!))^(A45/30),8)</f>
        <v/>
      </c>
      <c r="F45" s="4">
        <f>TRUNC((D45*E45),8)</f>
        <v/>
      </c>
      <c r="G45" s="3">
        <f>ROUND(((1+$G$4)^(30/360))^(B45/(EDATE(C45-A45,1)-(C45-A45))),9)</f>
        <v/>
      </c>
      <c r="H45" s="4">
        <f>TRUNC((F45*G45-F45),8)</f>
        <v/>
      </c>
      <c r="I45" s="4">
        <f>F45+H45</f>
        <v/>
      </c>
      <c r="K45" s="5" t="n"/>
    </row>
    <row r="46">
      <c r="A46" s="1">
        <f>IF(DAY(C46)=DAY($K$1+1),1,A45+1)</f>
        <v/>
      </c>
      <c r="B46" s="1">
        <f>IF(DAY(C46)=DAY($K$1+1),1,B45+1)</f>
        <v/>
      </c>
      <c r="C46" s="2">
        <f>C45+1</f>
        <v/>
      </c>
      <c r="D46" s="8">
        <f>IF(DAY(C46)=DAY($K$1+1),TRUNC(($D$5),8),D45)</f>
        <v/>
      </c>
      <c r="E46" s="4">
        <f>TRUNC(((1+IPCA!#REF!))^(A46/30),8)</f>
        <v/>
      </c>
      <c r="F46" s="4">
        <f>TRUNC((D46*E46),8)</f>
        <v/>
      </c>
      <c r="G46" s="3">
        <f>ROUND(((1+$G$4)^(30/360))^(B46/(EDATE(C46-A46,1)-(C46-A46))),9)</f>
        <v/>
      </c>
      <c r="H46" s="4">
        <f>TRUNC((F46*G46-F46),8)</f>
        <v/>
      </c>
      <c r="I46" s="4">
        <f>F46+H46</f>
        <v/>
      </c>
      <c r="K46" s="5" t="n"/>
    </row>
    <row r="47">
      <c r="A47" s="1">
        <f>IF(DAY(C47)=DAY($K$1+1),1,A46+1)</f>
        <v/>
      </c>
      <c r="B47" s="1">
        <f>IF(DAY(C47)=DAY($K$1+1),1,B46+1)</f>
        <v/>
      </c>
      <c r="C47" s="2">
        <f>C46+1</f>
        <v/>
      </c>
      <c r="D47" s="8">
        <f>IF(DAY(C47)=DAY($K$1+1),TRUNC(($D$5),8),D46)</f>
        <v/>
      </c>
      <c r="E47" s="4">
        <f>TRUNC(((1+IPCA!#REF!))^(A47/30),8)</f>
        <v/>
      </c>
      <c r="F47" s="4">
        <f>TRUNC((D47*E47),8)</f>
        <v/>
      </c>
      <c r="G47" s="3">
        <f>ROUND(((1+$G$4)^(30/360))^(B47/(EDATE(C47-A47,1)-(C47-A47))),9)</f>
        <v/>
      </c>
      <c r="H47" s="4">
        <f>TRUNC((F47*G47-F47),8)</f>
        <v/>
      </c>
      <c r="I47" s="4">
        <f>F47+H47</f>
        <v/>
      </c>
      <c r="K47" s="5" t="n"/>
    </row>
    <row r="48">
      <c r="A48" s="1">
        <f>IF(DAY(C48)=DAY($K$1+1),1,A47+1)</f>
        <v/>
      </c>
      <c r="B48" s="1">
        <f>IF(DAY(C48)=DAY($K$1+1),1,B47+1)</f>
        <v/>
      </c>
      <c r="C48" s="2">
        <f>C47+1</f>
        <v/>
      </c>
      <c r="D48" s="8">
        <f>IF(DAY(C48)=DAY($K$1+1),TRUNC(($D$5),8),D47)</f>
        <v/>
      </c>
      <c r="E48" s="4">
        <f>TRUNC(((1+IPCA!#REF!))^(A48/30),8)</f>
        <v/>
      </c>
      <c r="F48" s="4">
        <f>TRUNC((D48*E48),8)</f>
        <v/>
      </c>
      <c r="G48" s="3">
        <f>ROUND(((1+$G$4)^(30/360))^(B48/(EDATE(C48-A48,1)-(C48-A48))),9)</f>
        <v/>
      </c>
      <c r="H48" s="4">
        <f>TRUNC((F48*G48-F48),8)</f>
        <v/>
      </c>
      <c r="I48" s="4">
        <f>F48+H48</f>
        <v/>
      </c>
      <c r="K48" s="5" t="n"/>
    </row>
    <row r="49">
      <c r="A49" s="1">
        <f>IF(DAY(C49)=DAY($K$1+1),1,A48+1)</f>
        <v/>
      </c>
      <c r="B49" s="1">
        <f>IF(DAY(C49)=DAY($K$1+1),1,B48+1)</f>
        <v/>
      </c>
      <c r="C49" s="2">
        <f>C48+1</f>
        <v/>
      </c>
      <c r="D49" s="8">
        <f>IF(DAY(C49)=DAY($K$1+1),TRUNC(($D$5),8),D48)</f>
        <v/>
      </c>
      <c r="E49" s="4">
        <f>TRUNC(((1+IPCA!#REF!))^(A49/30),8)</f>
        <v/>
      </c>
      <c r="F49" s="4">
        <f>TRUNC((D49*E49),8)</f>
        <v/>
      </c>
      <c r="G49" s="3">
        <f>ROUND(((1+$G$4)^(30/360))^(B49/(EDATE(C49-A49,1)-(C49-A49))),9)</f>
        <v/>
      </c>
      <c r="H49" s="4">
        <f>TRUNC((F49*G49-F49),8)</f>
        <v/>
      </c>
      <c r="I49" s="4">
        <f>F49+H49</f>
        <v/>
      </c>
      <c r="K49" s="5" t="n"/>
    </row>
    <row r="50">
      <c r="A50" s="1">
        <f>IF(DAY(C50)=DAY($K$1+1),1,A49+1)</f>
        <v/>
      </c>
      <c r="B50" s="1">
        <f>IF(DAY(C50)=DAY($K$1+1),1,B49+1)</f>
        <v/>
      </c>
      <c r="C50" s="2">
        <f>C49+1</f>
        <v/>
      </c>
      <c r="D50" s="8">
        <f>IF(DAY(C50)=DAY($K$1+1),TRUNC(($D$5),8),D49)</f>
        <v/>
      </c>
      <c r="E50" s="4">
        <f>TRUNC(((1+IPCA!#REF!))^(A50/30),8)</f>
        <v/>
      </c>
      <c r="F50" s="4">
        <f>TRUNC((D50*E50),8)</f>
        <v/>
      </c>
      <c r="G50" s="3">
        <f>ROUND(((1+$G$4)^(30/360))^(B50/(EDATE(C50-A50,1)-(C50-A50))),9)</f>
        <v/>
      </c>
      <c r="H50" s="4">
        <f>TRUNC((F50*G50-F50),8)</f>
        <v/>
      </c>
      <c r="I50" s="4">
        <f>F50+H50</f>
        <v/>
      </c>
      <c r="K50" s="5" t="n"/>
    </row>
    <row r="51">
      <c r="A51" s="1">
        <f>IF(DAY(C51)=DAY($K$1+1),1,A50+1)</f>
        <v/>
      </c>
      <c r="B51" s="1">
        <f>IF(DAY(C51)=DAY($K$1+1),1,B50+1)</f>
        <v/>
      </c>
      <c r="C51" s="2">
        <f>C50+1</f>
        <v/>
      </c>
      <c r="D51" s="8">
        <f>IF(DAY(C51)=DAY($K$1+1),TRUNC(($D$5),8),D50)</f>
        <v/>
      </c>
      <c r="E51" s="4">
        <f>TRUNC(((1+IPCA!#REF!))^(A51/30),8)</f>
        <v/>
      </c>
      <c r="F51" s="4">
        <f>TRUNC((D51*E51),8)</f>
        <v/>
      </c>
      <c r="G51" s="3">
        <f>ROUND(((1+$G$4)^(30/360))^(B51/(EDATE(C51-A51,1)-(C51-A51))),9)</f>
        <v/>
      </c>
      <c r="H51" s="4">
        <f>TRUNC((F51*G51-F51),8)</f>
        <v/>
      </c>
      <c r="I51" s="4">
        <f>F51+H51</f>
        <v/>
      </c>
      <c r="K51" s="5" t="n"/>
    </row>
    <row r="52">
      <c r="A52" s="1">
        <f>IF(DAY(C52)=DAY($K$1+1),1,A51+1)</f>
        <v/>
      </c>
      <c r="B52" s="1">
        <f>IF(DAY(C52)=DAY($K$1+1),1,B51+1)</f>
        <v/>
      </c>
      <c r="C52" s="2">
        <f>C51+1</f>
        <v/>
      </c>
      <c r="D52" s="8">
        <f>IF(DAY(C52)=DAY($K$1+1),TRUNC(($D$5),8),D51)</f>
        <v/>
      </c>
      <c r="E52" s="4">
        <f>TRUNC(((1+IPCA!#REF!))^(A52/30),8)</f>
        <v/>
      </c>
      <c r="F52" s="4">
        <f>TRUNC((D52*E52),8)</f>
        <v/>
      </c>
      <c r="G52" s="3">
        <f>ROUND(((1+$G$4)^(30/360))^(B52/(EDATE(C52-A52,1)-(C52-A52))),9)</f>
        <v/>
      </c>
      <c r="H52" s="4">
        <f>TRUNC((F52*G52-F52),8)</f>
        <v/>
      </c>
      <c r="I52" s="4">
        <f>F52+H52</f>
        <v/>
      </c>
      <c r="K52" s="5" t="n"/>
    </row>
    <row r="53">
      <c r="A53" s="1">
        <f>IF(DAY(C53)=DAY($K$1+1),1,A52+1)</f>
        <v/>
      </c>
      <c r="B53" s="1">
        <f>IF(DAY(C53)=DAY($K$1+1),1,B52+1)</f>
        <v/>
      </c>
      <c r="C53" s="2">
        <f>C52+1</f>
        <v/>
      </c>
      <c r="D53" s="8">
        <f>IF(DAY(C53)=DAY($K$1+1),TRUNC(($D$5),8),D52)</f>
        <v/>
      </c>
      <c r="E53" s="4">
        <f>TRUNC(((1+IPCA!#REF!))^(A53/30),8)</f>
        <v/>
      </c>
      <c r="F53" s="4">
        <f>TRUNC((D53*E53),8)</f>
        <v/>
      </c>
      <c r="G53" s="3">
        <f>ROUND(((1+$G$4)^(30/360))^(B53/(EDATE(C53-A53,1)-(C53-A53))),9)</f>
        <v/>
      </c>
      <c r="H53" s="4">
        <f>TRUNC((F53*G53-F53),8)</f>
        <v/>
      </c>
      <c r="I53" s="4">
        <f>F53+H53</f>
        <v/>
      </c>
      <c r="K53" s="5" t="n"/>
    </row>
    <row r="54">
      <c r="A54" s="1">
        <f>IF(DAY(C54)=DAY($K$1+1),1,A53+1)</f>
        <v/>
      </c>
      <c r="B54" s="1">
        <f>IF(DAY(C54)=DAY($K$1+1),1,B53+1)</f>
        <v/>
      </c>
      <c r="C54" s="2">
        <f>C53+1</f>
        <v/>
      </c>
      <c r="D54" s="8">
        <f>IF(DAY(C54)=DAY($K$1+1),TRUNC(($D$5),8),D53)</f>
        <v/>
      </c>
      <c r="E54" s="4">
        <f>TRUNC(((1+IPCA!#REF!))^(A54/30),8)</f>
        <v/>
      </c>
      <c r="F54" s="4">
        <f>TRUNC((D54*E54),8)</f>
        <v/>
      </c>
      <c r="G54" s="3">
        <f>ROUND(((1+$G$4)^(30/360))^(B54/(EDATE(C54-A54,1)-(C54-A54))),9)</f>
        <v/>
      </c>
      <c r="H54" s="4">
        <f>TRUNC((F54*G54-F54),8)</f>
        <v/>
      </c>
      <c r="I54" s="4">
        <f>F54+H54</f>
        <v/>
      </c>
      <c r="K54" s="5" t="n"/>
    </row>
    <row r="55">
      <c r="A55" s="1">
        <f>IF(DAY(C55)=DAY($K$1+1),1,A54+1)</f>
        <v/>
      </c>
      <c r="B55" s="1">
        <f>IF(DAY(C55)=DAY($K$1+1),1,B54+1)</f>
        <v/>
      </c>
      <c r="C55" s="2">
        <f>C54+1</f>
        <v/>
      </c>
      <c r="D55" s="8">
        <f>IF(DAY(C55)=DAY($K$1+1),TRUNC(($D$5),8),D54)</f>
        <v/>
      </c>
      <c r="E55" s="4">
        <f>TRUNC(((1+IPCA!#REF!))^(A55/30),8)</f>
        <v/>
      </c>
      <c r="F55" s="4">
        <f>TRUNC((D55*E55),8)</f>
        <v/>
      </c>
      <c r="G55" s="3">
        <f>ROUND(((1+$G$4)^(30/360))^(B55/(EDATE(C55-A55,1)-(C55-A55))),9)</f>
        <v/>
      </c>
      <c r="H55" s="4">
        <f>TRUNC((F55*G55-F55),8)</f>
        <v/>
      </c>
      <c r="I55" s="4">
        <f>F55+H55</f>
        <v/>
      </c>
      <c r="K55" s="5" t="n"/>
    </row>
    <row r="56">
      <c r="A56" s="1">
        <f>IF(DAY(C56)=DAY($K$1+1),1,A55+1)</f>
        <v/>
      </c>
      <c r="B56" s="1">
        <f>IF(DAY(C56)=DAY($K$1+1),1,B55+1)</f>
        <v/>
      </c>
      <c r="C56" s="2">
        <f>C55+1</f>
        <v/>
      </c>
      <c r="D56" s="8">
        <f>IF(DAY(C56)=DAY($K$1+1),TRUNC(($D$5),8),D55)</f>
        <v/>
      </c>
      <c r="E56" s="4">
        <f>TRUNC(((1+IPCA!#REF!))^(A56/30),8)</f>
        <v/>
      </c>
      <c r="F56" s="4">
        <f>TRUNC((D56*E56),8)</f>
        <v/>
      </c>
      <c r="G56" s="3">
        <f>ROUND(((1+$G$4)^(30/360))^(B56/(EDATE(C56-A56,1)-(C56-A56))),9)</f>
        <v/>
      </c>
      <c r="H56" s="4">
        <f>TRUNC((F56*G56-F56),8)</f>
        <v/>
      </c>
      <c r="I56" s="4">
        <f>F56+H56</f>
        <v/>
      </c>
      <c r="K56" s="5" t="n"/>
    </row>
    <row r="57">
      <c r="A57" s="1">
        <f>IF(DAY(C57)=DAY($K$1+1),1,A56+1)</f>
        <v/>
      </c>
      <c r="B57" s="1">
        <f>IF(DAY(C57)=DAY($K$1+1),1,B56+1)</f>
        <v/>
      </c>
      <c r="C57" s="2">
        <f>C56+1</f>
        <v/>
      </c>
      <c r="D57" s="8">
        <f>IF(DAY(C57)=DAY($K$1+1),TRUNC(($D$5),8),D56)</f>
        <v/>
      </c>
      <c r="E57" s="4">
        <f>TRUNC(((1+IPCA!#REF!))^(A57/30),8)</f>
        <v/>
      </c>
      <c r="F57" s="4">
        <f>TRUNC((D57*E57),8)</f>
        <v/>
      </c>
      <c r="G57" s="3">
        <f>ROUND(((1+$G$4)^(30/360))^(B57/(EDATE(C57-A57,1)-(C57-A57))),9)</f>
        <v/>
      </c>
      <c r="H57" s="4">
        <f>TRUNC((F57*G57-F57),8)</f>
        <v/>
      </c>
      <c r="I57" s="4">
        <f>F57+H57</f>
        <v/>
      </c>
      <c r="K57" s="5" t="n"/>
    </row>
    <row r="58">
      <c r="A58" s="1">
        <f>IF(DAY(C58)=DAY($K$1+1),1,A57+1)</f>
        <v/>
      </c>
      <c r="B58" s="1">
        <f>IF(DAY(C58)=DAY($K$1+1),1,B57+1)</f>
        <v/>
      </c>
      <c r="C58" s="2">
        <f>C57+1</f>
        <v/>
      </c>
      <c r="D58" s="8">
        <f>IF(DAY(C58)=DAY($K$1+1),TRUNC(($D$5),8),D57)</f>
        <v/>
      </c>
      <c r="E58" s="4">
        <f>TRUNC(((1+IPCA!#REF!))^(A58/30),8)</f>
        <v/>
      </c>
      <c r="F58" s="4">
        <f>TRUNC((D58*E58),8)</f>
        <v/>
      </c>
      <c r="G58" s="3">
        <f>ROUND(((1+$G$4)^(30/360))^(B58/(EDATE(C58-A58,1)-(C58-A58))),9)</f>
        <v/>
      </c>
      <c r="H58" s="4">
        <f>TRUNC((F58*G58-F58),8)</f>
        <v/>
      </c>
      <c r="I58" s="4">
        <f>F58+H58</f>
        <v/>
      </c>
      <c r="K58" s="5" t="n"/>
    </row>
    <row r="59">
      <c r="A59" s="1">
        <f>IF(DAY(C59)=DAY($K$1+1),1,A58+1)</f>
        <v/>
      </c>
      <c r="B59" s="1">
        <f>IF(DAY(C59)=DAY($K$1+1),1,B58+1)</f>
        <v/>
      </c>
      <c r="C59" s="2">
        <f>C58+1</f>
        <v/>
      </c>
      <c r="D59" s="8">
        <f>IF(DAY(C59)=DAY($K$1+1),TRUNC(($D$5),8),D58)</f>
        <v/>
      </c>
      <c r="E59" s="4">
        <f>TRUNC(((1+IPCA!#REF!))^(A59/30),8)</f>
        <v/>
      </c>
      <c r="F59" s="4">
        <f>TRUNC((D59*E59),8)</f>
        <v/>
      </c>
      <c r="G59" s="3">
        <f>ROUND(((1+$G$4)^(30/360))^(B59/(EDATE(C59-A59,1)-(C59-A59))),9)</f>
        <v/>
      </c>
      <c r="H59" s="4">
        <f>TRUNC((F59*G59-F59),8)</f>
        <v/>
      </c>
      <c r="I59" s="4">
        <f>F59+H59</f>
        <v/>
      </c>
      <c r="J59" s="35" t="inlineStr">
        <is>
          <t>CRI Integralizado:</t>
        </is>
      </c>
      <c r="K59" s="268" t="n">
        <v>1540</v>
      </c>
    </row>
    <row r="60">
      <c r="A60" s="1">
        <f>IF(DAY(C60)=DAY($K$1+1),1,A59+1)</f>
        <v/>
      </c>
      <c r="B60" s="1">
        <f>IF(DAY(C60)=DAY($K$1+1),1,B59+1)</f>
        <v/>
      </c>
      <c r="C60" s="2">
        <f>C59+1</f>
        <v/>
      </c>
      <c r="D60" s="8">
        <f>IF(DAY(C60)=DAY($K$1+1),TRUNC(($D$5),8),D59)</f>
        <v/>
      </c>
      <c r="E60" s="4">
        <f>TRUNC(((1+IPCA!#REF!))^(A60/30),8)</f>
        <v/>
      </c>
      <c r="F60" s="4">
        <f>TRUNC((D60*E60),8)</f>
        <v/>
      </c>
      <c r="G60" s="3">
        <f>ROUND(((1+$G$4)^(30/360))^(B60/(EDATE(C60-A60,1)-(C60-A60))),9)</f>
        <v/>
      </c>
      <c r="H60" s="4">
        <f>TRUNC((F60*G60-F60),8)</f>
        <v/>
      </c>
      <c r="I60" s="4">
        <f>F60+H60</f>
        <v/>
      </c>
      <c r="J60" s="33" t="inlineStr">
        <is>
          <t>JUROS</t>
        </is>
      </c>
      <c r="K60" s="33" t="inlineStr">
        <is>
          <t>AMORTIZAÇÃO</t>
        </is>
      </c>
      <c r="L60" s="33" t="inlineStr">
        <is>
          <t>AMEX</t>
        </is>
      </c>
      <c r="M60" s="33" t="inlineStr">
        <is>
          <t>RESIDUAL</t>
        </is>
      </c>
    </row>
    <row r="61">
      <c r="A61" s="22">
        <f>IF(DAY(C61)=DAY($K$1+1),1,A60+1)</f>
        <v/>
      </c>
      <c r="B61" s="22">
        <f>IF(DAY(C61)=DAY($K$1+1),1,B60+1)</f>
        <v/>
      </c>
      <c r="C61" s="23">
        <f>C60+1</f>
        <v/>
      </c>
      <c r="D61" s="24">
        <f>IF(DAY(C61)=DAY($K$1+1),TRUNC(($D$5),8),D60)</f>
        <v/>
      </c>
      <c r="E61" s="25">
        <f>TRUNC(((1+IPCA!#REF!))^(A61/30),8)</f>
        <v/>
      </c>
      <c r="F61" s="25">
        <f>TRUNC((D61*E61),8)</f>
        <v/>
      </c>
      <c r="G61" s="26">
        <f>ROUND(((1+$G$4)^(30/360))^(B61/(EDATE(C61-A61,1)-(C61-A61))),9)</f>
        <v/>
      </c>
      <c r="H61" s="25">
        <f>TRUNC((F61*G61-F61),8)</f>
        <v/>
      </c>
      <c r="I61" s="25">
        <f>F61+H61</f>
        <v/>
      </c>
      <c r="J61" s="28">
        <f>H61</f>
        <v/>
      </c>
      <c r="K61" s="29">
        <f>F61*'Amort TS'!#REF!</f>
        <v/>
      </c>
      <c r="L61" s="29" t="n">
        <v>0</v>
      </c>
      <c r="M61" s="29">
        <f>I61-J61-K61-L61</f>
        <v/>
      </c>
    </row>
    <row r="62">
      <c r="A62" s="1">
        <f>IF(DAY(C62)=DAY($K$1+1),1,A61+1)</f>
        <v/>
      </c>
      <c r="B62" s="1">
        <f>IF(DAY(C62)=DAY($K$1+1),1,B61+1)</f>
        <v/>
      </c>
      <c r="C62" s="2">
        <f>C61+1</f>
        <v/>
      </c>
      <c r="D62" s="8">
        <f>M61</f>
        <v/>
      </c>
      <c r="E62" s="4">
        <f>TRUNC(((1+IPCA!#REF!))^(A62/31),8)</f>
        <v/>
      </c>
      <c r="F62" s="4">
        <f>TRUNC((D62*E62),8)</f>
        <v/>
      </c>
      <c r="G62" s="3">
        <f>ROUND(((1+$G$4)^(30/360))^(B62/(EDATE(C62-A62,1)-(C62-A62))),9)</f>
        <v/>
      </c>
      <c r="H62" s="4">
        <f>TRUNC((F62*G62-F62),8)</f>
        <v/>
      </c>
      <c r="I62" s="4">
        <f>F62+H62</f>
        <v/>
      </c>
      <c r="J62" s="8">
        <f>J61*1540</f>
        <v/>
      </c>
      <c r="K62" s="8">
        <f>K61*1540</f>
        <v/>
      </c>
      <c r="L62" s="8" t="n">
        <v>0</v>
      </c>
      <c r="M62" s="8">
        <f>M61*1540</f>
        <v/>
      </c>
    </row>
    <row r="63" ht="13.8" customHeight="1" s="260" thickBot="1">
      <c r="A63" s="1">
        <f>IF(DAY(C63)=DAY($K$1+1),1,A62+1)</f>
        <v/>
      </c>
      <c r="B63" s="1">
        <f>IF(DAY(C63)=DAY($K$1+1),1,B62+1)</f>
        <v/>
      </c>
      <c r="C63" s="2">
        <f>C62+1</f>
        <v/>
      </c>
      <c r="D63" s="8">
        <f>IF(DAY(C63)=DAY($K$1+1),TRUNC(($D$5),8),D62)</f>
        <v/>
      </c>
      <c r="E63" s="4">
        <f>TRUNC(((1+IPCA!#REF!))^(A63/31),8)</f>
        <v/>
      </c>
      <c r="F63" s="4">
        <f>TRUNC((D63*E63),8)</f>
        <v/>
      </c>
      <c r="G63" s="3">
        <f>ROUND(((1+$G$4)^(30/360))^(B63/(EDATE(C63-A63,1)-(C63-A63))),9)</f>
        <v/>
      </c>
      <c r="H63" s="4">
        <f>TRUNC((F63*G63-F63),8)</f>
        <v/>
      </c>
      <c r="I63" s="4">
        <f>F63+H63</f>
        <v/>
      </c>
      <c r="J63" s="34" t="n"/>
      <c r="K63" s="30" t="n"/>
      <c r="L63" s="10" t="n"/>
    </row>
    <row r="64" ht="13.8" customHeight="1" s="260" thickBot="1">
      <c r="A64" s="1">
        <f>IF(DAY(C64)=DAY($K$1+1),1,A63+1)</f>
        <v/>
      </c>
      <c r="B64" s="1">
        <f>IF(DAY(C64)=DAY($K$1+1),1,B63+1)</f>
        <v/>
      </c>
      <c r="C64" s="2">
        <f>C63+1</f>
        <v/>
      </c>
      <c r="D64" s="8">
        <f>IF(DAY(C64)=DAY($K$1+1),TRUNC(($D$5),8),D63)</f>
        <v/>
      </c>
      <c r="E64" s="4">
        <f>TRUNC(((1+IPCA!#REF!))^(A64/31),8)</f>
        <v/>
      </c>
      <c r="F64" s="4">
        <f>TRUNC((D64*E64),8)</f>
        <v/>
      </c>
      <c r="G64" s="3">
        <f>ROUND(((1+$G$4)^(30/360))^(B64/(EDATE(C64-A64,1)-(C64-A64))),9)</f>
        <v/>
      </c>
      <c r="H64" s="4">
        <f>TRUNC((F64*G64-F64),8)</f>
        <v/>
      </c>
      <c r="I64" s="4">
        <f>F64+H64</f>
        <v/>
      </c>
      <c r="J64" s="31">
        <f>SUM(J62:K62)</f>
        <v/>
      </c>
      <c r="K64" s="32" t="inlineStr">
        <is>
          <t>TOTAL PMT</t>
        </is>
      </c>
      <c r="L64" s="10" t="n"/>
    </row>
    <row r="65">
      <c r="A65" s="1">
        <f>IF(DAY(C65)=DAY($K$1+1),1,A64+1)</f>
        <v/>
      </c>
      <c r="B65" s="1">
        <f>IF(DAY(C65)=DAY($K$1+1),1,B64+1)</f>
        <v/>
      </c>
      <c r="C65" s="2">
        <f>C64+1</f>
        <v/>
      </c>
      <c r="D65" s="8">
        <f>IF(DAY(C65)=DAY($K$1+1),TRUNC(($D$5),8),D64)</f>
        <v/>
      </c>
      <c r="E65" s="4">
        <f>TRUNC(((1+IPCA!#REF!))^(A65/31),8)</f>
        <v/>
      </c>
      <c r="F65" s="4">
        <f>TRUNC((D65*E65),8)</f>
        <v/>
      </c>
      <c r="G65" s="3">
        <f>ROUND(((1+$G$4)^(30/360))^(B65/(EDATE(C65-A65,1)-(C65-A65))),9)</f>
        <v/>
      </c>
      <c r="H65" s="4">
        <f>TRUNC((F65*G65-F65),8)</f>
        <v/>
      </c>
      <c r="I65" s="4">
        <f>F65+H65</f>
        <v/>
      </c>
      <c r="J65" s="267">
        <f>SUM(J62:L62)</f>
        <v/>
      </c>
      <c r="K65" s="267" t="n"/>
    </row>
    <row r="66">
      <c r="A66" s="1">
        <f>IF(DAY(C66)=DAY($K$1+1),1,A65+1)</f>
        <v/>
      </c>
      <c r="B66" s="1">
        <f>IF(DAY(C66)=DAY($K$1+1),1,B65+1)</f>
        <v/>
      </c>
      <c r="C66" s="2">
        <f>C65+1</f>
        <v/>
      </c>
      <c r="D66" s="8">
        <f>IF(DAY(C66)=DAY($K$1+1),TRUNC(($D$5),8),D65)</f>
        <v/>
      </c>
      <c r="E66" s="4">
        <f>TRUNC(((1+IPCA!#REF!))^(A66/31),8)</f>
        <v/>
      </c>
      <c r="F66" s="4">
        <f>TRUNC((D66*E66),8)</f>
        <v/>
      </c>
      <c r="G66" s="3">
        <f>ROUND(((1+$G$4)^(30/360))^(B66/(EDATE(C66-A66,1)-(C66-A66))),9)</f>
        <v/>
      </c>
      <c r="H66" s="4">
        <f>TRUNC((F66*G66-F66),8)</f>
        <v/>
      </c>
      <c r="I66" s="4">
        <f>F66+H66</f>
        <v/>
      </c>
    </row>
    <row r="67">
      <c r="A67" s="1">
        <f>IF(DAY(C67)=DAY($K$1+1),1,A66+1)</f>
        <v/>
      </c>
      <c r="B67" s="1">
        <f>IF(DAY(C67)=DAY($K$1+1),1,B66+1)</f>
        <v/>
      </c>
      <c r="C67" s="2">
        <f>C66+1</f>
        <v/>
      </c>
      <c r="D67" s="8">
        <f>IF(DAY(C67)=DAY($K$1+1),TRUNC(($D$5),8),D66)</f>
        <v/>
      </c>
      <c r="E67" s="4">
        <f>TRUNC(((1+IPCA!#REF!))^(A67/31),8)</f>
        <v/>
      </c>
      <c r="F67" s="4">
        <f>TRUNC((D67*E67),8)</f>
        <v/>
      </c>
      <c r="G67" s="3">
        <f>ROUND(((1+$G$4)^(30/360))^(B67/(EDATE(C67-A67,1)-(C67-A67))),9)</f>
        <v/>
      </c>
      <c r="H67" s="4">
        <f>TRUNC((F67*G67-F67),8)</f>
        <v/>
      </c>
      <c r="I67" s="4">
        <f>F67+H67</f>
        <v/>
      </c>
    </row>
    <row r="68">
      <c r="A68" s="1">
        <f>IF(DAY(C68)=DAY($K$1+1),1,A67+1)</f>
        <v/>
      </c>
      <c r="B68" s="1">
        <f>IF(DAY(C68)=DAY($K$1+1),1,B67+1)</f>
        <v/>
      </c>
      <c r="C68" s="2">
        <f>C67+1</f>
        <v/>
      </c>
      <c r="D68" s="8">
        <f>IF(DAY(C68)=DAY($K$1+1),TRUNC(($D$5),8),D67)</f>
        <v/>
      </c>
      <c r="E68" s="4">
        <f>TRUNC(((1+IPCA!#REF!))^(A68/31),8)</f>
        <v/>
      </c>
      <c r="F68" s="4">
        <f>TRUNC((D68*E68),8)</f>
        <v/>
      </c>
      <c r="G68" s="3">
        <f>ROUND(((1+$G$4)^(30/360))^(B68/(EDATE(C68-A68,1)-(C68-A68))),9)</f>
        <v/>
      </c>
      <c r="H68" s="4">
        <f>TRUNC((F68*G68-F68),8)</f>
        <v/>
      </c>
      <c r="I68" s="4">
        <f>F68+H68</f>
        <v/>
      </c>
    </row>
    <row r="69">
      <c r="A69" s="1">
        <f>IF(DAY(C69)=DAY($K$1+1),1,A68+1)</f>
        <v/>
      </c>
      <c r="B69" s="1">
        <f>IF(DAY(C69)=DAY($K$1+1),1,B68+1)</f>
        <v/>
      </c>
      <c r="C69" s="2">
        <f>C68+1</f>
        <v/>
      </c>
      <c r="D69" s="8">
        <f>IF(DAY(C69)=DAY($K$1+1),TRUNC(($D$5),8),D68)</f>
        <v/>
      </c>
      <c r="E69" s="4">
        <f>TRUNC(((1+IPCA!#REF!))^(A69/31),8)</f>
        <v/>
      </c>
      <c r="F69" s="4">
        <f>TRUNC((D69*E69),8)</f>
        <v/>
      </c>
      <c r="G69" s="3">
        <f>ROUND(((1+$G$4)^(30/360))^(B69/(EDATE(C69-A69,1)-(C69-A69))),9)</f>
        <v/>
      </c>
      <c r="H69" s="4">
        <f>TRUNC((F69*G69-F69),8)</f>
        <v/>
      </c>
      <c r="I69" s="4">
        <f>F69+H69</f>
        <v/>
      </c>
    </row>
    <row r="70">
      <c r="A70" s="1">
        <f>IF(DAY(C70)=DAY($K$1+1),1,A69+1)</f>
        <v/>
      </c>
      <c r="B70" s="1">
        <f>IF(DAY(C70)=DAY($K$1+1),1,B69+1)</f>
        <v/>
      </c>
      <c r="C70" s="2">
        <f>C69+1</f>
        <v/>
      </c>
      <c r="D70" s="8">
        <f>IF(DAY(C70)=DAY($K$1+1),TRUNC(($D$5),8),D69)</f>
        <v/>
      </c>
      <c r="E70" s="4">
        <f>TRUNC(((1+IPCA!#REF!))^(A70/31),8)</f>
        <v/>
      </c>
      <c r="F70" s="4">
        <f>TRUNC((D70*E70),8)</f>
        <v/>
      </c>
      <c r="G70" s="3">
        <f>ROUND(((1+$G$4)^(30/360))^(B70/(EDATE(C70-A70,1)-(C70-A70))),9)</f>
        <v/>
      </c>
      <c r="H70" s="4">
        <f>TRUNC((F70*G70-F70),8)</f>
        <v/>
      </c>
      <c r="I70" s="4">
        <f>F70+H70</f>
        <v/>
      </c>
    </row>
    <row r="71">
      <c r="A71" s="1">
        <f>IF(DAY(C71)=DAY($K$1+1),1,A70+1)</f>
        <v/>
      </c>
      <c r="B71" s="1">
        <f>IF(DAY(C71)=DAY($K$1+1),1,B70+1)</f>
        <v/>
      </c>
      <c r="C71" s="2">
        <f>C70+1</f>
        <v/>
      </c>
      <c r="D71" s="8">
        <f>IF(DAY(C71)=DAY($K$1+1),TRUNC(($D$5),8),D70)</f>
        <v/>
      </c>
      <c r="E71" s="4">
        <f>TRUNC(((1+IPCA!#REF!))^(A71/31),8)</f>
        <v/>
      </c>
      <c r="F71" s="4">
        <f>TRUNC((D71*E71),8)</f>
        <v/>
      </c>
      <c r="G71" s="3">
        <f>ROUND(((1+$G$4)^(30/360))^(B71/(EDATE(C71-A71,1)-(C71-A71))),9)</f>
        <v/>
      </c>
      <c r="H71" s="4">
        <f>TRUNC((F71*G71-F71),8)</f>
        <v/>
      </c>
      <c r="I71" s="4">
        <f>F71+H71</f>
        <v/>
      </c>
    </row>
    <row r="72">
      <c r="A72" s="1">
        <f>IF(DAY(C72)=DAY($K$1+1),1,A71+1)</f>
        <v/>
      </c>
      <c r="B72" s="1">
        <f>IF(DAY(C72)=DAY($K$1+1),1,B71+1)</f>
        <v/>
      </c>
      <c r="C72" s="2">
        <f>C71+1</f>
        <v/>
      </c>
      <c r="D72" s="8">
        <f>IF(DAY(C72)=DAY($K$1+1),TRUNC(($D$5),8),D71)</f>
        <v/>
      </c>
      <c r="E72" s="4">
        <f>TRUNC(((1+IPCA!#REF!))^(A72/31),8)</f>
        <v/>
      </c>
      <c r="F72" s="4">
        <f>TRUNC((D72*E72),8)</f>
        <v/>
      </c>
      <c r="G72" s="3">
        <f>ROUND(((1+$G$4)^(30/360))^(B72/(EDATE(C72-A72,1)-(C72-A72))),9)</f>
        <v/>
      </c>
      <c r="H72" s="4">
        <f>TRUNC((F72*G72-F72),8)</f>
        <v/>
      </c>
      <c r="I72" s="4">
        <f>F72+H72</f>
        <v/>
      </c>
    </row>
    <row r="73">
      <c r="A73" s="1">
        <f>IF(DAY(C73)=DAY($K$1+1),1,A72+1)</f>
        <v/>
      </c>
      <c r="B73" s="1">
        <f>IF(DAY(C73)=DAY($K$1+1),1,B72+1)</f>
        <v/>
      </c>
      <c r="C73" s="2">
        <f>C72+1</f>
        <v/>
      </c>
      <c r="D73" s="8">
        <f>IF(DAY(C73)=DAY($K$1+1),TRUNC(($D$5),8),D72)</f>
        <v/>
      </c>
      <c r="E73" s="4">
        <f>TRUNC(((1+IPCA!#REF!))^(A73/31),8)</f>
        <v/>
      </c>
      <c r="F73" s="4">
        <f>TRUNC((D73*E73),8)</f>
        <v/>
      </c>
      <c r="G73" s="3">
        <f>ROUND(((1+$G$4)^(30/360))^(B73/(EDATE(C73-A73,1)-(C73-A73))),9)</f>
        <v/>
      </c>
      <c r="H73" s="4">
        <f>TRUNC((F73*G73-F73),8)</f>
        <v/>
      </c>
      <c r="I73" s="4">
        <f>F73+H73</f>
        <v/>
      </c>
    </row>
    <row r="74">
      <c r="A74" s="1">
        <f>IF(DAY(C74)=DAY($K$1+1),1,A73+1)</f>
        <v/>
      </c>
      <c r="B74" s="1">
        <f>IF(DAY(C74)=DAY($K$1+1),1,B73+1)</f>
        <v/>
      </c>
      <c r="C74" s="2">
        <f>C73+1</f>
        <v/>
      </c>
      <c r="D74" s="8">
        <f>IF(DAY(C74)=DAY($K$1+1),TRUNC(($D$5),8),D73)</f>
        <v/>
      </c>
      <c r="E74" s="4">
        <f>TRUNC(((1+IPCA!#REF!))^(A74/31),8)</f>
        <v/>
      </c>
      <c r="F74" s="4">
        <f>TRUNC((D74*E74),8)</f>
        <v/>
      </c>
      <c r="G74" s="3">
        <f>ROUND(((1+$G$4)^(30/360))^(B74/(EDATE(C74-A74,1)-(C74-A74))),9)</f>
        <v/>
      </c>
      <c r="H74" s="4">
        <f>TRUNC((F74*G74-F74),8)</f>
        <v/>
      </c>
      <c r="I74" s="4">
        <f>F74+H74</f>
        <v/>
      </c>
    </row>
    <row r="75">
      <c r="A75" s="1">
        <f>IF(DAY(C75)=DAY($K$1+1),1,A74+1)</f>
        <v/>
      </c>
      <c r="B75" s="1">
        <f>IF(DAY(C75)=DAY($K$1+1),1,B74+1)</f>
        <v/>
      </c>
      <c r="C75" s="2">
        <f>C74+1</f>
        <v/>
      </c>
      <c r="D75" s="8">
        <f>IF(DAY(C75)=DAY($K$1+1),TRUNC(($D$5),8),D74)</f>
        <v/>
      </c>
      <c r="E75" s="4">
        <f>TRUNC(((1+IPCA!#REF!))^(A75/31),8)</f>
        <v/>
      </c>
      <c r="F75" s="4">
        <f>TRUNC((D75*E75),8)</f>
        <v/>
      </c>
      <c r="G75" s="3">
        <f>ROUND(((1+$G$4)^(30/360))^(B75/(EDATE(C75-A75,1)-(C75-A75))),9)</f>
        <v/>
      </c>
      <c r="H75" s="4">
        <f>TRUNC((F75*G75-F75),8)</f>
        <v/>
      </c>
      <c r="I75" s="4">
        <f>F75+H75</f>
        <v/>
      </c>
    </row>
    <row r="76">
      <c r="A76" s="1">
        <f>IF(DAY(C76)=DAY($K$1+1),1,A75+1)</f>
        <v/>
      </c>
      <c r="B76" s="1">
        <f>IF(DAY(C76)=DAY($K$1+1),1,B75+1)</f>
        <v/>
      </c>
      <c r="C76" s="2">
        <f>C75+1</f>
        <v/>
      </c>
      <c r="D76" s="8">
        <f>IF(DAY(C76)=DAY($K$1+1),TRUNC(($D$5),8),D75)</f>
        <v/>
      </c>
      <c r="E76" s="4">
        <f>TRUNC(((1+IPCA!#REF!))^(A76/31),8)</f>
        <v/>
      </c>
      <c r="F76" s="4">
        <f>TRUNC((D76*E76),8)</f>
        <v/>
      </c>
      <c r="G76" s="3">
        <f>ROUND(((1+$G$4)^(30/360))^(B76/(EDATE(C76-A76,1)-(C76-A76))),9)</f>
        <v/>
      </c>
      <c r="H76" s="4">
        <f>TRUNC((F76*G76-F76),8)</f>
        <v/>
      </c>
      <c r="I76" s="4">
        <f>F76+H76</f>
        <v/>
      </c>
    </row>
    <row r="77">
      <c r="A77" s="1">
        <f>IF(DAY(C77)=DAY($K$1+1),1,A76+1)</f>
        <v/>
      </c>
      <c r="B77" s="1">
        <f>IF(DAY(C77)=DAY($K$1+1),1,B76+1)</f>
        <v/>
      </c>
      <c r="C77" s="2">
        <f>C76+1</f>
        <v/>
      </c>
      <c r="D77" s="8">
        <f>IF(DAY(C77)=DAY($K$1+1),TRUNC(($D$5),8),D76)</f>
        <v/>
      </c>
      <c r="E77" s="4">
        <f>TRUNC(((1+IPCA!#REF!))^(A77/31),8)</f>
        <v/>
      </c>
      <c r="F77" s="4">
        <f>TRUNC((D77*E77),8)</f>
        <v/>
      </c>
      <c r="G77" s="3">
        <f>ROUND(((1+$G$4)^(30/360))^(B77/(EDATE(C77-A77,1)-(C77-A77))),9)</f>
        <v/>
      </c>
      <c r="H77" s="4">
        <f>TRUNC((F77*G77-F77),8)</f>
        <v/>
      </c>
      <c r="I77" s="4">
        <f>F77+H77</f>
        <v/>
      </c>
    </row>
    <row r="78">
      <c r="A78" s="1">
        <f>IF(DAY(C78)=DAY($K$1+1),1,A77+1)</f>
        <v/>
      </c>
      <c r="B78" s="1">
        <f>IF(DAY(C78)=DAY($K$1+1),1,B77+1)</f>
        <v/>
      </c>
      <c r="C78" s="2">
        <f>C77+1</f>
        <v/>
      </c>
      <c r="D78" s="8">
        <f>IF(DAY(C78)=DAY($K$1+1),TRUNC(($D$5),8),D77)</f>
        <v/>
      </c>
      <c r="E78" s="4">
        <f>TRUNC(((1+IPCA!#REF!))^(A78/31),8)</f>
        <v/>
      </c>
      <c r="F78" s="4">
        <f>TRUNC((D78*E78),8)</f>
        <v/>
      </c>
      <c r="G78" s="3">
        <f>ROUND(((1+$G$4)^(30/360))^(B78/(EDATE(C78-A78,1)-(C78-A78))),9)</f>
        <v/>
      </c>
      <c r="H78" s="4">
        <f>TRUNC((F78*G78-F78),8)</f>
        <v/>
      </c>
      <c r="I78" s="4">
        <f>F78+H78</f>
        <v/>
      </c>
    </row>
    <row r="79">
      <c r="A79" s="1">
        <f>IF(DAY(C79)=DAY($K$1+1),1,A78+1)</f>
        <v/>
      </c>
      <c r="B79" s="1">
        <f>IF(DAY(C79)=DAY($K$1+1),1,B78+1)</f>
        <v/>
      </c>
      <c r="C79" s="2">
        <f>C78+1</f>
        <v/>
      </c>
      <c r="D79" s="8">
        <f>IF(DAY(C79)=DAY($K$1+1),TRUNC(($D$5),8),D78)</f>
        <v/>
      </c>
      <c r="E79" s="4">
        <f>TRUNC(((1+IPCA!#REF!))^(A79/31),8)</f>
        <v/>
      </c>
      <c r="F79" s="4">
        <f>TRUNC((D79*E79),8)</f>
        <v/>
      </c>
      <c r="G79" s="3">
        <f>ROUND(((1+$G$4)^(30/360))^(B79/(EDATE(C79-A79,1)-(C79-A79))),9)</f>
        <v/>
      </c>
      <c r="H79" s="4">
        <f>TRUNC((F79*G79-F79),8)</f>
        <v/>
      </c>
      <c r="I79" s="4">
        <f>F79+H79</f>
        <v/>
      </c>
    </row>
    <row r="80">
      <c r="A80" s="1">
        <f>IF(DAY(C80)=DAY($K$1+1),1,A79+1)</f>
        <v/>
      </c>
      <c r="B80" s="1">
        <f>IF(DAY(C80)=DAY($K$1+1),1,B79+1)</f>
        <v/>
      </c>
      <c r="C80" s="2">
        <f>C79+1</f>
        <v/>
      </c>
      <c r="D80" s="8">
        <f>IF(DAY(C80)=DAY($K$1+1),TRUNC(($D$5),8),D79)</f>
        <v/>
      </c>
      <c r="E80" s="4">
        <f>TRUNC(((1+IPCA!#REF!))^(A80/31),8)</f>
        <v/>
      </c>
      <c r="F80" s="4">
        <f>TRUNC((D80*E80),8)</f>
        <v/>
      </c>
      <c r="G80" s="3">
        <f>ROUND(((1+$G$4)^(30/360))^(B80/(EDATE(C80-A80,1)-(C80-A80))),9)</f>
        <v/>
      </c>
      <c r="H80" s="4">
        <f>TRUNC((F80*G80-F80),8)</f>
        <v/>
      </c>
      <c r="I80" s="4">
        <f>F80+H80</f>
        <v/>
      </c>
    </row>
    <row r="81">
      <c r="A81" s="1">
        <f>IF(DAY(C81)=DAY($K$1+1),1,A80+1)</f>
        <v/>
      </c>
      <c r="B81" s="1">
        <f>IF(DAY(C81)=DAY($K$1+1),1,B80+1)</f>
        <v/>
      </c>
      <c r="C81" s="2">
        <f>C80+1</f>
        <v/>
      </c>
      <c r="D81" s="8">
        <f>IF(DAY(C81)=DAY($K$1+1),TRUNC(($D$5),8),D80)</f>
        <v/>
      </c>
      <c r="E81" s="4">
        <f>TRUNC(((1+IPCA!#REF!))^(A81/31),8)</f>
        <v/>
      </c>
      <c r="F81" s="4">
        <f>TRUNC((D81*E81),8)</f>
        <v/>
      </c>
      <c r="G81" s="3">
        <f>ROUND(((1+$G$4)^(30/360))^(B81/(EDATE(C81-A81,1)-(C81-A81))),9)</f>
        <v/>
      </c>
      <c r="H81" s="4">
        <f>TRUNC((F81*G81-F81),8)</f>
        <v/>
      </c>
      <c r="I81" s="4">
        <f>F81+H81</f>
        <v/>
      </c>
    </row>
    <row r="82">
      <c r="A82" s="1">
        <f>IF(DAY(C82)=DAY($K$1+1),1,A81+1)</f>
        <v/>
      </c>
      <c r="B82" s="1">
        <f>IF(DAY(C82)=DAY($K$1+1),1,B81+1)</f>
        <v/>
      </c>
      <c r="C82" s="2">
        <f>C81+1</f>
        <v/>
      </c>
      <c r="D82" s="8">
        <f>IF(DAY(C82)=DAY($K$1+1),TRUNC(($D$5),8),D81)</f>
        <v/>
      </c>
      <c r="E82" s="4">
        <f>TRUNC(((1+IPCA!#REF!))^(A82/31),8)</f>
        <v/>
      </c>
      <c r="F82" s="4">
        <f>TRUNC((D82*E82),8)</f>
        <v/>
      </c>
      <c r="G82" s="3">
        <f>ROUND(((1+$G$4)^(30/360))^(B82/(EDATE(C82-A82,1)-(C82-A82))),9)</f>
        <v/>
      </c>
      <c r="H82" s="4">
        <f>TRUNC((F82*G82-F82),8)</f>
        <v/>
      </c>
      <c r="I82" s="4">
        <f>F82+H82</f>
        <v/>
      </c>
    </row>
    <row r="83">
      <c r="A83" s="1">
        <f>IF(DAY(C83)=DAY($K$1+1),1,A82+1)</f>
        <v/>
      </c>
      <c r="B83" s="1">
        <f>IF(DAY(C83)=DAY($K$1+1),1,B82+1)</f>
        <v/>
      </c>
      <c r="C83" s="2">
        <f>C82+1</f>
        <v/>
      </c>
      <c r="D83" s="8">
        <f>IF(DAY(C83)=DAY($K$1+1),TRUNC(($D$5),8),D82)</f>
        <v/>
      </c>
      <c r="E83" s="4">
        <f>TRUNC(((1+IPCA!#REF!))^(A83/31),8)</f>
        <v/>
      </c>
      <c r="F83" s="4">
        <f>TRUNC((D83*E83),8)</f>
        <v/>
      </c>
      <c r="G83" s="3">
        <f>ROUND(((1+$G$4)^(30/360))^(B83/(EDATE(C83-A83,1)-(C83-A83))),9)</f>
        <v/>
      </c>
      <c r="H83" s="4">
        <f>TRUNC((F83*G83-F83),8)</f>
        <v/>
      </c>
      <c r="I83" s="4">
        <f>F83+H83</f>
        <v/>
      </c>
    </row>
    <row r="84">
      <c r="A84" s="1">
        <f>IF(DAY(C84)=DAY($K$1+1),1,A83+1)</f>
        <v/>
      </c>
      <c r="B84" s="1">
        <f>IF(DAY(C84)=DAY($K$1+1),1,B83+1)</f>
        <v/>
      </c>
      <c r="C84" s="2">
        <f>C83+1</f>
        <v/>
      </c>
      <c r="D84" s="8">
        <f>IF(DAY(C84)=DAY($K$1+1),TRUNC(($D$5),8),D83)</f>
        <v/>
      </c>
      <c r="E84" s="4">
        <f>TRUNC(((1+IPCA!#REF!))^(A84/31),8)</f>
        <v/>
      </c>
      <c r="F84" s="4">
        <f>TRUNC((D84*E84),8)</f>
        <v/>
      </c>
      <c r="G84" s="3">
        <f>ROUND(((1+$G$4)^(30/360))^(B84/(EDATE(C84-A84,1)-(C84-A84))),9)</f>
        <v/>
      </c>
      <c r="H84" s="4">
        <f>TRUNC((F84*G84-F84),8)</f>
        <v/>
      </c>
      <c r="I84" s="4">
        <f>F84+H84</f>
        <v/>
      </c>
    </row>
    <row r="85">
      <c r="A85" s="1">
        <f>IF(DAY(C85)=DAY($K$1+1),1,A84+1)</f>
        <v/>
      </c>
      <c r="B85" s="1">
        <f>IF(DAY(C85)=DAY($K$1+1),1,B84+1)</f>
        <v/>
      </c>
      <c r="C85" s="2">
        <f>C84+1</f>
        <v/>
      </c>
      <c r="D85" s="8">
        <f>IF(DAY(C85)=DAY($K$1+1),TRUNC(($D$5),8),D84)</f>
        <v/>
      </c>
      <c r="E85" s="4">
        <f>TRUNC(((1+IPCA!#REF!))^(A85/31),8)</f>
        <v/>
      </c>
      <c r="F85" s="4">
        <f>TRUNC((D85*E85),8)</f>
        <v/>
      </c>
      <c r="G85" s="3">
        <f>ROUND(((1+$G$4)^(30/360))^(B85/(EDATE(C85-A85,1)-(C85-A85))),9)</f>
        <v/>
      </c>
      <c r="H85" s="4">
        <f>TRUNC((F85*G85-F85),8)</f>
        <v/>
      </c>
      <c r="I85" s="4">
        <f>F85+H85</f>
        <v/>
      </c>
    </row>
    <row r="86">
      <c r="A86" s="1">
        <f>IF(DAY(C86)=DAY($K$1+1),1,A85+1)</f>
        <v/>
      </c>
      <c r="B86" s="1">
        <f>IF(DAY(C86)=DAY($K$1+1),1,B85+1)</f>
        <v/>
      </c>
      <c r="C86" s="2">
        <f>C85+1</f>
        <v/>
      </c>
      <c r="D86" s="8">
        <f>IF(DAY(C86)=DAY($K$1+1),TRUNC(($D$5),8),D85)</f>
        <v/>
      </c>
      <c r="E86" s="4">
        <f>TRUNC(((1+IPCA!#REF!))^(A86/31),8)</f>
        <v/>
      </c>
      <c r="F86" s="4">
        <f>TRUNC((D86*E86),8)</f>
        <v/>
      </c>
      <c r="G86" s="3">
        <f>ROUND(((1+$G$4)^(30/360))^(B86/(EDATE(C86-A86,1)-(C86-A86))),9)</f>
        <v/>
      </c>
      <c r="H86" s="4">
        <f>TRUNC((F86*G86-F86),8)</f>
        <v/>
      </c>
      <c r="I86" s="4">
        <f>F86+H86</f>
        <v/>
      </c>
    </row>
    <row r="87">
      <c r="A87" s="1">
        <f>IF(DAY(C87)=DAY($K$1+1),1,A86+1)</f>
        <v/>
      </c>
      <c r="B87" s="1">
        <f>IF(DAY(C87)=DAY($K$1+1),1,B86+1)</f>
        <v/>
      </c>
      <c r="C87" s="2">
        <f>C86+1</f>
        <v/>
      </c>
      <c r="D87" s="8">
        <f>IF(DAY(C87)=DAY($K$1+1),TRUNC(($D$5),8),D86)</f>
        <v/>
      </c>
      <c r="E87" s="4">
        <f>TRUNC(((1+IPCA!#REF!))^(A87/31),8)</f>
        <v/>
      </c>
      <c r="F87" s="4">
        <f>TRUNC((D87*E87),8)</f>
        <v/>
      </c>
      <c r="G87" s="3">
        <f>ROUND(((1+$G$4)^(30/360))^(B87/(EDATE(C87-A87,1)-(C87-A87))),9)</f>
        <v/>
      </c>
      <c r="H87" s="4">
        <f>TRUNC((F87*G87-F87),8)</f>
        <v/>
      </c>
      <c r="I87" s="4">
        <f>F87+H87</f>
        <v/>
      </c>
    </row>
    <row r="88">
      <c r="A88" s="1">
        <f>IF(DAY(C88)=DAY($K$1+1),1,A87+1)</f>
        <v/>
      </c>
      <c r="B88" s="1">
        <f>IF(DAY(C88)=DAY($K$1+1),1,B87+1)</f>
        <v/>
      </c>
      <c r="C88" s="2">
        <f>C87+1</f>
        <v/>
      </c>
      <c r="D88" s="8">
        <f>IF(DAY(C88)=DAY($K$1+1),TRUNC(($D$5),8),D87)</f>
        <v/>
      </c>
      <c r="E88" s="4">
        <f>TRUNC(((1+IPCA!#REF!))^(A88/31),8)</f>
        <v/>
      </c>
      <c r="F88" s="4">
        <f>TRUNC((D88*E88),8)</f>
        <v/>
      </c>
      <c r="G88" s="3">
        <f>ROUND(((1+$G$4)^(30/360))^(B88/(EDATE(C88-A88,1)-(C88-A88))),9)</f>
        <v/>
      </c>
      <c r="H88" s="4">
        <f>TRUNC((F88*G88-F88),8)</f>
        <v/>
      </c>
      <c r="I88" s="4">
        <f>F88+H88</f>
        <v/>
      </c>
    </row>
    <row r="89">
      <c r="A89" s="1">
        <f>IF(DAY(C89)=DAY($K$1+1),1,A88+1)</f>
        <v/>
      </c>
      <c r="B89" s="1">
        <f>IF(DAY(C89)=DAY($K$1+1),1,B88+1)</f>
        <v/>
      </c>
      <c r="C89" s="2">
        <f>C88+1</f>
        <v/>
      </c>
      <c r="D89" s="8">
        <f>IF(DAY(C89)=DAY($K$1+1),TRUNC(($D$5),8),D88)</f>
        <v/>
      </c>
      <c r="E89" s="4">
        <f>TRUNC(((1+IPCA!#REF!))^(A89/31),8)</f>
        <v/>
      </c>
      <c r="F89" s="4">
        <f>TRUNC((D89*E89),8)</f>
        <v/>
      </c>
      <c r="G89" s="3">
        <f>ROUND(((1+$G$4)^(30/360))^(B89/(EDATE(C89-A89,1)-(C89-A89))),9)</f>
        <v/>
      </c>
      <c r="H89" s="4">
        <f>TRUNC((F89*G89-F89),8)</f>
        <v/>
      </c>
      <c r="I89" s="4">
        <f>F89+H89</f>
        <v/>
      </c>
    </row>
    <row r="90">
      <c r="A90" s="1">
        <f>IF(DAY(C90)=DAY($K$1+1),1,A89+1)</f>
        <v/>
      </c>
      <c r="B90" s="1">
        <f>IF(DAY(C90)=DAY($K$1+1),1,B89+1)</f>
        <v/>
      </c>
      <c r="C90" s="2">
        <f>C89+1</f>
        <v/>
      </c>
      <c r="D90" s="8">
        <f>IF(DAY(C90)=DAY($K$1+1),TRUNC(($D$5),8),D89)</f>
        <v/>
      </c>
      <c r="E90" s="4">
        <f>TRUNC(((1+IPCA!#REF!))^(A90/31),8)</f>
        <v/>
      </c>
      <c r="F90" s="4">
        <f>TRUNC((D90*E90),8)</f>
        <v/>
      </c>
      <c r="G90" s="3">
        <f>ROUND(((1+$G$4)^(30/360))^(B90/(EDATE(C90-A90,1)-(C90-A90))),9)</f>
        <v/>
      </c>
      <c r="H90" s="4">
        <f>TRUNC((F90*G90-F90),8)</f>
        <v/>
      </c>
      <c r="I90" s="4">
        <f>F90+H90</f>
        <v/>
      </c>
      <c r="J90" s="35" t="inlineStr">
        <is>
          <t>CRI Integralizado:</t>
        </is>
      </c>
      <c r="K90" s="268" t="n">
        <v>1540</v>
      </c>
    </row>
    <row r="91">
      <c r="A91" s="1">
        <f>IF(DAY(C91)=DAY($K$1+1),1,A90+1)</f>
        <v/>
      </c>
      <c r="B91" s="1">
        <f>IF(DAY(C91)=DAY($K$1+1),1,B90+1)</f>
        <v/>
      </c>
      <c r="C91" s="2">
        <f>C90+1</f>
        <v/>
      </c>
      <c r="D91" s="8">
        <f>IF(DAY(C91)=DAY($K$1+1),TRUNC(($D$5),8),D90)</f>
        <v/>
      </c>
      <c r="E91" s="4">
        <f>TRUNC(((1+IPCA!#REF!))^(A91/31),8)</f>
        <v/>
      </c>
      <c r="F91" s="4">
        <f>TRUNC((D91*E91),8)</f>
        <v/>
      </c>
      <c r="G91" s="3">
        <f>ROUND(((1+$G$4)^(30/360))^(B91/(EDATE(C91-A91,1)-(C91-A91))),9)</f>
        <v/>
      </c>
      <c r="H91" s="4">
        <f>TRUNC((F91*G91-F91),8)</f>
        <v/>
      </c>
      <c r="I91" s="4">
        <f>F91+H91</f>
        <v/>
      </c>
      <c r="J91" s="33" t="inlineStr">
        <is>
          <t>JUROS</t>
        </is>
      </c>
      <c r="K91" s="33" t="inlineStr">
        <is>
          <t>AMORTIZAÇÃO</t>
        </is>
      </c>
      <c r="L91" s="33" t="inlineStr">
        <is>
          <t>AMEX</t>
        </is>
      </c>
      <c r="M91" s="33" t="inlineStr">
        <is>
          <t>RESIDUAL</t>
        </is>
      </c>
    </row>
    <row r="92">
      <c r="A92" s="22">
        <f>IF(DAY(C92)=DAY($K$1+1),1,A91+1)</f>
        <v/>
      </c>
      <c r="B92" s="22">
        <f>IF(DAY(C92)=DAY($K$1+1),1,B91+1)</f>
        <v/>
      </c>
      <c r="C92" s="23">
        <f>C91+1</f>
        <v/>
      </c>
      <c r="D92" s="24">
        <f>IF(DAY(C92)=DAY($K$1+1),TRUNC(($D$5),8),D91)</f>
        <v/>
      </c>
      <c r="E92" s="25">
        <f>TRUNC(((1+IPCA!#REF!))^(A92/31),8)</f>
        <v/>
      </c>
      <c r="F92" s="25">
        <f>TRUNC((D92*E92),8)</f>
        <v/>
      </c>
      <c r="G92" s="26">
        <f>ROUND(((1+$G$4)^(30/360))^(B92/(EDATE(C92-A92,1)-(C92-A92))),9)</f>
        <v/>
      </c>
      <c r="H92" s="25">
        <f>TRUNC((F92*G92-F92),8)</f>
        <v/>
      </c>
      <c r="I92" s="25">
        <f>F92+H92</f>
        <v/>
      </c>
      <c r="J92" s="28">
        <f>H92</f>
        <v/>
      </c>
      <c r="K92" s="29">
        <f>F92*'Amort TS'!#REF!</f>
        <v/>
      </c>
      <c r="L92" s="29">
        <f>L93/1540</f>
        <v/>
      </c>
      <c r="M92" s="29">
        <f>I92-J92-K92-L92</f>
        <v/>
      </c>
    </row>
    <row r="93">
      <c r="A93" s="1">
        <f>IF(DAY(C93)=DAY($K$1+1),1,A92+1)</f>
        <v/>
      </c>
      <c r="B93" s="1">
        <f>IF(DAY(C93)=DAY($K$1+1),1,B92+1)</f>
        <v/>
      </c>
      <c r="C93" s="2">
        <f>C92+1</f>
        <v/>
      </c>
      <c r="D93" s="8">
        <f>M92</f>
        <v/>
      </c>
      <c r="E93" s="4">
        <f>TRUNC(((1+IPCA!#REF!))^(A93/30),8)</f>
        <v/>
      </c>
      <c r="F93" s="4">
        <f>TRUNC((D93*E93),8)</f>
        <v/>
      </c>
      <c r="G93" s="3">
        <f>ROUND(((1+$G$4)^(30/360))^(B93/(EDATE(C93-A93,1)-(C93-A93))),9)</f>
        <v/>
      </c>
      <c r="H93" s="4">
        <f>TRUNC((F93*G93-F93),8)</f>
        <v/>
      </c>
      <c r="I93" s="4">
        <f>F93+H93</f>
        <v/>
      </c>
      <c r="J93" s="8">
        <f>J92*1540</f>
        <v/>
      </c>
      <c r="K93" s="8">
        <f>K92*1540</f>
        <v/>
      </c>
      <c r="L93" s="8" t="n">
        <v>70000</v>
      </c>
      <c r="M93" s="8">
        <f>M92*1540</f>
        <v/>
      </c>
    </row>
    <row r="94" ht="13.8" customHeight="1" s="260" thickBot="1">
      <c r="A94" s="1">
        <f>IF(DAY(C94)=DAY($K$1+1),1,A93+1)</f>
        <v/>
      </c>
      <c r="B94" s="1">
        <f>IF(DAY(C94)=DAY($K$1+1),1,B93+1)</f>
        <v/>
      </c>
      <c r="C94" s="2">
        <f>C93+1</f>
        <v/>
      </c>
      <c r="D94" s="8">
        <f>IF(DAY(C94)=DAY($K$1+1),TRUNC(($D$5),8),D93)</f>
        <v/>
      </c>
      <c r="E94" s="4">
        <f>TRUNC(((1+IPCA!#REF!))^(A94/30),8)</f>
        <v/>
      </c>
      <c r="F94" s="4">
        <f>TRUNC((D94*E94),8)</f>
        <v/>
      </c>
      <c r="G94" s="3">
        <f>ROUND(((1+$G$4)^(30/360))^(B94/(EDATE(C94-A94,1)-(C94-A94))),9)</f>
        <v/>
      </c>
      <c r="H94" s="4">
        <f>TRUNC((F94*G94-F94),8)</f>
        <v/>
      </c>
      <c r="I94" s="4">
        <f>F94+H94</f>
        <v/>
      </c>
      <c r="J94" s="34" t="n"/>
      <c r="K94" s="30" t="n"/>
      <c r="L94" s="10" t="n"/>
    </row>
    <row r="95" ht="13.8" customHeight="1" s="260" thickBot="1">
      <c r="A95" s="1">
        <f>IF(DAY(C95)=DAY($K$1+1),1,A94+1)</f>
        <v/>
      </c>
      <c r="B95" s="1">
        <f>IF(DAY(C95)=DAY($K$1+1),1,B94+1)</f>
        <v/>
      </c>
      <c r="C95" s="2">
        <f>C94+1</f>
        <v/>
      </c>
      <c r="D95" s="8">
        <f>IF(DAY(C95)=DAY($K$1+1),TRUNC(($D$5),8),D94)</f>
        <v/>
      </c>
      <c r="E95" s="4">
        <f>TRUNC(((1+IPCA!#REF!))^(A95/30),8)</f>
        <v/>
      </c>
      <c r="F95" s="4">
        <f>TRUNC((D95*E95),8)</f>
        <v/>
      </c>
      <c r="G95" s="3">
        <f>ROUND(((1+$G$4)^(30/360))^(B95/(EDATE(C95-A95,1)-(C95-A95))),9)</f>
        <v/>
      </c>
      <c r="H95" s="4">
        <f>TRUNC((F95*G95-F95),8)</f>
        <v/>
      </c>
      <c r="I95" s="4">
        <f>F95+H95</f>
        <v/>
      </c>
      <c r="J95" s="31">
        <f>SUM(J93:K93)</f>
        <v/>
      </c>
      <c r="K95" s="32" t="inlineStr">
        <is>
          <t>TOTAL PMT</t>
        </is>
      </c>
      <c r="L95" s="38" t="n"/>
    </row>
    <row r="96">
      <c r="A96" s="1">
        <f>IF(DAY(C96)=DAY($K$1+1),1,A95+1)</f>
        <v/>
      </c>
      <c r="B96" s="1">
        <f>IF(DAY(C96)=DAY($K$1+1),1,B95+1)</f>
        <v/>
      </c>
      <c r="C96" s="2">
        <f>C95+1</f>
        <v/>
      </c>
      <c r="D96" s="8">
        <f>IF(DAY(C96)=DAY($K$1+1),TRUNC(($D$5),8),D95)</f>
        <v/>
      </c>
      <c r="E96" s="4">
        <f>TRUNC(((1+IPCA!#REF!))^(A96/30),8)</f>
        <v/>
      </c>
      <c r="F96" s="4">
        <f>TRUNC((D96*E96),8)</f>
        <v/>
      </c>
      <c r="G96" s="3">
        <f>ROUND(((1+$G$4)^(30/360))^(B96/(EDATE(C96-A96,1)-(C96-A96))),9)</f>
        <v/>
      </c>
      <c r="H96" s="4">
        <f>TRUNC((F96*G96-F96),8)</f>
        <v/>
      </c>
      <c r="I96" s="4">
        <f>F96+H96</f>
        <v/>
      </c>
      <c r="J96" s="267" t="n"/>
      <c r="L96" s="39" t="n"/>
    </row>
    <row r="97">
      <c r="A97" s="1">
        <f>IF(DAY(C97)=DAY($K$1+1),1,A96+1)</f>
        <v/>
      </c>
      <c r="B97" s="1">
        <f>IF(DAY(C97)=DAY($K$1+1),1,B96+1)</f>
        <v/>
      </c>
      <c r="C97" s="2">
        <f>C96+1</f>
        <v/>
      </c>
      <c r="D97" s="8">
        <f>IF(DAY(C97)=DAY($K$1+1),TRUNC(($D$5),8),D96)</f>
        <v/>
      </c>
      <c r="E97" s="4">
        <f>TRUNC(((1+IPCA!#REF!))^(A97/30),8)</f>
        <v/>
      </c>
      <c r="F97" s="4">
        <f>TRUNC((D97*E97),8)</f>
        <v/>
      </c>
      <c r="G97" s="3">
        <f>ROUND(((1+$G$4)^(30/360))^(B97/(EDATE(C97-A97,1)-(C97-A97))),9)</f>
        <v/>
      </c>
      <c r="H97" s="4">
        <f>TRUNC((F97*G97-F97),8)</f>
        <v/>
      </c>
      <c r="I97" s="4">
        <f>F97+H97</f>
        <v/>
      </c>
    </row>
    <row r="98">
      <c r="A98" s="1">
        <f>IF(DAY(C98)=DAY($K$1+1),1,A97+1)</f>
        <v/>
      </c>
      <c r="B98" s="1">
        <f>IF(DAY(C98)=DAY($K$1+1),1,B97+1)</f>
        <v/>
      </c>
      <c r="C98" s="2">
        <f>C97+1</f>
        <v/>
      </c>
      <c r="D98" s="8">
        <f>IF(DAY(C98)=DAY($K$1+1),TRUNC(($D$5),8),D97)</f>
        <v/>
      </c>
      <c r="E98" s="4">
        <f>TRUNC(((1+IPCA!#REF!))^(A98/30),8)</f>
        <v/>
      </c>
      <c r="F98" s="4">
        <f>TRUNC((D98*E98),8)</f>
        <v/>
      </c>
      <c r="G98" s="3">
        <f>ROUND(((1+$G$4)^(30/360))^(B98/(EDATE(C98-A98,1)-(C98-A98))),9)</f>
        <v/>
      </c>
      <c r="H98" s="4">
        <f>TRUNC((F98*G98-F98),8)</f>
        <v/>
      </c>
      <c r="I98" s="4">
        <f>F98+H98</f>
        <v/>
      </c>
    </row>
    <row r="99">
      <c r="A99" s="1">
        <f>IF(DAY(C99)=DAY($K$1+1),1,A98+1)</f>
        <v/>
      </c>
      <c r="B99" s="1">
        <f>IF(DAY(C99)=DAY($K$1+1),1,B98+1)</f>
        <v/>
      </c>
      <c r="C99" s="2">
        <f>C98+1</f>
        <v/>
      </c>
      <c r="D99" s="8">
        <f>IF(DAY(C99)=DAY($K$1+1),TRUNC(($D$5),8),D98)</f>
        <v/>
      </c>
      <c r="E99" s="4">
        <f>TRUNC(((1+IPCA!#REF!))^(A99/30),8)</f>
        <v/>
      </c>
      <c r="F99" s="4">
        <f>TRUNC((D99*E99),8)</f>
        <v/>
      </c>
      <c r="G99" s="3">
        <f>ROUND(((1+$G$4)^(30/360))^(B99/(EDATE(C99-A99,1)-(C99-A99))),9)</f>
        <v/>
      </c>
      <c r="H99" s="4">
        <f>TRUNC((F99*G99-F99),8)</f>
        <v/>
      </c>
      <c r="I99" s="4">
        <f>F99+H99</f>
        <v/>
      </c>
    </row>
    <row r="100">
      <c r="A100" s="1">
        <f>IF(DAY(C100)=DAY($K$1+1),1,A99+1)</f>
        <v/>
      </c>
      <c r="B100" s="1">
        <f>IF(DAY(C100)=DAY($K$1+1),1,B99+1)</f>
        <v/>
      </c>
      <c r="C100" s="2">
        <f>C99+1</f>
        <v/>
      </c>
      <c r="D100" s="8">
        <f>IF(DAY(C100)=DAY($K$1+1),TRUNC(($D$5),8),D99)</f>
        <v/>
      </c>
      <c r="E100" s="4">
        <f>TRUNC(((1+IPCA!#REF!))^(A100/30),8)</f>
        <v/>
      </c>
      <c r="F100" s="4">
        <f>TRUNC((D100*E100),8)</f>
        <v/>
      </c>
      <c r="G100" s="3">
        <f>ROUND(((1+$G$4)^(30/360))^(B100/(EDATE(C100-A100,1)-(C100-A100))),9)</f>
        <v/>
      </c>
      <c r="H100" s="4">
        <f>TRUNC((F100*G100-F100),8)</f>
        <v/>
      </c>
      <c r="I100" s="4">
        <f>F100+H100</f>
        <v/>
      </c>
    </row>
    <row r="101">
      <c r="A101" s="1">
        <f>IF(DAY(C101)=DAY($K$1+1),1,A100+1)</f>
        <v/>
      </c>
      <c r="B101" s="1">
        <f>IF(DAY(C101)=DAY($K$1+1),1,B100+1)</f>
        <v/>
      </c>
      <c r="C101" s="2">
        <f>C100+1</f>
        <v/>
      </c>
      <c r="D101" s="8">
        <f>IF(DAY(C101)=DAY($K$1+1),TRUNC(($D$5),8),D100)</f>
        <v/>
      </c>
      <c r="E101" s="4">
        <f>TRUNC(((1+IPCA!#REF!))^(A101/30),8)</f>
        <v/>
      </c>
      <c r="F101" s="4">
        <f>TRUNC((D101*E101),8)</f>
        <v/>
      </c>
      <c r="G101" s="3">
        <f>ROUND(((1+$G$4)^(30/360))^(B101/(EDATE(C101-A101,1)-(C101-A101))),9)</f>
        <v/>
      </c>
      <c r="H101" s="4">
        <f>TRUNC((F101*G101-F101),8)</f>
        <v/>
      </c>
      <c r="I101" s="4">
        <f>F101+H101</f>
        <v/>
      </c>
    </row>
    <row r="102">
      <c r="A102" s="1">
        <f>IF(DAY(C102)=DAY($K$1+1),1,A101+1)</f>
        <v/>
      </c>
      <c r="B102" s="1">
        <f>IF(DAY(C102)=DAY($K$1+1),1,B101+1)</f>
        <v/>
      </c>
      <c r="C102" s="2">
        <f>C101+1</f>
        <v/>
      </c>
      <c r="D102" s="8">
        <f>IF(DAY(C102)=DAY($K$1+1),TRUNC(($D$5),8),D101)</f>
        <v/>
      </c>
      <c r="E102" s="4">
        <f>TRUNC(((1+IPCA!#REF!))^(A102/30),8)</f>
        <v/>
      </c>
      <c r="F102" s="4">
        <f>TRUNC((D102*E102),8)</f>
        <v/>
      </c>
      <c r="G102" s="3">
        <f>ROUND(((1+$G$4)^(30/360))^(B102/(EDATE(C102-A102,1)-(C102-A102))),9)</f>
        <v/>
      </c>
      <c r="H102" s="4">
        <f>TRUNC((F102*G102-F102),8)</f>
        <v/>
      </c>
      <c r="I102" s="4">
        <f>F102+H102</f>
        <v/>
      </c>
    </row>
    <row r="103">
      <c r="A103" s="1">
        <f>IF(DAY(C103)=DAY($K$1+1),1,A102+1)</f>
        <v/>
      </c>
      <c r="B103" s="1">
        <f>IF(DAY(C103)=DAY($K$1+1),1,B102+1)</f>
        <v/>
      </c>
      <c r="C103" s="2">
        <f>C102+1</f>
        <v/>
      </c>
      <c r="D103" s="8">
        <f>IF(DAY(C103)=DAY($K$1+1),TRUNC(($D$5),8),D102)</f>
        <v/>
      </c>
      <c r="E103" s="4">
        <f>TRUNC(((1+IPCA!#REF!))^(A103/30),8)</f>
        <v/>
      </c>
      <c r="F103" s="4">
        <f>TRUNC((D103*E103),8)</f>
        <v/>
      </c>
      <c r="G103" s="3">
        <f>ROUND(((1+$G$4)^(30/360))^(B103/(EDATE(C103-A103,1)-(C103-A103))),9)</f>
        <v/>
      </c>
      <c r="H103" s="4">
        <f>TRUNC((F103*G103-F103),8)</f>
        <v/>
      </c>
      <c r="I103" s="4">
        <f>F103+H103</f>
        <v/>
      </c>
    </row>
    <row r="104">
      <c r="A104" s="1">
        <f>IF(DAY(C104)=DAY($K$1+1),1,A103+1)</f>
        <v/>
      </c>
      <c r="B104" s="1">
        <f>IF(DAY(C104)=DAY($K$1+1),1,B103+1)</f>
        <v/>
      </c>
      <c r="C104" s="2">
        <f>C103+1</f>
        <v/>
      </c>
      <c r="D104" s="8">
        <f>IF(DAY(C104)=DAY($K$1+1),TRUNC(($D$5),8),D103)</f>
        <v/>
      </c>
      <c r="E104" s="4">
        <f>TRUNC(((1+IPCA!#REF!))^(A104/30),8)</f>
        <v/>
      </c>
      <c r="F104" s="4">
        <f>TRUNC((D104*E104),8)</f>
        <v/>
      </c>
      <c r="G104" s="3">
        <f>ROUND(((1+$G$4)^(30/360))^(B104/(EDATE(C104-A104,1)-(C104-A104))),9)</f>
        <v/>
      </c>
      <c r="H104" s="4">
        <f>TRUNC((F104*G104-F104),8)</f>
        <v/>
      </c>
      <c r="I104" s="4">
        <f>F104+H104</f>
        <v/>
      </c>
    </row>
    <row r="105">
      <c r="A105" s="1">
        <f>IF(DAY(C105)=DAY($K$1+1),1,A104+1)</f>
        <v/>
      </c>
      <c r="B105" s="1">
        <f>IF(DAY(C105)=DAY($K$1+1),1,B104+1)</f>
        <v/>
      </c>
      <c r="C105" s="2">
        <f>C104+1</f>
        <v/>
      </c>
      <c r="D105" s="8">
        <f>IF(DAY(C105)=DAY($K$1+1),TRUNC(($D$5),8),D104)</f>
        <v/>
      </c>
      <c r="E105" s="4">
        <f>TRUNC(((1+IPCA!#REF!))^(A105/30),8)</f>
        <v/>
      </c>
      <c r="F105" s="4">
        <f>TRUNC((D105*E105),8)</f>
        <v/>
      </c>
      <c r="G105" s="3">
        <f>ROUND(((1+$G$4)^(30/360))^(B105/(EDATE(C105-A105,1)-(C105-A105))),9)</f>
        <v/>
      </c>
      <c r="H105" s="4">
        <f>TRUNC((F105*G105-F105),8)</f>
        <v/>
      </c>
      <c r="I105" s="4">
        <f>F105+H105</f>
        <v/>
      </c>
    </row>
    <row r="106">
      <c r="A106" s="1">
        <f>IF(DAY(C106)=DAY($K$1+1),1,A105+1)</f>
        <v/>
      </c>
      <c r="B106" s="1">
        <f>IF(DAY(C106)=DAY($K$1+1),1,B105+1)</f>
        <v/>
      </c>
      <c r="C106" s="2">
        <f>C105+1</f>
        <v/>
      </c>
      <c r="D106" s="8">
        <f>IF(DAY(C106)=DAY($K$1+1),TRUNC(($D$5),8),D105)</f>
        <v/>
      </c>
      <c r="E106" s="4">
        <f>TRUNC(((1+IPCA!#REF!))^(A106/30),8)</f>
        <v/>
      </c>
      <c r="F106" s="4">
        <f>TRUNC((D106*E106),8)</f>
        <v/>
      </c>
      <c r="G106" s="3">
        <f>ROUND(((1+$G$4)^(30/360))^(B106/(EDATE(C106-A106,1)-(C106-A106))),9)</f>
        <v/>
      </c>
      <c r="H106" s="4">
        <f>TRUNC((F106*G106-F106),8)</f>
        <v/>
      </c>
      <c r="I106" s="4">
        <f>F106+H106</f>
        <v/>
      </c>
    </row>
    <row r="107">
      <c r="A107" s="1">
        <f>IF(DAY(C107)=DAY($K$1+1),1,A106+1)</f>
        <v/>
      </c>
      <c r="B107" s="1">
        <f>IF(DAY(C107)=DAY($K$1+1),1,B106+1)</f>
        <v/>
      </c>
      <c r="C107" s="2">
        <f>C106+1</f>
        <v/>
      </c>
      <c r="D107" s="8">
        <f>IF(DAY(C107)=DAY($K$1+1),TRUNC(($D$5),8),D106)</f>
        <v/>
      </c>
      <c r="E107" s="4">
        <f>TRUNC(((1+IPCA!#REF!))^(A107/30),8)</f>
        <v/>
      </c>
      <c r="F107" s="4">
        <f>TRUNC((D107*E107),8)</f>
        <v/>
      </c>
      <c r="G107" s="3">
        <f>ROUND(((1+$G$4)^(30/360))^(B107/(EDATE(C107-A107,1)-(C107-A107))),9)</f>
        <v/>
      </c>
      <c r="H107" s="4">
        <f>TRUNC((F107*G107-F107),8)</f>
        <v/>
      </c>
      <c r="I107" s="4">
        <f>F107+H107</f>
        <v/>
      </c>
    </row>
    <row r="108">
      <c r="A108" s="1">
        <f>IF(DAY(C108)=DAY($K$1+1),1,A107+1)</f>
        <v/>
      </c>
      <c r="B108" s="1">
        <f>IF(DAY(C108)=DAY($K$1+1),1,B107+1)</f>
        <v/>
      </c>
      <c r="C108" s="2">
        <f>C107+1</f>
        <v/>
      </c>
      <c r="D108" s="8">
        <f>IF(DAY(C108)=DAY($K$1+1),TRUNC(($D$5),8),D107)</f>
        <v/>
      </c>
      <c r="E108" s="4">
        <f>TRUNC(((1+IPCA!#REF!))^(A108/30),8)</f>
        <v/>
      </c>
      <c r="F108" s="4">
        <f>TRUNC((D108*E108),8)</f>
        <v/>
      </c>
      <c r="G108" s="3">
        <f>ROUND(((1+$G$4)^(30/360))^(B108/(EDATE(C108-A108,1)-(C108-A108))),9)</f>
        <v/>
      </c>
      <c r="H108" s="4">
        <f>TRUNC((F108*G108-F108),8)</f>
        <v/>
      </c>
      <c r="I108" s="4">
        <f>F108+H108</f>
        <v/>
      </c>
    </row>
    <row r="109">
      <c r="A109" s="1">
        <f>IF(DAY(C109)=DAY($K$1+1),1,A108+1)</f>
        <v/>
      </c>
      <c r="B109" s="1">
        <f>IF(DAY(C109)=DAY($K$1+1),1,B108+1)</f>
        <v/>
      </c>
      <c r="C109" s="2">
        <f>C108+1</f>
        <v/>
      </c>
      <c r="D109" s="8">
        <f>IF(DAY(C109)=DAY($K$1+1),TRUNC(($D$5),8),D108)</f>
        <v/>
      </c>
      <c r="E109" s="4">
        <f>TRUNC(((1+IPCA!#REF!))^(A109/30),8)</f>
        <v/>
      </c>
      <c r="F109" s="4">
        <f>TRUNC((D109*E109),8)</f>
        <v/>
      </c>
      <c r="G109" s="3">
        <f>ROUND(((1+$G$4)^(30/360))^(B109/(EDATE(C109-A109,1)-(C109-A109))),9)</f>
        <v/>
      </c>
      <c r="H109" s="4">
        <f>TRUNC((F109*G109-F109),8)</f>
        <v/>
      </c>
      <c r="I109" s="4">
        <f>F109+H109</f>
        <v/>
      </c>
    </row>
    <row r="110">
      <c r="A110" s="1">
        <f>IF(DAY(C110)=DAY($K$1+1),1,A109+1)</f>
        <v/>
      </c>
      <c r="B110" s="1">
        <f>IF(DAY(C110)=DAY($K$1+1),1,B109+1)</f>
        <v/>
      </c>
      <c r="C110" s="2">
        <f>C109+1</f>
        <v/>
      </c>
      <c r="D110" s="8">
        <f>IF(DAY(C110)=DAY($K$1+1),TRUNC(($D$5),8),D109)</f>
        <v/>
      </c>
      <c r="E110" s="4">
        <f>TRUNC(((1+IPCA!#REF!))^(A110/30),8)</f>
        <v/>
      </c>
      <c r="F110" s="4">
        <f>TRUNC((D110*E110),8)</f>
        <v/>
      </c>
      <c r="G110" s="3">
        <f>ROUND(((1+$G$4)^(30/360))^(B110/(EDATE(C110-A110,1)-(C110-A110))),9)</f>
        <v/>
      </c>
      <c r="H110" s="4">
        <f>TRUNC((F110*G110-F110),8)</f>
        <v/>
      </c>
      <c r="I110" s="4">
        <f>F110+H110</f>
        <v/>
      </c>
    </row>
    <row r="111">
      <c r="A111" s="1">
        <f>IF(DAY(C111)=DAY($K$1+1),1,A110+1)</f>
        <v/>
      </c>
      <c r="B111" s="1">
        <f>IF(DAY(C111)=DAY($K$1+1),1,B110+1)</f>
        <v/>
      </c>
      <c r="C111" s="2">
        <f>C110+1</f>
        <v/>
      </c>
      <c r="D111" s="8">
        <f>IF(DAY(C111)=DAY($K$1+1),TRUNC(($D$5),8),D110)</f>
        <v/>
      </c>
      <c r="E111" s="4">
        <f>TRUNC(((1+IPCA!#REF!))^(A111/30),8)</f>
        <v/>
      </c>
      <c r="F111" s="4">
        <f>TRUNC((D111*E111),8)</f>
        <v/>
      </c>
      <c r="G111" s="3">
        <f>ROUND(((1+$G$4)^(30/360))^(B111/(EDATE(C111-A111,1)-(C111-A111))),9)</f>
        <v/>
      </c>
      <c r="H111" s="4">
        <f>TRUNC((F111*G111-F111),8)</f>
        <v/>
      </c>
      <c r="I111" s="4">
        <f>F111+H111</f>
        <v/>
      </c>
    </row>
    <row r="112">
      <c r="A112" s="1">
        <f>IF(DAY(C112)=DAY($K$1+1),1,A111+1)</f>
        <v/>
      </c>
      <c r="B112" s="1">
        <f>IF(DAY(C112)=DAY($K$1+1),1,B111+1)</f>
        <v/>
      </c>
      <c r="C112" s="2">
        <f>C111+1</f>
        <v/>
      </c>
      <c r="D112" s="8">
        <f>IF(DAY(C112)=DAY($K$1+1),TRUNC(($D$5),8),D111)</f>
        <v/>
      </c>
      <c r="E112" s="4">
        <f>TRUNC(((1+IPCA!#REF!))^(A112/30),8)</f>
        <v/>
      </c>
      <c r="F112" s="4">
        <f>TRUNC((D112*E112),8)</f>
        <v/>
      </c>
      <c r="G112" s="3">
        <f>ROUND(((1+$G$4)^(30/360))^(B112/(EDATE(C112-A112,1)-(C112-A112))),9)</f>
        <v/>
      </c>
      <c r="H112" s="4">
        <f>TRUNC((F112*G112-F112),8)</f>
        <v/>
      </c>
      <c r="I112" s="4">
        <f>F112+H112</f>
        <v/>
      </c>
    </row>
    <row r="113">
      <c r="A113" s="1">
        <f>IF(DAY(C113)=DAY($K$1+1),1,A112+1)</f>
        <v/>
      </c>
      <c r="B113" s="1">
        <f>IF(DAY(C113)=DAY($K$1+1),1,B112+1)</f>
        <v/>
      </c>
      <c r="C113" s="2">
        <f>C112+1</f>
        <v/>
      </c>
      <c r="D113" s="8">
        <f>IF(DAY(C113)=DAY($K$1+1),TRUNC(($D$5),8),D112)</f>
        <v/>
      </c>
      <c r="E113" s="4">
        <f>TRUNC(((1+IPCA!#REF!))^(A113/30),8)</f>
        <v/>
      </c>
      <c r="F113" s="4">
        <f>TRUNC((D113*E113),8)</f>
        <v/>
      </c>
      <c r="G113" s="3">
        <f>ROUND(((1+$G$4)^(30/360))^(B113/(EDATE(C113-A113,1)-(C113-A113))),9)</f>
        <v/>
      </c>
      <c r="H113" s="4">
        <f>TRUNC((F113*G113-F113),8)</f>
        <v/>
      </c>
      <c r="I113" s="4">
        <f>F113+H113</f>
        <v/>
      </c>
    </row>
    <row r="114">
      <c r="A114" s="1">
        <f>IF(DAY(C114)=DAY($K$1+1),1,A113+1)</f>
        <v/>
      </c>
      <c r="B114" s="1">
        <f>IF(DAY(C114)=DAY($K$1+1),1,B113+1)</f>
        <v/>
      </c>
      <c r="C114" s="2">
        <f>C113+1</f>
        <v/>
      </c>
      <c r="D114" s="8">
        <f>IF(DAY(C114)=DAY($K$1+1),TRUNC(($D$5),8),D113)</f>
        <v/>
      </c>
      <c r="E114" s="4">
        <f>TRUNC(((1+IPCA!#REF!))^(A114/30),8)</f>
        <v/>
      </c>
      <c r="F114" s="4">
        <f>TRUNC((D114*E114),8)</f>
        <v/>
      </c>
      <c r="G114" s="3">
        <f>ROUND(((1+$G$4)^(30/360))^(B114/(EDATE(C114-A114,1)-(C114-A114))),9)</f>
        <v/>
      </c>
      <c r="H114" s="4">
        <f>TRUNC((F114*G114-F114),8)</f>
        <v/>
      </c>
      <c r="I114" s="4">
        <f>F114+H114</f>
        <v/>
      </c>
    </row>
    <row r="115">
      <c r="A115" s="1">
        <f>IF(DAY(C115)=DAY($K$1+1),1,A114+1)</f>
        <v/>
      </c>
      <c r="B115" s="1">
        <f>IF(DAY(C115)=DAY($K$1+1),1,B114+1)</f>
        <v/>
      </c>
      <c r="C115" s="2">
        <f>C114+1</f>
        <v/>
      </c>
      <c r="D115" s="8">
        <f>IF(DAY(C115)=DAY($K$1+1),TRUNC(($D$5),8),D114)</f>
        <v/>
      </c>
      <c r="E115" s="4">
        <f>TRUNC(((1+IPCA!#REF!))^(A115/30),8)</f>
        <v/>
      </c>
      <c r="F115" s="4">
        <f>TRUNC((D115*E115),8)</f>
        <v/>
      </c>
      <c r="G115" s="3">
        <f>ROUND(((1+$G$4)^(30/360))^(B115/(EDATE(C115-A115,1)-(C115-A115))),9)</f>
        <v/>
      </c>
      <c r="H115" s="4">
        <f>TRUNC((F115*G115-F115),8)</f>
        <v/>
      </c>
      <c r="I115" s="4">
        <f>F115+H115</f>
        <v/>
      </c>
    </row>
    <row r="116">
      <c r="A116" s="1">
        <f>IF(DAY(C116)=DAY($K$1+1),1,A115+1)</f>
        <v/>
      </c>
      <c r="B116" s="1">
        <f>IF(DAY(C116)=DAY($K$1+1),1,B115+1)</f>
        <v/>
      </c>
      <c r="C116" s="2">
        <f>C115+1</f>
        <v/>
      </c>
      <c r="D116" s="8">
        <f>IF(DAY(C116)=DAY($K$1+1),TRUNC(($D$5),8),D115)</f>
        <v/>
      </c>
      <c r="E116" s="4">
        <f>TRUNC(((1+IPCA!#REF!))^(A116/30),8)</f>
        <v/>
      </c>
      <c r="F116" s="4">
        <f>TRUNC((D116*E116),8)</f>
        <v/>
      </c>
      <c r="G116" s="3">
        <f>ROUND(((1+$G$4)^(30/360))^(B116/(EDATE(C116-A116,1)-(C116-A116))),9)</f>
        <v/>
      </c>
      <c r="H116" s="4">
        <f>TRUNC((F116*G116-F116),8)</f>
        <v/>
      </c>
      <c r="I116" s="4">
        <f>F116+H116</f>
        <v/>
      </c>
    </row>
    <row r="117">
      <c r="A117" s="1">
        <f>IF(DAY(C117)=DAY($K$1+1),1,A116+1)</f>
        <v/>
      </c>
      <c r="B117" s="1">
        <f>IF(DAY(C117)=DAY($K$1+1),1,B116+1)</f>
        <v/>
      </c>
      <c r="C117" s="2">
        <f>C116+1</f>
        <v/>
      </c>
      <c r="D117" s="8">
        <f>IF(DAY(C117)=DAY($K$1+1),TRUNC(($D$5),8),D116)</f>
        <v/>
      </c>
      <c r="E117" s="4">
        <f>TRUNC(((1+IPCA!#REF!))^(A117/30),8)</f>
        <v/>
      </c>
      <c r="F117" s="4">
        <f>TRUNC((D117*E117),8)</f>
        <v/>
      </c>
      <c r="G117" s="3">
        <f>ROUND(((1+$G$4)^(30/360))^(B117/(EDATE(C117-A117,1)-(C117-A117))),9)</f>
        <v/>
      </c>
      <c r="H117" s="4">
        <f>TRUNC((F117*G117-F117),8)</f>
        <v/>
      </c>
      <c r="I117" s="4">
        <f>F117+H117</f>
        <v/>
      </c>
    </row>
    <row r="118">
      <c r="A118" s="1">
        <f>IF(DAY(C118)=DAY($K$1+1),1,A117+1)</f>
        <v/>
      </c>
      <c r="B118" s="1">
        <f>IF(DAY(C118)=DAY($K$1+1),1,B117+1)</f>
        <v/>
      </c>
      <c r="C118" s="2">
        <f>C117+1</f>
        <v/>
      </c>
      <c r="D118" s="8">
        <f>IF(DAY(C118)=DAY($K$1+1),TRUNC(($D$5),8),D117)</f>
        <v/>
      </c>
      <c r="E118" s="4">
        <f>TRUNC(((1+IPCA!#REF!))^(A118/30),8)</f>
        <v/>
      </c>
      <c r="F118" s="4">
        <f>TRUNC((D118*E118),8)</f>
        <v/>
      </c>
      <c r="G118" s="3">
        <f>ROUND(((1+$G$4)^(30/360))^(B118/(EDATE(C118-A118,1)-(C118-A118))),9)</f>
        <v/>
      </c>
      <c r="H118" s="4">
        <f>TRUNC((F118*G118-F118),8)</f>
        <v/>
      </c>
      <c r="I118" s="4">
        <f>F118+H118</f>
        <v/>
      </c>
    </row>
    <row r="119">
      <c r="A119" s="1">
        <f>IF(DAY(C119)=DAY($K$1+1),1,A118+1)</f>
        <v/>
      </c>
      <c r="B119" s="1">
        <f>IF(DAY(C119)=DAY($K$1+1),1,B118+1)</f>
        <v/>
      </c>
      <c r="C119" s="2">
        <f>C118+1</f>
        <v/>
      </c>
      <c r="D119" s="8">
        <f>IF(DAY(C119)=DAY($K$1+1),TRUNC(($D$5),8),D118)</f>
        <v/>
      </c>
      <c r="E119" s="4">
        <f>TRUNC(((1+IPCA!#REF!))^(A119/30),8)</f>
        <v/>
      </c>
      <c r="F119" s="4">
        <f>TRUNC((D119*E119),8)</f>
        <v/>
      </c>
      <c r="G119" s="3">
        <f>ROUND(((1+$G$4)^(30/360))^(B119/(EDATE(C119-A119,1)-(C119-A119))),9)</f>
        <v/>
      </c>
      <c r="H119" s="4">
        <f>TRUNC((F119*G119-F119),8)</f>
        <v/>
      </c>
      <c r="I119" s="4">
        <f>F119+H119</f>
        <v/>
      </c>
    </row>
    <row r="120">
      <c r="A120" s="1">
        <f>IF(DAY(C120)=DAY($K$1+1),1,A119+1)</f>
        <v/>
      </c>
      <c r="B120" s="1">
        <f>IF(DAY(C120)=DAY($K$1+1),1,B119+1)</f>
        <v/>
      </c>
      <c r="C120" s="2">
        <f>C119+1</f>
        <v/>
      </c>
      <c r="D120" s="8">
        <f>IF(DAY(C120)=DAY($K$1+1),TRUNC(($D$5),8),D119)</f>
        <v/>
      </c>
      <c r="E120" s="4">
        <f>TRUNC(((1+IPCA!#REF!))^(A120/30),8)</f>
        <v/>
      </c>
      <c r="F120" s="4">
        <f>TRUNC((D120*E120),8)</f>
        <v/>
      </c>
      <c r="G120" s="3">
        <f>ROUND(((1+$G$4)^(30/360))^(B120/(EDATE(C120-A120,1)-(C120-A120))),9)</f>
        <v/>
      </c>
      <c r="H120" s="4">
        <f>TRUNC((F120*G120-F120),8)</f>
        <v/>
      </c>
      <c r="I120" s="4">
        <f>F120+H120</f>
        <v/>
      </c>
      <c r="J120" s="35" t="inlineStr">
        <is>
          <t>CRI Integralizado:</t>
        </is>
      </c>
      <c r="K120" s="268" t="n">
        <v>1540</v>
      </c>
    </row>
    <row r="121">
      <c r="A121" s="1">
        <f>IF(DAY(C121)=DAY($K$1+1),1,A120+1)</f>
        <v/>
      </c>
      <c r="B121" s="1">
        <f>IF(DAY(C121)=DAY($K$1+1),1,B120+1)</f>
        <v/>
      </c>
      <c r="C121" s="2">
        <f>C120+1</f>
        <v/>
      </c>
      <c r="D121" s="8">
        <f>IF(DAY(C121)=DAY($K$1+1),TRUNC(($D$5),8),D120)</f>
        <v/>
      </c>
      <c r="E121" s="4">
        <f>TRUNC(((1+IPCA!#REF!))^(A121/30),8)</f>
        <v/>
      </c>
      <c r="F121" s="4">
        <f>TRUNC((D121*E121),8)</f>
        <v/>
      </c>
      <c r="G121" s="3">
        <f>ROUND(((1+$G$4)^(30/360))^(B121/(EDATE(C121-A121,1)-(C121-A121))),9)</f>
        <v/>
      </c>
      <c r="H121" s="4">
        <f>TRUNC((F121*G121-F121),8)</f>
        <v/>
      </c>
      <c r="I121" s="4">
        <f>F121+H121</f>
        <v/>
      </c>
      <c r="J121" s="33" t="inlineStr">
        <is>
          <t>JUROS</t>
        </is>
      </c>
      <c r="K121" s="33" t="inlineStr">
        <is>
          <t>AMORTIZAÇÃO</t>
        </is>
      </c>
      <c r="L121" s="33" t="inlineStr">
        <is>
          <t>AMEX</t>
        </is>
      </c>
      <c r="M121" s="33" t="inlineStr">
        <is>
          <t>RESIDUAL</t>
        </is>
      </c>
    </row>
    <row r="122">
      <c r="A122" s="22">
        <f>IF(DAY(C122)=DAY($K$1+1),1,A121+1)</f>
        <v/>
      </c>
      <c r="B122" s="22">
        <f>IF(DAY(C122)=DAY($K$1+1),1,B121+1)</f>
        <v/>
      </c>
      <c r="C122" s="23">
        <f>C121+1</f>
        <v/>
      </c>
      <c r="D122" s="24">
        <f>IF(DAY(C122)=DAY($K$1+1),TRUNC(($D$5),8),D121)</f>
        <v/>
      </c>
      <c r="E122" s="25">
        <f>TRUNC(((1+IPCA!#REF!))^(A122/30),8)</f>
        <v/>
      </c>
      <c r="F122" s="25">
        <f>TRUNC((D122*E122),8)</f>
        <v/>
      </c>
      <c r="G122" s="26">
        <f>ROUND(((1+$G$4)^(30/360))^(B122/(EDATE(C122-A122,1)-(C122-A122))),9)</f>
        <v/>
      </c>
      <c r="H122" s="25">
        <f>TRUNC((F122*G122-F122),8)</f>
        <v/>
      </c>
      <c r="I122" s="25">
        <f>F122+H122</f>
        <v/>
      </c>
      <c r="J122" s="28">
        <f>H122</f>
        <v/>
      </c>
      <c r="K122" s="29">
        <f>F122*'Amort TS'!#REF!</f>
        <v/>
      </c>
      <c r="L122" s="29" t="n">
        <v>0</v>
      </c>
      <c r="M122" s="29">
        <f>I122-J122-K122-L122</f>
        <v/>
      </c>
    </row>
    <row r="123">
      <c r="A123" s="1">
        <f>IF(DAY(C123)=DAY($K$1+1),1,A122+1)</f>
        <v/>
      </c>
      <c r="B123" s="1">
        <f>IF(DAY(C123)=DAY($K$1+1),1,B122+1)</f>
        <v/>
      </c>
      <c r="C123" s="2">
        <f>C122+1</f>
        <v/>
      </c>
      <c r="D123" s="8">
        <f>M122</f>
        <v/>
      </c>
      <c r="E123" s="4">
        <f>TRUNC(((1+IPCA!#REF!))^(A123/31),8)</f>
        <v/>
      </c>
      <c r="F123" s="4">
        <f>TRUNC((D123*E123),8)</f>
        <v/>
      </c>
      <c r="G123" s="3">
        <f>ROUND(((1+$G$4)^(30/360))^(B123/(EDATE(C123-A123,1)-(C123-A123))),9)</f>
        <v/>
      </c>
      <c r="H123" s="4">
        <f>TRUNC((F123*G123-F123),8)</f>
        <v/>
      </c>
      <c r="I123" s="4">
        <f>F123+H123</f>
        <v/>
      </c>
      <c r="J123" s="8">
        <f>J122*1540</f>
        <v/>
      </c>
      <c r="K123" s="8">
        <f>K122*1540</f>
        <v/>
      </c>
      <c r="L123" s="8" t="n">
        <v>0</v>
      </c>
      <c r="M123" s="8">
        <f>M122*1540</f>
        <v/>
      </c>
    </row>
    <row r="124" ht="13.8" customHeight="1" s="260" thickBot="1">
      <c r="A124" s="1">
        <f>IF(DAY(C124)=DAY($K$1+1),1,A123+1)</f>
        <v/>
      </c>
      <c r="B124" s="1">
        <f>IF(DAY(C124)=DAY($K$1+1),1,B123+1)</f>
        <v/>
      </c>
      <c r="C124" s="2">
        <f>C123+1</f>
        <v/>
      </c>
      <c r="D124" s="8">
        <f>IF(DAY(C124)=DAY($K$1+1),TRUNC(($D$5),8),D123)</f>
        <v/>
      </c>
      <c r="E124" s="4">
        <f>TRUNC(((1+IPCA!#REF!))^(A124/31),8)</f>
        <v/>
      </c>
      <c r="F124" s="4">
        <f>TRUNC((D124*E124),8)</f>
        <v/>
      </c>
      <c r="G124" s="3">
        <f>ROUND(((1+$G$4)^(30/360))^(B124/(EDATE(C124-A124,1)-(C124-A124))),9)</f>
        <v/>
      </c>
      <c r="H124" s="4">
        <f>TRUNC((F124*G124-F124),8)</f>
        <v/>
      </c>
      <c r="I124" s="4">
        <f>F124+H124</f>
        <v/>
      </c>
      <c r="J124" s="34" t="n"/>
      <c r="K124" s="30" t="n"/>
      <c r="L124" s="10" t="n"/>
    </row>
    <row r="125" ht="13.8" customHeight="1" s="260" thickBot="1">
      <c r="A125" s="1">
        <f>IF(DAY(C125)=DAY($K$1+1),1,A124+1)</f>
        <v/>
      </c>
      <c r="B125" s="1">
        <f>IF(DAY(C125)=DAY($K$1+1),1,B124+1)</f>
        <v/>
      </c>
      <c r="C125" s="2">
        <f>C124+1</f>
        <v/>
      </c>
      <c r="D125" s="8">
        <f>IF(DAY(C125)=DAY($K$1+1),TRUNC(($D$5),8),D124)</f>
        <v/>
      </c>
      <c r="E125" s="4">
        <f>TRUNC(((1+IPCA!#REF!))^(A125/31),8)</f>
        <v/>
      </c>
      <c r="F125" s="4">
        <f>TRUNC((D125*E125),8)</f>
        <v/>
      </c>
      <c r="G125" s="3">
        <f>ROUND(((1+$G$4)^(30/360))^(B125/(EDATE(C125-A125,1)-(C125-A125))),9)</f>
        <v/>
      </c>
      <c r="H125" s="4">
        <f>TRUNC((F125*G125-F125),8)</f>
        <v/>
      </c>
      <c r="I125" s="4">
        <f>F125+H125</f>
        <v/>
      </c>
      <c r="J125" s="31">
        <f>SUM(J123:K123)</f>
        <v/>
      </c>
      <c r="K125" s="32" t="inlineStr">
        <is>
          <t>TOTAL PMT</t>
        </is>
      </c>
      <c r="L125" s="10" t="n"/>
    </row>
    <row r="126">
      <c r="A126" s="1">
        <f>IF(DAY(C126)=DAY($K$1+1),1,A125+1)</f>
        <v/>
      </c>
      <c r="B126" s="1">
        <f>IF(DAY(C126)=DAY($K$1+1),1,B125+1)</f>
        <v/>
      </c>
      <c r="C126" s="2">
        <f>C125+1</f>
        <v/>
      </c>
      <c r="D126" s="8">
        <f>IF(DAY(C126)=DAY($K$1+1),TRUNC(($D$5),8),D125)</f>
        <v/>
      </c>
      <c r="E126" s="4">
        <f>TRUNC(((1+IPCA!#REF!))^(A126/31),8)</f>
        <v/>
      </c>
      <c r="F126" s="4">
        <f>TRUNC((D126*E126),8)</f>
        <v/>
      </c>
      <c r="G126" s="3">
        <f>ROUND(((1+$G$4)^(30/360))^(B126/(EDATE(C126-A126,1)-(C126-A126))),9)</f>
        <v/>
      </c>
      <c r="H126" s="4">
        <f>TRUNC((F126*G126-F126),8)</f>
        <v/>
      </c>
      <c r="I126" s="4">
        <f>F126+H126</f>
        <v/>
      </c>
      <c r="J126" s="267" t="n"/>
    </row>
    <row r="127">
      <c r="A127" s="1">
        <f>IF(DAY(C127)=DAY($K$1+1),1,A126+1)</f>
        <v/>
      </c>
      <c r="B127" s="1">
        <f>IF(DAY(C127)=DAY($K$1+1),1,B126+1)</f>
        <v/>
      </c>
      <c r="C127" s="2">
        <f>C126+1</f>
        <v/>
      </c>
      <c r="D127" s="8">
        <f>IF(DAY(C127)=DAY($K$1+1),TRUNC(($D$5),8),D126)</f>
        <v/>
      </c>
      <c r="E127" s="4">
        <f>TRUNC(((1+IPCA!#REF!))^(A127/31),8)</f>
        <v/>
      </c>
      <c r="F127" s="4">
        <f>TRUNC((D127*E127),8)</f>
        <v/>
      </c>
      <c r="G127" s="3">
        <f>ROUND(((1+$G$4)^(30/360))^(B127/(EDATE(C127-A127,1)-(C127-A127))),9)</f>
        <v/>
      </c>
      <c r="H127" s="4">
        <f>TRUNC((F127*G127-F127),8)</f>
        <v/>
      </c>
      <c r="I127" s="4">
        <f>F127+H127</f>
        <v/>
      </c>
    </row>
    <row r="128">
      <c r="A128" s="1">
        <f>IF(DAY(C128)=DAY($K$1+1),1,A127+1)</f>
        <v/>
      </c>
      <c r="B128" s="1">
        <f>IF(DAY(C128)=DAY($K$1+1),1,B127+1)</f>
        <v/>
      </c>
      <c r="C128" s="2">
        <f>C127+1</f>
        <v/>
      </c>
      <c r="D128" s="8">
        <f>IF(DAY(C128)=DAY($K$1+1),TRUNC(($D$5),8),D127)</f>
        <v/>
      </c>
      <c r="E128" s="4">
        <f>TRUNC(((1+IPCA!#REF!))^(A128/31),8)</f>
        <v/>
      </c>
      <c r="F128" s="4">
        <f>TRUNC((D128*E128),8)</f>
        <v/>
      </c>
      <c r="G128" s="3">
        <f>ROUND(((1+$G$4)^(30/360))^(B128/(EDATE(C128-A128,1)-(C128-A128))),9)</f>
        <v/>
      </c>
      <c r="H128" s="4">
        <f>TRUNC((F128*G128-F128),8)</f>
        <v/>
      </c>
      <c r="I128" s="4">
        <f>F128+H128</f>
        <v/>
      </c>
    </row>
    <row r="129">
      <c r="A129" s="1">
        <f>IF(DAY(C129)=DAY($K$1+1),1,A128+1)</f>
        <v/>
      </c>
      <c r="B129" s="1">
        <f>IF(DAY(C129)=DAY($K$1+1),1,B128+1)</f>
        <v/>
      </c>
      <c r="C129" s="2">
        <f>C128+1</f>
        <v/>
      </c>
      <c r="D129" s="8">
        <f>IF(DAY(C129)=DAY($K$1+1),TRUNC(($D$5),8),D128)</f>
        <v/>
      </c>
      <c r="E129" s="4">
        <f>TRUNC(((1+IPCA!#REF!))^(A129/31),8)</f>
        <v/>
      </c>
      <c r="F129" s="4">
        <f>TRUNC((D129*E129),8)</f>
        <v/>
      </c>
      <c r="G129" s="3">
        <f>ROUND(((1+$G$4)^(30/360))^(B129/(EDATE(C129-A129,1)-(C129-A129))),9)</f>
        <v/>
      </c>
      <c r="H129" s="4">
        <f>TRUNC((F129*G129-F129),8)</f>
        <v/>
      </c>
      <c r="I129" s="4">
        <f>F129+H129</f>
        <v/>
      </c>
    </row>
    <row r="130">
      <c r="A130" s="1">
        <f>IF(DAY(C130)=DAY($K$1+1),1,A129+1)</f>
        <v/>
      </c>
      <c r="B130" s="1">
        <f>IF(DAY(C130)=DAY($K$1+1),1,B129+1)</f>
        <v/>
      </c>
      <c r="C130" s="2">
        <f>C129+1</f>
        <v/>
      </c>
      <c r="D130" s="8">
        <f>IF(DAY(C130)=DAY($K$1+1),TRUNC(($D$5),8),D129)</f>
        <v/>
      </c>
      <c r="E130" s="4">
        <f>TRUNC(((1+IPCA!#REF!))^(A130/31),8)</f>
        <v/>
      </c>
      <c r="F130" s="4">
        <f>TRUNC((D130*E130),8)</f>
        <v/>
      </c>
      <c r="G130" s="3">
        <f>ROUND(((1+$G$4)^(30/360))^(B130/(EDATE(C130-A130,1)-(C130-A130))),9)</f>
        <v/>
      </c>
      <c r="H130" s="4">
        <f>TRUNC((F130*G130-F130),8)</f>
        <v/>
      </c>
      <c r="I130" s="4">
        <f>F130+H130</f>
        <v/>
      </c>
    </row>
    <row r="131">
      <c r="A131" s="1">
        <f>IF(DAY(C131)=DAY($K$1+1),1,A130+1)</f>
        <v/>
      </c>
      <c r="B131" s="1">
        <f>IF(DAY(C131)=DAY($K$1+1),1,B130+1)</f>
        <v/>
      </c>
      <c r="C131" s="2">
        <f>C130+1</f>
        <v/>
      </c>
      <c r="D131" s="8">
        <f>IF(DAY(C131)=DAY($K$1+1),TRUNC(($D$5),8),D130)</f>
        <v/>
      </c>
      <c r="E131" s="4">
        <f>TRUNC(((1+IPCA!#REF!))^(A131/31),8)</f>
        <v/>
      </c>
      <c r="F131" s="4">
        <f>TRUNC((D131*E131),8)</f>
        <v/>
      </c>
      <c r="G131" s="3">
        <f>ROUND(((1+$G$4)^(30/360))^(B131/(EDATE(C131-A131,1)-(C131-A131))),9)</f>
        <v/>
      </c>
      <c r="H131" s="4">
        <f>TRUNC((F131*G131-F131),8)</f>
        <v/>
      </c>
      <c r="I131" s="4">
        <f>F131+H131</f>
        <v/>
      </c>
    </row>
    <row r="132">
      <c r="A132" s="1">
        <f>IF(DAY(C132)=DAY($K$1+1),1,A131+1)</f>
        <v/>
      </c>
      <c r="B132" s="1">
        <f>IF(DAY(C132)=DAY($K$1+1),1,B131+1)</f>
        <v/>
      </c>
      <c r="C132" s="2">
        <f>C131+1</f>
        <v/>
      </c>
      <c r="D132" s="8">
        <f>IF(DAY(C132)=DAY($K$1+1),TRUNC(($D$5),8),D131)</f>
        <v/>
      </c>
      <c r="E132" s="4">
        <f>TRUNC(((1+IPCA!#REF!))^(A132/31),8)</f>
        <v/>
      </c>
      <c r="F132" s="4">
        <f>TRUNC((D132*E132),8)</f>
        <v/>
      </c>
      <c r="G132" s="3">
        <f>ROUND(((1+$G$4)^(30/360))^(B132/(EDATE(C132-A132,1)-(C132-A132))),9)</f>
        <v/>
      </c>
      <c r="H132" s="4">
        <f>TRUNC((F132*G132-F132),8)</f>
        <v/>
      </c>
      <c r="I132" s="4">
        <f>F132+H132</f>
        <v/>
      </c>
    </row>
    <row r="133">
      <c r="A133" s="1">
        <f>IF(DAY(C133)=DAY($K$1+1),1,A132+1)</f>
        <v/>
      </c>
      <c r="B133" s="1">
        <f>IF(DAY(C133)=DAY($K$1+1),1,B132+1)</f>
        <v/>
      </c>
      <c r="C133" s="2">
        <f>C132+1</f>
        <v/>
      </c>
      <c r="D133" s="8">
        <f>IF(DAY(C133)=DAY($K$1+1),TRUNC(($D$5),8),D132)</f>
        <v/>
      </c>
      <c r="E133" s="4">
        <f>TRUNC(((1+IPCA!#REF!))^(A133/31),8)</f>
        <v/>
      </c>
      <c r="F133" s="4">
        <f>TRUNC((D133*E133),8)</f>
        <v/>
      </c>
      <c r="G133" s="3">
        <f>ROUND(((1+$G$4)^(30/360))^(B133/(EDATE(C133-A133,1)-(C133-A133))),9)</f>
        <v/>
      </c>
      <c r="H133" s="4">
        <f>TRUNC((F133*G133-F133),8)</f>
        <v/>
      </c>
      <c r="I133" s="4">
        <f>F133+H133</f>
        <v/>
      </c>
    </row>
    <row r="134">
      <c r="A134" s="1">
        <f>IF(DAY(C134)=DAY($K$1+1),1,A133+1)</f>
        <v/>
      </c>
      <c r="B134" s="1">
        <f>IF(DAY(C134)=DAY($K$1+1),1,B133+1)</f>
        <v/>
      </c>
      <c r="C134" s="2">
        <f>C133+1</f>
        <v/>
      </c>
      <c r="D134" s="8">
        <f>IF(DAY(C134)=DAY($K$1+1),TRUNC(($D$5),8),D133)</f>
        <v/>
      </c>
      <c r="E134" s="4">
        <f>TRUNC(((1+IPCA!#REF!))^(A134/31),8)</f>
        <v/>
      </c>
      <c r="F134" s="4">
        <f>TRUNC((D134*E134),8)</f>
        <v/>
      </c>
      <c r="G134" s="3">
        <f>ROUND(((1+$G$4)^(30/360))^(B134/(EDATE(C134-A134,1)-(C134-A134))),9)</f>
        <v/>
      </c>
      <c r="H134" s="4">
        <f>TRUNC((F134*G134-F134),8)</f>
        <v/>
      </c>
      <c r="I134" s="4">
        <f>F134+H134</f>
        <v/>
      </c>
    </row>
    <row r="135">
      <c r="A135" s="1">
        <f>IF(DAY(C135)=DAY($K$1+1),1,A134+1)</f>
        <v/>
      </c>
      <c r="B135" s="1">
        <f>IF(DAY(C135)=DAY($K$1+1),1,B134+1)</f>
        <v/>
      </c>
      <c r="C135" s="2">
        <f>C134+1</f>
        <v/>
      </c>
      <c r="D135" s="8">
        <f>IF(DAY(C135)=DAY($K$1+1),TRUNC(($D$5),8),D134)</f>
        <v/>
      </c>
      <c r="E135" s="4">
        <f>TRUNC(((1+IPCA!#REF!))^(A135/31),8)</f>
        <v/>
      </c>
      <c r="F135" s="4">
        <f>TRUNC((D135*E135),8)</f>
        <v/>
      </c>
      <c r="G135" s="3">
        <f>ROUND(((1+$G$4)^(30/360))^(B135/(EDATE(C135-A135,1)-(C135-A135))),9)</f>
        <v/>
      </c>
      <c r="H135" s="4">
        <f>TRUNC((F135*G135-F135),8)</f>
        <v/>
      </c>
      <c r="I135" s="4">
        <f>F135+H135</f>
        <v/>
      </c>
    </row>
    <row r="136">
      <c r="A136" s="1">
        <f>IF(DAY(C136)=DAY($K$1+1),1,A135+1)</f>
        <v/>
      </c>
      <c r="B136" s="1">
        <f>IF(DAY(C136)=DAY($K$1+1),1,B135+1)</f>
        <v/>
      </c>
      <c r="C136" s="2">
        <f>C135+1</f>
        <v/>
      </c>
      <c r="D136" s="8">
        <f>IF(DAY(C136)=DAY($K$1+1),TRUNC(($D$5),8),D135)</f>
        <v/>
      </c>
      <c r="E136" s="4">
        <f>TRUNC(((1+IPCA!#REF!))^(A136/31),8)</f>
        <v/>
      </c>
      <c r="F136" s="4">
        <f>TRUNC((D136*E136),8)</f>
        <v/>
      </c>
      <c r="G136" s="3">
        <f>ROUND(((1+$G$4)^(30/360))^(B136/(EDATE(C136-A136,1)-(C136-A136))),9)</f>
        <v/>
      </c>
      <c r="H136" s="4">
        <f>TRUNC((F136*G136-F136),8)</f>
        <v/>
      </c>
      <c r="I136" s="4">
        <f>F136+H136</f>
        <v/>
      </c>
    </row>
    <row r="137">
      <c r="A137" s="1">
        <f>IF(DAY(C137)=DAY($K$1+1),1,A136+1)</f>
        <v/>
      </c>
      <c r="B137" s="1">
        <f>IF(DAY(C137)=DAY($K$1+1),1,B136+1)</f>
        <v/>
      </c>
      <c r="C137" s="2">
        <f>C136+1</f>
        <v/>
      </c>
      <c r="D137" s="8">
        <f>IF(DAY(C137)=DAY($K$1+1),TRUNC(($D$5),8),D136)</f>
        <v/>
      </c>
      <c r="E137" s="4">
        <f>TRUNC(((1+IPCA!#REF!))^(A137/31),8)</f>
        <v/>
      </c>
      <c r="F137" s="4">
        <f>TRUNC((D137*E137),8)</f>
        <v/>
      </c>
      <c r="G137" s="3">
        <f>ROUND(((1+$G$4)^(30/360))^(B137/(EDATE(C137-A137,1)-(C137-A137))),9)</f>
        <v/>
      </c>
      <c r="H137" s="4">
        <f>TRUNC((F137*G137-F137),8)</f>
        <v/>
      </c>
      <c r="I137" s="4">
        <f>F137+H137</f>
        <v/>
      </c>
    </row>
    <row r="138">
      <c r="A138" s="1">
        <f>IF(DAY(C138)=DAY($K$1+1),1,A137+1)</f>
        <v/>
      </c>
      <c r="B138" s="1">
        <f>IF(DAY(C138)=DAY($K$1+1),1,B137+1)</f>
        <v/>
      </c>
      <c r="C138" s="2">
        <f>C137+1</f>
        <v/>
      </c>
      <c r="D138" s="8">
        <f>IF(DAY(C138)=DAY($K$1+1),TRUNC(($D$5),8),D137)</f>
        <v/>
      </c>
      <c r="E138" s="4">
        <f>TRUNC(((1+IPCA!#REF!))^(A138/31),8)</f>
        <v/>
      </c>
      <c r="F138" s="4">
        <f>TRUNC((D138*E138),8)</f>
        <v/>
      </c>
      <c r="G138" s="3">
        <f>ROUND(((1+$G$4)^(30/360))^(B138/(EDATE(C138-A138,1)-(C138-A138))),9)</f>
        <v/>
      </c>
      <c r="H138" s="4">
        <f>TRUNC((F138*G138-F138),8)</f>
        <v/>
      </c>
      <c r="I138" s="4">
        <f>F138+H138</f>
        <v/>
      </c>
    </row>
    <row r="139">
      <c r="A139" s="1">
        <f>IF(DAY(C139)=DAY($K$1+1),1,A138+1)</f>
        <v/>
      </c>
      <c r="B139" s="1">
        <f>IF(DAY(C139)=DAY($K$1+1),1,B138+1)</f>
        <v/>
      </c>
      <c r="C139" s="2">
        <f>C138+1</f>
        <v/>
      </c>
      <c r="D139" s="8">
        <f>IF(DAY(C139)=DAY($K$1+1),TRUNC(($D$5),8),D138)</f>
        <v/>
      </c>
      <c r="E139" s="4">
        <f>TRUNC(((1+IPCA!#REF!))^(A139/31),8)</f>
        <v/>
      </c>
      <c r="F139" s="4">
        <f>TRUNC((D139*E139),8)</f>
        <v/>
      </c>
      <c r="G139" s="3">
        <f>ROUND(((1+$G$4)^(30/360))^(B139/(EDATE(C139-A139,1)-(C139-A139))),9)</f>
        <v/>
      </c>
      <c r="H139" s="4">
        <f>TRUNC((F139*G139-F139),8)</f>
        <v/>
      </c>
      <c r="I139" s="4">
        <f>F139+H139</f>
        <v/>
      </c>
    </row>
    <row r="140">
      <c r="A140" s="1">
        <f>IF(DAY(C140)=DAY($K$1+1),1,A139+1)</f>
        <v/>
      </c>
      <c r="B140" s="1">
        <f>IF(DAY(C140)=DAY($K$1+1),1,B139+1)</f>
        <v/>
      </c>
      <c r="C140" s="2">
        <f>C139+1</f>
        <v/>
      </c>
      <c r="D140" s="8">
        <f>IF(DAY(C140)=DAY($K$1+1),TRUNC(($D$5),8),D139)</f>
        <v/>
      </c>
      <c r="E140" s="4">
        <f>TRUNC(((1+IPCA!#REF!))^(A140/31),8)</f>
        <v/>
      </c>
      <c r="F140" s="4">
        <f>TRUNC((D140*E140),8)</f>
        <v/>
      </c>
      <c r="G140" s="3">
        <f>ROUND(((1+$G$4)^(30/360))^(B140/(EDATE(C140-A140,1)-(C140-A140))),9)</f>
        <v/>
      </c>
      <c r="H140" s="4">
        <f>TRUNC((F140*G140-F140),8)</f>
        <v/>
      </c>
      <c r="I140" s="4">
        <f>F140+H140</f>
        <v/>
      </c>
    </row>
    <row r="141">
      <c r="A141" s="1">
        <f>IF(DAY(C141)=DAY($K$1+1),1,A140+1)</f>
        <v/>
      </c>
      <c r="B141" s="1">
        <f>IF(DAY(C141)=DAY($K$1+1),1,B140+1)</f>
        <v/>
      </c>
      <c r="C141" s="2">
        <f>C140+1</f>
        <v/>
      </c>
      <c r="D141" s="8">
        <f>IF(DAY(C141)=DAY($K$1+1),TRUNC(($D$5),8),D140)</f>
        <v/>
      </c>
      <c r="E141" s="4">
        <f>TRUNC(((1+IPCA!#REF!))^(A141/31),8)</f>
        <v/>
      </c>
      <c r="F141" s="4">
        <f>TRUNC((D141*E141),8)</f>
        <v/>
      </c>
      <c r="G141" s="3">
        <f>ROUND(((1+$G$4)^(30/360))^(B141/(EDATE(C141-A141,1)-(C141-A141))),9)</f>
        <v/>
      </c>
      <c r="H141" s="4">
        <f>TRUNC((F141*G141-F141),8)</f>
        <v/>
      </c>
      <c r="I141" s="4">
        <f>F141+H141</f>
        <v/>
      </c>
    </row>
    <row r="142">
      <c r="A142" s="1">
        <f>IF(DAY(C142)=DAY($K$1+1),1,A141+1)</f>
        <v/>
      </c>
      <c r="B142" s="1">
        <f>IF(DAY(C142)=DAY($K$1+1),1,B141+1)</f>
        <v/>
      </c>
      <c r="C142" s="2">
        <f>C141+1</f>
        <v/>
      </c>
      <c r="D142" s="8">
        <f>IF(DAY(C142)=DAY($K$1+1),TRUNC(($D$5),8),D141)</f>
        <v/>
      </c>
      <c r="E142" s="4">
        <f>TRUNC(((1+IPCA!#REF!))^(A142/31),8)</f>
        <v/>
      </c>
      <c r="F142" s="4">
        <f>TRUNC((D142*E142),8)</f>
        <v/>
      </c>
      <c r="G142" s="3">
        <f>ROUND(((1+$G$4)^(30/360))^(B142/(EDATE(C142-A142,1)-(C142-A142))),9)</f>
        <v/>
      </c>
      <c r="H142" s="4">
        <f>TRUNC((F142*G142-F142),8)</f>
        <v/>
      </c>
      <c r="I142" s="4">
        <f>F142+H142</f>
        <v/>
      </c>
    </row>
    <row r="143">
      <c r="A143" s="1">
        <f>IF(DAY(C143)=DAY($K$1+1),1,A142+1)</f>
        <v/>
      </c>
      <c r="B143" s="1">
        <f>IF(DAY(C143)=DAY($K$1+1),1,B142+1)</f>
        <v/>
      </c>
      <c r="C143" s="2">
        <f>C142+1</f>
        <v/>
      </c>
      <c r="D143" s="8">
        <f>IF(DAY(C143)=DAY($K$1+1),TRUNC(($D$5),8),D142)</f>
        <v/>
      </c>
      <c r="E143" s="4">
        <f>TRUNC(((1+IPCA!#REF!))^(A143/31),8)</f>
        <v/>
      </c>
      <c r="F143" s="4">
        <f>TRUNC((D143*E143),8)</f>
        <v/>
      </c>
      <c r="G143" s="3">
        <f>ROUND(((1+$G$4)^(30/360))^(B143/(EDATE(C143-A143,1)-(C143-A143))),9)</f>
        <v/>
      </c>
      <c r="H143" s="4">
        <f>TRUNC((F143*G143-F143),8)</f>
        <v/>
      </c>
      <c r="I143" s="4">
        <f>F143+H143</f>
        <v/>
      </c>
    </row>
    <row r="144">
      <c r="A144" s="1">
        <f>IF(DAY(C144)=DAY($K$1+1),1,A143+1)</f>
        <v/>
      </c>
      <c r="B144" s="1">
        <f>IF(DAY(C144)=DAY($K$1+1),1,B143+1)</f>
        <v/>
      </c>
      <c r="C144" s="2">
        <f>C143+1</f>
        <v/>
      </c>
      <c r="D144" s="8">
        <f>IF(DAY(C144)=DAY($K$1+1),TRUNC(($D$5),8),D143)</f>
        <v/>
      </c>
      <c r="E144" s="4">
        <f>TRUNC(((1+IPCA!#REF!))^(A144/31),8)</f>
        <v/>
      </c>
      <c r="F144" s="4">
        <f>TRUNC((D144*E144),8)</f>
        <v/>
      </c>
      <c r="G144" s="3">
        <f>ROUND(((1+$G$4)^(30/360))^(B144/(EDATE(C144-A144,1)-(C144-A144))),9)</f>
        <v/>
      </c>
      <c r="H144" s="4">
        <f>TRUNC((F144*G144-F144),8)</f>
        <v/>
      </c>
      <c r="I144" s="4">
        <f>F144+H144</f>
        <v/>
      </c>
    </row>
    <row r="145">
      <c r="A145" s="1">
        <f>IF(DAY(C145)=DAY($K$1+1),1,A144+1)</f>
        <v/>
      </c>
      <c r="B145" s="1">
        <f>IF(DAY(C145)=DAY($K$1+1),1,B144+1)</f>
        <v/>
      </c>
      <c r="C145" s="2">
        <f>C144+1</f>
        <v/>
      </c>
      <c r="D145" s="8">
        <f>IF(DAY(C145)=DAY($K$1+1),TRUNC(($D$5),8),D144)</f>
        <v/>
      </c>
      <c r="E145" s="4">
        <f>TRUNC(((1+IPCA!#REF!))^(A145/31),8)</f>
        <v/>
      </c>
      <c r="F145" s="4">
        <f>TRUNC((D145*E145),8)</f>
        <v/>
      </c>
      <c r="G145" s="3">
        <f>ROUND(((1+$G$4)^(30/360))^(B145/(EDATE(C145-A145,1)-(C145-A145))),9)</f>
        <v/>
      </c>
      <c r="H145" s="4">
        <f>TRUNC((F145*G145-F145),8)</f>
        <v/>
      </c>
      <c r="I145" s="4">
        <f>F145+H145</f>
        <v/>
      </c>
    </row>
    <row r="146">
      <c r="A146" s="1">
        <f>IF(DAY(C146)=DAY($K$1+1),1,A145+1)</f>
        <v/>
      </c>
      <c r="B146" s="1">
        <f>IF(DAY(C146)=DAY($K$1+1),1,B145+1)</f>
        <v/>
      </c>
      <c r="C146" s="2">
        <f>C145+1</f>
        <v/>
      </c>
      <c r="D146" s="8">
        <f>IF(DAY(C146)=DAY($K$1+1),TRUNC(($D$5),8),D145)</f>
        <v/>
      </c>
      <c r="E146" s="4">
        <f>TRUNC(((1+IPCA!#REF!))^(A146/31),8)</f>
        <v/>
      </c>
      <c r="F146" s="4">
        <f>TRUNC((D146*E146),8)</f>
        <v/>
      </c>
      <c r="G146" s="3">
        <f>ROUND(((1+$G$4)^(30/360))^(B146/(EDATE(C146-A146,1)-(C146-A146))),9)</f>
        <v/>
      </c>
      <c r="H146" s="4">
        <f>TRUNC((F146*G146-F146),8)</f>
        <v/>
      </c>
      <c r="I146" s="4">
        <f>F146+H146</f>
        <v/>
      </c>
    </row>
    <row r="147">
      <c r="A147" s="1">
        <f>IF(DAY(C147)=DAY($K$1+1),1,A146+1)</f>
        <v/>
      </c>
      <c r="B147" s="1">
        <f>IF(DAY(C147)=DAY($K$1+1),1,B146+1)</f>
        <v/>
      </c>
      <c r="C147" s="2">
        <f>C146+1</f>
        <v/>
      </c>
      <c r="D147" s="8">
        <f>IF(DAY(C147)=DAY($K$1+1),TRUNC(($D$5),8),D146)</f>
        <v/>
      </c>
      <c r="E147" s="4">
        <f>TRUNC(((1+IPCA!#REF!))^(A147/31),8)</f>
        <v/>
      </c>
      <c r="F147" s="4">
        <f>TRUNC((D147*E147),8)</f>
        <v/>
      </c>
      <c r="G147" s="3">
        <f>ROUND(((1+$G$4)^(30/360))^(B147/(EDATE(C147-A147,1)-(C147-A147))),9)</f>
        <v/>
      </c>
      <c r="H147" s="4">
        <f>TRUNC((F147*G147-F147),8)</f>
        <v/>
      </c>
      <c r="I147" s="4">
        <f>F147+H147</f>
        <v/>
      </c>
    </row>
    <row r="148">
      <c r="A148" s="1">
        <f>IF(DAY(C148)=DAY($K$1+1),1,A147+1)</f>
        <v/>
      </c>
      <c r="B148" s="1">
        <f>IF(DAY(C148)=DAY($K$1+1),1,B147+1)</f>
        <v/>
      </c>
      <c r="C148" s="2">
        <f>C147+1</f>
        <v/>
      </c>
      <c r="D148" s="8">
        <f>IF(DAY(C148)=DAY($K$1+1),TRUNC(($D$5),8),D147)</f>
        <v/>
      </c>
      <c r="E148" s="4">
        <f>TRUNC(((1+IPCA!#REF!))^(A148/31),8)</f>
        <v/>
      </c>
      <c r="F148" s="4">
        <f>TRUNC((D148*E148),8)</f>
        <v/>
      </c>
      <c r="G148" s="3">
        <f>ROUND(((1+$G$4)^(30/360))^(B148/(EDATE(C148-A148,1)-(C148-A148))),9)</f>
        <v/>
      </c>
      <c r="H148" s="4">
        <f>TRUNC((F148*G148-F148),8)</f>
        <v/>
      </c>
      <c r="I148" s="4">
        <f>F148+H148</f>
        <v/>
      </c>
    </row>
    <row r="149">
      <c r="A149" s="1">
        <f>IF(DAY(C149)=DAY($K$1+1),1,A148+1)</f>
        <v/>
      </c>
      <c r="B149" s="1">
        <f>IF(DAY(C149)=DAY($K$1+1),1,B148+1)</f>
        <v/>
      </c>
      <c r="C149" s="2">
        <f>C148+1</f>
        <v/>
      </c>
      <c r="D149" s="8">
        <f>IF(DAY(C149)=DAY($K$1+1),TRUNC(($D$5),8),D148)</f>
        <v/>
      </c>
      <c r="E149" s="4">
        <f>TRUNC(((1+IPCA!#REF!))^(A149/31),8)</f>
        <v/>
      </c>
      <c r="F149" s="4">
        <f>TRUNC((D149*E149),8)</f>
        <v/>
      </c>
      <c r="G149" s="3">
        <f>ROUND(((1+$G$4)^(30/360))^(B149/(EDATE(C149-A149,1)-(C149-A149))),9)</f>
        <v/>
      </c>
      <c r="H149" s="4">
        <f>TRUNC((F149*G149-F149),8)</f>
        <v/>
      </c>
      <c r="I149" s="4">
        <f>F149+H149</f>
        <v/>
      </c>
    </row>
    <row r="150">
      <c r="A150" s="1">
        <f>IF(DAY(C150)=DAY($K$1+1),1,A149+1)</f>
        <v/>
      </c>
      <c r="B150" s="1">
        <f>IF(DAY(C150)=DAY($K$1+1),1,B149+1)</f>
        <v/>
      </c>
      <c r="C150" s="2">
        <f>C149+1</f>
        <v/>
      </c>
      <c r="D150" s="8">
        <f>IF(DAY(C150)=DAY($K$1+1),TRUNC(($D$5),8),D149)</f>
        <v/>
      </c>
      <c r="E150" s="4">
        <f>TRUNC(((1+IPCA!#REF!))^(A150/31),8)</f>
        <v/>
      </c>
      <c r="F150" s="4">
        <f>TRUNC((D150*E150),8)</f>
        <v/>
      </c>
      <c r="G150" s="3">
        <f>ROUND(((1+$G$4)^(30/360))^(B150/(EDATE(C150-A150,1)-(C150-A150))),9)</f>
        <v/>
      </c>
      <c r="H150" s="4">
        <f>TRUNC((F150*G150-F150),8)</f>
        <v/>
      </c>
      <c r="I150" s="4">
        <f>F150+H150</f>
        <v/>
      </c>
    </row>
    <row r="151">
      <c r="A151" s="1">
        <f>IF(DAY(C151)=DAY($K$1+1),1,A150+1)</f>
        <v/>
      </c>
      <c r="B151" s="1">
        <f>IF(DAY(C151)=DAY($K$1+1),1,B150+1)</f>
        <v/>
      </c>
      <c r="C151" s="2">
        <f>C150+1</f>
        <v/>
      </c>
      <c r="D151" s="8">
        <f>IF(DAY(C151)=DAY($K$1+1),TRUNC(($D$5),8),D150)</f>
        <v/>
      </c>
      <c r="E151" s="4">
        <f>TRUNC(((1+IPCA!#REF!))^(A151/31),8)</f>
        <v/>
      </c>
      <c r="F151" s="4">
        <f>TRUNC((D151*E151),8)</f>
        <v/>
      </c>
      <c r="G151" s="3">
        <f>ROUND(((1+$G$4)^(30/360))^(B151/(EDATE(C151-A151,1)-(C151-A151))),9)</f>
        <v/>
      </c>
      <c r="H151" s="4">
        <f>TRUNC((F151*G151-F151),8)</f>
        <v/>
      </c>
      <c r="I151" s="4">
        <f>F151+H151</f>
        <v/>
      </c>
      <c r="J151" s="35" t="inlineStr">
        <is>
          <t>CRI Integralizado:</t>
        </is>
      </c>
      <c r="K151" s="268" t="n">
        <v>1540</v>
      </c>
    </row>
    <row r="152">
      <c r="A152" s="1">
        <f>IF(DAY(C152)=DAY($K$1+1),1,A151+1)</f>
        <v/>
      </c>
      <c r="B152" s="1">
        <f>IF(DAY(C152)=DAY($K$1+1),1,B151+1)</f>
        <v/>
      </c>
      <c r="C152" s="2">
        <f>C151+1</f>
        <v/>
      </c>
      <c r="D152" s="8">
        <f>IF(DAY(C152)=DAY($K$1+1),TRUNC(($D$5),8),D151)</f>
        <v/>
      </c>
      <c r="E152" s="4">
        <f>TRUNC(((1+IPCA!#REF!))^(A152/31),8)</f>
        <v/>
      </c>
      <c r="F152" s="4">
        <f>TRUNC((D152*E152),8)</f>
        <v/>
      </c>
      <c r="G152" s="3">
        <f>ROUND(((1+$G$4)^(30/360))^(B152/(EDATE(C152-A152,1)-(C152-A152))),9)</f>
        <v/>
      </c>
      <c r="H152" s="4">
        <f>TRUNC((F152*G152-F152),8)</f>
        <v/>
      </c>
      <c r="I152" s="4">
        <f>F152+H152</f>
        <v/>
      </c>
      <c r="J152" s="33" t="inlineStr">
        <is>
          <t>JUROS</t>
        </is>
      </c>
      <c r="K152" s="33" t="inlineStr">
        <is>
          <t>AMORTIZAÇÃO</t>
        </is>
      </c>
      <c r="L152" s="33" t="inlineStr">
        <is>
          <t>AMEX</t>
        </is>
      </c>
      <c r="M152" s="33" t="inlineStr">
        <is>
          <t>RESIDUAL</t>
        </is>
      </c>
    </row>
    <row r="153">
      <c r="A153" s="22">
        <f>IF(DAY(C153)=DAY($K$1+1),1,A152+1)</f>
        <v/>
      </c>
      <c r="B153" s="22">
        <f>IF(DAY(C153)=DAY($K$1+1),1,B152+1)</f>
        <v/>
      </c>
      <c r="C153" s="23">
        <f>C152+1</f>
        <v/>
      </c>
      <c r="D153" s="24">
        <f>IF(DAY(C153)=DAY($K$1+1),TRUNC(($D$5),8),D152)</f>
        <v/>
      </c>
      <c r="E153" s="25">
        <f>TRUNC(((1+IPCA!#REF!))^(A153/31),8)</f>
        <v/>
      </c>
      <c r="F153" s="25">
        <f>TRUNC((D153*E153),8)</f>
        <v/>
      </c>
      <c r="G153" s="26">
        <f>ROUND(((1+$G$4)^(30/360))^(B153/(EDATE(C153-A153,1)-(C153-A153))),9)</f>
        <v/>
      </c>
      <c r="H153" s="25">
        <f>TRUNC((F153*G153-F153),8)</f>
        <v/>
      </c>
      <c r="I153" s="25">
        <f>F153+H153</f>
        <v/>
      </c>
      <c r="J153" s="28">
        <f>TRUNC(H153,8)</f>
        <v/>
      </c>
      <c r="K153" s="29">
        <f>TRUNC(F153*'Amort TS'!#REF!,8)</f>
        <v/>
      </c>
      <c r="L153" s="29" t="n">
        <v>0</v>
      </c>
      <c r="M153" s="29">
        <f>I153-J153-K153-L153</f>
        <v/>
      </c>
    </row>
    <row r="154">
      <c r="A154" s="1">
        <f>IF(DAY(C154)=DAY($K$1+1),1,A153+1)</f>
        <v/>
      </c>
      <c r="B154" s="1">
        <f>IF(DAY(C154)=DAY($K$1+1),1,B153+1)</f>
        <v/>
      </c>
      <c r="C154" s="2">
        <f>C153+1</f>
        <v/>
      </c>
      <c r="D154" s="8">
        <f>M153</f>
        <v/>
      </c>
      <c r="E154" s="4">
        <f>TRUNC(((1+IPCA!#REF!))^(A154/31),8)</f>
        <v/>
      </c>
      <c r="F154" s="4">
        <f>TRUNC((D154*E154),8)</f>
        <v/>
      </c>
      <c r="G154" s="3">
        <f>ROUND(((1+$G$4)^(30/360))^(B154/(EDATE(C154-A154,1)-(C154-A154))),9)</f>
        <v/>
      </c>
      <c r="H154" s="4">
        <f>TRUNC((F154*G154-F154),8)</f>
        <v/>
      </c>
      <c r="I154" s="4">
        <f>F154+H154</f>
        <v/>
      </c>
      <c r="J154" s="8">
        <f>J153*1540</f>
        <v/>
      </c>
      <c r="K154" s="8">
        <f>K153*1540</f>
        <v/>
      </c>
      <c r="L154" s="8" t="n">
        <v>0</v>
      </c>
      <c r="M154" s="8">
        <f>M153*1540</f>
        <v/>
      </c>
    </row>
    <row r="155" ht="13.8" customHeight="1" s="260" thickBot="1">
      <c r="A155" s="1">
        <f>IF(DAY(C155)=DAY($K$1+1),1,A154+1)</f>
        <v/>
      </c>
      <c r="B155" s="1">
        <f>IF(DAY(C155)=DAY($K$1+1),1,B154+1)</f>
        <v/>
      </c>
      <c r="C155" s="2">
        <f>C154+1</f>
        <v/>
      </c>
      <c r="D155" s="8">
        <f>IF(DAY(C155)=DAY($K$1+1),TRUNC(($D$5),8),D154)</f>
        <v/>
      </c>
      <c r="E155" s="4">
        <f>TRUNC(((1+IPCA!#REF!))^(A155/31),8)</f>
        <v/>
      </c>
      <c r="F155" s="4">
        <f>TRUNC((D155*E155),8)</f>
        <v/>
      </c>
      <c r="G155" s="3">
        <f>ROUND(((1+$G$4)^(30/360))^(B155/(EDATE(C155-A155,1)-(C155-A155))),9)</f>
        <v/>
      </c>
      <c r="H155" s="4">
        <f>TRUNC((F155*G155-F155),8)</f>
        <v/>
      </c>
      <c r="I155" s="4">
        <f>F155+H155</f>
        <v/>
      </c>
      <c r="J155" s="34" t="n"/>
      <c r="K155" s="30" t="n"/>
      <c r="L155" s="10" t="n"/>
    </row>
    <row r="156" ht="13.8" customHeight="1" s="260" thickBot="1">
      <c r="A156" s="1">
        <f>IF(DAY(C156)=DAY($K$1+1),1,A155+1)</f>
        <v/>
      </c>
      <c r="B156" s="1">
        <f>IF(DAY(C156)=DAY($K$1+1),1,B155+1)</f>
        <v/>
      </c>
      <c r="C156" s="2">
        <f>C155+1</f>
        <v/>
      </c>
      <c r="D156" s="8">
        <f>IF(DAY(C156)=DAY($K$1+1),TRUNC(($D$5),8),D155)</f>
        <v/>
      </c>
      <c r="E156" s="4">
        <f>TRUNC(((1+IPCA!#REF!))^(A156/31),8)</f>
        <v/>
      </c>
      <c r="F156" s="4">
        <f>TRUNC((D156*E156),8)</f>
        <v/>
      </c>
      <c r="G156" s="3">
        <f>ROUND(((1+$G$4)^(30/360))^(B156/(EDATE(C156-A156,1)-(C156-A156))),9)</f>
        <v/>
      </c>
      <c r="H156" s="4">
        <f>TRUNC((F156*G156-F156),8)</f>
        <v/>
      </c>
      <c r="I156" s="4">
        <f>F156+H156</f>
        <v/>
      </c>
      <c r="J156" s="31">
        <f>SUM(J154:K154)</f>
        <v/>
      </c>
      <c r="K156" s="32" t="inlineStr">
        <is>
          <t>TOTAL PMT</t>
        </is>
      </c>
      <c r="L156" s="40">
        <f>SUM(J153:K153)</f>
        <v/>
      </c>
    </row>
    <row r="157" ht="13.8" customHeight="1" s="260" thickBot="1">
      <c r="A157" s="1">
        <f>IF(DAY(C157)=DAY($K$1+1),1,A156+1)</f>
        <v/>
      </c>
      <c r="B157" s="1">
        <f>IF(DAY(C157)=DAY($K$1+1),1,B156+1)</f>
        <v/>
      </c>
      <c r="C157" s="2">
        <f>C156+1</f>
        <v/>
      </c>
      <c r="D157" s="8">
        <f>IF(DAY(C157)=DAY($K$1+1),TRUNC(($D$5),8),D156)</f>
        <v/>
      </c>
      <c r="E157" s="4">
        <f>TRUNC(((1+IPCA!#REF!))^(A157/31),8)</f>
        <v/>
      </c>
      <c r="F157" s="4">
        <f>TRUNC((D157*E157),8)</f>
        <v/>
      </c>
      <c r="G157" s="3">
        <f>ROUND(((1+$G$4)^(30/360))^(B157/(EDATE(C157-A157,1)-(C157-A157))),9)</f>
        <v/>
      </c>
      <c r="H157" s="4">
        <f>TRUNC((F157*G157-F157),8)</f>
        <v/>
      </c>
      <c r="I157" s="4">
        <f>F157+H157</f>
        <v/>
      </c>
      <c r="J157" s="31">
        <f>SUM(J154:L154)</f>
        <v/>
      </c>
      <c r="K157" s="32" t="inlineStr">
        <is>
          <t>TOTAL PMT C/ AMEX</t>
        </is>
      </c>
      <c r="L157" s="39">
        <f>SUM(J153:L153)</f>
        <v/>
      </c>
    </row>
    <row r="158">
      <c r="A158" s="1">
        <f>IF(DAY(C158)=DAY($K$1+1),1,A157+1)</f>
        <v/>
      </c>
      <c r="B158" s="1">
        <f>IF(DAY(C158)=DAY($K$1+1),1,B157+1)</f>
        <v/>
      </c>
      <c r="C158" s="2">
        <f>C157+1</f>
        <v/>
      </c>
      <c r="D158" s="8">
        <f>IF(DAY(C158)=DAY($K$1+1),TRUNC(($D$5),8),D157)</f>
        <v/>
      </c>
      <c r="E158" s="4">
        <f>TRUNC(((1+IPCA!#REF!))^(A158/31),8)</f>
        <v/>
      </c>
      <c r="F158" s="4">
        <f>TRUNC((D158*E158),8)</f>
        <v/>
      </c>
      <c r="G158" s="3">
        <f>ROUND(((1+$G$4)^(30/360))^(B158/(EDATE(C158-A158,1)-(C158-A158))),9)</f>
        <v/>
      </c>
      <c r="H158" s="4">
        <f>TRUNC((F158*G158-F158),8)</f>
        <v/>
      </c>
      <c r="I158" s="4">
        <f>F158+H158</f>
        <v/>
      </c>
    </row>
    <row r="159">
      <c r="A159" s="1">
        <f>IF(DAY(C159)=DAY($K$1+1),1,A158+1)</f>
        <v/>
      </c>
      <c r="B159" s="1">
        <f>IF(DAY(C159)=DAY($K$1+1),1,B158+1)</f>
        <v/>
      </c>
      <c r="C159" s="2">
        <f>C158+1</f>
        <v/>
      </c>
      <c r="D159" s="8">
        <f>IF(DAY(C159)=DAY($K$1+1),TRUNC(($D$5),8),D158)</f>
        <v/>
      </c>
      <c r="E159" s="4">
        <f>TRUNC(((1+IPCA!#REF!))^(A159/31),8)</f>
        <v/>
      </c>
      <c r="F159" s="4">
        <f>TRUNC((D159*E159),8)</f>
        <v/>
      </c>
      <c r="G159" s="3">
        <f>ROUND(((1+$G$4)^(30/360))^(B159/(EDATE(C159-A159,1)-(C159-A159))),9)</f>
        <v/>
      </c>
      <c r="H159" s="4">
        <f>TRUNC((F159*G159-F159),8)</f>
        <v/>
      </c>
      <c r="I159" s="4">
        <f>F159+H159</f>
        <v/>
      </c>
    </row>
    <row r="160">
      <c r="A160" s="1">
        <f>IF(DAY(C160)=DAY($K$1+1),1,A159+1)</f>
        <v/>
      </c>
      <c r="B160" s="1">
        <f>IF(DAY(C160)=DAY($K$1+1),1,B159+1)</f>
        <v/>
      </c>
      <c r="C160" s="2">
        <f>C159+1</f>
        <v/>
      </c>
      <c r="D160" s="8">
        <f>IF(DAY(C160)=DAY($K$1+1),TRUNC(($D$5),8),D159)</f>
        <v/>
      </c>
      <c r="E160" s="4">
        <f>TRUNC(((1+IPCA!#REF!))^(A160/31),8)</f>
        <v/>
      </c>
      <c r="F160" s="4">
        <f>TRUNC((D160*E160),8)</f>
        <v/>
      </c>
      <c r="G160" s="3">
        <f>ROUND(((1+$G$4)^(30/360))^(B160/(EDATE(C160-A160,1)-(C160-A160))),9)</f>
        <v/>
      </c>
      <c r="H160" s="4">
        <f>TRUNC((F160*G160-F160),8)</f>
        <v/>
      </c>
      <c r="I160" s="4">
        <f>F160+H160</f>
        <v/>
      </c>
    </row>
    <row r="161">
      <c r="A161" s="1">
        <f>IF(DAY(C161)=DAY($K$1+1),1,A160+1)</f>
        <v/>
      </c>
      <c r="B161" s="1">
        <f>IF(DAY(C161)=DAY($K$1+1),1,B160+1)</f>
        <v/>
      </c>
      <c r="C161" s="2">
        <f>C160+1</f>
        <v/>
      </c>
      <c r="D161" s="8">
        <f>IF(DAY(C161)=DAY($K$1+1),TRUNC(($D$5),8),D160)</f>
        <v/>
      </c>
      <c r="E161" s="4">
        <f>TRUNC(((1+IPCA!#REF!))^(A161/31),8)</f>
        <v/>
      </c>
      <c r="F161" s="4">
        <f>TRUNC((D161*E161),8)</f>
        <v/>
      </c>
      <c r="G161" s="3">
        <f>ROUND(((1+$G$4)^(30/360))^(B161/(EDATE(C161-A161,1)-(C161-A161))),9)</f>
        <v/>
      </c>
      <c r="H161" s="4">
        <f>TRUNC((F161*G161-F161),8)</f>
        <v/>
      </c>
      <c r="I161" s="4">
        <f>F161+H161</f>
        <v/>
      </c>
    </row>
    <row r="162">
      <c r="A162" s="1">
        <f>IF(DAY(C162)=DAY($K$1+1),1,A161+1)</f>
        <v/>
      </c>
      <c r="B162" s="1">
        <f>IF(DAY(C162)=DAY($K$1+1),1,B161+1)</f>
        <v/>
      </c>
      <c r="C162" s="2">
        <f>C161+1</f>
        <v/>
      </c>
      <c r="D162" s="8">
        <f>IF(DAY(C162)=DAY($K$1+1),TRUNC(($D$5),8),D161)</f>
        <v/>
      </c>
      <c r="E162" s="4">
        <f>TRUNC(((1+IPCA!#REF!))^(A162/31),8)</f>
        <v/>
      </c>
      <c r="F162" s="4">
        <f>TRUNC((D162*E162),8)</f>
        <v/>
      </c>
      <c r="G162" s="3">
        <f>ROUND(((1+$G$4)^(30/360))^(B162/(EDATE(C162-A162,1)-(C162-A162))),9)</f>
        <v/>
      </c>
      <c r="H162" s="4">
        <f>TRUNC((F162*G162-F162),8)</f>
        <v/>
      </c>
      <c r="I162" s="4">
        <f>F162+H162</f>
        <v/>
      </c>
    </row>
    <row r="163">
      <c r="A163" s="1">
        <f>IF(DAY(C163)=DAY($K$1+1),1,A162+1)</f>
        <v/>
      </c>
      <c r="B163" s="1">
        <f>IF(DAY(C163)=DAY($K$1+1),1,B162+1)</f>
        <v/>
      </c>
      <c r="C163" s="2">
        <f>C162+1</f>
        <v/>
      </c>
      <c r="D163" s="8">
        <f>IF(DAY(C163)=DAY($K$1+1),TRUNC(($D$5),8),D162)</f>
        <v/>
      </c>
      <c r="E163" s="4">
        <f>TRUNC(((1+IPCA!#REF!))^(A163/31),8)</f>
        <v/>
      </c>
      <c r="F163" s="4">
        <f>TRUNC((D163*E163),8)</f>
        <v/>
      </c>
      <c r="G163" s="3">
        <f>ROUND(((1+$G$4)^(30/360))^(B163/(EDATE(C163-A163,1)-(C163-A163))),9)</f>
        <v/>
      </c>
      <c r="H163" s="4">
        <f>TRUNC((F163*G163-F163),8)</f>
        <v/>
      </c>
      <c r="I163" s="4">
        <f>F163+H163</f>
        <v/>
      </c>
    </row>
    <row r="164">
      <c r="A164" s="1">
        <f>IF(DAY(C164)=DAY($K$1+1),1,A163+1)</f>
        <v/>
      </c>
      <c r="B164" s="1">
        <f>IF(DAY(C164)=DAY($K$1+1),1,B163+1)</f>
        <v/>
      </c>
      <c r="C164" s="2">
        <f>C163+1</f>
        <v/>
      </c>
      <c r="D164" s="8">
        <f>IF(DAY(C164)=DAY($K$1+1),TRUNC(($D$5),8),D163)</f>
        <v/>
      </c>
      <c r="E164" s="4">
        <f>TRUNC(((1+IPCA!#REF!))^(A164/31),8)</f>
        <v/>
      </c>
      <c r="F164" s="4">
        <f>TRUNC((D164*E164),8)</f>
        <v/>
      </c>
      <c r="G164" s="3">
        <f>ROUND(((1+$G$4)^(30/360))^(B164/(EDATE(C164-A164,1)-(C164-A164))),9)</f>
        <v/>
      </c>
      <c r="H164" s="4">
        <f>TRUNC((F164*G164-F164),8)</f>
        <v/>
      </c>
      <c r="I164" s="4">
        <f>F164+H164</f>
        <v/>
      </c>
    </row>
    <row r="165">
      <c r="A165" s="1">
        <f>IF(DAY(C165)=DAY($K$1+1),1,A164+1)</f>
        <v/>
      </c>
      <c r="B165" s="1">
        <f>IF(DAY(C165)=DAY($K$1+1),1,B164+1)</f>
        <v/>
      </c>
      <c r="C165" s="2">
        <f>C164+1</f>
        <v/>
      </c>
      <c r="D165" s="8">
        <f>IF(DAY(C165)=DAY($K$1+1),TRUNC(($D$5),8),D164)</f>
        <v/>
      </c>
      <c r="E165" s="4">
        <f>TRUNC(((1+IPCA!#REF!))^(A165/31),8)</f>
        <v/>
      </c>
      <c r="F165" s="4">
        <f>TRUNC((D165*E165),8)</f>
        <v/>
      </c>
      <c r="G165" s="3">
        <f>ROUND(((1+$G$4)^(30/360))^(B165/(EDATE(C165-A165,1)-(C165-A165))),9)</f>
        <v/>
      </c>
      <c r="H165" s="4">
        <f>TRUNC((F165*G165-F165),8)</f>
        <v/>
      </c>
      <c r="I165" s="4">
        <f>F165+H165</f>
        <v/>
      </c>
    </row>
    <row r="166">
      <c r="A166" s="1">
        <f>IF(DAY(C166)=DAY($K$1+1),1,A165+1)</f>
        <v/>
      </c>
      <c r="B166" s="1">
        <f>IF(DAY(C166)=DAY($K$1+1),1,B165+1)</f>
        <v/>
      </c>
      <c r="C166" s="2">
        <f>C165+1</f>
        <v/>
      </c>
      <c r="D166" s="8">
        <f>IF(DAY(C166)=DAY($K$1+1),TRUNC(($D$5),8),D165)</f>
        <v/>
      </c>
      <c r="E166" s="4">
        <f>TRUNC(((1+IPCA!#REF!))^(A166/31),8)</f>
        <v/>
      </c>
      <c r="F166" s="4">
        <f>TRUNC((D166*E166),8)</f>
        <v/>
      </c>
      <c r="G166" s="3">
        <f>ROUND(((1+$G$4)^(30/360))^(B166/(EDATE(C166-A166,1)-(C166-A166))),9)</f>
        <v/>
      </c>
      <c r="H166" s="4">
        <f>TRUNC((F166*G166-F166),8)</f>
        <v/>
      </c>
      <c r="I166" s="4">
        <f>F166+H166</f>
        <v/>
      </c>
    </row>
    <row r="167">
      <c r="A167" s="1">
        <f>IF(DAY(C167)=DAY($K$1+1),1,A166+1)</f>
        <v/>
      </c>
      <c r="B167" s="1">
        <f>IF(DAY(C167)=DAY($K$1+1),1,B166+1)</f>
        <v/>
      </c>
      <c r="C167" s="2">
        <f>C166+1</f>
        <v/>
      </c>
      <c r="D167" s="8">
        <f>IF(DAY(C167)=DAY($K$1+1),TRUNC(($D$5),8),D166)</f>
        <v/>
      </c>
      <c r="E167" s="4">
        <f>TRUNC(((1+IPCA!#REF!))^(A167/31),8)</f>
        <v/>
      </c>
      <c r="F167" s="4">
        <f>TRUNC((D167*E167),8)</f>
        <v/>
      </c>
      <c r="G167" s="3">
        <f>ROUND(((1+$G$4)^(30/360))^(B167/(EDATE(C167-A167,1)-(C167-A167))),9)</f>
        <v/>
      </c>
      <c r="H167" s="4">
        <f>TRUNC((F167*G167-F167),8)</f>
        <v/>
      </c>
      <c r="I167" s="4">
        <f>F167+H167</f>
        <v/>
      </c>
    </row>
    <row r="168">
      <c r="A168" s="1">
        <f>IF(DAY(C168)=DAY($K$1+1),1,A167+1)</f>
        <v/>
      </c>
      <c r="B168" s="1">
        <f>IF(DAY(C168)=DAY($K$1+1),1,B167+1)</f>
        <v/>
      </c>
      <c r="C168" s="2">
        <f>C167+1</f>
        <v/>
      </c>
      <c r="D168" s="8">
        <f>IF(DAY(C168)=DAY($K$1+1),TRUNC(($D$5),8),D167)</f>
        <v/>
      </c>
      <c r="E168" s="4">
        <f>TRUNC(((1+IPCA!#REF!))^(A168/31),8)</f>
        <v/>
      </c>
      <c r="F168" s="4">
        <f>TRUNC((D168*E168),8)</f>
        <v/>
      </c>
      <c r="G168" s="3">
        <f>ROUND(((1+$G$4)^(30/360))^(B168/(EDATE(C168-A168,1)-(C168-A168))),9)</f>
        <v/>
      </c>
      <c r="H168" s="4">
        <f>TRUNC((F168*G168-F168),8)</f>
        <v/>
      </c>
      <c r="I168" s="4">
        <f>F168+H168</f>
        <v/>
      </c>
    </row>
    <row r="169">
      <c r="A169" s="1">
        <f>IF(DAY(C169)=DAY($K$1+1),1,A168+1)</f>
        <v/>
      </c>
      <c r="B169" s="1">
        <f>IF(DAY(C169)=DAY($K$1+1),1,B168+1)</f>
        <v/>
      </c>
      <c r="C169" s="2">
        <f>C168+1</f>
        <v/>
      </c>
      <c r="D169" s="8">
        <f>IF(DAY(C169)=DAY($K$1+1),TRUNC(($D$5),8),D168)</f>
        <v/>
      </c>
      <c r="E169" s="4">
        <f>TRUNC(((1+IPCA!#REF!))^(A169/31),8)</f>
        <v/>
      </c>
      <c r="F169" s="4">
        <f>TRUNC((D169*E169),8)</f>
        <v/>
      </c>
      <c r="G169" s="3">
        <f>ROUND(((1+$G$4)^(30/360))^(B169/(EDATE(C169-A169,1)-(C169-A169))),9)</f>
        <v/>
      </c>
      <c r="H169" s="4">
        <f>TRUNC((F169*G169-F169),8)</f>
        <v/>
      </c>
      <c r="I169" s="4">
        <f>F169+H169</f>
        <v/>
      </c>
    </row>
    <row r="170">
      <c r="A170" s="1">
        <f>IF(DAY(C170)=DAY($K$1+1),1,A169+1)</f>
        <v/>
      </c>
      <c r="B170" s="1">
        <f>IF(DAY(C170)=DAY($K$1+1),1,B169+1)</f>
        <v/>
      </c>
      <c r="C170" s="2">
        <f>C169+1</f>
        <v/>
      </c>
      <c r="D170" s="8">
        <f>IF(DAY(C170)=DAY($K$1+1),TRUNC(($D$5),8),D169)</f>
        <v/>
      </c>
      <c r="E170" s="4">
        <f>TRUNC(((1+IPCA!#REF!))^(A170/31),8)</f>
        <v/>
      </c>
      <c r="F170" s="4">
        <f>TRUNC((D170*E170),8)</f>
        <v/>
      </c>
      <c r="G170" s="3">
        <f>ROUND(((1+$G$4)^(30/360))^(B170/(EDATE(C170-A170,1)-(C170-A170))),9)</f>
        <v/>
      </c>
      <c r="H170" s="4">
        <f>TRUNC((F170*G170-F170),8)</f>
        <v/>
      </c>
      <c r="I170" s="4">
        <f>F170+H170</f>
        <v/>
      </c>
    </row>
    <row r="171">
      <c r="A171" s="1">
        <f>IF(DAY(C171)=DAY($K$1+1),1,A170+1)</f>
        <v/>
      </c>
      <c r="B171" s="1">
        <f>IF(DAY(C171)=DAY($K$1+1),1,B170+1)</f>
        <v/>
      </c>
      <c r="C171" s="2">
        <f>C170+1</f>
        <v/>
      </c>
      <c r="D171" s="8">
        <f>IF(DAY(C171)=DAY($K$1+1),TRUNC(($D$5),8),D170)</f>
        <v/>
      </c>
      <c r="E171" s="4">
        <f>TRUNC(((1+IPCA!#REF!))^(A171/31),8)</f>
        <v/>
      </c>
      <c r="F171" s="4">
        <f>TRUNC((D171*E171),8)</f>
        <v/>
      </c>
      <c r="G171" s="3">
        <f>ROUND(((1+$G$4)^(30/360))^(B171/(EDATE(C171-A171,1)-(C171-A171))),9)</f>
        <v/>
      </c>
      <c r="H171" s="4">
        <f>TRUNC((F171*G171-F171),8)</f>
        <v/>
      </c>
      <c r="I171" s="4">
        <f>F171+H171</f>
        <v/>
      </c>
    </row>
    <row r="172">
      <c r="A172" s="1">
        <f>IF(DAY(C172)=DAY($K$1+1),1,A171+1)</f>
        <v/>
      </c>
      <c r="B172" s="1">
        <f>IF(DAY(C172)=DAY($K$1+1),1,B171+1)</f>
        <v/>
      </c>
      <c r="C172" s="2">
        <f>C171+1</f>
        <v/>
      </c>
      <c r="D172" s="8">
        <f>IF(DAY(C172)=DAY($K$1+1),TRUNC(($D$5),8),D171)</f>
        <v/>
      </c>
      <c r="E172" s="4">
        <f>TRUNC(((1+IPCA!#REF!))^(A172/31),8)</f>
        <v/>
      </c>
      <c r="F172" s="4">
        <f>TRUNC((D172*E172),8)</f>
        <v/>
      </c>
      <c r="G172" s="3">
        <f>ROUND(((1+$G$4)^(30/360))^(B172/(EDATE(C172-A172,1)-(C172-A172))),9)</f>
        <v/>
      </c>
      <c r="H172" s="4">
        <f>TRUNC((F172*G172-F172),8)</f>
        <v/>
      </c>
      <c r="I172" s="4">
        <f>F172+H172</f>
        <v/>
      </c>
    </row>
    <row r="173">
      <c r="A173" s="1">
        <f>IF(DAY(C173)=DAY($K$1+1),1,A172+1)</f>
        <v/>
      </c>
      <c r="B173" s="1">
        <f>IF(DAY(C173)=DAY($K$1+1),1,B172+1)</f>
        <v/>
      </c>
      <c r="C173" s="2">
        <f>C172+1</f>
        <v/>
      </c>
      <c r="D173" s="8">
        <f>IF(DAY(C173)=DAY($K$1+1),TRUNC(($D$5),8),D172)</f>
        <v/>
      </c>
      <c r="E173" s="4">
        <f>TRUNC(((1+IPCA!#REF!))^(A173/31),8)</f>
        <v/>
      </c>
      <c r="F173" s="4">
        <f>TRUNC((D173*E173),8)</f>
        <v/>
      </c>
      <c r="G173" s="3">
        <f>ROUND(((1+$G$4)^(30/360))^(B173/(EDATE(C173-A173,1)-(C173-A173))),9)</f>
        <v/>
      </c>
      <c r="H173" s="4">
        <f>TRUNC((F173*G173-F173),8)</f>
        <v/>
      </c>
      <c r="I173" s="4">
        <f>F173+H173</f>
        <v/>
      </c>
    </row>
    <row r="174">
      <c r="A174" s="1">
        <f>IF(DAY(C174)=DAY($K$1+1),1,A173+1)</f>
        <v/>
      </c>
      <c r="B174" s="1">
        <f>IF(DAY(C174)=DAY($K$1+1),1,B173+1)</f>
        <v/>
      </c>
      <c r="C174" s="2">
        <f>C173+1</f>
        <v/>
      </c>
      <c r="D174" s="8">
        <f>IF(DAY(C174)=DAY($K$1+1),TRUNC(($D$5),8),D173)</f>
        <v/>
      </c>
      <c r="E174" s="4">
        <f>TRUNC(((1+IPCA!#REF!))^(A174/31),8)</f>
        <v/>
      </c>
      <c r="F174" s="4">
        <f>TRUNC((D174*E174),8)</f>
        <v/>
      </c>
      <c r="G174" s="3">
        <f>ROUND(((1+$G$4)^(30/360))^(B174/(EDATE(C174-A174,1)-(C174-A174))),9)</f>
        <v/>
      </c>
      <c r="H174" s="4">
        <f>TRUNC((F174*G174-F174),8)</f>
        <v/>
      </c>
      <c r="I174" s="4">
        <f>F174+H174</f>
        <v/>
      </c>
    </row>
    <row r="175">
      <c r="A175" s="1">
        <f>IF(DAY(C175)=DAY($K$1+1),1,A174+1)</f>
        <v/>
      </c>
      <c r="B175" s="1">
        <f>IF(DAY(C175)=DAY($K$1+1),1,B174+1)</f>
        <v/>
      </c>
      <c r="C175" s="2">
        <f>C174+1</f>
        <v/>
      </c>
      <c r="D175" s="8">
        <f>IF(DAY(C175)=DAY($K$1+1),TRUNC(($D$5),8),D174)</f>
        <v/>
      </c>
      <c r="E175" s="4">
        <f>TRUNC(((1+IPCA!#REF!))^(A175/31),8)</f>
        <v/>
      </c>
      <c r="F175" s="4">
        <f>TRUNC((D175*E175),8)</f>
        <v/>
      </c>
      <c r="G175" s="3">
        <f>ROUND(((1+$G$4)^(30/360))^(B175/(EDATE(C175-A175,1)-(C175-A175))),9)</f>
        <v/>
      </c>
      <c r="H175" s="4">
        <f>TRUNC((F175*G175-F175),8)</f>
        <v/>
      </c>
      <c r="I175" s="4">
        <f>F175+H175</f>
        <v/>
      </c>
    </row>
    <row r="176">
      <c r="A176" s="1">
        <f>IF(DAY(C176)=DAY($K$1+1),1,A175+1)</f>
        <v/>
      </c>
      <c r="B176" s="1">
        <f>IF(DAY(C176)=DAY($K$1+1),1,B175+1)</f>
        <v/>
      </c>
      <c r="C176" s="2">
        <f>C175+1</f>
        <v/>
      </c>
      <c r="D176" s="8">
        <f>IF(DAY(C176)=DAY($K$1+1),TRUNC(($D$5),8),D175)</f>
        <v/>
      </c>
      <c r="E176" s="4">
        <f>TRUNC(((1+IPCA!#REF!))^(A176/31),8)</f>
        <v/>
      </c>
      <c r="F176" s="4">
        <f>TRUNC((D176*E176),8)</f>
        <v/>
      </c>
      <c r="G176" s="3">
        <f>ROUND(((1+$G$4)^(30/360))^(B176/(EDATE(C176-A176,1)-(C176-A176))),9)</f>
        <v/>
      </c>
      <c r="H176" s="4">
        <f>TRUNC((F176*G176-F176),8)</f>
        <v/>
      </c>
      <c r="I176" s="4">
        <f>F176+H176</f>
        <v/>
      </c>
    </row>
    <row r="177">
      <c r="A177" s="1">
        <f>IF(DAY(C177)=DAY($K$1+1),1,A176+1)</f>
        <v/>
      </c>
      <c r="B177" s="1">
        <f>IF(DAY(C177)=DAY($K$1+1),1,B176+1)</f>
        <v/>
      </c>
      <c r="C177" s="2">
        <f>C176+1</f>
        <v/>
      </c>
      <c r="D177" s="8">
        <f>IF(DAY(C177)=DAY($K$1+1),TRUNC(($D$5),8),D176)</f>
        <v/>
      </c>
      <c r="E177" s="4">
        <f>TRUNC(((1+IPCA!#REF!))^(A177/31),8)</f>
        <v/>
      </c>
      <c r="F177" s="4">
        <f>TRUNC((D177*E177),8)</f>
        <v/>
      </c>
      <c r="G177" s="3">
        <f>ROUND(((1+$G$4)^(30/360))^(B177/(EDATE(C177-A177,1)-(C177-A177))),9)</f>
        <v/>
      </c>
      <c r="H177" s="4">
        <f>TRUNC((F177*G177-F177),8)</f>
        <v/>
      </c>
      <c r="I177" s="4">
        <f>F177+H177</f>
        <v/>
      </c>
    </row>
    <row r="178">
      <c r="A178" s="1">
        <f>IF(DAY(C178)=DAY($K$1+1),1,A177+1)</f>
        <v/>
      </c>
      <c r="B178" s="1">
        <f>IF(DAY(C178)=DAY($K$1+1),1,B177+1)</f>
        <v/>
      </c>
      <c r="C178" s="2">
        <f>C177+1</f>
        <v/>
      </c>
      <c r="D178" s="8">
        <f>IF(DAY(C178)=DAY($K$1+1),TRUNC(($D$5),8),D177)</f>
        <v/>
      </c>
      <c r="E178" s="4">
        <f>TRUNC(((1+IPCA!#REF!))^(A178/31),8)</f>
        <v/>
      </c>
      <c r="F178" s="4">
        <f>TRUNC((D178*E178),8)</f>
        <v/>
      </c>
      <c r="G178" s="3">
        <f>ROUND(((1+$G$4)^(30/360))^(B178/(EDATE(C178-A178,1)-(C178-A178))),9)</f>
        <v/>
      </c>
      <c r="H178" s="4">
        <f>TRUNC((F178*G178-F178),8)</f>
        <v/>
      </c>
      <c r="I178" s="4">
        <f>F178+H178</f>
        <v/>
      </c>
    </row>
    <row r="179">
      <c r="A179" s="1">
        <f>IF(DAY(C179)=DAY($K$1+1),1,A178+1)</f>
        <v/>
      </c>
      <c r="B179" s="1">
        <f>IF(DAY(C179)=DAY($K$1+1),1,B178+1)</f>
        <v/>
      </c>
      <c r="C179" s="2">
        <f>C178+1</f>
        <v/>
      </c>
      <c r="D179" s="8">
        <f>IF(DAY(C179)=DAY($K$1+1),TRUNC(($D$5),8),D178)</f>
        <v/>
      </c>
      <c r="E179" s="4">
        <f>TRUNC(((1+IPCA!#REF!))^(A179/31),8)</f>
        <v/>
      </c>
      <c r="F179" s="4">
        <f>TRUNC((D179*E179),8)</f>
        <v/>
      </c>
      <c r="G179" s="3">
        <f>ROUND(((1+$G$4)^(30/360))^(B179/(EDATE(C179-A179,1)-(C179-A179))),9)</f>
        <v/>
      </c>
      <c r="H179" s="4">
        <f>TRUNC((F179*G179-F179),8)</f>
        <v/>
      </c>
      <c r="I179" s="4">
        <f>F179+H179</f>
        <v/>
      </c>
    </row>
    <row r="180">
      <c r="A180" s="1">
        <f>IF(DAY(C180)=DAY($K$1+1),1,A179+1)</f>
        <v/>
      </c>
      <c r="B180" s="1">
        <f>IF(DAY(C180)=DAY($K$1+1),1,B179+1)</f>
        <v/>
      </c>
      <c r="C180" s="2">
        <f>C179+1</f>
        <v/>
      </c>
      <c r="D180" s="8">
        <f>IF(DAY(C180)=DAY($K$1+1),TRUNC(($D$5),8),D179)</f>
        <v/>
      </c>
      <c r="E180" s="4">
        <f>TRUNC(((1+IPCA!#REF!))^(A180/31),8)</f>
        <v/>
      </c>
      <c r="F180" s="4">
        <f>TRUNC((D180*E180),8)</f>
        <v/>
      </c>
      <c r="G180" s="3">
        <f>ROUND(((1+$G$4)^(30/360))^(B180/(EDATE(C180-A180,1)-(C180-A180))),9)</f>
        <v/>
      </c>
      <c r="H180" s="4">
        <f>TRUNC((F180*G180-F180),8)</f>
        <v/>
      </c>
      <c r="I180" s="4">
        <f>F180+H180</f>
        <v/>
      </c>
    </row>
    <row r="181">
      <c r="A181" s="1">
        <f>IF(DAY(C181)=DAY($K$1+1),1,A180+1)</f>
        <v/>
      </c>
      <c r="B181" s="1">
        <f>IF(DAY(C181)=DAY($K$1+1),1,B180+1)</f>
        <v/>
      </c>
      <c r="C181" s="2">
        <f>C180+1</f>
        <v/>
      </c>
      <c r="D181" s="8">
        <f>IF(DAY(C181)=DAY($K$1+1),TRUNC(($D$5),8),D180)</f>
        <v/>
      </c>
      <c r="E181" s="4">
        <f>TRUNC(((1+IPCA!#REF!))^(A181/31),8)</f>
        <v/>
      </c>
      <c r="F181" s="4">
        <f>TRUNC((D181*E181),8)</f>
        <v/>
      </c>
      <c r="G181" s="3">
        <f>ROUND(((1+$G$4)^(30/360))^(B181/(EDATE(C181-A181,1)-(C181-A181))),9)</f>
        <v/>
      </c>
      <c r="H181" s="4">
        <f>TRUNC((F181*G181-F181),8)</f>
        <v/>
      </c>
      <c r="I181" s="4">
        <f>F181+H181</f>
        <v/>
      </c>
    </row>
    <row r="182">
      <c r="A182" s="1">
        <f>IF(DAY(C182)=DAY($K$1+1),1,A181+1)</f>
        <v/>
      </c>
      <c r="B182" s="1">
        <f>IF(DAY(C182)=DAY($K$1+1),1,B181+1)</f>
        <v/>
      </c>
      <c r="C182" s="2">
        <f>C181+1</f>
        <v/>
      </c>
      <c r="D182" s="8">
        <f>IF(DAY(C182)=DAY($K$1+1),TRUNC(($D$5),8),D181)</f>
        <v/>
      </c>
      <c r="E182" s="4">
        <f>TRUNC(((1+IPCA!#REF!))^(A182/31),8)</f>
        <v/>
      </c>
      <c r="F182" s="4">
        <f>TRUNC((D182*E182),8)</f>
        <v/>
      </c>
      <c r="G182" s="3">
        <f>ROUND(((1+$G$4)^(30/360))^(B182/(EDATE(C182-A182,1)-(C182-A182))),9)</f>
        <v/>
      </c>
      <c r="H182" s="4">
        <f>TRUNC((F182*G182-F182),8)</f>
        <v/>
      </c>
      <c r="I182" s="4">
        <f>F182+H182</f>
        <v/>
      </c>
      <c r="J182" s="35" t="inlineStr">
        <is>
          <t>CRI Integralizado:</t>
        </is>
      </c>
      <c r="K182" s="268" t="n">
        <v>1540</v>
      </c>
    </row>
    <row r="183">
      <c r="A183" s="1">
        <f>IF(DAY(C183)=DAY($K$1+1),1,A182+1)</f>
        <v/>
      </c>
      <c r="B183" s="1">
        <f>IF(DAY(C183)=DAY($K$1+1),1,B182+1)</f>
        <v/>
      </c>
      <c r="C183" s="2">
        <f>C182+1</f>
        <v/>
      </c>
      <c r="D183" s="8">
        <f>IF(DAY(C183)=DAY($K$1+1),TRUNC(($D$5),8),D182)</f>
        <v/>
      </c>
      <c r="E183" s="4">
        <f>TRUNC(((1+IPCA!#REF!))^(A183/31),8)</f>
        <v/>
      </c>
      <c r="F183" s="4">
        <f>TRUNC((D183*E183),8)</f>
        <v/>
      </c>
      <c r="G183" s="3">
        <f>ROUND(((1+$G$4)^(30/360))^(B183/(EDATE(C183-A183,1)-(C183-A183))),9)</f>
        <v/>
      </c>
      <c r="H183" s="4">
        <f>TRUNC((F183*G183-F183),8)</f>
        <v/>
      </c>
      <c r="I183" s="4">
        <f>F183+H183</f>
        <v/>
      </c>
      <c r="J183" s="33" t="inlineStr">
        <is>
          <t>JUROS</t>
        </is>
      </c>
      <c r="K183" s="33" t="inlineStr">
        <is>
          <t>AMORTIZAÇÃO</t>
        </is>
      </c>
      <c r="L183" s="33" t="inlineStr">
        <is>
          <t>AMEX</t>
        </is>
      </c>
      <c r="M183" s="33" t="inlineStr">
        <is>
          <t>RESIDUAL</t>
        </is>
      </c>
    </row>
    <row r="184">
      <c r="A184" s="22">
        <f>IF(DAY(C184)=DAY($K$1+1),1,A183+1)</f>
        <v/>
      </c>
      <c r="B184" s="22">
        <f>IF(DAY(C184)=DAY($K$1+1),1,B183+1)</f>
        <v/>
      </c>
      <c r="C184" s="23">
        <f>C183+1</f>
        <v/>
      </c>
      <c r="D184" s="24">
        <f>IF(DAY(C184)=DAY($K$1+1),TRUNC(($D$5),8),D183)</f>
        <v/>
      </c>
      <c r="E184" s="25">
        <f>TRUNC(((1+IPCA!#REF!))^(A184/31),8)</f>
        <v/>
      </c>
      <c r="F184" s="25">
        <f>TRUNC((D184*E184),8)</f>
        <v/>
      </c>
      <c r="G184" s="26">
        <f>ROUND(((1+$G$4)^(30/360))^(B184/(EDATE(C184-A184,1)-(C184-A184))),9)</f>
        <v/>
      </c>
      <c r="H184" s="25">
        <f>TRUNC((F184*G184-F184),8)</f>
        <v/>
      </c>
      <c r="I184" s="25">
        <f>F184+H184</f>
        <v/>
      </c>
      <c r="J184" s="28">
        <f>TRUNC(H184,8)</f>
        <v/>
      </c>
      <c r="K184" s="29">
        <f>TRUNC(F184*'Amort TS'!#REF!,8)</f>
        <v/>
      </c>
      <c r="L184" s="29" t="n">
        <v>0</v>
      </c>
      <c r="M184" s="29">
        <f>I184-J184-K184-L184</f>
        <v/>
      </c>
    </row>
    <row r="185">
      <c r="A185" s="1">
        <f>IF(DAY(C185)=DAY($K$1+1),1,A184+1)</f>
        <v/>
      </c>
      <c r="B185" s="1">
        <f>IF(DAY(C185)=DAY($K$1+1),1,B184+1)</f>
        <v/>
      </c>
      <c r="C185" s="2">
        <f>C184+1</f>
        <v/>
      </c>
      <c r="D185" s="8">
        <f>M184</f>
        <v/>
      </c>
      <c r="E185" s="4">
        <f>TRUNC(((1+IPCA!#REF!))^(A185/30),8)</f>
        <v/>
      </c>
      <c r="F185" s="4">
        <f>TRUNC((D185*E185),8)</f>
        <v/>
      </c>
      <c r="G185" s="3">
        <f>ROUND(((1+$G$4)^(30/360))^(B185/(EDATE(C185-A185,1)-(C185-A185))),9)</f>
        <v/>
      </c>
      <c r="H185" s="4">
        <f>TRUNC((F185*G185-F185),8)</f>
        <v/>
      </c>
      <c r="I185" s="4">
        <f>F185+H185</f>
        <v/>
      </c>
      <c r="J185" s="8">
        <f>J184*1540</f>
        <v/>
      </c>
      <c r="K185" s="8">
        <f>K184*1540</f>
        <v/>
      </c>
      <c r="L185" s="8" t="n">
        <v>0</v>
      </c>
      <c r="M185" s="8">
        <f>M184*1540</f>
        <v/>
      </c>
    </row>
    <row r="186" ht="13.8" customHeight="1" s="260" thickBot="1">
      <c r="A186" s="1">
        <f>IF(DAY(C186)=DAY($K$1+1),1,A185+1)</f>
        <v/>
      </c>
      <c r="B186" s="1">
        <f>IF(DAY(C186)=DAY($K$1+1),1,B185+1)</f>
        <v/>
      </c>
      <c r="C186" s="2">
        <f>C185+1</f>
        <v/>
      </c>
      <c r="D186" s="8">
        <f>IF(DAY(C186)=DAY($K$1+1),TRUNC(($D$5),8),D185)</f>
        <v/>
      </c>
      <c r="E186" s="4">
        <f>TRUNC(((1+IPCA!#REF!))^(A186/30),8)</f>
        <v/>
      </c>
      <c r="F186" s="4">
        <f>TRUNC((D186*E186),8)</f>
        <v/>
      </c>
      <c r="G186" s="3">
        <f>ROUND(((1+$G$4)^(30/360))^(B186/(EDATE(C186-A186,1)-(C186-A186))),9)</f>
        <v/>
      </c>
      <c r="H186" s="4">
        <f>TRUNC((F186*G186-F186),8)</f>
        <v/>
      </c>
      <c r="I186" s="4">
        <f>F186+H186</f>
        <v/>
      </c>
      <c r="J186" s="34" t="n"/>
      <c r="K186" s="30" t="n"/>
      <c r="L186" s="10" t="n"/>
    </row>
    <row r="187" ht="13.8" customHeight="1" s="260" thickBot="1">
      <c r="A187" s="1">
        <f>IF(DAY(C187)=DAY($K$1+1),1,A186+1)</f>
        <v/>
      </c>
      <c r="B187" s="1">
        <f>IF(DAY(C187)=DAY($K$1+1),1,B186+1)</f>
        <v/>
      </c>
      <c r="C187" s="2">
        <f>C186+1</f>
        <v/>
      </c>
      <c r="D187" s="8">
        <f>IF(DAY(C187)=DAY($K$1+1),TRUNC(($D$5),8),D186)</f>
        <v/>
      </c>
      <c r="E187" s="4">
        <f>TRUNC(((1+IPCA!#REF!))^(A187/30),8)</f>
        <v/>
      </c>
      <c r="F187" s="4">
        <f>TRUNC((D187*E187),8)</f>
        <v/>
      </c>
      <c r="G187" s="3">
        <f>ROUND(((1+$G$4)^(30/360))^(B187/(EDATE(C187-A187,1)-(C187-A187))),9)</f>
        <v/>
      </c>
      <c r="H187" s="4">
        <f>TRUNC((F187*G187-F187),8)</f>
        <v/>
      </c>
      <c r="I187" s="4">
        <f>F187+H187</f>
        <v/>
      </c>
      <c r="J187" s="31">
        <f>SUM(J185:K185)</f>
        <v/>
      </c>
      <c r="K187" s="32" t="inlineStr">
        <is>
          <t>TOTAL PMT</t>
        </is>
      </c>
      <c r="L187" s="10" t="n"/>
    </row>
    <row r="188">
      <c r="A188" s="1">
        <f>IF(DAY(C188)=DAY($K$1+1),1,A187+1)</f>
        <v/>
      </c>
      <c r="B188" s="1">
        <f>IF(DAY(C188)=DAY($K$1+1),1,B187+1)</f>
        <v/>
      </c>
      <c r="C188" s="2">
        <f>C187+1</f>
        <v/>
      </c>
      <c r="D188" s="8">
        <f>IF(DAY(C188)=DAY($K$1+1),TRUNC(($D$5),8),D187)</f>
        <v/>
      </c>
      <c r="E188" s="4">
        <f>TRUNC(((1+IPCA!#REF!))^(A188/30),8)</f>
        <v/>
      </c>
      <c r="F188" s="4">
        <f>TRUNC((D188*E188),8)</f>
        <v/>
      </c>
      <c r="G188" s="3">
        <f>ROUND(((1+$G$4)^(30/360))^(B188/(EDATE(C188-A188,1)-(C188-A188))),9)</f>
        <v/>
      </c>
      <c r="H188" s="4">
        <f>TRUNC((F188*G188-F188),8)</f>
        <v/>
      </c>
      <c r="I188" s="4">
        <f>F188+H188</f>
        <v/>
      </c>
      <c r="J188" s="267">
        <f>SUM(J185:L185)</f>
        <v/>
      </c>
    </row>
    <row r="189">
      <c r="A189" s="1">
        <f>IF(DAY(C189)=DAY($K$1+1),1,A188+1)</f>
        <v/>
      </c>
      <c r="B189" s="1">
        <f>IF(DAY(C189)=DAY($K$1+1),1,B188+1)</f>
        <v/>
      </c>
      <c r="C189" s="2">
        <f>C188+1</f>
        <v/>
      </c>
      <c r="D189" s="8">
        <f>IF(DAY(C189)=DAY($K$1+1),TRUNC(($D$5),8),D188)</f>
        <v/>
      </c>
      <c r="E189" s="4">
        <f>TRUNC(((1+IPCA!#REF!))^(A189/30),8)</f>
        <v/>
      </c>
      <c r="F189" s="4">
        <f>TRUNC((D189*E189),8)</f>
        <v/>
      </c>
      <c r="G189" s="3">
        <f>ROUND(((1+$G$4)^(30/360))^(B189/(EDATE(C189-A189,1)-(C189-A189))),9)</f>
        <v/>
      </c>
      <c r="H189" s="4">
        <f>TRUNC((F189*G189-F189),8)</f>
        <v/>
      </c>
      <c r="I189" s="4">
        <f>F189+H189</f>
        <v/>
      </c>
    </row>
    <row r="190">
      <c r="A190" s="1">
        <f>IF(DAY(C190)=DAY($K$1+1),1,A189+1)</f>
        <v/>
      </c>
      <c r="B190" s="1">
        <f>IF(DAY(C190)=DAY($K$1+1),1,B189+1)</f>
        <v/>
      </c>
      <c r="C190" s="2">
        <f>C189+1</f>
        <v/>
      </c>
      <c r="D190" s="8">
        <f>IF(DAY(C190)=DAY($K$1+1),TRUNC(($D$5),8),D189)</f>
        <v/>
      </c>
      <c r="E190" s="4">
        <f>TRUNC(((1+IPCA!#REF!))^(A190/30),8)</f>
        <v/>
      </c>
      <c r="F190" s="4">
        <f>TRUNC((D190*E190),8)</f>
        <v/>
      </c>
      <c r="G190" s="3">
        <f>ROUND(((1+$G$4)^(30/360))^(B190/(EDATE(C190-A190,1)-(C190-A190))),9)</f>
        <v/>
      </c>
      <c r="H190" s="4">
        <f>TRUNC((F190*G190-F190),8)</f>
        <v/>
      </c>
      <c r="I190" s="4">
        <f>F190+H190</f>
        <v/>
      </c>
    </row>
    <row r="191">
      <c r="A191" s="1">
        <f>IF(DAY(C191)=DAY($K$1+1),1,A190+1)</f>
        <v/>
      </c>
      <c r="B191" s="1">
        <f>IF(DAY(C191)=DAY($K$1+1),1,B190+1)</f>
        <v/>
      </c>
      <c r="C191" s="2">
        <f>C190+1</f>
        <v/>
      </c>
      <c r="D191" s="8">
        <f>IF(DAY(C191)=DAY($K$1+1),TRUNC(($D$5),8),D190)</f>
        <v/>
      </c>
      <c r="E191" s="4">
        <f>TRUNC(((1+IPCA!#REF!))^(A191/30),8)</f>
        <v/>
      </c>
      <c r="F191" s="4">
        <f>TRUNC((D191*E191),8)</f>
        <v/>
      </c>
      <c r="G191" s="3">
        <f>ROUND(((1+$G$4)^(30/360))^(B191/(EDATE(C191-A191,1)-(C191-A191))),9)</f>
        <v/>
      </c>
      <c r="H191" s="4">
        <f>TRUNC((F191*G191-F191),8)</f>
        <v/>
      </c>
      <c r="I191" s="4">
        <f>F191+H191</f>
        <v/>
      </c>
    </row>
    <row r="192">
      <c r="A192" s="1">
        <f>IF(DAY(C192)=DAY($K$1+1),1,A191+1)</f>
        <v/>
      </c>
      <c r="B192" s="1">
        <f>IF(DAY(C192)=DAY($K$1+1),1,B191+1)</f>
        <v/>
      </c>
      <c r="C192" s="2">
        <f>C191+1</f>
        <v/>
      </c>
      <c r="D192" s="8">
        <f>IF(DAY(C192)=DAY($K$1+1),TRUNC(($D$5),8),D191)</f>
        <v/>
      </c>
      <c r="E192" s="4">
        <f>TRUNC(((1+IPCA!#REF!))^(A192/30),8)</f>
        <v/>
      </c>
      <c r="F192" s="4">
        <f>TRUNC((D192*E192),8)</f>
        <v/>
      </c>
      <c r="G192" s="3">
        <f>ROUND(((1+$G$4)^(30/360))^(B192/(EDATE(C192-A192,1)-(C192-A192))),9)</f>
        <v/>
      </c>
      <c r="H192" s="4">
        <f>TRUNC((F192*G192-F192),8)</f>
        <v/>
      </c>
      <c r="I192" s="4">
        <f>F192+H192</f>
        <v/>
      </c>
    </row>
    <row r="193">
      <c r="A193" s="1">
        <f>IF(DAY(C193)=DAY($K$1+1),1,A192+1)</f>
        <v/>
      </c>
      <c r="B193" s="1">
        <f>IF(DAY(C193)=DAY($K$1+1),1,B192+1)</f>
        <v/>
      </c>
      <c r="C193" s="2">
        <f>C192+1</f>
        <v/>
      </c>
      <c r="D193" s="8">
        <f>IF(DAY(C193)=DAY($K$1+1),TRUNC(($D$5),8),D192)</f>
        <v/>
      </c>
      <c r="E193" s="4">
        <f>TRUNC(((1+IPCA!#REF!))^(A193/30),8)</f>
        <v/>
      </c>
      <c r="F193" s="4">
        <f>TRUNC((D193*E193),8)</f>
        <v/>
      </c>
      <c r="G193" s="3">
        <f>ROUND(((1+$G$4)^(30/360))^(B193/(EDATE(C193-A193,1)-(C193-A193))),9)</f>
        <v/>
      </c>
      <c r="H193" s="4">
        <f>TRUNC((F193*G193-F193),8)</f>
        <v/>
      </c>
      <c r="I193" s="4">
        <f>F193+H193</f>
        <v/>
      </c>
    </row>
    <row r="194">
      <c r="A194" s="1">
        <f>IF(DAY(C194)=DAY($K$1+1),1,A193+1)</f>
        <v/>
      </c>
      <c r="B194" s="1">
        <f>IF(DAY(C194)=DAY($K$1+1),1,B193+1)</f>
        <v/>
      </c>
      <c r="C194" s="2">
        <f>C193+1</f>
        <v/>
      </c>
      <c r="D194" s="8">
        <f>IF(DAY(C194)=DAY($K$1+1),TRUNC(($D$5),8),D193)</f>
        <v/>
      </c>
      <c r="E194" s="4">
        <f>TRUNC(((1+IPCA!#REF!))^(A194/30),8)</f>
        <v/>
      </c>
      <c r="F194" s="4">
        <f>TRUNC((D194*E194),8)</f>
        <v/>
      </c>
      <c r="G194" s="3">
        <f>ROUND(((1+$G$4)^(30/360))^(B194/(EDATE(C194-A194,1)-(C194-A194))),9)</f>
        <v/>
      </c>
      <c r="H194" s="4">
        <f>TRUNC((F194*G194-F194),8)</f>
        <v/>
      </c>
      <c r="I194" s="4">
        <f>F194+H194</f>
        <v/>
      </c>
    </row>
    <row r="195">
      <c r="A195" s="1">
        <f>IF(DAY(C195)=DAY($K$1+1),1,A194+1)</f>
        <v/>
      </c>
      <c r="B195" s="1">
        <f>IF(DAY(C195)=DAY($K$1+1),1,B194+1)</f>
        <v/>
      </c>
      <c r="C195" s="2">
        <f>C194+1</f>
        <v/>
      </c>
      <c r="D195" s="8">
        <f>IF(DAY(C195)=DAY($K$1+1),TRUNC(($D$5),8),D194)</f>
        <v/>
      </c>
      <c r="E195" s="4">
        <f>TRUNC(((1+IPCA!#REF!))^(A195/30),8)</f>
        <v/>
      </c>
      <c r="F195" s="4">
        <f>TRUNC((D195*E195),8)</f>
        <v/>
      </c>
      <c r="G195" s="3">
        <f>ROUND(((1+$G$4)^(30/360))^(B195/(EDATE(C195-A195,1)-(C195-A195))),9)</f>
        <v/>
      </c>
      <c r="H195" s="4">
        <f>TRUNC((F195*G195-F195),8)</f>
        <v/>
      </c>
      <c r="I195" s="4">
        <f>F195+H195</f>
        <v/>
      </c>
    </row>
    <row r="196">
      <c r="A196" s="1">
        <f>IF(DAY(C196)=DAY($K$1+1),1,A195+1)</f>
        <v/>
      </c>
      <c r="B196" s="1">
        <f>IF(DAY(C196)=DAY($K$1+1),1,B195+1)</f>
        <v/>
      </c>
      <c r="C196" s="2">
        <f>C195+1</f>
        <v/>
      </c>
      <c r="D196" s="8">
        <f>IF(DAY(C196)=DAY($K$1+1),TRUNC(($D$5),8),D195)</f>
        <v/>
      </c>
      <c r="E196" s="4">
        <f>TRUNC(((1+IPCA!#REF!))^(A196/30),8)</f>
        <v/>
      </c>
      <c r="F196" s="4">
        <f>TRUNC((D196*E196),8)</f>
        <v/>
      </c>
      <c r="G196" s="3">
        <f>ROUND(((1+$G$4)^(30/360))^(B196/(EDATE(C196-A196,1)-(C196-A196))),9)</f>
        <v/>
      </c>
      <c r="H196" s="4">
        <f>TRUNC((F196*G196-F196),8)</f>
        <v/>
      </c>
      <c r="I196" s="4">
        <f>F196+H196</f>
        <v/>
      </c>
    </row>
    <row r="197">
      <c r="A197" s="1">
        <f>IF(DAY(C197)=DAY($K$1+1),1,A196+1)</f>
        <v/>
      </c>
      <c r="B197" s="1">
        <f>IF(DAY(C197)=DAY($K$1+1),1,B196+1)</f>
        <v/>
      </c>
      <c r="C197" s="2">
        <f>C196+1</f>
        <v/>
      </c>
      <c r="D197" s="8">
        <f>IF(DAY(C197)=DAY($K$1+1),TRUNC(($D$5),8),D196)</f>
        <v/>
      </c>
      <c r="E197" s="4">
        <f>TRUNC(((1+IPCA!#REF!))^(A197/30),8)</f>
        <v/>
      </c>
      <c r="F197" s="4">
        <f>TRUNC((D197*E197),8)</f>
        <v/>
      </c>
      <c r="G197" s="3">
        <f>ROUND(((1+$G$4)^(30/360))^(B197/(EDATE(C197-A197,1)-(C197-A197))),9)</f>
        <v/>
      </c>
      <c r="H197" s="4">
        <f>TRUNC((F197*G197-F197),8)</f>
        <v/>
      </c>
      <c r="I197" s="4">
        <f>F197+H197</f>
        <v/>
      </c>
    </row>
    <row r="198">
      <c r="A198" s="1">
        <f>IF(DAY(C198)=DAY($K$1+1),1,A197+1)</f>
        <v/>
      </c>
      <c r="B198" s="1">
        <f>IF(DAY(C198)=DAY($K$1+1),1,B197+1)</f>
        <v/>
      </c>
      <c r="C198" s="2">
        <f>C197+1</f>
        <v/>
      </c>
      <c r="D198" s="8">
        <f>IF(DAY(C198)=DAY($K$1+1),TRUNC(($D$5),8),D197)</f>
        <v/>
      </c>
      <c r="E198" s="4">
        <f>TRUNC(((1+IPCA!#REF!))^(A198/30),8)</f>
        <v/>
      </c>
      <c r="F198" s="4">
        <f>TRUNC((D198*E198),8)</f>
        <v/>
      </c>
      <c r="G198" s="3">
        <f>ROUND(((1+$G$4)^(30/360))^(B198/(EDATE(C198-A198,1)-(C198-A198))),9)</f>
        <v/>
      </c>
      <c r="H198" s="4">
        <f>TRUNC((F198*G198-F198),8)</f>
        <v/>
      </c>
      <c r="I198" s="4">
        <f>F198+H198</f>
        <v/>
      </c>
    </row>
    <row r="199">
      <c r="A199" s="1">
        <f>IF(DAY(C199)=DAY($K$1+1),1,A198+1)</f>
        <v/>
      </c>
      <c r="B199" s="1">
        <f>IF(DAY(C199)=DAY($K$1+1),1,B198+1)</f>
        <v/>
      </c>
      <c r="C199" s="2">
        <f>C198+1</f>
        <v/>
      </c>
      <c r="D199" s="8">
        <f>IF(DAY(C199)=DAY($K$1+1),TRUNC(($D$5),8),D198)</f>
        <v/>
      </c>
      <c r="E199" s="4">
        <f>TRUNC(((1+IPCA!#REF!))^(A199/30),8)</f>
        <v/>
      </c>
      <c r="F199" s="4">
        <f>TRUNC((D199*E199),8)</f>
        <v/>
      </c>
      <c r="G199" s="3">
        <f>ROUND(((1+$G$4)^(30/360))^(B199/(EDATE(C199-A199,1)-(C199-A199))),9)</f>
        <v/>
      </c>
      <c r="H199" s="4">
        <f>TRUNC((F199*G199-F199),8)</f>
        <v/>
      </c>
      <c r="I199" s="4">
        <f>F199+H199</f>
        <v/>
      </c>
    </row>
    <row r="200">
      <c r="A200" s="1">
        <f>IF(DAY(C200)=DAY($K$1+1),1,A199+1)</f>
        <v/>
      </c>
      <c r="B200" s="1">
        <f>IF(DAY(C200)=DAY($K$1+1),1,B199+1)</f>
        <v/>
      </c>
      <c r="C200" s="2">
        <f>C199+1</f>
        <v/>
      </c>
      <c r="D200" s="8">
        <f>IF(DAY(C200)=DAY($K$1+1),TRUNC(($D$5),8),D199)</f>
        <v/>
      </c>
      <c r="E200" s="4">
        <f>TRUNC(((1+IPCA!#REF!))^(A200/30),8)</f>
        <v/>
      </c>
      <c r="F200" s="4">
        <f>TRUNC((D200*E200),8)</f>
        <v/>
      </c>
      <c r="G200" s="3">
        <f>ROUND(((1+$G$4)^(30/360))^(B200/(EDATE(C200-A200,1)-(C200-A200))),9)</f>
        <v/>
      </c>
      <c r="H200" s="4">
        <f>TRUNC((F200*G200-F200),8)</f>
        <v/>
      </c>
      <c r="I200" s="4">
        <f>F200+H200</f>
        <v/>
      </c>
    </row>
    <row r="201">
      <c r="A201" s="1">
        <f>IF(DAY(C201)=DAY($K$1+1),1,A200+1)</f>
        <v/>
      </c>
      <c r="B201" s="1">
        <f>IF(DAY(C201)=DAY($K$1+1),1,B200+1)</f>
        <v/>
      </c>
      <c r="C201" s="2">
        <f>C200+1</f>
        <v/>
      </c>
      <c r="D201" s="8">
        <f>IF(DAY(C201)=DAY($K$1+1),TRUNC(($D$5),8),D200)</f>
        <v/>
      </c>
      <c r="E201" s="4">
        <f>TRUNC(((1+IPCA!#REF!))^(A201/30),8)</f>
        <v/>
      </c>
      <c r="F201" s="4">
        <f>TRUNC((D201*E201),8)</f>
        <v/>
      </c>
      <c r="G201" s="3">
        <f>ROUND(((1+$G$4)^(30/360))^(B201/(EDATE(C201-A201,1)-(C201-A201))),9)</f>
        <v/>
      </c>
      <c r="H201" s="4">
        <f>TRUNC((F201*G201-F201),8)</f>
        <v/>
      </c>
      <c r="I201" s="4">
        <f>F201+H201</f>
        <v/>
      </c>
    </row>
    <row r="202">
      <c r="A202" s="1">
        <f>IF(DAY(C202)=DAY($K$1+1),1,A201+1)</f>
        <v/>
      </c>
      <c r="B202" s="1">
        <f>IF(DAY(C202)=DAY($K$1+1),1,B201+1)</f>
        <v/>
      </c>
      <c r="C202" s="2">
        <f>C201+1</f>
        <v/>
      </c>
      <c r="D202" s="8">
        <f>IF(DAY(C202)=DAY($K$1+1),TRUNC(($D$5),8),D201)</f>
        <v/>
      </c>
      <c r="E202" s="4">
        <f>TRUNC(((1+IPCA!#REF!))^(A202/30),8)</f>
        <v/>
      </c>
      <c r="F202" s="4">
        <f>TRUNC((D202*E202),8)</f>
        <v/>
      </c>
      <c r="G202" s="3">
        <f>ROUND(((1+$G$4)^(30/360))^(B202/(EDATE(C202-A202,1)-(C202-A202))),9)</f>
        <v/>
      </c>
      <c r="H202" s="4">
        <f>TRUNC((F202*G202-F202),8)</f>
        <v/>
      </c>
      <c r="I202" s="4">
        <f>F202+H202</f>
        <v/>
      </c>
    </row>
    <row r="203">
      <c r="A203" s="1">
        <f>IF(DAY(C203)=DAY($K$1+1),1,A202+1)</f>
        <v/>
      </c>
      <c r="B203" s="1">
        <f>IF(DAY(C203)=DAY($K$1+1),1,B202+1)</f>
        <v/>
      </c>
      <c r="C203" s="2">
        <f>C202+1</f>
        <v/>
      </c>
      <c r="D203" s="8">
        <f>IF(DAY(C203)=DAY($K$1+1),TRUNC(($D$5),8),D202)</f>
        <v/>
      </c>
      <c r="E203" s="4">
        <f>TRUNC(((1+IPCA!#REF!))^(A203/30),8)</f>
        <v/>
      </c>
      <c r="F203" s="4">
        <f>TRUNC((D203*E203),8)</f>
        <v/>
      </c>
      <c r="G203" s="3">
        <f>ROUND(((1+$G$4)^(30/360))^(B203/(EDATE(C203-A203,1)-(C203-A203))),9)</f>
        <v/>
      </c>
      <c r="H203" s="4">
        <f>TRUNC((F203*G203-F203),8)</f>
        <v/>
      </c>
      <c r="I203" s="4">
        <f>F203+H203</f>
        <v/>
      </c>
    </row>
    <row r="204">
      <c r="A204" s="1">
        <f>IF(DAY(C204)=DAY($K$1+1),1,A203+1)</f>
        <v/>
      </c>
      <c r="B204" s="1">
        <f>IF(DAY(C204)=DAY($K$1+1),1,B203+1)</f>
        <v/>
      </c>
      <c r="C204" s="2">
        <f>C203+1</f>
        <v/>
      </c>
      <c r="D204" s="8">
        <f>IF(DAY(C204)=DAY($K$1+1),TRUNC(($D$5),8),D203)</f>
        <v/>
      </c>
      <c r="E204" s="4">
        <f>TRUNC(((1+IPCA!#REF!))^(A204/30),8)</f>
        <v/>
      </c>
      <c r="F204" s="4">
        <f>TRUNC((D204*E204),8)</f>
        <v/>
      </c>
      <c r="G204" s="3">
        <f>ROUND(((1+$G$4)^(30/360))^(B204/(EDATE(C204-A204,1)-(C204-A204))),9)</f>
        <v/>
      </c>
      <c r="H204" s="4">
        <f>TRUNC((F204*G204-F204),8)</f>
        <v/>
      </c>
      <c r="I204" s="4">
        <f>F204+H204</f>
        <v/>
      </c>
    </row>
    <row r="205">
      <c r="A205" s="1">
        <f>IF(DAY(C205)=DAY($K$1+1),1,A204+1)</f>
        <v/>
      </c>
      <c r="B205" s="1">
        <f>IF(DAY(C205)=DAY($K$1+1),1,B204+1)</f>
        <v/>
      </c>
      <c r="C205" s="2">
        <f>C204+1</f>
        <v/>
      </c>
      <c r="D205" s="8">
        <f>IF(DAY(C205)=DAY($K$1+1),TRUNC(($D$5),8),D204)</f>
        <v/>
      </c>
      <c r="E205" s="4">
        <f>TRUNC(((1+IPCA!#REF!))^(A205/30),8)</f>
        <v/>
      </c>
      <c r="F205" s="4">
        <f>TRUNC((D205*E205),8)</f>
        <v/>
      </c>
      <c r="G205" s="3">
        <f>ROUND(((1+$G$4)^(30/360))^(B205/(EDATE(C205-A205,1)-(C205-A205))),9)</f>
        <v/>
      </c>
      <c r="H205" s="4">
        <f>TRUNC((F205*G205-F205),8)</f>
        <v/>
      </c>
      <c r="I205" s="4">
        <f>F205+H205</f>
        <v/>
      </c>
    </row>
    <row r="206">
      <c r="A206" s="1">
        <f>IF(DAY(C206)=DAY($K$1+1),1,A205+1)</f>
        <v/>
      </c>
      <c r="B206" s="1">
        <f>IF(DAY(C206)=DAY($K$1+1),1,B205+1)</f>
        <v/>
      </c>
      <c r="C206" s="2">
        <f>C205+1</f>
        <v/>
      </c>
      <c r="D206" s="8">
        <f>IF(DAY(C206)=DAY($K$1+1),TRUNC(($D$5),8),D205)</f>
        <v/>
      </c>
      <c r="E206" s="4">
        <f>TRUNC(((1+IPCA!#REF!))^(A206/30),8)</f>
        <v/>
      </c>
      <c r="F206" s="4">
        <f>TRUNC((D206*E206),8)</f>
        <v/>
      </c>
      <c r="G206" s="3">
        <f>ROUND(((1+$G$4)^(30/360))^(B206/(EDATE(C206-A206,1)-(C206-A206))),9)</f>
        <v/>
      </c>
      <c r="H206" s="4">
        <f>TRUNC((F206*G206-F206),8)</f>
        <v/>
      </c>
      <c r="I206" s="4">
        <f>F206+H206</f>
        <v/>
      </c>
    </row>
    <row r="207">
      <c r="A207" s="1">
        <f>IF(DAY(C207)=DAY($K$1+1),1,A206+1)</f>
        <v/>
      </c>
      <c r="B207" s="1">
        <f>IF(DAY(C207)=DAY($K$1+1),1,B206+1)</f>
        <v/>
      </c>
      <c r="C207" s="2">
        <f>C206+1</f>
        <v/>
      </c>
      <c r="D207" s="8">
        <f>IF(DAY(C207)=DAY($K$1+1),TRUNC(($D$5),8),D206)</f>
        <v/>
      </c>
      <c r="E207" s="4">
        <f>TRUNC(((1+IPCA!#REF!))^(A207/30),8)</f>
        <v/>
      </c>
      <c r="F207" s="4">
        <f>TRUNC((D207*E207),8)</f>
        <v/>
      </c>
      <c r="G207" s="3">
        <f>ROUND(((1+$G$4)^(30/360))^(B207/(EDATE(C207-A207,1)-(C207-A207))),9)</f>
        <v/>
      </c>
      <c r="H207" s="4">
        <f>TRUNC((F207*G207-F207),8)</f>
        <v/>
      </c>
      <c r="I207" s="4">
        <f>F207+H207</f>
        <v/>
      </c>
    </row>
    <row r="208">
      <c r="A208" s="1">
        <f>IF(DAY(C208)=DAY($K$1+1),1,A207+1)</f>
        <v/>
      </c>
      <c r="B208" s="1">
        <f>IF(DAY(C208)=DAY($K$1+1),1,B207+1)</f>
        <v/>
      </c>
      <c r="C208" s="2">
        <f>C207+1</f>
        <v/>
      </c>
      <c r="D208" s="8">
        <f>IF(DAY(C208)=DAY($K$1+1),TRUNC(($D$5),8),D207)</f>
        <v/>
      </c>
      <c r="E208" s="4">
        <f>TRUNC(((1+IPCA!#REF!))^(A208/30),8)</f>
        <v/>
      </c>
      <c r="F208" s="4">
        <f>TRUNC((D208*E208),8)</f>
        <v/>
      </c>
      <c r="G208" s="3">
        <f>ROUND(((1+$G$4)^(30/360))^(B208/(EDATE(C208-A208,1)-(C208-A208))),9)</f>
        <v/>
      </c>
      <c r="H208" s="4">
        <f>TRUNC((F208*G208-F208),8)</f>
        <v/>
      </c>
      <c r="I208" s="4">
        <f>F208+H208</f>
        <v/>
      </c>
    </row>
    <row r="209">
      <c r="A209" s="1">
        <f>IF(DAY(C209)=DAY($K$1+1),1,A208+1)</f>
        <v/>
      </c>
      <c r="B209" s="1">
        <f>IF(DAY(C209)=DAY($K$1+1),1,B208+1)</f>
        <v/>
      </c>
      <c r="C209" s="2">
        <f>C208+1</f>
        <v/>
      </c>
      <c r="D209" s="8">
        <f>IF(DAY(C209)=DAY($K$1+1),TRUNC(($D$5),8),D208)</f>
        <v/>
      </c>
      <c r="E209" s="4">
        <f>TRUNC(((1+IPCA!#REF!))^(A209/30),8)</f>
        <v/>
      </c>
      <c r="F209" s="4">
        <f>TRUNC((D209*E209),8)</f>
        <v/>
      </c>
      <c r="G209" s="3">
        <f>ROUND(((1+$G$4)^(30/360))^(B209/(EDATE(C209-A209,1)-(C209-A209))),9)</f>
        <v/>
      </c>
      <c r="H209" s="4">
        <f>TRUNC((F209*G209-F209),8)</f>
        <v/>
      </c>
      <c r="I209" s="4">
        <f>F209+H209</f>
        <v/>
      </c>
    </row>
    <row r="210">
      <c r="A210" s="1">
        <f>IF(DAY(C210)=DAY($K$1+1),1,A209+1)</f>
        <v/>
      </c>
      <c r="B210" s="1">
        <f>IF(DAY(C210)=DAY($K$1+1),1,B209+1)</f>
        <v/>
      </c>
      <c r="C210" s="2">
        <f>C209+1</f>
        <v/>
      </c>
      <c r="D210" s="8">
        <f>IF(DAY(C210)=DAY($K$1+1),TRUNC(($D$5),8),D209)</f>
        <v/>
      </c>
      <c r="E210" s="4">
        <f>TRUNC(((1+IPCA!#REF!))^(A210/30),8)</f>
        <v/>
      </c>
      <c r="F210" s="4">
        <f>TRUNC((D210*E210),8)</f>
        <v/>
      </c>
      <c r="G210" s="3">
        <f>ROUND(((1+$G$4)^(30/360))^(B210/(EDATE(C210-A210,1)-(C210-A210))),9)</f>
        <v/>
      </c>
      <c r="H210" s="4">
        <f>TRUNC((F210*G210-F210),8)</f>
        <v/>
      </c>
      <c r="I210" s="4">
        <f>F210+H210</f>
        <v/>
      </c>
    </row>
    <row r="211">
      <c r="A211" s="1">
        <f>IF(DAY(C211)=DAY($K$1+1),1,A210+1)</f>
        <v/>
      </c>
      <c r="B211" s="1">
        <f>IF(DAY(C211)=DAY($K$1+1),1,B210+1)</f>
        <v/>
      </c>
      <c r="C211" s="2">
        <f>C210+1</f>
        <v/>
      </c>
      <c r="D211" s="8">
        <f>IF(DAY(C211)=DAY($K$1+1),TRUNC(($D$5),8),D210)</f>
        <v/>
      </c>
      <c r="E211" s="4">
        <f>TRUNC(((1+IPCA!#REF!))^(A211/30),8)</f>
        <v/>
      </c>
      <c r="F211" s="4">
        <f>TRUNC((D211*E211),8)</f>
        <v/>
      </c>
      <c r="G211" s="3">
        <f>ROUND(((1+$G$4)^(30/360))^(B211/(EDATE(C211-A211,1)-(C211-A211))),9)</f>
        <v/>
      </c>
      <c r="H211" s="4">
        <f>TRUNC((F211*G211-F211),8)</f>
        <v/>
      </c>
      <c r="I211" s="4">
        <f>F211+H211</f>
        <v/>
      </c>
    </row>
    <row r="212">
      <c r="A212" s="1">
        <f>IF(DAY(C212)=DAY($K$1+1),1,A211+1)</f>
        <v/>
      </c>
      <c r="B212" s="1">
        <f>IF(DAY(C212)=DAY($K$1+1),1,B211+1)</f>
        <v/>
      </c>
      <c r="C212" s="2">
        <f>C211+1</f>
        <v/>
      </c>
      <c r="D212" s="8">
        <f>IF(DAY(C212)=DAY($K$1+1),TRUNC(($D$5),8),D211)</f>
        <v/>
      </c>
      <c r="E212" s="4">
        <f>TRUNC(((1+IPCA!#REF!))^(A212/30),8)</f>
        <v/>
      </c>
      <c r="F212" s="4">
        <f>TRUNC((D212*E212),8)</f>
        <v/>
      </c>
      <c r="G212" s="3">
        <f>ROUND(((1+$G$4)^(30/360))^(B212/(EDATE(C212-A212,1)-(C212-A212))),9)</f>
        <v/>
      </c>
      <c r="H212" s="4">
        <f>TRUNC((F212*G212-F212),8)</f>
        <v/>
      </c>
      <c r="I212" s="4">
        <f>F212+H212</f>
        <v/>
      </c>
      <c r="J212" s="35" t="inlineStr">
        <is>
          <t>CRI Integralizado:</t>
        </is>
      </c>
      <c r="K212" s="268" t="n">
        <v>1540</v>
      </c>
    </row>
    <row r="213">
      <c r="A213" s="1">
        <f>IF(DAY(C213)=DAY($K$1+1),1,A212+1)</f>
        <v/>
      </c>
      <c r="B213" s="1">
        <f>IF(DAY(C213)=DAY($K$1+1),1,B212+1)</f>
        <v/>
      </c>
      <c r="C213" s="2">
        <f>C212+1</f>
        <v/>
      </c>
      <c r="D213" s="8">
        <f>IF(DAY(C213)=DAY($K$1+1),TRUNC(($D$5),8),D212)</f>
        <v/>
      </c>
      <c r="E213" s="4">
        <f>TRUNC(((1+IPCA!#REF!))^(A213/30),8)</f>
        <v/>
      </c>
      <c r="F213" s="4">
        <f>TRUNC((D213*E213),8)</f>
        <v/>
      </c>
      <c r="G213" s="3">
        <f>ROUND(((1+$G$4)^(30/360))^(B213/(EDATE(C213-A213,1)-(C213-A213))),9)</f>
        <v/>
      </c>
      <c r="H213" s="4">
        <f>TRUNC((F213*G213-F213),8)</f>
        <v/>
      </c>
      <c r="I213" s="4">
        <f>F213+H213</f>
        <v/>
      </c>
      <c r="J213" s="33" t="inlineStr">
        <is>
          <t>JUROS</t>
        </is>
      </c>
      <c r="K213" s="33" t="inlineStr">
        <is>
          <t>AMORTIZAÇÃO</t>
        </is>
      </c>
      <c r="L213" s="33" t="inlineStr">
        <is>
          <t>AMEX</t>
        </is>
      </c>
      <c r="M213" s="33" t="inlineStr">
        <is>
          <t>RESIDUAL</t>
        </is>
      </c>
    </row>
    <row r="214">
      <c r="A214" s="22">
        <f>IF(DAY(C214)=DAY($K$1+1),1,A213+1)</f>
        <v/>
      </c>
      <c r="B214" s="22">
        <f>IF(DAY(C214)=DAY($K$1+1),1,B213+1)</f>
        <v/>
      </c>
      <c r="C214" s="23">
        <f>C213+1</f>
        <v/>
      </c>
      <c r="D214" s="24">
        <f>IF(DAY(C214)=DAY($K$1+1),TRUNC(($D$5),8),D213)</f>
        <v/>
      </c>
      <c r="E214" s="25">
        <f>TRUNC(((1+IPCA!#REF!))^(A214/30),8)</f>
        <v/>
      </c>
      <c r="F214" s="25">
        <f>TRUNC((D214*E214),8)</f>
        <v/>
      </c>
      <c r="G214" s="26">
        <f>ROUND(((1+$G$4)^(30/360))^(B214/(EDATE(C214-A214,1)-(C214-A214))),9)</f>
        <v/>
      </c>
      <c r="H214" s="25">
        <f>TRUNC((F214*G214-F214),8)</f>
        <v/>
      </c>
      <c r="I214" s="25">
        <f>F214+H214</f>
        <v/>
      </c>
      <c r="J214" s="28">
        <f>TRUNC(H214,8)</f>
        <v/>
      </c>
      <c r="K214" s="29">
        <f>TRUNC(F214*'Amort TS'!#REF!,8)</f>
        <v/>
      </c>
      <c r="L214" s="29" t="n">
        <v>0</v>
      </c>
      <c r="M214" s="29">
        <f>I214-J214-K214-L214</f>
        <v/>
      </c>
    </row>
    <row r="215">
      <c r="A215" s="1">
        <f>IF(DAY(C215)=DAY($K$1+1),1,A214+1)</f>
        <v/>
      </c>
      <c r="B215" s="1">
        <f>IF(DAY(C215)=DAY($K$1+1),1,B214+1)</f>
        <v/>
      </c>
      <c r="C215" s="2">
        <f>C214+1</f>
        <v/>
      </c>
      <c r="D215" s="8">
        <f>M214</f>
        <v/>
      </c>
      <c r="E215" s="4">
        <f>TRUNC(((1+IPCA!#REF!))^(A215/31),8)</f>
        <v/>
      </c>
      <c r="F215" s="4">
        <f>TRUNC((D215*E215),8)</f>
        <v/>
      </c>
      <c r="G215" s="3">
        <f>ROUND(((1+$G$4)^(30/360))^(B215/(EDATE(C215-A215,1)-(C215-A215))),9)</f>
        <v/>
      </c>
      <c r="H215" s="4">
        <f>TRUNC((F215*G215-F215),8)</f>
        <v/>
      </c>
      <c r="I215" s="4">
        <f>F215+H215</f>
        <v/>
      </c>
      <c r="J215" s="8">
        <f>J214*1540</f>
        <v/>
      </c>
      <c r="K215" s="8">
        <f>K214*1540</f>
        <v/>
      </c>
      <c r="L215" s="8" t="n">
        <v>0</v>
      </c>
      <c r="M215" s="8">
        <f>M214*1540</f>
        <v/>
      </c>
    </row>
    <row r="216" ht="13.8" customHeight="1" s="260" thickBot="1">
      <c r="A216" s="1">
        <f>IF(DAY(C216)=DAY($K$1+1),1,A215+1)</f>
        <v/>
      </c>
      <c r="B216" s="1">
        <f>IF(DAY(C216)=DAY($K$1+1),1,B215+1)</f>
        <v/>
      </c>
      <c r="C216" s="2">
        <f>C215+1</f>
        <v/>
      </c>
      <c r="D216" s="8">
        <f>IF(DAY(C216)=DAY($K$1+1),TRUNC(($D$5),8),D215)</f>
        <v/>
      </c>
      <c r="E216" s="4">
        <f>TRUNC(((1+IPCA!#REF!))^(A216/31),8)</f>
        <v/>
      </c>
      <c r="F216" s="4">
        <f>TRUNC((D216*E216),8)</f>
        <v/>
      </c>
      <c r="G216" s="3">
        <f>ROUND(((1+$G$4)^(30/360))^(B216/(EDATE(C216-A216,1)-(C216-A216))),9)</f>
        <v/>
      </c>
      <c r="H216" s="4">
        <f>TRUNC((F216*G216-F216),8)</f>
        <v/>
      </c>
      <c r="I216" s="4">
        <f>F216+H216</f>
        <v/>
      </c>
      <c r="J216" s="34" t="n"/>
      <c r="K216" s="30" t="n"/>
      <c r="L216" s="10" t="n"/>
    </row>
    <row r="217" ht="13.8" customHeight="1" s="260" thickBot="1">
      <c r="A217" s="1">
        <f>IF(DAY(C217)=DAY($K$1+1),1,A216+1)</f>
        <v/>
      </c>
      <c r="B217" s="1">
        <f>IF(DAY(C217)=DAY($K$1+1),1,B216+1)</f>
        <v/>
      </c>
      <c r="C217" s="2">
        <f>C216+1</f>
        <v/>
      </c>
      <c r="D217" s="8">
        <f>IF(DAY(C217)=DAY($K$1+1),TRUNC(($D$5),8),D216)</f>
        <v/>
      </c>
      <c r="E217" s="4">
        <f>TRUNC(((1+IPCA!#REF!))^(A217/31),8)</f>
        <v/>
      </c>
      <c r="F217" s="4">
        <f>TRUNC((D217*E217),8)</f>
        <v/>
      </c>
      <c r="G217" s="3">
        <f>ROUND(((1+$G$4)^(30/360))^(B217/(EDATE(C217-A217,1)-(C217-A217))),9)</f>
        <v/>
      </c>
      <c r="H217" s="4">
        <f>TRUNC((F217*G217-F217),8)</f>
        <v/>
      </c>
      <c r="I217" s="4">
        <f>F217+H217</f>
        <v/>
      </c>
      <c r="J217" s="31">
        <f>SUM(J215:K215)</f>
        <v/>
      </c>
      <c r="K217" s="32" t="inlineStr">
        <is>
          <t>TOTAL PMT</t>
        </is>
      </c>
      <c r="L217" s="10" t="n"/>
    </row>
    <row r="218">
      <c r="A218" s="1">
        <f>IF(DAY(C218)=DAY($K$1+1),1,A217+1)</f>
        <v/>
      </c>
      <c r="B218" s="1">
        <f>IF(DAY(C218)=DAY($K$1+1),1,B217+1)</f>
        <v/>
      </c>
      <c r="C218" s="2">
        <f>C217+1</f>
        <v/>
      </c>
      <c r="D218" s="8">
        <f>IF(DAY(C218)=DAY($K$1+1),TRUNC(($D$5),8),D217)</f>
        <v/>
      </c>
      <c r="E218" s="4">
        <f>TRUNC(((1+IPCA!#REF!))^(A218/31),8)</f>
        <v/>
      </c>
      <c r="F218" s="4">
        <f>TRUNC((D218*E218),8)</f>
        <v/>
      </c>
      <c r="G218" s="3">
        <f>ROUND(((1+$G$4)^(30/360))^(B218/(EDATE(C218-A218,1)-(C218-A218))),9)</f>
        <v/>
      </c>
      <c r="H218" s="4">
        <f>TRUNC((F218*G218-F218),8)</f>
        <v/>
      </c>
      <c r="I218" s="4">
        <f>F218+H218</f>
        <v/>
      </c>
      <c r="J218" s="267">
        <f>SUM(J215:L215)</f>
        <v/>
      </c>
    </row>
    <row r="219">
      <c r="A219" s="1">
        <f>IF(DAY(C219)=DAY($K$1+1),1,A218+1)</f>
        <v/>
      </c>
      <c r="B219" s="1">
        <f>IF(DAY(C219)=DAY($K$1+1),1,B218+1)</f>
        <v/>
      </c>
      <c r="C219" s="2">
        <f>C218+1</f>
        <v/>
      </c>
      <c r="D219" s="8">
        <f>IF(DAY(C219)=DAY($K$1+1),TRUNC(($D$5),8),D218)</f>
        <v/>
      </c>
      <c r="E219" s="4">
        <f>TRUNC(((1+IPCA!#REF!))^(A219/31),8)</f>
        <v/>
      </c>
      <c r="F219" s="4">
        <f>TRUNC((D219*E219),8)</f>
        <v/>
      </c>
      <c r="G219" s="3">
        <f>ROUND(((1+$G$4)^(30/360))^(B219/(EDATE(C219-A219,1)-(C219-A219))),9)</f>
        <v/>
      </c>
      <c r="H219" s="4">
        <f>TRUNC((F219*G219-F219),8)</f>
        <v/>
      </c>
      <c r="I219" s="4">
        <f>F219+H219</f>
        <v/>
      </c>
    </row>
    <row r="220">
      <c r="A220" s="1">
        <f>IF(DAY(C220)=DAY($K$1+1),1,A219+1)</f>
        <v/>
      </c>
      <c r="B220" s="1">
        <f>IF(DAY(C220)=DAY($K$1+1),1,B219+1)</f>
        <v/>
      </c>
      <c r="C220" s="2">
        <f>C219+1</f>
        <v/>
      </c>
      <c r="D220" s="8">
        <f>IF(DAY(C220)=DAY($K$1+1),TRUNC(($D$5),8),D219)</f>
        <v/>
      </c>
      <c r="E220" s="4">
        <f>TRUNC(((1+IPCA!#REF!))^(A220/31),8)</f>
        <v/>
      </c>
      <c r="F220" s="4">
        <f>TRUNC((D220*E220),8)</f>
        <v/>
      </c>
      <c r="G220" s="3">
        <f>ROUND(((1+$G$4)^(30/360))^(B220/(EDATE(C220-A220,1)-(C220-A220))),9)</f>
        <v/>
      </c>
      <c r="H220" s="4">
        <f>TRUNC((F220*G220-F220),8)</f>
        <v/>
      </c>
      <c r="I220" s="4">
        <f>F220+H220</f>
        <v/>
      </c>
    </row>
    <row r="221">
      <c r="A221" s="1">
        <f>IF(DAY(C221)=DAY($K$1+1),1,A220+1)</f>
        <v/>
      </c>
      <c r="B221" s="1">
        <f>IF(DAY(C221)=DAY($K$1+1),1,B220+1)</f>
        <v/>
      </c>
      <c r="C221" s="2">
        <f>C220+1</f>
        <v/>
      </c>
      <c r="D221" s="8">
        <f>IF(DAY(C221)=DAY($K$1+1),TRUNC(($D$5),8),D220)</f>
        <v/>
      </c>
      <c r="E221" s="4">
        <f>TRUNC(((1+IPCA!#REF!))^(A221/31),8)</f>
        <v/>
      </c>
      <c r="F221" s="4">
        <f>TRUNC((D221*E221),8)</f>
        <v/>
      </c>
      <c r="G221" s="3">
        <f>ROUND(((1+$G$4)^(30/360))^(B221/(EDATE(C221-A221,1)-(C221-A221))),9)</f>
        <v/>
      </c>
      <c r="H221" s="4">
        <f>TRUNC((F221*G221-F221),8)</f>
        <v/>
      </c>
      <c r="I221" s="4">
        <f>F221+H221</f>
        <v/>
      </c>
    </row>
    <row r="222">
      <c r="A222" s="1">
        <f>IF(DAY(C222)=DAY($K$1+1),1,A221+1)</f>
        <v/>
      </c>
      <c r="B222" s="1">
        <f>IF(DAY(C222)=DAY($K$1+1),1,B221+1)</f>
        <v/>
      </c>
      <c r="C222" s="2">
        <f>C221+1</f>
        <v/>
      </c>
      <c r="D222" s="8">
        <f>IF(DAY(C222)=DAY($K$1+1),TRUNC(($D$5),8),D221)</f>
        <v/>
      </c>
      <c r="E222" s="4">
        <f>TRUNC(((1+IPCA!#REF!))^(A222/31),8)</f>
        <v/>
      </c>
      <c r="F222" s="4">
        <f>TRUNC((D222*E222),8)</f>
        <v/>
      </c>
      <c r="G222" s="3">
        <f>ROUND(((1+$G$4)^(30/360))^(B222/(EDATE(C222-A222,1)-(C222-A222))),9)</f>
        <v/>
      </c>
      <c r="H222" s="4">
        <f>TRUNC((F222*G222-F222),8)</f>
        <v/>
      </c>
      <c r="I222" s="4">
        <f>F222+H222</f>
        <v/>
      </c>
    </row>
    <row r="223">
      <c r="A223" s="1">
        <f>IF(DAY(C223)=DAY($K$1+1),1,A222+1)</f>
        <v/>
      </c>
      <c r="B223" s="1">
        <f>IF(DAY(C223)=DAY($K$1+1),1,B222+1)</f>
        <v/>
      </c>
      <c r="C223" s="2">
        <f>C222+1</f>
        <v/>
      </c>
      <c r="D223" s="8">
        <f>IF(DAY(C223)=DAY($K$1+1),TRUNC(($D$5),8),D222)</f>
        <v/>
      </c>
      <c r="E223" s="4">
        <f>TRUNC(((1+IPCA!#REF!))^(A223/31),8)</f>
        <v/>
      </c>
      <c r="F223" s="4">
        <f>TRUNC((D223*E223),8)</f>
        <v/>
      </c>
      <c r="G223" s="3">
        <f>ROUND(((1+$G$4)^(30/360))^(B223/(EDATE(C223-A223,1)-(C223-A223))),9)</f>
        <v/>
      </c>
      <c r="H223" s="4">
        <f>TRUNC((F223*G223-F223),8)</f>
        <v/>
      </c>
      <c r="I223" s="4">
        <f>F223+H223</f>
        <v/>
      </c>
    </row>
    <row r="224">
      <c r="A224" s="1">
        <f>IF(DAY(C224)=DAY($K$1+1),1,A223+1)</f>
        <v/>
      </c>
      <c r="B224" s="1">
        <f>IF(DAY(C224)=DAY($K$1+1),1,B223+1)</f>
        <v/>
      </c>
      <c r="C224" s="2">
        <f>C223+1</f>
        <v/>
      </c>
      <c r="D224" s="8">
        <f>IF(DAY(C224)=DAY($K$1+1),TRUNC(($D$5),8),D223)</f>
        <v/>
      </c>
      <c r="E224" s="4">
        <f>TRUNC(((1+IPCA!#REF!))^(A224/31),8)</f>
        <v/>
      </c>
      <c r="F224" s="4">
        <f>TRUNC((D224*E224),8)</f>
        <v/>
      </c>
      <c r="G224" s="3">
        <f>ROUND(((1+$G$4)^(30/360))^(B224/(EDATE(C224-A224,1)-(C224-A224))),9)</f>
        <v/>
      </c>
      <c r="H224" s="4">
        <f>TRUNC((F224*G224-F224),8)</f>
        <v/>
      </c>
      <c r="I224" s="4">
        <f>F224+H224</f>
        <v/>
      </c>
    </row>
    <row r="225">
      <c r="A225" s="1">
        <f>IF(DAY(C225)=DAY($K$1+1),1,A224+1)</f>
        <v/>
      </c>
      <c r="B225" s="1">
        <f>IF(DAY(C225)=DAY($K$1+1),1,B224+1)</f>
        <v/>
      </c>
      <c r="C225" s="2">
        <f>C224+1</f>
        <v/>
      </c>
      <c r="D225" s="8">
        <f>IF(DAY(C225)=DAY($K$1+1),TRUNC(($D$5),8),D224)</f>
        <v/>
      </c>
      <c r="E225" s="4">
        <f>TRUNC(((1+IPCA!#REF!))^(A225/31),8)</f>
        <v/>
      </c>
      <c r="F225" s="4">
        <f>TRUNC((D225*E225),8)</f>
        <v/>
      </c>
      <c r="G225" s="3">
        <f>ROUND(((1+$G$4)^(30/360))^(B225/(EDATE(C225-A225,1)-(C225-A225))),9)</f>
        <v/>
      </c>
      <c r="H225" s="4">
        <f>TRUNC((F225*G225-F225),8)</f>
        <v/>
      </c>
      <c r="I225" s="4">
        <f>F225+H225</f>
        <v/>
      </c>
    </row>
    <row r="226">
      <c r="A226" s="1">
        <f>IF(DAY(C226)=DAY($K$1+1),1,A225+1)</f>
        <v/>
      </c>
      <c r="B226" s="1">
        <f>IF(DAY(C226)=DAY($K$1+1),1,B225+1)</f>
        <v/>
      </c>
      <c r="C226" s="2">
        <f>C225+1</f>
        <v/>
      </c>
      <c r="D226" s="8">
        <f>IF(DAY(C226)=DAY($K$1+1),TRUNC(($D$5),8),D225)</f>
        <v/>
      </c>
      <c r="E226" s="4">
        <f>TRUNC(((1+IPCA!#REF!))^(A226/31),8)</f>
        <v/>
      </c>
      <c r="F226" s="4">
        <f>TRUNC((D226*E226),8)</f>
        <v/>
      </c>
      <c r="G226" s="3">
        <f>ROUND(((1+$G$4)^(30/360))^(B226/(EDATE(C226-A226,1)-(C226-A226))),9)</f>
        <v/>
      </c>
      <c r="H226" s="4">
        <f>TRUNC((F226*G226-F226),8)</f>
        <v/>
      </c>
      <c r="I226" s="4">
        <f>F226+H226</f>
        <v/>
      </c>
    </row>
    <row r="227">
      <c r="A227" s="1">
        <f>IF(DAY(C227)=DAY($K$1+1),1,A226+1)</f>
        <v/>
      </c>
      <c r="B227" s="1">
        <f>IF(DAY(C227)=DAY($K$1+1),1,B226+1)</f>
        <v/>
      </c>
      <c r="C227" s="2">
        <f>C226+1</f>
        <v/>
      </c>
      <c r="D227" s="8">
        <f>IF(DAY(C227)=DAY($K$1+1),TRUNC(($D$5),8),D226)</f>
        <v/>
      </c>
      <c r="E227" s="4">
        <f>TRUNC(((1+IPCA!#REF!))^(A227/31),8)</f>
        <v/>
      </c>
      <c r="F227" s="4">
        <f>TRUNC((D227*E227),8)</f>
        <v/>
      </c>
      <c r="G227" s="3">
        <f>ROUND(((1+$G$4)^(30/360))^(B227/(EDATE(C227-A227,1)-(C227-A227))),9)</f>
        <v/>
      </c>
      <c r="H227" s="4">
        <f>TRUNC((F227*G227-F227),8)</f>
        <v/>
      </c>
      <c r="I227" s="4">
        <f>F227+H227</f>
        <v/>
      </c>
    </row>
    <row r="228">
      <c r="A228" s="1">
        <f>IF(DAY(C228)=DAY($K$1+1),1,A227+1)</f>
        <v/>
      </c>
      <c r="B228" s="1">
        <f>IF(DAY(C228)=DAY($K$1+1),1,B227+1)</f>
        <v/>
      </c>
      <c r="C228" s="2">
        <f>C227+1</f>
        <v/>
      </c>
      <c r="D228" s="8">
        <f>IF(DAY(C228)=DAY($K$1+1),TRUNC(($D$5),8),D227)</f>
        <v/>
      </c>
      <c r="E228" s="4">
        <f>TRUNC(((1+IPCA!#REF!))^(A228/31),8)</f>
        <v/>
      </c>
      <c r="F228" s="4">
        <f>TRUNC((D228*E228),8)</f>
        <v/>
      </c>
      <c r="G228" s="3">
        <f>ROUND(((1+$G$4)^(30/360))^(B228/(EDATE(C228-A228,1)-(C228-A228))),9)</f>
        <v/>
      </c>
      <c r="H228" s="4">
        <f>TRUNC((F228*G228-F228),8)</f>
        <v/>
      </c>
      <c r="I228" s="4">
        <f>F228+H228</f>
        <v/>
      </c>
    </row>
    <row r="229">
      <c r="A229" s="1">
        <f>IF(DAY(C229)=DAY($K$1+1),1,A228+1)</f>
        <v/>
      </c>
      <c r="B229" s="1">
        <f>IF(DAY(C229)=DAY($K$1+1),1,B228+1)</f>
        <v/>
      </c>
      <c r="C229" s="2">
        <f>C228+1</f>
        <v/>
      </c>
      <c r="D229" s="8">
        <f>IF(DAY(C229)=DAY($K$1+1),TRUNC(($D$5),8),D228)</f>
        <v/>
      </c>
      <c r="E229" s="4">
        <f>TRUNC(((1+IPCA!#REF!))^(A229/31),8)</f>
        <v/>
      </c>
      <c r="F229" s="4">
        <f>TRUNC((D229*E229),8)</f>
        <v/>
      </c>
      <c r="G229" s="3">
        <f>ROUND(((1+$G$4)^(30/360))^(B229/(EDATE(C229-A229,1)-(C229-A229))),9)</f>
        <v/>
      </c>
      <c r="H229" s="4">
        <f>TRUNC((F229*G229-F229),8)</f>
        <v/>
      </c>
      <c r="I229" s="4">
        <f>F229+H229</f>
        <v/>
      </c>
    </row>
    <row r="230">
      <c r="A230" s="1">
        <f>IF(DAY(C230)=DAY($K$1+1),1,A229+1)</f>
        <v/>
      </c>
      <c r="B230" s="1">
        <f>IF(DAY(C230)=DAY($K$1+1),1,B229+1)</f>
        <v/>
      </c>
      <c r="C230" s="2">
        <f>C229+1</f>
        <v/>
      </c>
      <c r="D230" s="8">
        <f>IF(DAY(C230)=DAY($K$1+1),TRUNC(($D$5),8),D229)</f>
        <v/>
      </c>
      <c r="E230" s="4">
        <f>TRUNC(((1+IPCA!#REF!))^(A230/31),8)</f>
        <v/>
      </c>
      <c r="F230" s="4">
        <f>TRUNC((D230*E230),8)</f>
        <v/>
      </c>
      <c r="G230" s="3">
        <f>ROUND(((1+$G$4)^(30/360))^(B230/(EDATE(C230-A230,1)-(C230-A230))),9)</f>
        <v/>
      </c>
      <c r="H230" s="4">
        <f>TRUNC((F230*G230-F230),8)</f>
        <v/>
      </c>
      <c r="I230" s="4">
        <f>F230+H230</f>
        <v/>
      </c>
    </row>
    <row r="231">
      <c r="A231" s="1">
        <f>IF(DAY(C231)=DAY($K$1+1),1,A230+1)</f>
        <v/>
      </c>
      <c r="B231" s="1">
        <f>IF(DAY(C231)=DAY($K$1+1),1,B230+1)</f>
        <v/>
      </c>
      <c r="C231" s="2">
        <f>C230+1</f>
        <v/>
      </c>
      <c r="D231" s="8">
        <f>IF(DAY(C231)=DAY($K$1+1),TRUNC(($D$5),8),D230)</f>
        <v/>
      </c>
      <c r="E231" s="4">
        <f>TRUNC(((1+IPCA!#REF!))^(A231/31),8)</f>
        <v/>
      </c>
      <c r="F231" s="4">
        <f>TRUNC((D231*E231),8)</f>
        <v/>
      </c>
      <c r="G231" s="3">
        <f>ROUND(((1+$G$4)^(30/360))^(B231/(EDATE(C231-A231,1)-(C231-A231))),9)</f>
        <v/>
      </c>
      <c r="H231" s="4">
        <f>TRUNC((F231*G231-F231),8)</f>
        <v/>
      </c>
      <c r="I231" s="4">
        <f>F231+H231</f>
        <v/>
      </c>
    </row>
    <row r="232">
      <c r="A232" s="1">
        <f>IF(DAY(C232)=DAY($K$1+1),1,A231+1)</f>
        <v/>
      </c>
      <c r="B232" s="1">
        <f>IF(DAY(C232)=DAY($K$1+1),1,B231+1)</f>
        <v/>
      </c>
      <c r="C232" s="2">
        <f>C231+1</f>
        <v/>
      </c>
      <c r="D232" s="8">
        <f>IF(DAY(C232)=DAY($K$1+1),TRUNC(($D$5),8),D231)</f>
        <v/>
      </c>
      <c r="E232" s="4">
        <f>TRUNC(((1+IPCA!#REF!))^(A232/31),8)</f>
        <v/>
      </c>
      <c r="F232" s="4">
        <f>TRUNC((D232*E232),8)</f>
        <v/>
      </c>
      <c r="G232" s="3">
        <f>ROUND(((1+$G$4)^(30/360))^(B232/(EDATE(C232-A232,1)-(C232-A232))),9)</f>
        <v/>
      </c>
      <c r="H232" s="4">
        <f>TRUNC((F232*G232-F232),8)</f>
        <v/>
      </c>
      <c r="I232" s="4">
        <f>F232+H232</f>
        <v/>
      </c>
    </row>
    <row r="233">
      <c r="A233" s="1">
        <f>IF(DAY(C233)=DAY($K$1+1),1,A232+1)</f>
        <v/>
      </c>
      <c r="B233" s="1">
        <f>IF(DAY(C233)=DAY($K$1+1),1,B232+1)</f>
        <v/>
      </c>
      <c r="C233" s="2">
        <f>C232+1</f>
        <v/>
      </c>
      <c r="D233" s="8">
        <f>IF(DAY(C233)=DAY($K$1+1),TRUNC(($D$5),8),D232)</f>
        <v/>
      </c>
      <c r="E233" s="4">
        <f>TRUNC(((1+IPCA!#REF!))^(A233/31),8)</f>
        <v/>
      </c>
      <c r="F233" s="4">
        <f>TRUNC((D233*E233),8)</f>
        <v/>
      </c>
      <c r="G233" s="3">
        <f>ROUND(((1+$G$4)^(30/360))^(B233/(EDATE(C233-A233,1)-(C233-A233))),9)</f>
        <v/>
      </c>
      <c r="H233" s="4">
        <f>TRUNC((F233*G233-F233),8)</f>
        <v/>
      </c>
      <c r="I233" s="4">
        <f>F233+H233</f>
        <v/>
      </c>
    </row>
    <row r="234">
      <c r="A234" s="1">
        <f>IF(DAY(C234)=DAY($K$1+1),1,A233+1)</f>
        <v/>
      </c>
      <c r="B234" s="1">
        <f>IF(DAY(C234)=DAY($K$1+1),1,B233+1)</f>
        <v/>
      </c>
      <c r="C234" s="2">
        <f>C233+1</f>
        <v/>
      </c>
      <c r="D234" s="8">
        <f>IF(DAY(C234)=DAY($K$1+1),TRUNC(($D$5),8),D233)</f>
        <v/>
      </c>
      <c r="E234" s="4">
        <f>TRUNC(((1+IPCA!#REF!))^(A234/31),8)</f>
        <v/>
      </c>
      <c r="F234" s="4">
        <f>TRUNC((D234*E234),8)</f>
        <v/>
      </c>
      <c r="G234" s="3">
        <f>ROUND(((1+$G$4)^(30/360))^(B234/(EDATE(C234-A234,1)-(C234-A234))),9)</f>
        <v/>
      </c>
      <c r="H234" s="4">
        <f>TRUNC((F234*G234-F234),8)</f>
        <v/>
      </c>
      <c r="I234" s="4">
        <f>F234+H234</f>
        <v/>
      </c>
    </row>
    <row r="235">
      <c r="A235" s="1">
        <f>IF(DAY(C235)=DAY($K$1+1),1,A234+1)</f>
        <v/>
      </c>
      <c r="B235" s="1">
        <f>IF(DAY(C235)=DAY($K$1+1),1,B234+1)</f>
        <v/>
      </c>
      <c r="C235" s="2">
        <f>C234+1</f>
        <v/>
      </c>
      <c r="D235" s="8">
        <f>IF(DAY(C235)=DAY($K$1+1),TRUNC(($D$5),8),D234)</f>
        <v/>
      </c>
      <c r="E235" s="4">
        <f>TRUNC(((1+IPCA!#REF!))^(A235/31),8)</f>
        <v/>
      </c>
      <c r="F235" s="4">
        <f>TRUNC((D235*E235),8)</f>
        <v/>
      </c>
      <c r="G235" s="3">
        <f>ROUND(((1+$G$4)^(30/360))^(B235/(EDATE(C235-A235,1)-(C235-A235))),9)</f>
        <v/>
      </c>
      <c r="H235" s="4">
        <f>TRUNC((F235*G235-F235),8)</f>
        <v/>
      </c>
      <c r="I235" s="4">
        <f>F235+H235</f>
        <v/>
      </c>
    </row>
    <row r="236">
      <c r="A236" s="1">
        <f>IF(DAY(C236)=DAY($K$1+1),1,A235+1)</f>
        <v/>
      </c>
      <c r="B236" s="1">
        <f>IF(DAY(C236)=DAY($K$1+1),1,B235+1)</f>
        <v/>
      </c>
      <c r="C236" s="2">
        <f>C235+1</f>
        <v/>
      </c>
      <c r="D236" s="8">
        <f>IF(DAY(C236)=DAY($K$1+1),TRUNC(($D$5),8),D235)</f>
        <v/>
      </c>
      <c r="E236" s="4">
        <f>TRUNC(((1+IPCA!#REF!))^(A236/31),8)</f>
        <v/>
      </c>
      <c r="F236" s="4">
        <f>TRUNC((D236*E236),8)</f>
        <v/>
      </c>
      <c r="G236" s="3">
        <f>ROUND(((1+$G$4)^(30/360))^(B236/(EDATE(C236-A236,1)-(C236-A236))),9)</f>
        <v/>
      </c>
      <c r="H236" s="4">
        <f>TRUNC((F236*G236-F236),8)</f>
        <v/>
      </c>
      <c r="I236" s="4">
        <f>F236+H236</f>
        <v/>
      </c>
    </row>
    <row r="237">
      <c r="A237" s="1">
        <f>IF(DAY(C237)=DAY($K$1+1),1,A236+1)</f>
        <v/>
      </c>
      <c r="B237" s="1">
        <f>IF(DAY(C237)=DAY($K$1+1),1,B236+1)</f>
        <v/>
      </c>
      <c r="C237" s="2">
        <f>C236+1</f>
        <v/>
      </c>
      <c r="D237" s="8">
        <f>IF(DAY(C237)=DAY($K$1+1),TRUNC(($D$5),8),D236)</f>
        <v/>
      </c>
      <c r="E237" s="4">
        <f>TRUNC(((1+IPCA!#REF!))^(A237/31),8)</f>
        <v/>
      </c>
      <c r="F237" s="4">
        <f>TRUNC((D237*E237),8)</f>
        <v/>
      </c>
      <c r="G237" s="3">
        <f>ROUND(((1+$G$4)^(30/360))^(B237/(EDATE(C237-A237,1)-(C237-A237))),9)</f>
        <v/>
      </c>
      <c r="H237" s="4">
        <f>TRUNC((F237*G237-F237),8)</f>
        <v/>
      </c>
      <c r="I237" s="4">
        <f>F237+H237</f>
        <v/>
      </c>
    </row>
    <row r="238">
      <c r="A238" s="1">
        <f>IF(DAY(C238)=DAY($K$1+1),1,A237+1)</f>
        <v/>
      </c>
      <c r="B238" s="1">
        <f>IF(DAY(C238)=DAY($K$1+1),1,B237+1)</f>
        <v/>
      </c>
      <c r="C238" s="2">
        <f>C237+1</f>
        <v/>
      </c>
      <c r="D238" s="8">
        <f>IF(DAY(C238)=DAY($K$1+1),TRUNC(($D$5),8),D237)</f>
        <v/>
      </c>
      <c r="E238" s="4">
        <f>TRUNC(((1+IPCA!#REF!))^(A238/31),8)</f>
        <v/>
      </c>
      <c r="F238" s="4">
        <f>TRUNC((D238*E238),8)</f>
        <v/>
      </c>
      <c r="G238" s="3">
        <f>ROUND(((1+$G$4)^(30/360))^(B238/(EDATE(C238-A238,1)-(C238-A238))),9)</f>
        <v/>
      </c>
      <c r="H238" s="4">
        <f>TRUNC((F238*G238-F238),8)</f>
        <v/>
      </c>
      <c r="I238" s="4">
        <f>F238+H238</f>
        <v/>
      </c>
    </row>
    <row r="239">
      <c r="A239" s="1">
        <f>IF(DAY(C239)=DAY($K$1+1),1,A238+1)</f>
        <v/>
      </c>
      <c r="B239" s="1">
        <f>IF(DAY(C239)=DAY($K$1+1),1,B238+1)</f>
        <v/>
      </c>
      <c r="C239" s="2">
        <f>C238+1</f>
        <v/>
      </c>
      <c r="D239" s="8">
        <f>IF(DAY(C239)=DAY($K$1+1),TRUNC(($D$5),8),D238)</f>
        <v/>
      </c>
      <c r="E239" s="4">
        <f>TRUNC(((1+IPCA!#REF!))^(A239/31),8)</f>
        <v/>
      </c>
      <c r="F239" s="4">
        <f>TRUNC((D239*E239),8)</f>
        <v/>
      </c>
      <c r="G239" s="3">
        <f>ROUND(((1+$G$4)^(30/360))^(B239/(EDATE(C239-A239,1)-(C239-A239))),9)</f>
        <v/>
      </c>
      <c r="H239" s="4">
        <f>TRUNC((F239*G239-F239),8)</f>
        <v/>
      </c>
      <c r="I239" s="4">
        <f>F239+H239</f>
        <v/>
      </c>
    </row>
    <row r="240">
      <c r="A240" s="1">
        <f>IF(DAY(C240)=DAY($K$1+1),1,A239+1)</f>
        <v/>
      </c>
      <c r="B240" s="1">
        <f>IF(DAY(C240)=DAY($K$1+1),1,B239+1)</f>
        <v/>
      </c>
      <c r="C240" s="2">
        <f>C239+1</f>
        <v/>
      </c>
      <c r="D240" s="8">
        <f>IF(DAY(C240)=DAY($K$1+1),TRUNC(($D$5),8),D239)</f>
        <v/>
      </c>
      <c r="E240" s="4">
        <f>TRUNC(((1+IPCA!#REF!))^(A240/31),8)</f>
        <v/>
      </c>
      <c r="F240" s="4">
        <f>TRUNC((D240*E240),8)</f>
        <v/>
      </c>
      <c r="G240" s="3">
        <f>ROUND(((1+$G$4)^(30/360))^(B240/(EDATE(C240-A240,1)-(C240-A240))),9)</f>
        <v/>
      </c>
      <c r="H240" s="4">
        <f>TRUNC((F240*G240-F240),8)</f>
        <v/>
      </c>
      <c r="I240" s="4">
        <f>F240+H240</f>
        <v/>
      </c>
    </row>
    <row r="241">
      <c r="A241" s="1">
        <f>IF(DAY(C241)=DAY($K$1+1),1,A240+1)</f>
        <v/>
      </c>
      <c r="B241" s="1">
        <f>IF(DAY(C241)=DAY($K$1+1),1,B240+1)</f>
        <v/>
      </c>
      <c r="C241" s="2">
        <f>C240+1</f>
        <v/>
      </c>
      <c r="D241" s="8">
        <f>IF(DAY(C241)=DAY($K$1+1),TRUNC(($D$5),8),D240)</f>
        <v/>
      </c>
      <c r="E241" s="4">
        <f>TRUNC(((1+IPCA!#REF!))^(A241/31),8)</f>
        <v/>
      </c>
      <c r="F241" s="4">
        <f>TRUNC((D241*E241),8)</f>
        <v/>
      </c>
      <c r="G241" s="3">
        <f>ROUND(((1+$G$4)^(30/360))^(B241/(EDATE(C241-A241,1)-(C241-A241))),9)</f>
        <v/>
      </c>
      <c r="H241" s="4">
        <f>TRUNC((F241*G241-F241),8)</f>
        <v/>
      </c>
      <c r="I241" s="4">
        <f>F241+H241</f>
        <v/>
      </c>
    </row>
    <row r="242">
      <c r="A242" s="1">
        <f>IF(DAY(C242)=DAY($K$1+1),1,A241+1)</f>
        <v/>
      </c>
      <c r="B242" s="1">
        <f>IF(DAY(C242)=DAY($K$1+1),1,B241+1)</f>
        <v/>
      </c>
      <c r="C242" s="2">
        <f>C241+1</f>
        <v/>
      </c>
      <c r="D242" s="8">
        <f>IF(DAY(C242)=DAY($K$1+1),TRUNC(($D$5),8),D241)</f>
        <v/>
      </c>
      <c r="E242" s="4">
        <f>TRUNC(((1+IPCA!#REF!))^(A242/31),8)</f>
        <v/>
      </c>
      <c r="F242" s="4">
        <f>TRUNC((D242*E242),8)</f>
        <v/>
      </c>
      <c r="G242" s="3">
        <f>ROUND(((1+$G$4)^(30/360))^(B242/(EDATE(C242-A242,1)-(C242-A242))),9)</f>
        <v/>
      </c>
      <c r="H242" s="4">
        <f>TRUNC((F242*G242-F242),8)</f>
        <v/>
      </c>
      <c r="I242" s="4">
        <f>F242+H242</f>
        <v/>
      </c>
    </row>
    <row r="243">
      <c r="A243" s="1">
        <f>IF(DAY(C243)=DAY($K$1+1),1,A242+1)</f>
        <v/>
      </c>
      <c r="B243" s="1">
        <f>IF(DAY(C243)=DAY($K$1+1),1,B242+1)</f>
        <v/>
      </c>
      <c r="C243" s="2">
        <f>C242+1</f>
        <v/>
      </c>
      <c r="D243" s="8">
        <f>IF(DAY(C243)=DAY($K$1+1),TRUNC(($D$5),8),D242)</f>
        <v/>
      </c>
      <c r="E243" s="4">
        <f>TRUNC(((1+IPCA!#REF!))^(A243/31),8)</f>
        <v/>
      </c>
      <c r="F243" s="4">
        <f>TRUNC((D243*E243),8)</f>
        <v/>
      </c>
      <c r="G243" s="3">
        <f>ROUND(((1+$G$4)^(30/360))^(B243/(EDATE(C243-A243,1)-(C243-A243))),9)</f>
        <v/>
      </c>
      <c r="H243" s="4">
        <f>TRUNC((F243*G243-F243),8)</f>
        <v/>
      </c>
      <c r="I243" s="4">
        <f>F243+H243</f>
        <v/>
      </c>
      <c r="J243" s="35" t="inlineStr">
        <is>
          <t>CRI Integralizado:</t>
        </is>
      </c>
      <c r="K243" s="268" t="n">
        <v>1540</v>
      </c>
    </row>
    <row r="244">
      <c r="A244" s="1">
        <f>IF(DAY(C244)=DAY($K$1+1),1,A243+1)</f>
        <v/>
      </c>
      <c r="B244" s="1">
        <f>IF(DAY(C244)=DAY($K$1+1),1,B243+1)</f>
        <v/>
      </c>
      <c r="C244" s="2">
        <f>C243+1</f>
        <v/>
      </c>
      <c r="D244" s="8">
        <f>IF(DAY(C244)=DAY($K$1+1),TRUNC(($D$5),8),D243)</f>
        <v/>
      </c>
      <c r="E244" s="4">
        <f>TRUNC(((1+IPCA!#REF!))^(A244/31),8)</f>
        <v/>
      </c>
      <c r="F244" s="4">
        <f>TRUNC((D244*E244),8)</f>
        <v/>
      </c>
      <c r="G244" s="3">
        <f>ROUND(((1+$G$4)^(30/360))^(B244/(EDATE(C244-A244,1)-(C244-A244))),9)</f>
        <v/>
      </c>
      <c r="H244" s="4">
        <f>TRUNC((F244*G244-F244),8)</f>
        <v/>
      </c>
      <c r="I244" s="4">
        <f>F244+H244</f>
        <v/>
      </c>
      <c r="J244" s="33" t="inlineStr">
        <is>
          <t>JUROS</t>
        </is>
      </c>
      <c r="K244" s="33" t="inlineStr">
        <is>
          <t>AMORTIZAÇÃO</t>
        </is>
      </c>
      <c r="L244" s="33" t="inlineStr">
        <is>
          <t>AMEX</t>
        </is>
      </c>
      <c r="M244" s="33" t="inlineStr">
        <is>
          <t>RESIDUAL</t>
        </is>
      </c>
    </row>
    <row r="245">
      <c r="A245" s="22">
        <f>IF(DAY(C245)=DAY($K$1+1),1,A244+1)</f>
        <v/>
      </c>
      <c r="B245" s="22">
        <f>IF(DAY(C245)=DAY($K$1+1),1,B244+1)</f>
        <v/>
      </c>
      <c r="C245" s="23">
        <f>C244+1</f>
        <v/>
      </c>
      <c r="D245" s="24">
        <f>IF(DAY(C245)=DAY($K$1+1),TRUNC(($D$5),8),D244)</f>
        <v/>
      </c>
      <c r="E245" s="25">
        <f>TRUNC(((1+IPCA!#REF!))^(A245/31),8)</f>
        <v/>
      </c>
      <c r="F245" s="25">
        <f>TRUNC((D245*E245),8)</f>
        <v/>
      </c>
      <c r="G245" s="26">
        <f>ROUND(((1+$G$4)^(30/360))^(B245/(EDATE(C245-A245,1)-(C245-A245))),9)</f>
        <v/>
      </c>
      <c r="H245" s="25">
        <f>TRUNC((F245*G245-F245),8)</f>
        <v/>
      </c>
      <c r="I245" s="25">
        <f>F245+H245</f>
        <v/>
      </c>
      <c r="J245" s="28">
        <f>TRUNC(H245,8)</f>
        <v/>
      </c>
      <c r="K245" s="29">
        <f>TRUNC(F245*'Amort TS'!#REF!,8)</f>
        <v/>
      </c>
      <c r="L245" s="29" t="n">
        <v>0</v>
      </c>
      <c r="M245" s="29">
        <f>I245-J245-K245-L245</f>
        <v/>
      </c>
    </row>
    <row r="246">
      <c r="A246" s="1">
        <f>IF(DAY(C246)=DAY($K$1+1),1,A245+1)</f>
        <v/>
      </c>
      <c r="B246" s="1">
        <f>IF(DAY(C246)=DAY($K$1+1),1,B245+1)</f>
        <v/>
      </c>
      <c r="C246" s="2">
        <f>C245+1</f>
        <v/>
      </c>
      <c r="D246" s="8">
        <f>M245</f>
        <v/>
      </c>
      <c r="E246" s="4">
        <f>TRUNC(((1+IPCA!#REF!))^(A246/30),8)</f>
        <v/>
      </c>
      <c r="F246" s="4">
        <f>TRUNC((D246*E246),8)</f>
        <v/>
      </c>
      <c r="G246" s="3">
        <f>ROUND(((1+$G$4)^(30/360))^(B246/(EDATE(C246-A246,1)-(C246-A246))),9)</f>
        <v/>
      </c>
      <c r="H246" s="4">
        <f>TRUNC((F246*G246-F246),8)</f>
        <v/>
      </c>
      <c r="I246" s="4">
        <f>F246+H246</f>
        <v/>
      </c>
      <c r="J246" s="8">
        <f>J245*1540</f>
        <v/>
      </c>
      <c r="K246" s="8">
        <f>K245*1540</f>
        <v/>
      </c>
      <c r="L246" s="8" t="n">
        <v>0</v>
      </c>
      <c r="M246" s="8">
        <f>M245*1540</f>
        <v/>
      </c>
    </row>
    <row r="247" ht="13.8" customHeight="1" s="260" thickBot="1">
      <c r="A247" s="1">
        <f>IF(DAY(C247)=DAY($K$1+1),1,A246+1)</f>
        <v/>
      </c>
      <c r="B247" s="1">
        <f>IF(DAY(C247)=DAY($K$1+1),1,B246+1)</f>
        <v/>
      </c>
      <c r="C247" s="2">
        <f>C246+1</f>
        <v/>
      </c>
      <c r="D247" s="8">
        <f>IF(DAY(C247)=DAY($K$1+1),TRUNC(($D$5),8),D246)</f>
        <v/>
      </c>
      <c r="E247" s="4">
        <f>TRUNC(((1+IPCA!#REF!))^(A247/30),8)</f>
        <v/>
      </c>
      <c r="F247" s="4">
        <f>TRUNC((D247*E247),8)</f>
        <v/>
      </c>
      <c r="G247" s="3">
        <f>ROUND(((1+$G$4)^(30/360))^(B247/(EDATE(C247-A247,1)-(C247-A247))),9)</f>
        <v/>
      </c>
      <c r="H247" s="4">
        <f>TRUNC((F247*G247-F247),8)</f>
        <v/>
      </c>
      <c r="I247" s="4">
        <f>F247+H247</f>
        <v/>
      </c>
      <c r="J247" s="34" t="n"/>
      <c r="K247" s="30" t="n"/>
      <c r="L247" s="10" t="n"/>
    </row>
    <row r="248" ht="13.8" customHeight="1" s="260" thickBot="1">
      <c r="A248" s="1">
        <f>IF(DAY(C248)=DAY($K$1+1),1,A247+1)</f>
        <v/>
      </c>
      <c r="B248" s="1">
        <f>IF(DAY(C248)=DAY($K$1+1),1,B247+1)</f>
        <v/>
      </c>
      <c r="C248" s="2">
        <f>C247+1</f>
        <v/>
      </c>
      <c r="D248" s="8">
        <f>IF(DAY(C248)=DAY($K$1+1),TRUNC(($D$5),8),D247)</f>
        <v/>
      </c>
      <c r="E248" s="4">
        <f>TRUNC(((1+IPCA!#REF!))^(A248/30),8)</f>
        <v/>
      </c>
      <c r="F248" s="4">
        <f>TRUNC((D248*E248),8)</f>
        <v/>
      </c>
      <c r="G248" s="3">
        <f>ROUND(((1+$G$4)^(30/360))^(B248/(EDATE(C248-A248,1)-(C248-A248))),9)</f>
        <v/>
      </c>
      <c r="H248" s="4">
        <f>TRUNC((F248*G248-F248),8)</f>
        <v/>
      </c>
      <c r="I248" s="4">
        <f>F248+H248</f>
        <v/>
      </c>
      <c r="J248" s="31">
        <f>SUM(J246:K246)</f>
        <v/>
      </c>
      <c r="K248" s="32" t="inlineStr">
        <is>
          <t>TOTAL PMT</t>
        </is>
      </c>
      <c r="L248" s="10" t="n"/>
    </row>
    <row r="249">
      <c r="A249" s="1">
        <f>IF(DAY(C249)=DAY($K$1+1),1,A248+1)</f>
        <v/>
      </c>
      <c r="B249" s="1">
        <f>IF(DAY(C249)=DAY($K$1+1),1,B248+1)</f>
        <v/>
      </c>
      <c r="C249" s="2">
        <f>C248+1</f>
        <v/>
      </c>
      <c r="D249" s="8">
        <f>IF(DAY(C249)=DAY($K$1+1),TRUNC(($D$5),8),D248)</f>
        <v/>
      </c>
      <c r="E249" s="4">
        <f>TRUNC(((1+IPCA!#REF!))^(A249/30),8)</f>
        <v/>
      </c>
      <c r="F249" s="4">
        <f>TRUNC((D249*E249),8)</f>
        <v/>
      </c>
      <c r="G249" s="3">
        <f>ROUND(((1+$G$4)^(30/360))^(B249/(EDATE(C249-A249,1)-(C249-A249))),9)</f>
        <v/>
      </c>
      <c r="H249" s="4">
        <f>TRUNC((F249*G249-F249),8)</f>
        <v/>
      </c>
      <c r="I249" s="4">
        <f>F249+H249</f>
        <v/>
      </c>
      <c r="J249" s="267">
        <f>SUM(J246:L246)</f>
        <v/>
      </c>
    </row>
    <row r="250">
      <c r="A250" s="1">
        <f>IF(DAY(C250)=DAY($K$1+1),1,A249+1)</f>
        <v/>
      </c>
      <c r="B250" s="1">
        <f>IF(DAY(C250)=DAY($K$1+1),1,B249+1)</f>
        <v/>
      </c>
      <c r="C250" s="2">
        <f>C249+1</f>
        <v/>
      </c>
      <c r="D250" s="8">
        <f>IF(DAY(C250)=DAY($K$1+1),TRUNC(($D$5),8),D249)</f>
        <v/>
      </c>
      <c r="E250" s="4">
        <f>TRUNC(((1+IPCA!#REF!))^(A250/30),8)</f>
        <v/>
      </c>
      <c r="F250" s="4">
        <f>TRUNC((D250*E250),8)</f>
        <v/>
      </c>
      <c r="G250" s="3">
        <f>ROUND(((1+$G$4)^(30/360))^(B250/(EDATE(C250-A250,1)-(C250-A250))),9)</f>
        <v/>
      </c>
      <c r="H250" s="4">
        <f>TRUNC((F250*G250-F250),8)</f>
        <v/>
      </c>
      <c r="I250" s="4">
        <f>F250+H250</f>
        <v/>
      </c>
    </row>
    <row r="251">
      <c r="A251" s="1">
        <f>IF(DAY(C251)=DAY($K$1+1),1,A250+1)</f>
        <v/>
      </c>
      <c r="B251" s="1">
        <f>IF(DAY(C251)=DAY($K$1+1),1,B250+1)</f>
        <v/>
      </c>
      <c r="C251" s="2">
        <f>C250+1</f>
        <v/>
      </c>
      <c r="D251" s="8">
        <f>IF(DAY(C251)=DAY($K$1+1),TRUNC(($D$5),8),D250)</f>
        <v/>
      </c>
      <c r="E251" s="4">
        <f>TRUNC(((1+IPCA!#REF!))^(A251/30),8)</f>
        <v/>
      </c>
      <c r="F251" s="4">
        <f>TRUNC((D251*E251),8)</f>
        <v/>
      </c>
      <c r="G251" s="3">
        <f>ROUND(((1+$G$4)^(30/360))^(B251/(EDATE(C251-A251,1)-(C251-A251))),9)</f>
        <v/>
      </c>
      <c r="H251" s="4">
        <f>TRUNC((F251*G251-F251),8)</f>
        <v/>
      </c>
      <c r="I251" s="4">
        <f>F251+H251</f>
        <v/>
      </c>
    </row>
    <row r="252">
      <c r="A252" s="1">
        <f>IF(DAY(C252)=DAY($K$1+1),1,A251+1)</f>
        <v/>
      </c>
      <c r="B252" s="1">
        <f>IF(DAY(C252)=DAY($K$1+1),1,B251+1)</f>
        <v/>
      </c>
      <c r="C252" s="2">
        <f>C251+1</f>
        <v/>
      </c>
      <c r="D252" s="8">
        <f>IF(DAY(C252)=DAY($K$1+1),TRUNC(($D$5),8),D251)</f>
        <v/>
      </c>
      <c r="E252" s="4">
        <f>TRUNC(((1+IPCA!#REF!))^(A252/30),8)</f>
        <v/>
      </c>
      <c r="F252" s="4">
        <f>TRUNC((D252*E252),8)</f>
        <v/>
      </c>
      <c r="G252" s="3">
        <f>ROUND(((1+$G$4)^(30/360))^(B252/(EDATE(C252-A252,1)-(C252-A252))),9)</f>
        <v/>
      </c>
      <c r="H252" s="4">
        <f>TRUNC((F252*G252-F252),8)</f>
        <v/>
      </c>
      <c r="I252" s="4">
        <f>F252+H252</f>
        <v/>
      </c>
    </row>
    <row r="253">
      <c r="A253" s="1">
        <f>IF(DAY(C253)=DAY($K$1+1),1,A252+1)</f>
        <v/>
      </c>
      <c r="B253" s="1">
        <f>IF(DAY(C253)=DAY($K$1+1),1,B252+1)</f>
        <v/>
      </c>
      <c r="C253" s="2">
        <f>C252+1</f>
        <v/>
      </c>
      <c r="D253" s="8">
        <f>IF(DAY(C253)=DAY($K$1+1),TRUNC(($D$5),8),D252)</f>
        <v/>
      </c>
      <c r="E253" s="4">
        <f>TRUNC(((1+IPCA!#REF!))^(A253/30),8)</f>
        <v/>
      </c>
      <c r="F253" s="4">
        <f>TRUNC((D253*E253),8)</f>
        <v/>
      </c>
      <c r="G253" s="3">
        <f>ROUND(((1+$G$4)^(30/360))^(B253/(EDATE(C253-A253,1)-(C253-A253))),9)</f>
        <v/>
      </c>
      <c r="H253" s="4">
        <f>TRUNC((F253*G253-F253),8)</f>
        <v/>
      </c>
      <c r="I253" s="4">
        <f>F253+H253</f>
        <v/>
      </c>
    </row>
    <row r="254">
      <c r="A254" s="1">
        <f>IF(DAY(C254)=DAY($K$1+1),1,A253+1)</f>
        <v/>
      </c>
      <c r="B254" s="1">
        <f>IF(DAY(C254)=DAY($K$1+1),1,B253+1)</f>
        <v/>
      </c>
      <c r="C254" s="2">
        <f>C253+1</f>
        <v/>
      </c>
      <c r="D254" s="8">
        <f>IF(DAY(C254)=DAY($K$1+1),TRUNC(($D$5),8),D253)</f>
        <v/>
      </c>
      <c r="E254" s="4">
        <f>TRUNC(((1+IPCA!#REF!))^(A254/30),8)</f>
        <v/>
      </c>
      <c r="F254" s="4">
        <f>TRUNC((D254*E254),8)</f>
        <v/>
      </c>
      <c r="G254" s="3">
        <f>ROUND(((1+$G$4)^(30/360))^(B254/(EDATE(C254-A254,1)-(C254-A254))),9)</f>
        <v/>
      </c>
      <c r="H254" s="4">
        <f>TRUNC((F254*G254-F254),8)</f>
        <v/>
      </c>
      <c r="I254" s="4">
        <f>F254+H254</f>
        <v/>
      </c>
    </row>
    <row r="255">
      <c r="A255" s="1">
        <f>IF(DAY(C255)=DAY($K$1+1),1,A254+1)</f>
        <v/>
      </c>
      <c r="B255" s="1">
        <f>IF(DAY(C255)=DAY($K$1+1),1,B254+1)</f>
        <v/>
      </c>
      <c r="C255" s="2">
        <f>C254+1</f>
        <v/>
      </c>
      <c r="D255" s="8">
        <f>IF(DAY(C255)=DAY($K$1+1),TRUNC(($D$5),8),D254)</f>
        <v/>
      </c>
      <c r="E255" s="4">
        <f>TRUNC(((1+IPCA!#REF!))^(A255/30),8)</f>
        <v/>
      </c>
      <c r="F255" s="4">
        <f>TRUNC((D255*E255),8)</f>
        <v/>
      </c>
      <c r="G255" s="3">
        <f>ROUND(((1+$G$4)^(30/360))^(B255/(EDATE(C255-A255,1)-(C255-A255))),9)</f>
        <v/>
      </c>
      <c r="H255" s="4">
        <f>TRUNC((F255*G255-F255),8)</f>
        <v/>
      </c>
      <c r="I255" s="4">
        <f>F255+H255</f>
        <v/>
      </c>
    </row>
    <row r="256">
      <c r="A256" s="1">
        <f>IF(DAY(C256)=DAY($K$1+1),1,A255+1)</f>
        <v/>
      </c>
      <c r="B256" s="1">
        <f>IF(DAY(C256)=DAY($K$1+1),1,B255+1)</f>
        <v/>
      </c>
      <c r="C256" s="2">
        <f>C255+1</f>
        <v/>
      </c>
      <c r="D256" s="8">
        <f>IF(DAY(C256)=DAY($K$1+1),TRUNC(($D$5),8),D255)</f>
        <v/>
      </c>
      <c r="E256" s="4">
        <f>TRUNC(((1+IPCA!#REF!))^(A256/30),8)</f>
        <v/>
      </c>
      <c r="F256" s="4">
        <f>TRUNC((D256*E256),8)</f>
        <v/>
      </c>
      <c r="G256" s="3">
        <f>ROUND(((1+$G$4)^(30/360))^(B256/(EDATE(C256-A256,1)-(C256-A256))),9)</f>
        <v/>
      </c>
      <c r="H256" s="4">
        <f>TRUNC((F256*G256-F256),8)</f>
        <v/>
      </c>
      <c r="I256" s="4">
        <f>F256+H256</f>
        <v/>
      </c>
    </row>
    <row r="257">
      <c r="A257" s="1">
        <f>IF(DAY(C257)=DAY($K$1+1),1,A256+1)</f>
        <v/>
      </c>
      <c r="B257" s="1">
        <f>IF(DAY(C257)=DAY($K$1+1),1,B256+1)</f>
        <v/>
      </c>
      <c r="C257" s="2">
        <f>C256+1</f>
        <v/>
      </c>
      <c r="D257" s="8">
        <f>IF(DAY(C257)=DAY($K$1+1),TRUNC(($D$5),8),D256)</f>
        <v/>
      </c>
      <c r="E257" s="4">
        <f>TRUNC(((1+IPCA!#REF!))^(A257/30),8)</f>
        <v/>
      </c>
      <c r="F257" s="4">
        <f>TRUNC((D257*E257),8)</f>
        <v/>
      </c>
      <c r="G257" s="3">
        <f>ROUND(((1+$G$4)^(30/360))^(B257/(EDATE(C257-A257,1)-(C257-A257))),9)</f>
        <v/>
      </c>
      <c r="H257" s="4">
        <f>TRUNC((F257*G257-F257),8)</f>
        <v/>
      </c>
      <c r="I257" s="4">
        <f>F257+H257</f>
        <v/>
      </c>
    </row>
    <row r="258">
      <c r="A258" s="1">
        <f>IF(DAY(C258)=DAY($K$1+1),1,A257+1)</f>
        <v/>
      </c>
      <c r="B258" s="1">
        <f>IF(DAY(C258)=DAY($K$1+1),1,B257+1)</f>
        <v/>
      </c>
      <c r="C258" s="2">
        <f>C257+1</f>
        <v/>
      </c>
      <c r="D258" s="8">
        <f>IF(DAY(C258)=DAY($K$1+1),TRUNC(($D$5),8),D257)</f>
        <v/>
      </c>
      <c r="E258" s="4">
        <f>TRUNC(((1+IPCA!#REF!))^(A258/30),8)</f>
        <v/>
      </c>
      <c r="F258" s="4">
        <f>TRUNC((D258*E258),8)</f>
        <v/>
      </c>
      <c r="G258" s="3">
        <f>ROUND(((1+$G$4)^(30/360))^(B258/(EDATE(C258-A258,1)-(C258-A258))),9)</f>
        <v/>
      </c>
      <c r="H258" s="4">
        <f>TRUNC((F258*G258-F258),8)</f>
        <v/>
      </c>
      <c r="I258" s="4">
        <f>F258+H258</f>
        <v/>
      </c>
    </row>
    <row r="259">
      <c r="A259" s="1">
        <f>IF(DAY(C259)=DAY($K$1+1),1,A258+1)</f>
        <v/>
      </c>
      <c r="B259" s="1">
        <f>IF(DAY(C259)=DAY($K$1+1),1,B258+1)</f>
        <v/>
      </c>
      <c r="C259" s="2">
        <f>C258+1</f>
        <v/>
      </c>
      <c r="D259" s="8">
        <f>IF(DAY(C259)=DAY($K$1+1),TRUNC(($D$5),8),D258)</f>
        <v/>
      </c>
      <c r="E259" s="4">
        <f>TRUNC(((1+IPCA!#REF!))^(A259/30),8)</f>
        <v/>
      </c>
      <c r="F259" s="4">
        <f>TRUNC((D259*E259),8)</f>
        <v/>
      </c>
      <c r="G259" s="3">
        <f>ROUND(((1+$G$4)^(30/360))^(B259/(EDATE(C259-A259,1)-(C259-A259))),9)</f>
        <v/>
      </c>
      <c r="H259" s="4">
        <f>TRUNC((F259*G259-F259),8)</f>
        <v/>
      </c>
      <c r="I259" s="4">
        <f>F259+H259</f>
        <v/>
      </c>
    </row>
    <row r="260">
      <c r="A260" s="1">
        <f>IF(DAY(C260)=DAY($K$1+1),1,A259+1)</f>
        <v/>
      </c>
      <c r="B260" s="1">
        <f>IF(DAY(C260)=DAY($K$1+1),1,B259+1)</f>
        <v/>
      </c>
      <c r="C260" s="2">
        <f>C259+1</f>
        <v/>
      </c>
      <c r="D260" s="8">
        <f>IF(DAY(C260)=DAY($K$1+1),TRUNC(($D$5),8),D259)</f>
        <v/>
      </c>
      <c r="E260" s="4">
        <f>TRUNC(((1+IPCA!#REF!))^(A260/30),8)</f>
        <v/>
      </c>
      <c r="F260" s="4">
        <f>TRUNC((D260*E260),8)</f>
        <v/>
      </c>
      <c r="G260" s="3">
        <f>ROUND(((1+$G$4)^(30/360))^(B260/(EDATE(C260-A260,1)-(C260-A260))),9)</f>
        <v/>
      </c>
      <c r="H260" s="4">
        <f>TRUNC((F260*G260-F260),8)</f>
        <v/>
      </c>
      <c r="I260" s="4">
        <f>F260+H260</f>
        <v/>
      </c>
    </row>
    <row r="261">
      <c r="A261" s="1">
        <f>IF(DAY(C261)=DAY($K$1+1),1,A260+1)</f>
        <v/>
      </c>
      <c r="B261" s="1">
        <f>IF(DAY(C261)=DAY($K$1+1),1,B260+1)</f>
        <v/>
      </c>
      <c r="C261" s="2">
        <f>C260+1</f>
        <v/>
      </c>
      <c r="D261" s="8">
        <f>IF(DAY(C261)=DAY($K$1+1),TRUNC(($D$5),8),D260)</f>
        <v/>
      </c>
      <c r="E261" s="4">
        <f>TRUNC(((1+IPCA!#REF!))^(A261/30),8)</f>
        <v/>
      </c>
      <c r="F261" s="4">
        <f>TRUNC((D261*E261),8)</f>
        <v/>
      </c>
      <c r="G261" s="3">
        <f>ROUND(((1+$G$4)^(30/360))^(B261/(EDATE(C261-A261,1)-(C261-A261))),9)</f>
        <v/>
      </c>
      <c r="H261" s="4">
        <f>TRUNC((F261*G261-F261),8)</f>
        <v/>
      </c>
      <c r="I261" s="4">
        <f>F261+H261</f>
        <v/>
      </c>
    </row>
    <row r="262">
      <c r="A262" s="1">
        <f>IF(DAY(C262)=DAY($K$1+1),1,A261+1)</f>
        <v/>
      </c>
      <c r="B262" s="1">
        <f>IF(DAY(C262)=DAY($K$1+1),1,B261+1)</f>
        <v/>
      </c>
      <c r="C262" s="2">
        <f>C261+1</f>
        <v/>
      </c>
      <c r="D262" s="8">
        <f>IF(DAY(C262)=DAY($K$1+1),TRUNC(($D$5),8),D261)</f>
        <v/>
      </c>
      <c r="E262" s="4">
        <f>TRUNC(((1+IPCA!#REF!))^(A262/30),8)</f>
        <v/>
      </c>
      <c r="F262" s="4">
        <f>TRUNC((D262*E262),8)</f>
        <v/>
      </c>
      <c r="G262" s="3">
        <f>ROUND(((1+$G$4)^(30/360))^(B262/(EDATE(C262-A262,1)-(C262-A262))),9)</f>
        <v/>
      </c>
      <c r="H262" s="4">
        <f>TRUNC((F262*G262-F262),8)</f>
        <v/>
      </c>
      <c r="I262" s="4">
        <f>F262+H262</f>
        <v/>
      </c>
    </row>
    <row r="263">
      <c r="A263" s="1">
        <f>IF(DAY(C263)=DAY($K$1+1),1,A262+1)</f>
        <v/>
      </c>
      <c r="B263" s="1">
        <f>IF(DAY(C263)=DAY($K$1+1),1,B262+1)</f>
        <v/>
      </c>
      <c r="C263" s="2">
        <f>C262+1</f>
        <v/>
      </c>
      <c r="D263" s="8">
        <f>IF(DAY(C263)=DAY($K$1+1),TRUNC(($D$5),8),D262)</f>
        <v/>
      </c>
      <c r="E263" s="4">
        <f>TRUNC(((1+IPCA!#REF!))^(A263/30),8)</f>
        <v/>
      </c>
      <c r="F263" s="4">
        <f>TRUNC((D263*E263),8)</f>
        <v/>
      </c>
      <c r="G263" s="3">
        <f>ROUND(((1+$G$4)^(30/360))^(B263/(EDATE(C263-A263,1)-(C263-A263))),9)</f>
        <v/>
      </c>
      <c r="H263" s="4">
        <f>TRUNC((F263*G263-F263),8)</f>
        <v/>
      </c>
      <c r="I263" s="4">
        <f>F263+H263</f>
        <v/>
      </c>
    </row>
    <row r="264">
      <c r="A264" s="1">
        <f>IF(DAY(C264)=DAY($K$1+1),1,A263+1)</f>
        <v/>
      </c>
      <c r="B264" s="1">
        <f>IF(DAY(C264)=DAY($K$1+1),1,B263+1)</f>
        <v/>
      </c>
      <c r="C264" s="2">
        <f>C263+1</f>
        <v/>
      </c>
      <c r="D264" s="8">
        <f>IF(DAY(C264)=DAY($K$1+1),TRUNC(($D$5),8),D263)</f>
        <v/>
      </c>
      <c r="E264" s="4">
        <f>TRUNC(((1+IPCA!#REF!))^(A264/30),8)</f>
        <v/>
      </c>
      <c r="F264" s="4">
        <f>TRUNC((D264*E264),8)</f>
        <v/>
      </c>
      <c r="G264" s="3">
        <f>ROUND(((1+$G$4)^(30/360))^(B264/(EDATE(C264-A264,1)-(C264-A264))),9)</f>
        <v/>
      </c>
      <c r="H264" s="4">
        <f>TRUNC((F264*G264-F264),8)</f>
        <v/>
      </c>
      <c r="I264" s="4">
        <f>F264+H264</f>
        <v/>
      </c>
    </row>
    <row r="265">
      <c r="A265" s="1">
        <f>IF(DAY(C265)=DAY($K$1+1),1,A264+1)</f>
        <v/>
      </c>
      <c r="B265" s="1">
        <f>IF(DAY(C265)=DAY($K$1+1),1,B264+1)</f>
        <v/>
      </c>
      <c r="C265" s="2">
        <f>C264+1</f>
        <v/>
      </c>
      <c r="D265" s="8">
        <f>IF(DAY(C265)=DAY($K$1+1),TRUNC(($D$5),8),D264)</f>
        <v/>
      </c>
      <c r="E265" s="4">
        <f>TRUNC(((1+IPCA!#REF!))^(A265/30),8)</f>
        <v/>
      </c>
      <c r="F265" s="4">
        <f>TRUNC((D265*E265),8)</f>
        <v/>
      </c>
      <c r="G265" s="3">
        <f>ROUND(((1+$G$4)^(30/360))^(B265/(EDATE(C265-A265,1)-(C265-A265))),9)</f>
        <v/>
      </c>
      <c r="H265" s="4">
        <f>TRUNC((F265*G265-F265),8)</f>
        <v/>
      </c>
      <c r="I265" s="4">
        <f>F265+H265</f>
        <v/>
      </c>
    </row>
    <row r="266">
      <c r="A266" s="1">
        <f>IF(DAY(C266)=DAY($K$1+1),1,A265+1)</f>
        <v/>
      </c>
      <c r="B266" s="1">
        <f>IF(DAY(C266)=DAY($K$1+1),1,B265+1)</f>
        <v/>
      </c>
      <c r="C266" s="2">
        <f>C265+1</f>
        <v/>
      </c>
      <c r="D266" s="8">
        <f>IF(DAY(C266)=DAY($K$1+1),TRUNC(($D$5),8),D265)</f>
        <v/>
      </c>
      <c r="E266" s="4">
        <f>TRUNC(((1+IPCA!#REF!))^(A266/30),8)</f>
        <v/>
      </c>
      <c r="F266" s="4">
        <f>TRUNC((D266*E266),8)</f>
        <v/>
      </c>
      <c r="G266" s="3">
        <f>ROUND(((1+$G$4)^(30/360))^(B266/(EDATE(C266-A266,1)-(C266-A266))),9)</f>
        <v/>
      </c>
      <c r="H266" s="4">
        <f>TRUNC((F266*G266-F266),8)</f>
        <v/>
      </c>
      <c r="I266" s="4">
        <f>F266+H266</f>
        <v/>
      </c>
    </row>
    <row r="267">
      <c r="A267" s="1">
        <f>IF(DAY(C267)=DAY($K$1+1),1,A266+1)</f>
        <v/>
      </c>
      <c r="B267" s="1">
        <f>IF(DAY(C267)=DAY($K$1+1),1,B266+1)</f>
        <v/>
      </c>
      <c r="C267" s="2">
        <f>C266+1</f>
        <v/>
      </c>
      <c r="D267" s="8">
        <f>IF(DAY(C267)=DAY($K$1+1),TRUNC(($D$5),8),D266)</f>
        <v/>
      </c>
      <c r="E267" s="4">
        <f>TRUNC(((1+IPCA!#REF!))^(A267/30),8)</f>
        <v/>
      </c>
      <c r="F267" s="4">
        <f>TRUNC((D267*E267),8)</f>
        <v/>
      </c>
      <c r="G267" s="3">
        <f>ROUND(((1+$G$4)^(30/360))^(B267/(EDATE(C267-A267,1)-(C267-A267))),9)</f>
        <v/>
      </c>
      <c r="H267" s="4">
        <f>TRUNC((F267*G267-F267),8)</f>
        <v/>
      </c>
      <c r="I267" s="4">
        <f>F267+H267</f>
        <v/>
      </c>
    </row>
    <row r="268">
      <c r="A268" s="1">
        <f>IF(DAY(C268)=DAY($K$1+1),1,A267+1)</f>
        <v/>
      </c>
      <c r="B268" s="1">
        <f>IF(DAY(C268)=DAY($K$1+1),1,B267+1)</f>
        <v/>
      </c>
      <c r="C268" s="2">
        <f>C267+1</f>
        <v/>
      </c>
      <c r="D268" s="8">
        <f>IF(DAY(C268)=DAY($K$1+1),TRUNC(($D$5),8),D267)</f>
        <v/>
      </c>
      <c r="E268" s="4">
        <f>TRUNC(((1+IPCA!#REF!))^(A268/30),8)</f>
        <v/>
      </c>
      <c r="F268" s="4">
        <f>TRUNC((D268*E268),8)</f>
        <v/>
      </c>
      <c r="G268" s="3">
        <f>ROUND(((1+$G$4)^(30/360))^(B268/(EDATE(C268-A268,1)-(C268-A268))),9)</f>
        <v/>
      </c>
      <c r="H268" s="4">
        <f>TRUNC((F268*G268-F268),8)</f>
        <v/>
      </c>
      <c r="I268" s="4">
        <f>F268+H268</f>
        <v/>
      </c>
    </row>
    <row r="269">
      <c r="A269" s="1">
        <f>IF(DAY(C269)=DAY($K$1+1),1,A268+1)</f>
        <v/>
      </c>
      <c r="B269" s="1">
        <f>IF(DAY(C269)=DAY($K$1+1),1,B268+1)</f>
        <v/>
      </c>
      <c r="C269" s="2">
        <f>C268+1</f>
        <v/>
      </c>
      <c r="D269" s="8">
        <f>IF(DAY(C269)=DAY($K$1+1),TRUNC(($D$5),8),D268)</f>
        <v/>
      </c>
      <c r="E269" s="4">
        <f>TRUNC(((1+IPCA!#REF!))^(A269/30),8)</f>
        <v/>
      </c>
      <c r="F269" s="4">
        <f>TRUNC((D269*E269),8)</f>
        <v/>
      </c>
      <c r="G269" s="3">
        <f>ROUND(((1+$G$4)^(30/360))^(B269/(EDATE(C269-A269,1)-(C269-A269))),9)</f>
        <v/>
      </c>
      <c r="H269" s="4">
        <f>TRUNC((F269*G269-F269),8)</f>
        <v/>
      </c>
      <c r="I269" s="4">
        <f>F269+H269</f>
        <v/>
      </c>
    </row>
    <row r="270">
      <c r="A270" s="1">
        <f>IF(DAY(C270)=DAY($K$1+1),1,A269+1)</f>
        <v/>
      </c>
      <c r="B270" s="1">
        <f>IF(DAY(C270)=DAY($K$1+1),1,B269+1)</f>
        <v/>
      </c>
      <c r="C270" s="2">
        <f>C269+1</f>
        <v/>
      </c>
      <c r="D270" s="8">
        <f>IF(DAY(C270)=DAY($K$1+1),TRUNC(($D$5),8),D269)</f>
        <v/>
      </c>
      <c r="E270" s="4">
        <f>TRUNC(((1+IPCA!#REF!))^(A270/30),8)</f>
        <v/>
      </c>
      <c r="F270" s="4">
        <f>TRUNC((D270*E270),8)</f>
        <v/>
      </c>
      <c r="G270" s="3">
        <f>ROUND(((1+$G$4)^(30/360))^(B270/(EDATE(C270-A270,1)-(C270-A270))),9)</f>
        <v/>
      </c>
      <c r="H270" s="4">
        <f>TRUNC((F270*G270-F270),8)</f>
        <v/>
      </c>
      <c r="I270" s="4">
        <f>F270+H270</f>
        <v/>
      </c>
    </row>
    <row r="271">
      <c r="A271" s="1">
        <f>IF(DAY(C271)=DAY($K$1+1),1,A270+1)</f>
        <v/>
      </c>
      <c r="B271" s="1">
        <f>IF(DAY(C271)=DAY($K$1+1),1,B270+1)</f>
        <v/>
      </c>
      <c r="C271" s="2">
        <f>C270+1</f>
        <v/>
      </c>
      <c r="D271" s="8">
        <f>IF(DAY(C271)=DAY($K$1+1),TRUNC(($D$5),8),D270)</f>
        <v/>
      </c>
      <c r="E271" s="4">
        <f>TRUNC(((1+IPCA!#REF!))^(A271/30),8)</f>
        <v/>
      </c>
      <c r="F271" s="4">
        <f>TRUNC((D271*E271),8)</f>
        <v/>
      </c>
      <c r="G271" s="3">
        <f>ROUND(((1+$G$4)^(30/360))^(B271/(EDATE(C271-A271,1)-(C271-A271))),9)</f>
        <v/>
      </c>
      <c r="H271" s="4">
        <f>TRUNC((F271*G271-F271),8)</f>
        <v/>
      </c>
      <c r="I271" s="4">
        <f>F271+H271</f>
        <v/>
      </c>
    </row>
    <row r="272">
      <c r="A272" s="1">
        <f>IF(DAY(C272)=DAY($K$1+1),1,A271+1)</f>
        <v/>
      </c>
      <c r="B272" s="1">
        <f>IF(DAY(C272)=DAY($K$1+1),1,B271+1)</f>
        <v/>
      </c>
      <c r="C272" s="2">
        <f>C271+1</f>
        <v/>
      </c>
      <c r="D272" s="8">
        <f>IF(DAY(C272)=DAY($K$1+1),TRUNC(($D$5),8),D271)</f>
        <v/>
      </c>
      <c r="E272" s="4">
        <f>TRUNC(((1+IPCA!#REF!))^(A272/30),8)</f>
        <v/>
      </c>
      <c r="F272" s="4">
        <f>TRUNC((D272*E272),8)</f>
        <v/>
      </c>
      <c r="G272" s="3">
        <f>ROUND(((1+$G$4)^(30/360))^(B272/(EDATE(C272-A272,1)-(C272-A272))),9)</f>
        <v/>
      </c>
      <c r="H272" s="4">
        <f>TRUNC((F272*G272-F272),8)</f>
        <v/>
      </c>
      <c r="I272" s="4">
        <f>F272+H272</f>
        <v/>
      </c>
    </row>
    <row r="273">
      <c r="A273" s="1">
        <f>IF(DAY(C273)=DAY($K$1+1),1,A272+1)</f>
        <v/>
      </c>
      <c r="B273" s="1">
        <f>IF(DAY(C273)=DAY($K$1+1),1,B272+1)</f>
        <v/>
      </c>
      <c r="C273" s="2">
        <f>C272+1</f>
        <v/>
      </c>
      <c r="D273" s="8">
        <f>IF(DAY(C273)=DAY($K$1+1),TRUNC(($D$5),8),D272)</f>
        <v/>
      </c>
      <c r="E273" s="4">
        <f>TRUNC(((1+IPCA!#REF!))^(A273/30),8)</f>
        <v/>
      </c>
      <c r="F273" s="4">
        <f>TRUNC((D273*E273),8)</f>
        <v/>
      </c>
      <c r="G273" s="3">
        <f>ROUND(((1+$G$4)^(30/360))^(B273/(EDATE(C273-A273,1)-(C273-A273))),9)</f>
        <v/>
      </c>
      <c r="H273" s="4">
        <f>TRUNC((F273*G273-F273),8)</f>
        <v/>
      </c>
      <c r="I273" s="4">
        <f>F273+H273</f>
        <v/>
      </c>
      <c r="J273" s="35" t="inlineStr">
        <is>
          <t>CRI Integralizado:</t>
        </is>
      </c>
      <c r="K273" s="268" t="n">
        <v>1540</v>
      </c>
    </row>
    <row r="274">
      <c r="A274" s="1">
        <f>IF(DAY(C274)=DAY($K$1+1),1,A273+1)</f>
        <v/>
      </c>
      <c r="B274" s="1">
        <f>IF(DAY(C274)=DAY($K$1+1),1,B273+1)</f>
        <v/>
      </c>
      <c r="C274" s="2">
        <f>C273+1</f>
        <v/>
      </c>
      <c r="D274" s="8">
        <f>IF(DAY(C274)=DAY($K$1+1),TRUNC(($D$5),8),D273)</f>
        <v/>
      </c>
      <c r="E274" s="4">
        <f>TRUNC(((1+IPCA!#REF!))^(A274/30),8)</f>
        <v/>
      </c>
      <c r="F274" s="4">
        <f>TRUNC((D274*E274),8)</f>
        <v/>
      </c>
      <c r="G274" s="3">
        <f>ROUND(((1+$G$4)^(30/360))^(B274/(EDATE(C274-A274,1)-(C274-A274))),9)</f>
        <v/>
      </c>
      <c r="H274" s="4">
        <f>TRUNC((F274*G274-F274),8)</f>
        <v/>
      </c>
      <c r="I274" s="4">
        <f>F274+H274</f>
        <v/>
      </c>
      <c r="J274" s="33" t="inlineStr">
        <is>
          <t>JUROS</t>
        </is>
      </c>
      <c r="K274" s="33" t="inlineStr">
        <is>
          <t>AMORTIZAÇÃO</t>
        </is>
      </c>
      <c r="L274" s="33" t="inlineStr">
        <is>
          <t>AMEX</t>
        </is>
      </c>
      <c r="M274" s="33" t="inlineStr">
        <is>
          <t>RESIDUAL</t>
        </is>
      </c>
    </row>
    <row r="275">
      <c r="A275" s="22">
        <f>IF(DAY(C275)=DAY($K$1+1),1,A274+1)</f>
        <v/>
      </c>
      <c r="B275" s="22">
        <f>IF(DAY(C275)=DAY($K$1+1),1,B274+1)</f>
        <v/>
      </c>
      <c r="C275" s="23">
        <f>C274+1</f>
        <v/>
      </c>
      <c r="D275" s="24">
        <f>IF(DAY(C275)=DAY($K$1+1),TRUNC(($D$5),8),D274)</f>
        <v/>
      </c>
      <c r="E275" s="25">
        <f>TRUNC(((1+IPCA!#REF!))^(A275/30),8)</f>
        <v/>
      </c>
      <c r="F275" s="25">
        <f>TRUNC((D275*E275),8)</f>
        <v/>
      </c>
      <c r="G275" s="26">
        <f>ROUND(((1+$G$4)^(30/360))^(B275/(EDATE(C275-A275,1)-(C275-A275))),9)</f>
        <v/>
      </c>
      <c r="H275" s="25">
        <f>TRUNC((F275*G275-F275),8)</f>
        <v/>
      </c>
      <c r="I275" s="25">
        <f>F275+H275</f>
        <v/>
      </c>
      <c r="J275" s="28">
        <f>TRUNC(H275,8)</f>
        <v/>
      </c>
      <c r="K275" s="29">
        <f>TRUNC(F275*'Amort TS'!#REF!,8)</f>
        <v/>
      </c>
      <c r="L275" s="29" t="n">
        <v>0</v>
      </c>
      <c r="M275" s="29">
        <f>I275-J275-K275-L275</f>
        <v/>
      </c>
    </row>
    <row r="276">
      <c r="A276" s="1">
        <f>IF(DAY(C276)=DAY($K$1+1),1,A275+1)</f>
        <v/>
      </c>
      <c r="B276" s="1">
        <f>IF(DAY(C276)=DAY($K$1+1),1,B275+1)</f>
        <v/>
      </c>
      <c r="C276" s="2">
        <f>C275+1</f>
        <v/>
      </c>
      <c r="D276" s="8">
        <f>M275</f>
        <v/>
      </c>
      <c r="E276" s="4">
        <f>TRUNC(((1+IPCA!#REF!))^(A276/31),8)</f>
        <v/>
      </c>
      <c r="F276" s="4">
        <f>TRUNC((D276*E276),8)</f>
        <v/>
      </c>
      <c r="G276" s="3">
        <f>ROUND(((1+$G$4)^(30/360))^(B276/(EDATE(C276-A276,1)-(C276-A276))),9)</f>
        <v/>
      </c>
      <c r="H276" s="4">
        <f>TRUNC((F276*G276-F276),8)</f>
        <v/>
      </c>
      <c r="I276" s="4">
        <f>F276+H276</f>
        <v/>
      </c>
      <c r="J276" s="8">
        <f>J275*1540</f>
        <v/>
      </c>
      <c r="K276" s="8">
        <f>K275*1540</f>
        <v/>
      </c>
      <c r="L276" s="8" t="n">
        <v>0</v>
      </c>
      <c r="M276" s="8">
        <f>M275*1540</f>
        <v/>
      </c>
    </row>
    <row r="277" ht="13.8" customHeight="1" s="260" thickBot="1">
      <c r="A277" s="1">
        <f>IF(DAY(C277)=DAY($K$1+1),1,A276+1)</f>
        <v/>
      </c>
      <c r="B277" s="1">
        <f>IF(DAY(C277)=DAY($K$1+1),1,B276+1)</f>
        <v/>
      </c>
      <c r="C277" s="2">
        <f>C276+1</f>
        <v/>
      </c>
      <c r="D277" s="8">
        <f>IF(DAY(C277)=DAY($K$1+1),TRUNC(($D$5),8),D276)</f>
        <v/>
      </c>
      <c r="E277" s="4">
        <f>TRUNC(((1+IPCA!#REF!))^(A277/31),8)</f>
        <v/>
      </c>
      <c r="F277" s="4">
        <f>TRUNC((D277*E277),8)</f>
        <v/>
      </c>
      <c r="G277" s="3">
        <f>ROUND(((1+$G$4)^(30/360))^(B277/(EDATE(C277-A277,1)-(C277-A277))),9)</f>
        <v/>
      </c>
      <c r="H277" s="4">
        <f>TRUNC((F277*G277-F277),8)</f>
        <v/>
      </c>
      <c r="I277" s="4">
        <f>F277+H277</f>
        <v/>
      </c>
      <c r="J277" s="34" t="n"/>
      <c r="K277" s="30" t="n"/>
      <c r="L277" s="10" t="n"/>
    </row>
    <row r="278" ht="13.8" customHeight="1" s="260" thickBot="1">
      <c r="A278" s="1">
        <f>IF(DAY(C278)=DAY($K$1+1),1,A277+1)</f>
        <v/>
      </c>
      <c r="B278" s="1">
        <f>IF(DAY(C278)=DAY($K$1+1),1,B277+1)</f>
        <v/>
      </c>
      <c r="C278" s="2">
        <f>C277+1</f>
        <v/>
      </c>
      <c r="D278" s="8">
        <f>IF(DAY(C278)=DAY($K$1+1),TRUNC(($D$5),8),D277)</f>
        <v/>
      </c>
      <c r="E278" s="4">
        <f>TRUNC(((1+IPCA!#REF!))^(A278/31),8)</f>
        <v/>
      </c>
      <c r="F278" s="4">
        <f>TRUNC((D278*E278),8)</f>
        <v/>
      </c>
      <c r="G278" s="3">
        <f>ROUND(((1+$G$4)^(30/360))^(B278/(EDATE(C278-A278,1)-(C278-A278))),9)</f>
        <v/>
      </c>
      <c r="H278" s="4">
        <f>TRUNC((F278*G278-F278),8)</f>
        <v/>
      </c>
      <c r="I278" s="4">
        <f>F278+H278</f>
        <v/>
      </c>
      <c r="J278" s="31">
        <f>SUM(J276:K276)</f>
        <v/>
      </c>
      <c r="K278" s="32" t="inlineStr">
        <is>
          <t>TOTAL PMT</t>
        </is>
      </c>
      <c r="L278" s="10" t="n"/>
    </row>
    <row r="279">
      <c r="A279" s="1">
        <f>IF(DAY(C279)=DAY($K$1+1),1,A278+1)</f>
        <v/>
      </c>
      <c r="B279" s="1">
        <f>IF(DAY(C279)=DAY($K$1+1),1,B278+1)</f>
        <v/>
      </c>
      <c r="C279" s="2">
        <f>C278+1</f>
        <v/>
      </c>
      <c r="D279" s="8">
        <f>IF(DAY(C279)=DAY($K$1+1),TRUNC(($D$5),8),D278)</f>
        <v/>
      </c>
      <c r="E279" s="4">
        <f>TRUNC(((1+IPCA!#REF!))^(A279/31),8)</f>
        <v/>
      </c>
      <c r="F279" s="4">
        <f>TRUNC((D279*E279),8)</f>
        <v/>
      </c>
      <c r="G279" s="3">
        <f>ROUND(((1+$G$4)^(30/360))^(B279/(EDATE(C279-A279,1)-(C279-A279))),9)</f>
        <v/>
      </c>
      <c r="H279" s="4">
        <f>TRUNC((F279*G279-F279),8)</f>
        <v/>
      </c>
      <c r="I279" s="4">
        <f>F279+H279</f>
        <v/>
      </c>
      <c r="J279" s="267">
        <f>SUM(J276:L276)</f>
        <v/>
      </c>
    </row>
    <row r="280">
      <c r="A280" s="1">
        <f>IF(DAY(C280)=DAY($K$1+1),1,A279+1)</f>
        <v/>
      </c>
      <c r="B280" s="1">
        <f>IF(DAY(C280)=DAY($K$1+1),1,B279+1)</f>
        <v/>
      </c>
      <c r="C280" s="2">
        <f>C279+1</f>
        <v/>
      </c>
      <c r="D280" s="8">
        <f>IF(DAY(C280)=DAY($K$1+1),TRUNC(($D$5),8),D279)</f>
        <v/>
      </c>
      <c r="E280" s="4">
        <f>TRUNC(((1+IPCA!#REF!))^(A280/31),8)</f>
        <v/>
      </c>
      <c r="F280" s="4">
        <f>TRUNC((D280*E280),8)</f>
        <v/>
      </c>
      <c r="G280" s="3">
        <f>ROUND(((1+$G$4)^(30/360))^(B280/(EDATE(C280-A280,1)-(C280-A280))),9)</f>
        <v/>
      </c>
      <c r="H280" s="4">
        <f>TRUNC((F280*G280-F280),8)</f>
        <v/>
      </c>
      <c r="I280" s="4">
        <f>F280+H280</f>
        <v/>
      </c>
    </row>
    <row r="281">
      <c r="A281" s="1">
        <f>IF(DAY(C281)=DAY($K$1+1),1,A280+1)</f>
        <v/>
      </c>
      <c r="B281" s="1">
        <f>IF(DAY(C281)=DAY($K$1+1),1,B280+1)</f>
        <v/>
      </c>
      <c r="C281" s="2">
        <f>C280+1</f>
        <v/>
      </c>
      <c r="D281" s="8">
        <f>IF(DAY(C281)=DAY($K$1+1),TRUNC(($D$5),8),D280)</f>
        <v/>
      </c>
      <c r="E281" s="4">
        <f>TRUNC(((1+IPCA!#REF!))^(A281/31),8)</f>
        <v/>
      </c>
      <c r="F281" s="4">
        <f>TRUNC((D281*E281),8)</f>
        <v/>
      </c>
      <c r="G281" s="3">
        <f>ROUND(((1+$G$4)^(30/360))^(B281/(EDATE(C281-A281,1)-(C281-A281))),9)</f>
        <v/>
      </c>
      <c r="H281" s="4">
        <f>TRUNC((F281*G281-F281),8)</f>
        <v/>
      </c>
      <c r="I281" s="4">
        <f>F281+H281</f>
        <v/>
      </c>
    </row>
    <row r="282">
      <c r="A282" s="1">
        <f>IF(DAY(C282)=DAY($K$1+1),1,A281+1)</f>
        <v/>
      </c>
      <c r="B282" s="1">
        <f>IF(DAY(C282)=DAY($K$1+1),1,B281+1)</f>
        <v/>
      </c>
      <c r="C282" s="2">
        <f>C281+1</f>
        <v/>
      </c>
      <c r="D282" s="8">
        <f>IF(DAY(C282)=DAY($K$1+1),TRUNC(($D$5),8),D281)</f>
        <v/>
      </c>
      <c r="E282" s="4">
        <f>TRUNC(((1+IPCA!#REF!))^(A282/31),8)</f>
        <v/>
      </c>
      <c r="F282" s="4">
        <f>TRUNC((D282*E282),8)</f>
        <v/>
      </c>
      <c r="G282" s="3">
        <f>ROUND(((1+$G$4)^(30/360))^(B282/(EDATE(C282-A282,1)-(C282-A282))),9)</f>
        <v/>
      </c>
      <c r="H282" s="4">
        <f>TRUNC((F282*G282-F282),8)</f>
        <v/>
      </c>
      <c r="I282" s="4">
        <f>F282+H282</f>
        <v/>
      </c>
    </row>
    <row r="283">
      <c r="A283" s="1">
        <f>IF(DAY(C283)=DAY($K$1+1),1,A282+1)</f>
        <v/>
      </c>
      <c r="B283" s="1">
        <f>IF(DAY(C283)=DAY($K$1+1),1,B282+1)</f>
        <v/>
      </c>
      <c r="C283" s="2">
        <f>C282+1</f>
        <v/>
      </c>
      <c r="D283" s="8">
        <f>IF(DAY(C283)=DAY($K$1+1),TRUNC(($D$5),8),D282)</f>
        <v/>
      </c>
      <c r="E283" s="4">
        <f>TRUNC(((1+IPCA!#REF!))^(A283/31),8)</f>
        <v/>
      </c>
      <c r="F283" s="4">
        <f>TRUNC((D283*E283),8)</f>
        <v/>
      </c>
      <c r="G283" s="3">
        <f>ROUND(((1+$G$4)^(30/360))^(B283/(EDATE(C283-A283,1)-(C283-A283))),9)</f>
        <v/>
      </c>
      <c r="H283" s="4">
        <f>TRUNC((F283*G283-F283),8)</f>
        <v/>
      </c>
      <c r="I283" s="4">
        <f>F283+H283</f>
        <v/>
      </c>
    </row>
    <row r="284">
      <c r="A284" s="1">
        <f>IF(DAY(C284)=DAY($K$1+1),1,A283+1)</f>
        <v/>
      </c>
      <c r="B284" s="1">
        <f>IF(DAY(C284)=DAY($K$1+1),1,B283+1)</f>
        <v/>
      </c>
      <c r="C284" s="2">
        <f>C283+1</f>
        <v/>
      </c>
      <c r="D284" s="8">
        <f>IF(DAY(C284)=DAY($K$1+1),TRUNC(($D$5),8),D283)</f>
        <v/>
      </c>
      <c r="E284" s="4">
        <f>TRUNC(((1+IPCA!#REF!))^(A284/31),8)</f>
        <v/>
      </c>
      <c r="F284" s="4">
        <f>TRUNC((D284*E284),8)</f>
        <v/>
      </c>
      <c r="G284" s="3">
        <f>ROUND(((1+$G$4)^(30/360))^(B284/(EDATE(C284-A284,1)-(C284-A284))),9)</f>
        <v/>
      </c>
      <c r="H284" s="4">
        <f>TRUNC((F284*G284-F284),8)</f>
        <v/>
      </c>
      <c r="I284" s="4">
        <f>F284+H284</f>
        <v/>
      </c>
    </row>
    <row r="285">
      <c r="A285" s="1">
        <f>IF(DAY(C285)=DAY($K$1+1),1,A284+1)</f>
        <v/>
      </c>
      <c r="B285" s="1">
        <f>IF(DAY(C285)=DAY($K$1+1),1,B284+1)</f>
        <v/>
      </c>
      <c r="C285" s="2">
        <f>C284+1</f>
        <v/>
      </c>
      <c r="D285" s="8">
        <f>IF(DAY(C285)=DAY($K$1+1),TRUNC(($D$5),8),D284)</f>
        <v/>
      </c>
      <c r="E285" s="4">
        <f>TRUNC(((1+IPCA!#REF!))^(A285/31),8)</f>
        <v/>
      </c>
      <c r="F285" s="4">
        <f>TRUNC((D285*E285),8)</f>
        <v/>
      </c>
      <c r="G285" s="3">
        <f>ROUND(((1+$G$4)^(30/360))^(B285/(EDATE(C285-A285,1)-(C285-A285))),9)</f>
        <v/>
      </c>
      <c r="H285" s="4">
        <f>TRUNC((F285*G285-F285),8)</f>
        <v/>
      </c>
      <c r="I285" s="4">
        <f>F285+H285</f>
        <v/>
      </c>
    </row>
    <row r="286">
      <c r="A286" s="1">
        <f>IF(DAY(C286)=DAY($K$1+1),1,A285+1)</f>
        <v/>
      </c>
      <c r="B286" s="1">
        <f>IF(DAY(C286)=DAY($K$1+1),1,B285+1)</f>
        <v/>
      </c>
      <c r="C286" s="2">
        <f>C285+1</f>
        <v/>
      </c>
      <c r="D286" s="8">
        <f>IF(DAY(C286)=DAY($K$1+1),TRUNC(($D$5),8),D285)</f>
        <v/>
      </c>
      <c r="E286" s="4">
        <f>TRUNC(((1+IPCA!#REF!))^(A286/31),8)</f>
        <v/>
      </c>
      <c r="F286" s="4">
        <f>TRUNC((D286*E286),8)</f>
        <v/>
      </c>
      <c r="G286" s="3">
        <f>ROUND(((1+$G$4)^(30/360))^(B286/(EDATE(C286-A286,1)-(C286-A286))),9)</f>
        <v/>
      </c>
      <c r="H286" s="4">
        <f>TRUNC((F286*G286-F286),8)</f>
        <v/>
      </c>
      <c r="I286" s="4">
        <f>F286+H286</f>
        <v/>
      </c>
    </row>
    <row r="287">
      <c r="A287" s="1">
        <f>IF(DAY(C287)=DAY($K$1+1),1,A286+1)</f>
        <v/>
      </c>
      <c r="B287" s="1">
        <f>IF(DAY(C287)=DAY($K$1+1),1,B286+1)</f>
        <v/>
      </c>
      <c r="C287" s="2">
        <f>C286+1</f>
        <v/>
      </c>
      <c r="D287" s="8">
        <f>IF(DAY(C287)=DAY($K$1+1),TRUNC(($D$5),8),D286)</f>
        <v/>
      </c>
      <c r="E287" s="4">
        <f>TRUNC(((1+IPCA!#REF!))^(A287/31),8)</f>
        <v/>
      </c>
      <c r="F287" s="4">
        <f>TRUNC((D287*E287),8)</f>
        <v/>
      </c>
      <c r="G287" s="3">
        <f>ROUND(((1+$G$4)^(30/360))^(B287/(EDATE(C287-A287,1)-(C287-A287))),9)</f>
        <v/>
      </c>
      <c r="H287" s="4">
        <f>TRUNC((F287*G287-F287),8)</f>
        <v/>
      </c>
      <c r="I287" s="4">
        <f>F287+H287</f>
        <v/>
      </c>
    </row>
    <row r="288">
      <c r="A288" s="1">
        <f>IF(DAY(C288)=DAY($K$1+1),1,A287+1)</f>
        <v/>
      </c>
      <c r="B288" s="1">
        <f>IF(DAY(C288)=DAY($K$1+1),1,B287+1)</f>
        <v/>
      </c>
      <c r="C288" s="2">
        <f>C287+1</f>
        <v/>
      </c>
      <c r="D288" s="8">
        <f>IF(DAY(C288)=DAY($K$1+1),TRUNC(($D$5),8),D287)</f>
        <v/>
      </c>
      <c r="E288" s="4">
        <f>TRUNC(((1+IPCA!#REF!))^(A288/31),8)</f>
        <v/>
      </c>
      <c r="F288" s="4">
        <f>TRUNC((D288*E288),8)</f>
        <v/>
      </c>
      <c r="G288" s="3">
        <f>ROUND(((1+$G$4)^(30/360))^(B288/(EDATE(C288-A288,1)-(C288-A288))),9)</f>
        <v/>
      </c>
      <c r="H288" s="4">
        <f>TRUNC((F288*G288-F288),8)</f>
        <v/>
      </c>
      <c r="I288" s="4">
        <f>F288+H288</f>
        <v/>
      </c>
    </row>
    <row r="289">
      <c r="A289" s="1">
        <f>IF(DAY(C289)=DAY($K$1+1),1,A288+1)</f>
        <v/>
      </c>
      <c r="B289" s="1">
        <f>IF(DAY(C289)=DAY($K$1+1),1,B288+1)</f>
        <v/>
      </c>
      <c r="C289" s="2">
        <f>C288+1</f>
        <v/>
      </c>
      <c r="D289" s="8">
        <f>IF(DAY(C289)=DAY($K$1+1),TRUNC(($D$5),8),D288)</f>
        <v/>
      </c>
      <c r="E289" s="4">
        <f>TRUNC(((1+IPCA!#REF!))^(A289/31),8)</f>
        <v/>
      </c>
      <c r="F289" s="4">
        <f>TRUNC((D289*E289),8)</f>
        <v/>
      </c>
      <c r="G289" s="3">
        <f>ROUND(((1+$G$4)^(30/360))^(B289/(EDATE(C289-A289,1)-(C289-A289))),9)</f>
        <v/>
      </c>
      <c r="H289" s="4">
        <f>TRUNC((F289*G289-F289),8)</f>
        <v/>
      </c>
      <c r="I289" s="4">
        <f>F289+H289</f>
        <v/>
      </c>
    </row>
    <row r="290">
      <c r="A290" s="1">
        <f>IF(DAY(C290)=DAY($K$1+1),1,A289+1)</f>
        <v/>
      </c>
      <c r="B290" s="1">
        <f>IF(DAY(C290)=DAY($K$1+1),1,B289+1)</f>
        <v/>
      </c>
      <c r="C290" s="2">
        <f>C289+1</f>
        <v/>
      </c>
      <c r="D290" s="8">
        <f>IF(DAY(C290)=DAY($K$1+1),TRUNC(($D$5),8),D289)</f>
        <v/>
      </c>
      <c r="E290" s="4">
        <f>TRUNC(((1+IPCA!#REF!))^(A290/31),8)</f>
        <v/>
      </c>
      <c r="F290" s="4">
        <f>TRUNC((D290*E290),8)</f>
        <v/>
      </c>
      <c r="G290" s="3">
        <f>ROUND(((1+$G$4)^(30/360))^(B290/(EDATE(C290-A290,1)-(C290-A290))),9)</f>
        <v/>
      </c>
      <c r="H290" s="4">
        <f>TRUNC((F290*G290-F290),8)</f>
        <v/>
      </c>
      <c r="I290" s="4">
        <f>F290+H290</f>
        <v/>
      </c>
    </row>
    <row r="291">
      <c r="A291" s="1">
        <f>IF(DAY(C291)=DAY($K$1+1),1,A290+1)</f>
        <v/>
      </c>
      <c r="B291" s="1">
        <f>IF(DAY(C291)=DAY($K$1+1),1,B290+1)</f>
        <v/>
      </c>
      <c r="C291" s="2">
        <f>C290+1</f>
        <v/>
      </c>
      <c r="D291" s="8">
        <f>IF(DAY(C291)=DAY($K$1+1),TRUNC(($D$5),8),D290)</f>
        <v/>
      </c>
      <c r="E291" s="4">
        <f>TRUNC(((1+IPCA!#REF!))^(A291/31),8)</f>
        <v/>
      </c>
      <c r="F291" s="4">
        <f>TRUNC((D291*E291),8)</f>
        <v/>
      </c>
      <c r="G291" s="3">
        <f>ROUND(((1+$G$4)^(30/360))^(B291/(EDATE(C291-A291,1)-(C291-A291))),9)</f>
        <v/>
      </c>
      <c r="H291" s="4">
        <f>TRUNC((F291*G291-F291),8)</f>
        <v/>
      </c>
      <c r="I291" s="4">
        <f>F291+H291</f>
        <v/>
      </c>
    </row>
    <row r="292">
      <c r="A292" s="1">
        <f>IF(DAY(C292)=DAY($K$1+1),1,A291+1)</f>
        <v/>
      </c>
      <c r="B292" s="1">
        <f>IF(DAY(C292)=DAY($K$1+1),1,B291+1)</f>
        <v/>
      </c>
      <c r="C292" s="2">
        <f>C291+1</f>
        <v/>
      </c>
      <c r="D292" s="8">
        <f>IF(DAY(C292)=DAY($K$1+1),TRUNC(($D$5),8),D291)</f>
        <v/>
      </c>
      <c r="E292" s="4">
        <f>TRUNC(((1+IPCA!#REF!))^(A292/31),8)</f>
        <v/>
      </c>
      <c r="F292" s="4">
        <f>TRUNC((D292*E292),8)</f>
        <v/>
      </c>
      <c r="G292" s="3">
        <f>ROUND(((1+$G$4)^(30/360))^(B292/(EDATE(C292-A292,1)-(C292-A292))),9)</f>
        <v/>
      </c>
      <c r="H292" s="4">
        <f>TRUNC((F292*G292-F292),8)</f>
        <v/>
      </c>
      <c r="I292" s="4">
        <f>F292+H292</f>
        <v/>
      </c>
    </row>
    <row r="293">
      <c r="A293" s="1">
        <f>IF(DAY(C293)=DAY($K$1+1),1,A292+1)</f>
        <v/>
      </c>
      <c r="B293" s="1">
        <f>IF(DAY(C293)=DAY($K$1+1),1,B292+1)</f>
        <v/>
      </c>
      <c r="C293" s="2">
        <f>C292+1</f>
        <v/>
      </c>
      <c r="D293" s="8">
        <f>IF(DAY(C293)=DAY($K$1+1),TRUNC(($D$5),8),D292)</f>
        <v/>
      </c>
      <c r="E293" s="4">
        <f>TRUNC(((1+IPCA!#REF!))^(A293/31),8)</f>
        <v/>
      </c>
      <c r="F293" s="4">
        <f>TRUNC((D293*E293),8)</f>
        <v/>
      </c>
      <c r="G293" s="3">
        <f>ROUND(((1+$G$4)^(30/360))^(B293/(EDATE(C293-A293,1)-(C293-A293))),9)</f>
        <v/>
      </c>
      <c r="H293" s="4">
        <f>TRUNC((F293*G293-F293),8)</f>
        <v/>
      </c>
      <c r="I293" s="4">
        <f>F293+H293</f>
        <v/>
      </c>
    </row>
    <row r="294">
      <c r="A294" s="1">
        <f>IF(DAY(C294)=DAY($K$1+1),1,A293+1)</f>
        <v/>
      </c>
      <c r="B294" s="1">
        <f>IF(DAY(C294)=DAY($K$1+1),1,B293+1)</f>
        <v/>
      </c>
      <c r="C294" s="2">
        <f>C293+1</f>
        <v/>
      </c>
      <c r="D294" s="8">
        <f>IF(DAY(C294)=DAY($K$1+1),TRUNC(($D$5),8),D293)</f>
        <v/>
      </c>
      <c r="E294" s="4">
        <f>TRUNC(((1+IPCA!#REF!))^(A294/31),8)</f>
        <v/>
      </c>
      <c r="F294" s="4">
        <f>TRUNC((D294*E294),8)</f>
        <v/>
      </c>
      <c r="G294" s="3">
        <f>ROUND(((1+$G$4)^(30/360))^(B294/(EDATE(C294-A294,1)-(C294-A294))),9)</f>
        <v/>
      </c>
      <c r="H294" s="4">
        <f>TRUNC((F294*G294-F294),8)</f>
        <v/>
      </c>
      <c r="I294" s="4">
        <f>F294+H294</f>
        <v/>
      </c>
    </row>
    <row r="295">
      <c r="A295" s="1">
        <f>IF(DAY(C295)=DAY($K$1+1),1,A294+1)</f>
        <v/>
      </c>
      <c r="B295" s="1">
        <f>IF(DAY(C295)=DAY($K$1+1),1,B294+1)</f>
        <v/>
      </c>
      <c r="C295" s="2">
        <f>C294+1</f>
        <v/>
      </c>
      <c r="D295" s="8">
        <f>IF(DAY(C295)=DAY($K$1+1),TRUNC(($D$5),8),D294)</f>
        <v/>
      </c>
      <c r="E295" s="4">
        <f>TRUNC(((1+IPCA!#REF!))^(A295/31),8)</f>
        <v/>
      </c>
      <c r="F295" s="4">
        <f>TRUNC((D295*E295),8)</f>
        <v/>
      </c>
      <c r="G295" s="3">
        <f>ROUND(((1+$G$4)^(30/360))^(B295/(EDATE(C295-A295,1)-(C295-A295))),9)</f>
        <v/>
      </c>
      <c r="H295" s="4">
        <f>TRUNC((F295*G295-F295),8)</f>
        <v/>
      </c>
      <c r="I295" s="4">
        <f>F295+H295</f>
        <v/>
      </c>
    </row>
    <row r="296">
      <c r="A296" s="1">
        <f>IF(DAY(C296)=DAY($K$1+1),1,A295+1)</f>
        <v/>
      </c>
      <c r="B296" s="1">
        <f>IF(DAY(C296)=DAY($K$1+1),1,B295+1)</f>
        <v/>
      </c>
      <c r="C296" s="2">
        <f>C295+1</f>
        <v/>
      </c>
      <c r="D296" s="8">
        <f>IF(DAY(C296)=DAY($K$1+1),TRUNC(($D$5),8),D295)</f>
        <v/>
      </c>
      <c r="E296" s="4">
        <f>TRUNC(((1+IPCA!#REF!))^(A296/31),8)</f>
        <v/>
      </c>
      <c r="F296" s="4">
        <f>TRUNC((D296*E296),8)</f>
        <v/>
      </c>
      <c r="G296" s="3">
        <f>ROUND(((1+$G$4)^(30/360))^(B296/(EDATE(C296-A296,1)-(C296-A296))),9)</f>
        <v/>
      </c>
      <c r="H296" s="4">
        <f>TRUNC((F296*G296-F296),8)</f>
        <v/>
      </c>
      <c r="I296" s="4">
        <f>F296+H296</f>
        <v/>
      </c>
    </row>
    <row r="297">
      <c r="A297" s="1">
        <f>IF(DAY(C297)=DAY($K$1+1),1,A296+1)</f>
        <v/>
      </c>
      <c r="B297" s="1">
        <f>IF(DAY(C297)=DAY($K$1+1),1,B296+1)</f>
        <v/>
      </c>
      <c r="C297" s="2">
        <f>C296+1</f>
        <v/>
      </c>
      <c r="D297" s="8">
        <f>IF(DAY(C297)=DAY($K$1+1),TRUNC(($D$5),8),D296)</f>
        <v/>
      </c>
      <c r="E297" s="4">
        <f>TRUNC(((1+IPCA!#REF!))^(A297/31),8)</f>
        <v/>
      </c>
      <c r="F297" s="4">
        <f>TRUNC((D297*E297),8)</f>
        <v/>
      </c>
      <c r="G297" s="3">
        <f>ROUND(((1+$G$4)^(30/360))^(B297/(EDATE(C297-A297,1)-(C297-A297))),9)</f>
        <v/>
      </c>
      <c r="H297" s="4">
        <f>TRUNC((F297*G297-F297),8)</f>
        <v/>
      </c>
      <c r="I297" s="4">
        <f>F297+H297</f>
        <v/>
      </c>
    </row>
    <row r="298">
      <c r="A298" s="1">
        <f>IF(DAY(C298)=DAY($K$1+1),1,A297+1)</f>
        <v/>
      </c>
      <c r="B298" s="1">
        <f>IF(DAY(C298)=DAY($K$1+1),1,B297+1)</f>
        <v/>
      </c>
      <c r="C298" s="2">
        <f>C297+1</f>
        <v/>
      </c>
      <c r="D298" s="8">
        <f>IF(DAY(C298)=DAY($K$1+1),TRUNC(($D$5),8),D297)</f>
        <v/>
      </c>
      <c r="E298" s="4">
        <f>TRUNC(((1+IPCA!#REF!))^(A298/31),8)</f>
        <v/>
      </c>
      <c r="F298" s="4">
        <f>TRUNC((D298*E298),8)</f>
        <v/>
      </c>
      <c r="G298" s="3">
        <f>ROUND(((1+$G$4)^(30/360))^(B298/(EDATE(C298-A298,1)-(C298-A298))),9)</f>
        <v/>
      </c>
      <c r="H298" s="4">
        <f>TRUNC((F298*G298-F298),8)</f>
        <v/>
      </c>
      <c r="I298" s="4">
        <f>F298+H298</f>
        <v/>
      </c>
    </row>
    <row r="299">
      <c r="A299" s="1">
        <f>IF(DAY(C299)=DAY($K$1+1),1,A298+1)</f>
        <v/>
      </c>
      <c r="B299" s="1">
        <f>IF(DAY(C299)=DAY($K$1+1),1,B298+1)</f>
        <v/>
      </c>
      <c r="C299" s="2">
        <f>C298+1</f>
        <v/>
      </c>
      <c r="D299" s="8">
        <f>IF(DAY(C299)=DAY($K$1+1),TRUNC(($D$5),8),D298)</f>
        <v/>
      </c>
      <c r="E299" s="4">
        <f>TRUNC(((1+IPCA!#REF!))^(A299/31),8)</f>
        <v/>
      </c>
      <c r="F299" s="4">
        <f>TRUNC((D299*E299),8)</f>
        <v/>
      </c>
      <c r="G299" s="3">
        <f>ROUND(((1+$G$4)^(30/360))^(B299/(EDATE(C299-A299,1)-(C299-A299))),9)</f>
        <v/>
      </c>
      <c r="H299" s="4">
        <f>TRUNC((F299*G299-F299),8)</f>
        <v/>
      </c>
      <c r="I299" s="4">
        <f>F299+H299</f>
        <v/>
      </c>
    </row>
    <row r="300">
      <c r="A300" s="1">
        <f>IF(DAY(C300)=DAY($K$1+1),1,A299+1)</f>
        <v/>
      </c>
      <c r="B300" s="1">
        <f>IF(DAY(C300)=DAY($K$1+1),1,B299+1)</f>
        <v/>
      </c>
      <c r="C300" s="2">
        <f>C299+1</f>
        <v/>
      </c>
      <c r="D300" s="8">
        <f>IF(DAY(C300)=DAY($K$1+1),TRUNC(($D$5),8),D299)</f>
        <v/>
      </c>
      <c r="E300" s="4">
        <f>TRUNC(((1+IPCA!#REF!))^(A300/31),8)</f>
        <v/>
      </c>
      <c r="F300" s="4">
        <f>TRUNC((D300*E300),8)</f>
        <v/>
      </c>
      <c r="G300" s="3">
        <f>ROUND(((1+$G$4)^(30/360))^(B300/(EDATE(C300-A300,1)-(C300-A300))),9)</f>
        <v/>
      </c>
      <c r="H300" s="4">
        <f>TRUNC((F300*G300-F300),8)</f>
        <v/>
      </c>
      <c r="I300" s="4">
        <f>F300+H300</f>
        <v/>
      </c>
    </row>
    <row r="301">
      <c r="A301" s="1">
        <f>IF(DAY(C301)=DAY($K$1+1),1,A300+1)</f>
        <v/>
      </c>
      <c r="B301" s="1">
        <f>IF(DAY(C301)=DAY($K$1+1),1,B300+1)</f>
        <v/>
      </c>
      <c r="C301" s="2">
        <f>C300+1</f>
        <v/>
      </c>
      <c r="D301" s="8">
        <f>IF(DAY(C301)=DAY($K$1+1),TRUNC(($D$5),8),D300)</f>
        <v/>
      </c>
      <c r="E301" s="4">
        <f>TRUNC(((1+IPCA!#REF!))^(A301/31),8)</f>
        <v/>
      </c>
      <c r="F301" s="4">
        <f>TRUNC((D301*E301),8)</f>
        <v/>
      </c>
      <c r="G301" s="3">
        <f>ROUND(((1+$G$4)^(30/360))^(B301/(EDATE(C301-A301,1)-(C301-A301))),9)</f>
        <v/>
      </c>
      <c r="H301" s="4">
        <f>TRUNC((F301*G301-F301),8)</f>
        <v/>
      </c>
      <c r="I301" s="4">
        <f>F301+H301</f>
        <v/>
      </c>
    </row>
    <row r="302">
      <c r="A302" s="1">
        <f>IF(DAY(C302)=DAY($K$1+1),1,A301+1)</f>
        <v/>
      </c>
      <c r="B302" s="1">
        <f>IF(DAY(C302)=DAY($K$1+1),1,B301+1)</f>
        <v/>
      </c>
      <c r="C302" s="2">
        <f>C301+1</f>
        <v/>
      </c>
      <c r="D302" s="8">
        <f>IF(DAY(C302)=DAY($K$1+1),TRUNC(($D$5),8),D301)</f>
        <v/>
      </c>
      <c r="E302" s="4">
        <f>TRUNC(((1+IPCA!#REF!))^(A302/31),8)</f>
        <v/>
      </c>
      <c r="F302" s="4">
        <f>TRUNC((D302*E302),8)</f>
        <v/>
      </c>
      <c r="G302" s="3">
        <f>ROUND(((1+$G$4)^(30/360))^(B302/(EDATE(C302-A302,1)-(C302-A302))),9)</f>
        <v/>
      </c>
      <c r="H302" s="4">
        <f>TRUNC((F302*G302-F302),8)</f>
        <v/>
      </c>
      <c r="I302" s="4">
        <f>F302+H302</f>
        <v/>
      </c>
    </row>
    <row r="303">
      <c r="A303" s="1">
        <f>IF(DAY(C303)=DAY($K$1+1),1,A302+1)</f>
        <v/>
      </c>
      <c r="B303" s="1">
        <f>IF(DAY(C303)=DAY($K$1+1),1,B302+1)</f>
        <v/>
      </c>
      <c r="C303" s="2">
        <f>C302+1</f>
        <v/>
      </c>
      <c r="D303" s="8">
        <f>IF(DAY(C303)=DAY($K$1+1),TRUNC(($D$5),8),D302)</f>
        <v/>
      </c>
      <c r="E303" s="4">
        <f>TRUNC(((1+IPCA!#REF!))^(A303/31),8)</f>
        <v/>
      </c>
      <c r="F303" s="4">
        <f>TRUNC((D303*E303),8)</f>
        <v/>
      </c>
      <c r="G303" s="3">
        <f>ROUND(((1+$G$4)^(30/360))^(B303/(EDATE(C303-A303,1)-(C303-A303))),9)</f>
        <v/>
      </c>
      <c r="H303" s="4">
        <f>TRUNC((F303*G303-F303),8)</f>
        <v/>
      </c>
      <c r="I303" s="4">
        <f>F303+H303</f>
        <v/>
      </c>
    </row>
    <row r="304">
      <c r="A304" s="1">
        <f>IF(DAY(C304)=DAY($K$1+1),1,A303+1)</f>
        <v/>
      </c>
      <c r="B304" s="1">
        <f>IF(DAY(C304)=DAY($K$1+1),1,B303+1)</f>
        <v/>
      </c>
      <c r="C304" s="2">
        <f>C303+1</f>
        <v/>
      </c>
      <c r="D304" s="8">
        <f>IF(DAY(C304)=DAY($K$1+1),TRUNC(($D$5),8),D303)</f>
        <v/>
      </c>
      <c r="E304" s="4">
        <f>TRUNC(((1+IPCA!#REF!))^(A304/31),8)</f>
        <v/>
      </c>
      <c r="F304" s="4">
        <f>TRUNC((D304*E304),8)</f>
        <v/>
      </c>
      <c r="G304" s="3">
        <f>ROUND(((1+$G$4)^(30/360))^(B304/(EDATE(C304-A304,1)-(C304-A304))),9)</f>
        <v/>
      </c>
      <c r="H304" s="4">
        <f>TRUNC((F304*G304-F304),8)</f>
        <v/>
      </c>
      <c r="I304" s="4">
        <f>F304+H304</f>
        <v/>
      </c>
      <c r="J304" s="35" t="inlineStr">
        <is>
          <t>CRI Integralizado:</t>
        </is>
      </c>
      <c r="K304" s="268" t="n">
        <v>1540</v>
      </c>
    </row>
    <row r="305">
      <c r="A305" s="1">
        <f>IF(DAY(C305)=DAY($K$1+1),1,A304+1)</f>
        <v/>
      </c>
      <c r="B305" s="1">
        <f>IF(DAY(C305)=DAY($K$1+1),1,B304+1)</f>
        <v/>
      </c>
      <c r="C305" s="2">
        <f>C304+1</f>
        <v/>
      </c>
      <c r="D305" s="8">
        <f>IF(DAY(C305)=DAY($K$1+1),TRUNC(($D$5),8),D304)</f>
        <v/>
      </c>
      <c r="E305" s="4">
        <f>TRUNC(((1+IPCA!#REF!))^(A305/31),8)</f>
        <v/>
      </c>
      <c r="F305" s="4">
        <f>TRUNC((D305*E305),8)</f>
        <v/>
      </c>
      <c r="G305" s="3">
        <f>ROUND(((1+$G$4)^(30/360))^(B305/(EDATE(C305-A305,1)-(C305-A305))),9)</f>
        <v/>
      </c>
      <c r="H305" s="4">
        <f>TRUNC((F305*G305-F305),8)</f>
        <v/>
      </c>
      <c r="I305" s="4">
        <f>F305+H305</f>
        <v/>
      </c>
      <c r="J305" s="33" t="inlineStr">
        <is>
          <t>JUROS</t>
        </is>
      </c>
      <c r="K305" s="33" t="inlineStr">
        <is>
          <t>AMORTIZAÇÃO</t>
        </is>
      </c>
      <c r="L305" s="33" t="inlineStr">
        <is>
          <t>AMEX</t>
        </is>
      </c>
      <c r="M305" s="33" t="inlineStr">
        <is>
          <t>RESIDUAL</t>
        </is>
      </c>
    </row>
    <row r="306">
      <c r="A306" s="22">
        <f>IF(DAY(C306)=DAY($K$1+1),1,A305+1)</f>
        <v/>
      </c>
      <c r="B306" s="22">
        <f>IF(DAY(C306)=DAY($K$1+1),1,B305+1)</f>
        <v/>
      </c>
      <c r="C306" s="23">
        <f>C305+1</f>
        <v/>
      </c>
      <c r="D306" s="24">
        <f>IF(DAY(C306)=DAY($K$1+1),TRUNC(($D$5),8),D305)</f>
        <v/>
      </c>
      <c r="E306" s="25">
        <f>TRUNC(((1+IPCA!#REF!))^(A306/31),8)</f>
        <v/>
      </c>
      <c r="F306" s="25">
        <f>TRUNC((D306*E306),8)</f>
        <v/>
      </c>
      <c r="G306" s="26">
        <f>ROUND(((1+$G$4)^(30/360))^(B306/(EDATE(C306-A306,1)-(C306-A306))),9)</f>
        <v/>
      </c>
      <c r="H306" s="25">
        <f>TRUNC((F306*G306-F306),8)</f>
        <v/>
      </c>
      <c r="I306" s="25">
        <f>F306+H306</f>
        <v/>
      </c>
      <c r="J306" s="28">
        <f>TRUNC(H306,8)</f>
        <v/>
      </c>
      <c r="K306" s="29">
        <f>TRUNC(F306*'Amort TS'!#REF!,8)</f>
        <v/>
      </c>
      <c r="L306" s="29" t="n">
        <v>0</v>
      </c>
      <c r="M306" s="29">
        <f>I306-J306-K306-L306</f>
        <v/>
      </c>
    </row>
    <row r="307">
      <c r="A307" s="1">
        <f>IF(DAY(C307)=DAY($K$1+1),1,A306+1)</f>
        <v/>
      </c>
      <c r="B307" s="1">
        <f>IF(DAY(C307)=DAY($K$1+1),1,B306+1)</f>
        <v/>
      </c>
      <c r="C307" s="2">
        <f>C306+1</f>
        <v/>
      </c>
      <c r="D307" s="8">
        <f>M306</f>
        <v/>
      </c>
      <c r="E307" s="4">
        <f>TRUNC(((1+IPCA!#REF!))^(A307/31),8)</f>
        <v/>
      </c>
      <c r="F307" s="4">
        <f>TRUNC((D307*E307),8)</f>
        <v/>
      </c>
      <c r="G307" s="3">
        <f>ROUND(((1+$G$4)^(30/360))^(B307/(EDATE(C307-A307,1)-(C307-A307))),9)</f>
        <v/>
      </c>
      <c r="H307" s="4">
        <f>TRUNC((F307*G307-F307),8)</f>
        <v/>
      </c>
      <c r="I307" s="4">
        <f>F307+H307</f>
        <v/>
      </c>
      <c r="J307" s="8">
        <f>J306*1540</f>
        <v/>
      </c>
      <c r="K307" s="8">
        <f>K306*1540</f>
        <v/>
      </c>
      <c r="L307" s="8" t="n">
        <v>0</v>
      </c>
      <c r="M307" s="8">
        <f>M306*1540</f>
        <v/>
      </c>
    </row>
    <row r="308" ht="13.8" customHeight="1" s="260" thickBot="1">
      <c r="A308" s="1">
        <f>IF(DAY(C308)=DAY($K$1+1),1,A307+1)</f>
        <v/>
      </c>
      <c r="B308" s="1">
        <f>IF(DAY(C308)=DAY($K$1+1),1,B307+1)</f>
        <v/>
      </c>
      <c r="C308" s="2">
        <f>C307+1</f>
        <v/>
      </c>
      <c r="D308" s="8">
        <f>IF(DAY(C308)=DAY($K$1+1),TRUNC(($D$5),8),D307)</f>
        <v/>
      </c>
      <c r="E308" s="4">
        <f>TRUNC(((1+IPCA!#REF!))^(A308/31),8)</f>
        <v/>
      </c>
      <c r="F308" s="4">
        <f>TRUNC((D308*E308),8)</f>
        <v/>
      </c>
      <c r="G308" s="3">
        <f>ROUND(((1+$G$4)^(30/360))^(B308/(EDATE(C308-A308,1)-(C308-A308))),9)</f>
        <v/>
      </c>
      <c r="H308" s="4">
        <f>TRUNC((F308*G308-F308),8)</f>
        <v/>
      </c>
      <c r="I308" s="4">
        <f>F308+H308</f>
        <v/>
      </c>
      <c r="J308" s="34" t="n"/>
      <c r="K308" s="30" t="n"/>
      <c r="L308" s="10" t="n"/>
    </row>
    <row r="309" ht="13.8" customHeight="1" s="260" thickBot="1">
      <c r="A309" s="1">
        <f>IF(DAY(C309)=DAY($K$1+1),1,A308+1)</f>
        <v/>
      </c>
      <c r="B309" s="1">
        <f>IF(DAY(C309)=DAY($K$1+1),1,B308+1)</f>
        <v/>
      </c>
      <c r="C309" s="2">
        <f>C308+1</f>
        <v/>
      </c>
      <c r="D309" s="8">
        <f>IF(DAY(C309)=DAY($K$1+1),TRUNC(($D$5),8),D308)</f>
        <v/>
      </c>
      <c r="E309" s="4">
        <f>TRUNC(((1+IPCA!#REF!))^(A309/31),8)</f>
        <v/>
      </c>
      <c r="F309" s="4">
        <f>TRUNC((D309*E309),8)</f>
        <v/>
      </c>
      <c r="G309" s="3">
        <f>ROUND(((1+$G$4)^(30/360))^(B309/(EDATE(C309-A309,1)-(C309-A309))),9)</f>
        <v/>
      </c>
      <c r="H309" s="4">
        <f>TRUNC((F309*G309-F309),8)</f>
        <v/>
      </c>
      <c r="I309" s="4">
        <f>F309+H309</f>
        <v/>
      </c>
      <c r="J309" s="31">
        <f>SUM(J307:K307)</f>
        <v/>
      </c>
      <c r="K309" s="32" t="inlineStr">
        <is>
          <t>TOTAL PMT</t>
        </is>
      </c>
      <c r="L309" s="10" t="n"/>
    </row>
    <row r="310">
      <c r="A310" s="1">
        <f>IF(DAY(C310)=DAY($K$1+1),1,A309+1)</f>
        <v/>
      </c>
      <c r="B310" s="1">
        <f>IF(DAY(C310)=DAY($K$1+1),1,B309+1)</f>
        <v/>
      </c>
      <c r="C310" s="2">
        <f>C309+1</f>
        <v/>
      </c>
      <c r="D310" s="8">
        <f>IF(DAY(C310)=DAY($K$1+1),TRUNC(($D$5),8),D309)</f>
        <v/>
      </c>
      <c r="E310" s="4">
        <f>TRUNC(((1+IPCA!#REF!))^(A310/31),8)</f>
        <v/>
      </c>
      <c r="F310" s="4">
        <f>TRUNC((D310*E310),8)</f>
        <v/>
      </c>
      <c r="G310" s="3">
        <f>ROUND(((1+$G$4)^(30/360))^(B310/(EDATE(C310-A310,1)-(C310-A310))),9)</f>
        <v/>
      </c>
      <c r="H310" s="4">
        <f>TRUNC((F310*G310-F310),8)</f>
        <v/>
      </c>
      <c r="I310" s="4">
        <f>F310+H310</f>
        <v/>
      </c>
      <c r="J310" s="267">
        <f>SUM(J307:L307)</f>
        <v/>
      </c>
    </row>
    <row r="311">
      <c r="A311" s="1">
        <f>IF(DAY(C311)=DAY($K$1+1),1,A310+1)</f>
        <v/>
      </c>
      <c r="B311" s="1">
        <f>IF(DAY(C311)=DAY($K$1+1),1,B310+1)</f>
        <v/>
      </c>
      <c r="C311" s="2">
        <f>C310+1</f>
        <v/>
      </c>
      <c r="D311" s="8">
        <f>IF(DAY(C311)=DAY($K$1+1),TRUNC(($D$5),8),D310)</f>
        <v/>
      </c>
      <c r="E311" s="4">
        <f>TRUNC(((1+IPCA!#REF!))^(A311/31),8)</f>
        <v/>
      </c>
      <c r="F311" s="4">
        <f>TRUNC((D311*E311),8)</f>
        <v/>
      </c>
      <c r="G311" s="3">
        <f>ROUND(((1+$G$4)^(30/360))^(B311/(EDATE(C311-A311,1)-(C311-A311))),9)</f>
        <v/>
      </c>
      <c r="H311" s="4">
        <f>TRUNC((F311*G311-F311),8)</f>
        <v/>
      </c>
      <c r="I311" s="4">
        <f>F311+H311</f>
        <v/>
      </c>
    </row>
    <row r="312">
      <c r="A312" s="1">
        <f>IF(DAY(C312)=DAY($K$1+1),1,A311+1)</f>
        <v/>
      </c>
      <c r="B312" s="1">
        <f>IF(DAY(C312)=DAY($K$1+1),1,B311+1)</f>
        <v/>
      </c>
      <c r="C312" s="2">
        <f>C311+1</f>
        <v/>
      </c>
      <c r="D312" s="8">
        <f>IF(DAY(C312)=DAY($K$1+1),TRUNC(($D$5),8),D311)</f>
        <v/>
      </c>
      <c r="E312" s="4">
        <f>TRUNC(((1+IPCA!#REF!))^(A312/31),8)</f>
        <v/>
      </c>
      <c r="F312" s="4">
        <f>TRUNC((D312*E312),8)</f>
        <v/>
      </c>
      <c r="G312" s="3">
        <f>ROUND(((1+$G$4)^(30/360))^(B312/(EDATE(C312-A312,1)-(C312-A312))),9)</f>
        <v/>
      </c>
      <c r="H312" s="4">
        <f>TRUNC((F312*G312-F312),8)</f>
        <v/>
      </c>
      <c r="I312" s="4">
        <f>F312+H312</f>
        <v/>
      </c>
    </row>
    <row r="313">
      <c r="A313" s="1">
        <f>IF(DAY(C313)=DAY($K$1+1),1,A312+1)</f>
        <v/>
      </c>
      <c r="B313" s="1">
        <f>IF(DAY(C313)=DAY($K$1+1),1,B312+1)</f>
        <v/>
      </c>
      <c r="C313" s="2">
        <f>C312+1</f>
        <v/>
      </c>
      <c r="D313" s="8">
        <f>IF(DAY(C313)=DAY($K$1+1),TRUNC(($D$5),8),D312)</f>
        <v/>
      </c>
      <c r="E313" s="4">
        <f>TRUNC(((1+IPCA!#REF!))^(A313/31),8)</f>
        <v/>
      </c>
      <c r="F313" s="4">
        <f>TRUNC((D313*E313),8)</f>
        <v/>
      </c>
      <c r="G313" s="3">
        <f>ROUND(((1+$G$4)^(30/360))^(B313/(EDATE(C313-A313,1)-(C313-A313))),9)</f>
        <v/>
      </c>
      <c r="H313" s="4">
        <f>TRUNC((F313*G313-F313),8)</f>
        <v/>
      </c>
      <c r="I313" s="4">
        <f>F313+H313</f>
        <v/>
      </c>
    </row>
    <row r="314">
      <c r="A314" s="1">
        <f>IF(DAY(C314)=DAY($K$1+1),1,A313+1)</f>
        <v/>
      </c>
      <c r="B314" s="1">
        <f>IF(DAY(C314)=DAY($K$1+1),1,B313+1)</f>
        <v/>
      </c>
      <c r="C314" s="2">
        <f>C313+1</f>
        <v/>
      </c>
      <c r="D314" s="8">
        <f>IF(DAY(C314)=DAY($K$1+1),TRUNC(($D$5),8),D313)</f>
        <v/>
      </c>
      <c r="E314" s="4">
        <f>TRUNC(((1+IPCA!#REF!))^(A314/31),8)</f>
        <v/>
      </c>
      <c r="F314" s="4">
        <f>TRUNC((D314*E314),8)</f>
        <v/>
      </c>
      <c r="G314" s="3">
        <f>ROUND(((1+$G$4)^(30/360))^(B314/(EDATE(C314-A314,1)-(C314-A314))),9)</f>
        <v/>
      </c>
      <c r="H314" s="4">
        <f>TRUNC((F314*G314-F314),8)</f>
        <v/>
      </c>
      <c r="I314" s="4">
        <f>F314+H314</f>
        <v/>
      </c>
    </row>
    <row r="315">
      <c r="A315" s="1">
        <f>IF(DAY(C315)=DAY($K$1+1),1,A314+1)</f>
        <v/>
      </c>
      <c r="B315" s="1">
        <f>IF(DAY(C315)=DAY($K$1+1),1,B314+1)</f>
        <v/>
      </c>
      <c r="C315" s="2">
        <f>C314+1</f>
        <v/>
      </c>
      <c r="D315" s="8">
        <f>IF(DAY(C315)=DAY($K$1+1),TRUNC(($D$5),8),D314)</f>
        <v/>
      </c>
      <c r="E315" s="4">
        <f>TRUNC(((1+IPCA!#REF!))^(A315/31),8)</f>
        <v/>
      </c>
      <c r="F315" s="4">
        <f>TRUNC((D315*E315),8)</f>
        <v/>
      </c>
      <c r="G315" s="3">
        <f>ROUND(((1+$G$4)^(30/360))^(B315/(EDATE(C315-A315,1)-(C315-A315))),9)</f>
        <v/>
      </c>
      <c r="H315" s="4">
        <f>TRUNC((F315*G315-F315),8)</f>
        <v/>
      </c>
      <c r="I315" s="4">
        <f>F315+H315</f>
        <v/>
      </c>
    </row>
    <row r="316">
      <c r="A316" s="1">
        <f>IF(DAY(C316)=DAY($K$1+1),1,A315+1)</f>
        <v/>
      </c>
      <c r="B316" s="1">
        <f>IF(DAY(C316)=DAY($K$1+1),1,B315+1)</f>
        <v/>
      </c>
      <c r="C316" s="2">
        <f>C315+1</f>
        <v/>
      </c>
      <c r="D316" s="8">
        <f>IF(DAY(C316)=DAY($K$1+1),TRUNC(($D$5),8),D315)</f>
        <v/>
      </c>
      <c r="E316" s="4">
        <f>TRUNC(((1+IPCA!#REF!))^(A316/31),8)</f>
        <v/>
      </c>
      <c r="F316" s="4">
        <f>TRUNC((D316*E316),8)</f>
        <v/>
      </c>
      <c r="G316" s="3">
        <f>ROUND(((1+$G$4)^(30/360))^(B316/(EDATE(C316-A316,1)-(C316-A316))),9)</f>
        <v/>
      </c>
      <c r="H316" s="4">
        <f>TRUNC((F316*G316-F316),8)</f>
        <v/>
      </c>
      <c r="I316" s="4">
        <f>F316+H316</f>
        <v/>
      </c>
    </row>
    <row r="317">
      <c r="A317" s="1">
        <f>IF(DAY(C317)=DAY($K$1+1),1,A316+1)</f>
        <v/>
      </c>
      <c r="B317" s="1">
        <f>IF(DAY(C317)=DAY($K$1+1),1,B316+1)</f>
        <v/>
      </c>
      <c r="C317" s="2">
        <f>C316+1</f>
        <v/>
      </c>
      <c r="D317" s="8">
        <f>IF(DAY(C317)=DAY($K$1+1),TRUNC(($D$5),8),D316)</f>
        <v/>
      </c>
      <c r="E317" s="4">
        <f>TRUNC(((1+IPCA!#REF!))^(A317/31),8)</f>
        <v/>
      </c>
      <c r="F317" s="4">
        <f>TRUNC((D317*E317),8)</f>
        <v/>
      </c>
      <c r="G317" s="3">
        <f>ROUND(((1+$G$4)^(30/360))^(B317/(EDATE(C317-A317,1)-(C317-A317))),9)</f>
        <v/>
      </c>
      <c r="H317" s="4">
        <f>TRUNC((F317*G317-F317),8)</f>
        <v/>
      </c>
      <c r="I317" s="4">
        <f>F317+H317</f>
        <v/>
      </c>
    </row>
    <row r="318">
      <c r="A318" s="1">
        <f>IF(DAY(C318)=DAY($K$1+1),1,A317+1)</f>
        <v/>
      </c>
      <c r="B318" s="1">
        <f>IF(DAY(C318)=DAY($K$1+1),1,B317+1)</f>
        <v/>
      </c>
      <c r="C318" s="2">
        <f>C317+1</f>
        <v/>
      </c>
      <c r="D318" s="8">
        <f>IF(DAY(C318)=DAY($K$1+1),TRUNC(($D$5),8),D317)</f>
        <v/>
      </c>
      <c r="E318" s="4">
        <f>TRUNC(((1+IPCA!#REF!))^(A318/31),8)</f>
        <v/>
      </c>
      <c r="F318" s="4">
        <f>TRUNC((D318*E318),8)</f>
        <v/>
      </c>
      <c r="G318" s="3">
        <f>ROUND(((1+$G$4)^(30/360))^(B318/(EDATE(C318-A318,1)-(C318-A318))),9)</f>
        <v/>
      </c>
      <c r="H318" s="4">
        <f>TRUNC((F318*G318-F318),8)</f>
        <v/>
      </c>
      <c r="I318" s="4">
        <f>F318+H318</f>
        <v/>
      </c>
    </row>
    <row r="319">
      <c r="A319" s="1">
        <f>IF(DAY(C319)=DAY($K$1+1),1,A318+1)</f>
        <v/>
      </c>
      <c r="B319" s="1">
        <f>IF(DAY(C319)=DAY($K$1+1),1,B318+1)</f>
        <v/>
      </c>
      <c r="C319" s="2">
        <f>C318+1</f>
        <v/>
      </c>
      <c r="D319" s="8">
        <f>IF(DAY(C319)=DAY($K$1+1),TRUNC(($D$5),8),D318)</f>
        <v/>
      </c>
      <c r="E319" s="4">
        <f>TRUNC(((1+IPCA!#REF!))^(A319/31),8)</f>
        <v/>
      </c>
      <c r="F319" s="4">
        <f>TRUNC((D319*E319),8)</f>
        <v/>
      </c>
      <c r="G319" s="3">
        <f>ROUND(((1+$G$4)^(30/360))^(B319/(EDATE(C319-A319,1)-(C319-A319))),9)</f>
        <v/>
      </c>
      <c r="H319" s="4">
        <f>TRUNC((F319*G319-F319),8)</f>
        <v/>
      </c>
      <c r="I319" s="4">
        <f>F319+H319</f>
        <v/>
      </c>
    </row>
    <row r="320">
      <c r="A320" s="1">
        <f>IF(DAY(C320)=DAY($K$1+1),1,A319+1)</f>
        <v/>
      </c>
      <c r="B320" s="1">
        <f>IF(DAY(C320)=DAY($K$1+1),1,B319+1)</f>
        <v/>
      </c>
      <c r="C320" s="2">
        <f>C319+1</f>
        <v/>
      </c>
      <c r="D320" s="8">
        <f>IF(DAY(C320)=DAY($K$1+1),TRUNC(($D$5),8),D319)</f>
        <v/>
      </c>
      <c r="E320" s="4">
        <f>TRUNC(((1+IPCA!#REF!))^(A320/31),8)</f>
        <v/>
      </c>
      <c r="F320" s="4">
        <f>TRUNC((D320*E320),8)</f>
        <v/>
      </c>
      <c r="G320" s="3">
        <f>ROUND(((1+$G$4)^(30/360))^(B320/(EDATE(C320-A320,1)-(C320-A320))),9)</f>
        <v/>
      </c>
      <c r="H320" s="4">
        <f>TRUNC((F320*G320-F320),8)</f>
        <v/>
      </c>
      <c r="I320" s="4">
        <f>F320+H320</f>
        <v/>
      </c>
    </row>
    <row r="321">
      <c r="A321" s="1">
        <f>IF(DAY(C321)=DAY($K$1+1),1,A320+1)</f>
        <v/>
      </c>
      <c r="B321" s="1">
        <f>IF(DAY(C321)=DAY($K$1+1),1,B320+1)</f>
        <v/>
      </c>
      <c r="C321" s="2">
        <f>C320+1</f>
        <v/>
      </c>
      <c r="D321" s="8">
        <f>IF(DAY(C321)=DAY($K$1+1),TRUNC(($D$5),8),D320)</f>
        <v/>
      </c>
      <c r="E321" s="4">
        <f>TRUNC(((1+IPCA!#REF!))^(A321/31),8)</f>
        <v/>
      </c>
      <c r="F321" s="4">
        <f>TRUNC((D321*E321),8)</f>
        <v/>
      </c>
      <c r="G321" s="3">
        <f>ROUND(((1+$G$4)^(30/360))^(B321/(EDATE(C321-A321,1)-(C321-A321))),9)</f>
        <v/>
      </c>
      <c r="H321" s="4">
        <f>TRUNC((F321*G321-F321),8)</f>
        <v/>
      </c>
      <c r="I321" s="4">
        <f>F321+H321</f>
        <v/>
      </c>
    </row>
    <row r="322">
      <c r="A322" s="1">
        <f>IF(DAY(C322)=DAY($K$1+1),1,A321+1)</f>
        <v/>
      </c>
      <c r="B322" s="1">
        <f>IF(DAY(C322)=DAY($K$1+1),1,B321+1)</f>
        <v/>
      </c>
      <c r="C322" s="2">
        <f>C321+1</f>
        <v/>
      </c>
      <c r="D322" s="8">
        <f>IF(DAY(C322)=DAY($K$1+1),TRUNC(($D$5),8),D321)</f>
        <v/>
      </c>
      <c r="E322" s="4">
        <f>TRUNC(((1+IPCA!#REF!))^(A322/31),8)</f>
        <v/>
      </c>
      <c r="F322" s="4">
        <f>TRUNC((D322*E322),8)</f>
        <v/>
      </c>
      <c r="G322" s="3">
        <f>ROUND(((1+$G$4)^(30/360))^(B322/(EDATE(C322-A322,1)-(C322-A322))),9)</f>
        <v/>
      </c>
      <c r="H322" s="4">
        <f>TRUNC((F322*G322-F322),8)</f>
        <v/>
      </c>
      <c r="I322" s="4">
        <f>F322+H322</f>
        <v/>
      </c>
    </row>
    <row r="323">
      <c r="A323" s="1">
        <f>IF(DAY(C323)=DAY($K$1+1),1,A322+1)</f>
        <v/>
      </c>
      <c r="B323" s="1">
        <f>IF(DAY(C323)=DAY($K$1+1),1,B322+1)</f>
        <v/>
      </c>
      <c r="C323" s="2">
        <f>C322+1</f>
        <v/>
      </c>
      <c r="D323" s="8">
        <f>IF(DAY(C323)=DAY($K$1+1),TRUNC(($D$5),8),D322)</f>
        <v/>
      </c>
      <c r="E323" s="4">
        <f>TRUNC(((1+IPCA!#REF!))^(A323/31),8)</f>
        <v/>
      </c>
      <c r="F323" s="4">
        <f>TRUNC((D323*E323),8)</f>
        <v/>
      </c>
      <c r="G323" s="3">
        <f>ROUND(((1+$G$4)^(30/360))^(B323/(EDATE(C323-A323,1)-(C323-A323))),9)</f>
        <v/>
      </c>
      <c r="H323" s="4">
        <f>TRUNC((F323*G323-F323),8)</f>
        <v/>
      </c>
      <c r="I323" s="4">
        <f>F323+H323</f>
        <v/>
      </c>
    </row>
    <row r="324">
      <c r="A324" s="1">
        <f>IF(DAY(C324)=DAY($K$1+1),1,A323+1)</f>
        <v/>
      </c>
      <c r="B324" s="1">
        <f>IF(DAY(C324)=DAY($K$1+1),1,B323+1)</f>
        <v/>
      </c>
      <c r="C324" s="2">
        <f>C323+1</f>
        <v/>
      </c>
      <c r="D324" s="8">
        <f>IF(DAY(C324)=DAY($K$1+1),TRUNC(($D$5),8),D323)</f>
        <v/>
      </c>
      <c r="E324" s="4">
        <f>TRUNC(((1+IPCA!#REF!))^(A324/31),8)</f>
        <v/>
      </c>
      <c r="F324" s="4">
        <f>TRUNC((D324*E324),8)</f>
        <v/>
      </c>
      <c r="G324" s="3">
        <f>ROUND(((1+$G$4)^(30/360))^(B324/(EDATE(C324-A324,1)-(C324-A324))),9)</f>
        <v/>
      </c>
      <c r="H324" s="4">
        <f>TRUNC((F324*G324-F324),8)</f>
        <v/>
      </c>
      <c r="I324" s="4">
        <f>F324+H324</f>
        <v/>
      </c>
    </row>
    <row r="325">
      <c r="A325" s="1">
        <f>IF(DAY(C325)=DAY($K$1+1),1,A324+1)</f>
        <v/>
      </c>
      <c r="B325" s="1">
        <f>IF(DAY(C325)=DAY($K$1+1),1,B324+1)</f>
        <v/>
      </c>
      <c r="C325" s="2">
        <f>C324+1</f>
        <v/>
      </c>
      <c r="D325" s="8">
        <f>IF(DAY(C325)=DAY($K$1+1),TRUNC(($D$5),8),D324)</f>
        <v/>
      </c>
      <c r="E325" s="4">
        <f>TRUNC(((1+IPCA!#REF!))^(A325/31),8)</f>
        <v/>
      </c>
      <c r="F325" s="4">
        <f>TRUNC((D325*E325),8)</f>
        <v/>
      </c>
      <c r="G325" s="3">
        <f>ROUND(((1+$G$4)^(30/360))^(B325/(EDATE(C325-A325,1)-(C325-A325))),9)</f>
        <v/>
      </c>
      <c r="H325" s="4">
        <f>TRUNC((F325*G325-F325),8)</f>
        <v/>
      </c>
      <c r="I325" s="4">
        <f>F325+H325</f>
        <v/>
      </c>
    </row>
    <row r="326">
      <c r="A326" s="1">
        <f>IF(DAY(C326)=DAY($K$1+1),1,A325+1)</f>
        <v/>
      </c>
      <c r="B326" s="1">
        <f>IF(DAY(C326)=DAY($K$1+1),1,B325+1)</f>
        <v/>
      </c>
      <c r="C326" s="2">
        <f>C325+1</f>
        <v/>
      </c>
      <c r="D326" s="8">
        <f>IF(DAY(C326)=DAY($K$1+1),TRUNC(($D$5),8),D325)</f>
        <v/>
      </c>
      <c r="E326" s="4">
        <f>TRUNC(((1+IPCA!#REF!))^(A326/31),8)</f>
        <v/>
      </c>
      <c r="F326" s="4">
        <f>TRUNC((D326*E326),8)</f>
        <v/>
      </c>
      <c r="G326" s="3">
        <f>ROUND(((1+$G$4)^(30/360))^(B326/(EDATE(C326-A326,1)-(C326-A326))),9)</f>
        <v/>
      </c>
      <c r="H326" s="4">
        <f>TRUNC((F326*G326-F326),8)</f>
        <v/>
      </c>
      <c r="I326" s="4">
        <f>F326+H326</f>
        <v/>
      </c>
    </row>
    <row r="327">
      <c r="A327" s="1">
        <f>IF(DAY(C327)=DAY($K$1+1),1,A326+1)</f>
        <v/>
      </c>
      <c r="B327" s="1">
        <f>IF(DAY(C327)=DAY($K$1+1),1,B326+1)</f>
        <v/>
      </c>
      <c r="C327" s="2">
        <f>C326+1</f>
        <v/>
      </c>
      <c r="D327" s="8">
        <f>IF(DAY(C327)=DAY($K$1+1),TRUNC(($D$5),8),D326)</f>
        <v/>
      </c>
      <c r="E327" s="4">
        <f>TRUNC(((1+IPCA!#REF!))^(A327/31),8)</f>
        <v/>
      </c>
      <c r="F327" s="4">
        <f>TRUNC((D327*E327),8)</f>
        <v/>
      </c>
      <c r="G327" s="3">
        <f>ROUND(((1+$G$4)^(30/360))^(B327/(EDATE(C327-A327,1)-(C327-A327))),9)</f>
        <v/>
      </c>
      <c r="H327" s="4">
        <f>TRUNC((F327*G327-F327),8)</f>
        <v/>
      </c>
      <c r="I327" s="4">
        <f>F327+H327</f>
        <v/>
      </c>
    </row>
    <row r="328">
      <c r="A328" s="1">
        <f>IF(DAY(C328)=DAY($K$1+1),1,A327+1)</f>
        <v/>
      </c>
      <c r="B328" s="1">
        <f>IF(DAY(C328)=DAY($K$1+1),1,B327+1)</f>
        <v/>
      </c>
      <c r="C328" s="2">
        <f>C327+1</f>
        <v/>
      </c>
      <c r="D328" s="8">
        <f>IF(DAY(C328)=DAY($K$1+1),TRUNC(($D$5),8),D327)</f>
        <v/>
      </c>
      <c r="E328" s="4">
        <f>TRUNC(((1+IPCA!#REF!))^(A328/31),8)</f>
        <v/>
      </c>
      <c r="F328" s="4">
        <f>TRUNC((D328*E328),8)</f>
        <v/>
      </c>
      <c r="G328" s="3">
        <f>ROUND(((1+$G$4)^(30/360))^(B328/(EDATE(C328-A328,1)-(C328-A328))),9)</f>
        <v/>
      </c>
      <c r="H328" s="4">
        <f>TRUNC((F328*G328-F328),8)</f>
        <v/>
      </c>
      <c r="I328" s="4">
        <f>F328+H328</f>
        <v/>
      </c>
    </row>
    <row r="329">
      <c r="A329" s="1">
        <f>IF(DAY(C329)=DAY($K$1+1),1,A328+1)</f>
        <v/>
      </c>
      <c r="B329" s="1">
        <f>IF(DAY(C329)=DAY($K$1+1),1,B328+1)</f>
        <v/>
      </c>
      <c r="C329" s="2">
        <f>C328+1</f>
        <v/>
      </c>
      <c r="D329" s="8">
        <f>IF(DAY(C329)=DAY($K$1+1),TRUNC(($D$5),8),D328)</f>
        <v/>
      </c>
      <c r="E329" s="4">
        <f>TRUNC(((1+IPCA!#REF!))^(A329/31),8)</f>
        <v/>
      </c>
      <c r="F329" s="4">
        <f>TRUNC((D329*E329),8)</f>
        <v/>
      </c>
      <c r="G329" s="3">
        <f>ROUND(((1+$G$4)^(30/360))^(B329/(EDATE(C329-A329,1)-(C329-A329))),9)</f>
        <v/>
      </c>
      <c r="H329" s="4">
        <f>TRUNC((F329*G329-F329),8)</f>
        <v/>
      </c>
      <c r="I329" s="4">
        <f>F329+H329</f>
        <v/>
      </c>
    </row>
    <row r="330">
      <c r="A330" s="1">
        <f>IF(DAY(C330)=DAY($K$1+1),1,A329+1)</f>
        <v/>
      </c>
      <c r="B330" s="1">
        <f>IF(DAY(C330)=DAY($K$1+1),1,B329+1)</f>
        <v/>
      </c>
      <c r="C330" s="2">
        <f>C329+1</f>
        <v/>
      </c>
      <c r="D330" s="8">
        <f>IF(DAY(C330)=DAY($K$1+1),TRUNC(($D$5),8),D329)</f>
        <v/>
      </c>
      <c r="E330" s="4">
        <f>TRUNC(((1+IPCA!#REF!))^(A330/31),8)</f>
        <v/>
      </c>
      <c r="F330" s="4">
        <f>TRUNC((D330*E330),8)</f>
        <v/>
      </c>
      <c r="G330" s="3">
        <f>ROUND(((1+$G$4)^(30/360))^(B330/(EDATE(C330-A330,1)-(C330-A330))),9)</f>
        <v/>
      </c>
      <c r="H330" s="4">
        <f>TRUNC((F330*G330-F330),8)</f>
        <v/>
      </c>
      <c r="I330" s="4">
        <f>F330+H330</f>
        <v/>
      </c>
    </row>
    <row r="331">
      <c r="A331" s="1">
        <f>IF(DAY(C331)=DAY($K$1+1),1,A330+1)</f>
        <v/>
      </c>
      <c r="B331" s="1">
        <f>IF(DAY(C331)=DAY($K$1+1),1,B330+1)</f>
        <v/>
      </c>
      <c r="C331" s="2">
        <f>C330+1</f>
        <v/>
      </c>
      <c r="D331" s="8">
        <f>IF(DAY(C331)=DAY($K$1+1),TRUNC(($D$5),8),D330)</f>
        <v/>
      </c>
      <c r="E331" s="4">
        <f>TRUNC(((1+IPCA!#REF!))^(A331/31),8)</f>
        <v/>
      </c>
      <c r="F331" s="4">
        <f>TRUNC((D331*E331),8)</f>
        <v/>
      </c>
      <c r="G331" s="3">
        <f>ROUND(((1+$G$4)^(30/360))^(B331/(EDATE(C331-A331,1)-(C331-A331))),9)</f>
        <v/>
      </c>
      <c r="H331" s="4">
        <f>TRUNC((F331*G331-F331),8)</f>
        <v/>
      </c>
      <c r="I331" s="4">
        <f>F331+H331</f>
        <v/>
      </c>
    </row>
    <row r="332">
      <c r="A332" s="1">
        <f>IF(DAY(C332)=DAY($K$1+1),1,A331+1)</f>
        <v/>
      </c>
      <c r="B332" s="1">
        <f>IF(DAY(C332)=DAY($K$1+1),1,B331+1)</f>
        <v/>
      </c>
      <c r="C332" s="2">
        <f>C331+1</f>
        <v/>
      </c>
      <c r="D332" s="8">
        <f>IF(DAY(C332)=DAY($K$1+1),TRUNC(($D$5),8),D331)</f>
        <v/>
      </c>
      <c r="E332" s="4">
        <f>TRUNC(((1+IPCA!#REF!))^(A332/31),8)</f>
        <v/>
      </c>
      <c r="F332" s="4">
        <f>TRUNC((D332*E332),8)</f>
        <v/>
      </c>
      <c r="G332" s="3">
        <f>ROUND(((1+$G$4)^(30/360))^(B332/(EDATE(C332-A332,1)-(C332-A332))),9)</f>
        <v/>
      </c>
      <c r="H332" s="4">
        <f>TRUNC((F332*G332-F332),8)</f>
        <v/>
      </c>
      <c r="I332" s="4">
        <f>F332+H332</f>
        <v/>
      </c>
    </row>
    <row r="333">
      <c r="A333" s="1">
        <f>IF(DAY(C333)=DAY($K$1+1),1,A332+1)</f>
        <v/>
      </c>
      <c r="B333" s="1">
        <f>IF(DAY(C333)=DAY($K$1+1),1,B332+1)</f>
        <v/>
      </c>
      <c r="C333" s="2">
        <f>C332+1</f>
        <v/>
      </c>
      <c r="D333" s="8">
        <f>IF(DAY(C333)=DAY($K$1+1),TRUNC(($D$5),8),D332)</f>
        <v/>
      </c>
      <c r="E333" s="4">
        <f>TRUNC(((1+IPCA!#REF!))^(A333/31),8)</f>
        <v/>
      </c>
      <c r="F333" s="4">
        <f>TRUNC((D333*E333),8)</f>
        <v/>
      </c>
      <c r="G333" s="3">
        <f>ROUND(((1+$G$4)^(30/360))^(B333/(EDATE(C333-A333,1)-(C333-A333))),9)</f>
        <v/>
      </c>
      <c r="H333" s="4">
        <f>TRUNC((F333*G333-F333),8)</f>
        <v/>
      </c>
      <c r="I333" s="4">
        <f>F333+H333</f>
        <v/>
      </c>
    </row>
    <row r="334">
      <c r="A334" s="1">
        <f>IF(DAY(C334)=DAY($K$1+1),1,A333+1)</f>
        <v/>
      </c>
      <c r="B334" s="1">
        <f>IF(DAY(C334)=DAY($K$1+1),1,B333+1)</f>
        <v/>
      </c>
      <c r="C334" s="2">
        <f>C333+1</f>
        <v/>
      </c>
      <c r="D334" s="8">
        <f>IF(DAY(C334)=DAY($K$1+1),TRUNC(($D$5),8),D333)</f>
        <v/>
      </c>
      <c r="E334" s="4">
        <f>TRUNC(((1+IPCA!#REF!))^(A334/31),8)</f>
        <v/>
      </c>
      <c r="F334" s="4">
        <f>TRUNC((D334*E334),8)</f>
        <v/>
      </c>
      <c r="G334" s="3">
        <f>ROUND(((1+$G$4)^(30/360))^(B334/(EDATE(C334-A334,1)-(C334-A334))),9)</f>
        <v/>
      </c>
      <c r="H334" s="4">
        <f>TRUNC((F334*G334-F334),8)</f>
        <v/>
      </c>
      <c r="I334" s="4">
        <f>F334+H334</f>
        <v/>
      </c>
    </row>
    <row r="335">
      <c r="A335" s="1">
        <f>IF(DAY(C335)=DAY($K$1+1),1,A334+1)</f>
        <v/>
      </c>
      <c r="B335" s="1">
        <f>IF(DAY(C335)=DAY($K$1+1),1,B334+1)</f>
        <v/>
      </c>
      <c r="C335" s="2">
        <f>C334+1</f>
        <v/>
      </c>
      <c r="D335" s="8">
        <f>IF(DAY(C335)=DAY($K$1+1),TRUNC(($D$5),8),D334)</f>
        <v/>
      </c>
      <c r="E335" s="4">
        <f>TRUNC(((1+IPCA!#REF!))^(A335/31),8)</f>
        <v/>
      </c>
      <c r="F335" s="4">
        <f>TRUNC((D335*E335),8)</f>
        <v/>
      </c>
      <c r="G335" s="3">
        <f>ROUND(((1+$G$4)^(30/360))^(B335/(EDATE(C335-A335,1)-(C335-A335))),9)</f>
        <v/>
      </c>
      <c r="H335" s="4">
        <f>TRUNC((F335*G335-F335),8)</f>
        <v/>
      </c>
      <c r="I335" s="4">
        <f>F335+H335</f>
        <v/>
      </c>
      <c r="J335" s="35" t="inlineStr">
        <is>
          <t>CRI Integralizado:</t>
        </is>
      </c>
      <c r="K335" s="268" t="n">
        <v>1540</v>
      </c>
    </row>
    <row r="336">
      <c r="A336" s="1">
        <f>IF(DAY(C336)=DAY($K$1+1),1,A335+1)</f>
        <v/>
      </c>
      <c r="B336" s="1">
        <f>IF(DAY(C336)=DAY($K$1+1),1,B335+1)</f>
        <v/>
      </c>
      <c r="C336" s="2">
        <f>C335+1</f>
        <v/>
      </c>
      <c r="D336" s="8">
        <f>IF(DAY(C336)=DAY($K$1+1),TRUNC(($D$5),8),D335)</f>
        <v/>
      </c>
      <c r="E336" s="4">
        <f>TRUNC(((1+IPCA!#REF!))^(A336/31),8)</f>
        <v/>
      </c>
      <c r="F336" s="4">
        <f>TRUNC((D336*E336),8)</f>
        <v/>
      </c>
      <c r="G336" s="3">
        <f>ROUND(((1+$G$4)^(30/360))^(B336/(EDATE(C336-A336,1)-(C336-A336))),9)</f>
        <v/>
      </c>
      <c r="H336" s="4">
        <f>TRUNC((F336*G336-F336),8)</f>
        <v/>
      </c>
      <c r="I336" s="4">
        <f>F336+H336</f>
        <v/>
      </c>
      <c r="J336" s="33" t="inlineStr">
        <is>
          <t>JUROS</t>
        </is>
      </c>
      <c r="K336" s="33" t="inlineStr">
        <is>
          <t>AMORTIZAÇÃO</t>
        </is>
      </c>
      <c r="L336" s="33" t="inlineStr">
        <is>
          <t>AMEX</t>
        </is>
      </c>
      <c r="M336" s="33" t="inlineStr">
        <is>
          <t>RESIDUAL</t>
        </is>
      </c>
    </row>
    <row r="337">
      <c r="A337" s="22">
        <f>IF(DAY(C337)=DAY($K$1+1),1,A336+1)</f>
        <v/>
      </c>
      <c r="B337" s="22">
        <f>IF(DAY(C337)=DAY($K$1+1),1,B336+1)</f>
        <v/>
      </c>
      <c r="C337" s="23">
        <f>C336+1</f>
        <v/>
      </c>
      <c r="D337" s="24">
        <f>IF(DAY(C337)=DAY($K$1+1),TRUNC(($D$5),8),D336)</f>
        <v/>
      </c>
      <c r="E337" s="25">
        <f>TRUNC(((1+IPCA!#REF!))^(A337/31),8)</f>
        <v/>
      </c>
      <c r="F337" s="25">
        <f>TRUNC((D337*E337),8)</f>
        <v/>
      </c>
      <c r="G337" s="26">
        <f>ROUND(((1+$G$4)^(30/360))^(B337/(EDATE(C337-A337,1)-(C337-A337))),9)</f>
        <v/>
      </c>
      <c r="H337" s="25">
        <f>TRUNC((F337*G337-F337),8)</f>
        <v/>
      </c>
      <c r="I337" s="25">
        <f>F337+H337</f>
        <v/>
      </c>
      <c r="J337" s="28">
        <f>TRUNC(H337,8)</f>
        <v/>
      </c>
      <c r="K337" s="29">
        <f>TRUNC(F337*'Amort TS'!#REF!,8)</f>
        <v/>
      </c>
      <c r="L337" s="29" t="n">
        <v>0</v>
      </c>
      <c r="M337" s="29">
        <f>I337-J337-K337-L337</f>
        <v/>
      </c>
    </row>
    <row r="338">
      <c r="A338" s="1">
        <f>IF(DAY(C338)=DAY($K$1+1),1,A337+1)</f>
        <v/>
      </c>
      <c r="B338" s="1">
        <f>IF(DAY(C338)=DAY($K$1+1),1,B337+1)</f>
        <v/>
      </c>
      <c r="C338" s="2">
        <f>C337+1</f>
        <v/>
      </c>
      <c r="D338" s="8">
        <f>M337</f>
        <v/>
      </c>
      <c r="E338" s="4">
        <f>TRUNC(((1+IPCA!#REF!))^(A338/28),8)</f>
        <v/>
      </c>
      <c r="F338" s="4">
        <f>TRUNC((D338*E338),8)</f>
        <v/>
      </c>
      <c r="G338" s="3">
        <f>ROUND(((1+$G$4)^(30/360))^(B338/(EDATE(C338-A338,1)-(C338-A338))),9)</f>
        <v/>
      </c>
      <c r="H338" s="4">
        <f>TRUNC((F338*G338-F338),8)</f>
        <v/>
      </c>
      <c r="I338" s="4">
        <f>F338+H338</f>
        <v/>
      </c>
      <c r="J338" s="8">
        <f>J337*1540</f>
        <v/>
      </c>
      <c r="K338" s="8">
        <f>K337*1540</f>
        <v/>
      </c>
      <c r="L338" s="8" t="n">
        <v>0</v>
      </c>
      <c r="M338" s="8">
        <f>M337*1540</f>
        <v/>
      </c>
    </row>
    <row r="339" ht="13.8" customHeight="1" s="260" thickBot="1">
      <c r="A339" s="1">
        <f>IF(DAY(C339)=DAY($K$1+1),1,A338+1)</f>
        <v/>
      </c>
      <c r="B339" s="1">
        <f>IF(DAY(C339)=DAY($K$1+1),1,B338+1)</f>
        <v/>
      </c>
      <c r="C339" s="2">
        <f>C338+1</f>
        <v/>
      </c>
      <c r="D339" s="8">
        <f>IF(DAY(C339)=DAY($K$1+1),TRUNC(($D$5),8),D338)</f>
        <v/>
      </c>
      <c r="E339" s="4">
        <f>TRUNC(((1+IPCA!#REF!))^(A339/28),8)</f>
        <v/>
      </c>
      <c r="F339" s="4">
        <f>TRUNC((D339*E339),8)</f>
        <v/>
      </c>
      <c r="G339" s="3">
        <f>ROUND(((1+$G$4)^(30/360))^(B339/(EDATE(C339-A339,1)-(C339-A339))),9)</f>
        <v/>
      </c>
      <c r="H339" s="4">
        <f>TRUNC((F339*G339-F339),8)</f>
        <v/>
      </c>
      <c r="I339" s="4">
        <f>F339+H339</f>
        <v/>
      </c>
      <c r="J339" s="34" t="n"/>
      <c r="K339" s="30" t="n"/>
      <c r="L339" s="10" t="n"/>
    </row>
    <row r="340" ht="13.8" customHeight="1" s="260" thickBot="1">
      <c r="A340" s="1">
        <f>IF(DAY(C340)=DAY($K$1+1),1,A339+1)</f>
        <v/>
      </c>
      <c r="B340" s="1">
        <f>IF(DAY(C340)=DAY($K$1+1),1,B339+1)</f>
        <v/>
      </c>
      <c r="C340" s="2">
        <f>C339+1</f>
        <v/>
      </c>
      <c r="D340" s="8">
        <f>IF(DAY(C340)=DAY($K$1+1),TRUNC(($D$5),8),D339)</f>
        <v/>
      </c>
      <c r="E340" s="4">
        <f>TRUNC(((1+IPCA!#REF!))^(A340/28),8)</f>
        <v/>
      </c>
      <c r="F340" s="4">
        <f>TRUNC((D340*E340),8)</f>
        <v/>
      </c>
      <c r="G340" s="3">
        <f>ROUND(((1+$G$4)^(30/360))^(B340/(EDATE(C340-A340,1)-(C340-A340))),9)</f>
        <v/>
      </c>
      <c r="H340" s="4">
        <f>TRUNC((F340*G340-F340),8)</f>
        <v/>
      </c>
      <c r="I340" s="4">
        <f>F340+H340</f>
        <v/>
      </c>
      <c r="J340" s="31">
        <f>SUM(J338:K338)</f>
        <v/>
      </c>
      <c r="K340" s="32" t="inlineStr">
        <is>
          <t>TOTAL PMT</t>
        </is>
      </c>
      <c r="L340" s="10" t="n"/>
    </row>
    <row r="341">
      <c r="A341" s="1">
        <f>IF(DAY(C341)=DAY($K$1+1),1,A340+1)</f>
        <v/>
      </c>
      <c r="B341" s="1">
        <f>IF(DAY(C341)=DAY($K$1+1),1,B340+1)</f>
        <v/>
      </c>
      <c r="C341" s="2">
        <f>C340+1</f>
        <v/>
      </c>
      <c r="D341" s="8">
        <f>IF(DAY(C341)=DAY($K$1+1),TRUNC(($D$5),8),D340)</f>
        <v/>
      </c>
      <c r="E341" s="4">
        <f>TRUNC(((1+IPCA!#REF!))^(A341/28),8)</f>
        <v/>
      </c>
      <c r="F341" s="4">
        <f>TRUNC((D341*E341),8)</f>
        <v/>
      </c>
      <c r="G341" s="3">
        <f>ROUND(((1+$G$4)^(30/360))^(B341/(EDATE(C341-A341,1)-(C341-A341))),9)</f>
        <v/>
      </c>
      <c r="H341" s="4">
        <f>TRUNC((F341*G341-F341),8)</f>
        <v/>
      </c>
      <c r="I341" s="4">
        <f>F341+H341</f>
        <v/>
      </c>
      <c r="J341" s="267">
        <f>SUM(J338:L338)</f>
        <v/>
      </c>
    </row>
    <row r="342">
      <c r="A342" s="1">
        <f>IF(DAY(C342)=DAY($K$1+1),1,A341+1)</f>
        <v/>
      </c>
      <c r="B342" s="1">
        <f>IF(DAY(C342)=DAY($K$1+1),1,B341+1)</f>
        <v/>
      </c>
      <c r="C342" s="2">
        <f>C341+1</f>
        <v/>
      </c>
      <c r="D342" s="8">
        <f>IF(DAY(C342)=DAY($K$1+1),TRUNC(($D$5),8),D341)</f>
        <v/>
      </c>
      <c r="E342" s="4">
        <f>TRUNC(((1+IPCA!#REF!))^(A342/28),8)</f>
        <v/>
      </c>
      <c r="F342" s="4">
        <f>TRUNC((D342*E342),8)</f>
        <v/>
      </c>
      <c r="G342" s="3">
        <f>ROUND(((1+$G$4)^(30/360))^(B342/(EDATE(C342-A342,1)-(C342-A342))),9)</f>
        <v/>
      </c>
      <c r="H342" s="4">
        <f>TRUNC((F342*G342-F342),8)</f>
        <v/>
      </c>
      <c r="I342" s="4">
        <f>F342+H342</f>
        <v/>
      </c>
    </row>
    <row r="343">
      <c r="A343" s="1">
        <f>IF(DAY(C343)=DAY($K$1+1),1,A342+1)</f>
        <v/>
      </c>
      <c r="B343" s="1">
        <f>IF(DAY(C343)=DAY($K$1+1),1,B342+1)</f>
        <v/>
      </c>
      <c r="C343" s="2">
        <f>C342+1</f>
        <v/>
      </c>
      <c r="D343" s="8">
        <f>IF(DAY(C343)=DAY($K$1+1),TRUNC(($D$5),8),D342)</f>
        <v/>
      </c>
      <c r="E343" s="4">
        <f>TRUNC(((1+IPCA!#REF!))^(A343/28),8)</f>
        <v/>
      </c>
      <c r="F343" s="4">
        <f>TRUNC((D343*E343),8)</f>
        <v/>
      </c>
      <c r="G343" s="3">
        <f>ROUND(((1+$G$4)^(30/360))^(B343/(EDATE(C343-A343,1)-(C343-A343))),9)</f>
        <v/>
      </c>
      <c r="H343" s="4">
        <f>TRUNC((F343*G343-F343),8)</f>
        <v/>
      </c>
      <c r="I343" s="4">
        <f>F343+H343</f>
        <v/>
      </c>
    </row>
    <row r="344">
      <c r="A344" s="1">
        <f>IF(DAY(C344)=DAY($K$1+1),1,A343+1)</f>
        <v/>
      </c>
      <c r="B344" s="1">
        <f>IF(DAY(C344)=DAY($K$1+1),1,B343+1)</f>
        <v/>
      </c>
      <c r="C344" s="2">
        <f>C343+1</f>
        <v/>
      </c>
      <c r="D344" s="8">
        <f>IF(DAY(C344)=DAY($K$1+1),TRUNC(($D$5),8),D343)</f>
        <v/>
      </c>
      <c r="E344" s="4">
        <f>TRUNC(((1+IPCA!#REF!))^(A344/28),8)</f>
        <v/>
      </c>
      <c r="F344" s="4">
        <f>TRUNC((D344*E344),8)</f>
        <v/>
      </c>
      <c r="G344" s="3">
        <f>ROUND(((1+$G$4)^(30/360))^(B344/(EDATE(C344-A344,1)-(C344-A344))),9)</f>
        <v/>
      </c>
      <c r="H344" s="4">
        <f>TRUNC((F344*G344-F344),8)</f>
        <v/>
      </c>
      <c r="I344" s="4">
        <f>F344+H344</f>
        <v/>
      </c>
    </row>
    <row r="345">
      <c r="A345" s="1">
        <f>IF(DAY(C345)=DAY($K$1+1),1,A344+1)</f>
        <v/>
      </c>
      <c r="B345" s="1">
        <f>IF(DAY(C345)=DAY($K$1+1),1,B344+1)</f>
        <v/>
      </c>
      <c r="C345" s="2">
        <f>C344+1</f>
        <v/>
      </c>
      <c r="D345" s="8">
        <f>IF(DAY(C345)=DAY($K$1+1),TRUNC(($D$5),8),D344)</f>
        <v/>
      </c>
      <c r="E345" s="4">
        <f>TRUNC(((1+IPCA!#REF!))^(A345/28),8)</f>
        <v/>
      </c>
      <c r="F345" s="4">
        <f>TRUNC((D345*E345),8)</f>
        <v/>
      </c>
      <c r="G345" s="3">
        <f>ROUND(((1+$G$4)^(30/360))^(B345/(EDATE(C345-A345,1)-(C345-A345))),9)</f>
        <v/>
      </c>
      <c r="H345" s="4">
        <f>TRUNC((F345*G345-F345),8)</f>
        <v/>
      </c>
      <c r="I345" s="4">
        <f>F345+H345</f>
        <v/>
      </c>
    </row>
    <row r="346">
      <c r="A346" s="1">
        <f>IF(DAY(C346)=DAY($K$1+1),1,A345+1)</f>
        <v/>
      </c>
      <c r="B346" s="1">
        <f>IF(DAY(C346)=DAY($K$1+1),1,B345+1)</f>
        <v/>
      </c>
      <c r="C346" s="2">
        <f>C345+1</f>
        <v/>
      </c>
      <c r="D346" s="8">
        <f>IF(DAY(C346)=DAY($K$1+1),TRUNC(($D$5),8),D345)</f>
        <v/>
      </c>
      <c r="E346" s="4">
        <f>TRUNC(((1+IPCA!#REF!))^(A346/28),8)</f>
        <v/>
      </c>
      <c r="F346" s="4">
        <f>TRUNC((D346*E346),8)</f>
        <v/>
      </c>
      <c r="G346" s="3">
        <f>ROUND(((1+$G$4)^(30/360))^(B346/(EDATE(C346-A346,1)-(C346-A346))),9)</f>
        <v/>
      </c>
      <c r="H346" s="4">
        <f>TRUNC((F346*G346-F346),8)</f>
        <v/>
      </c>
      <c r="I346" s="4">
        <f>F346+H346</f>
        <v/>
      </c>
    </row>
    <row r="347">
      <c r="A347" s="1">
        <f>IF(DAY(C347)=DAY($K$1+1),1,A346+1)</f>
        <v/>
      </c>
      <c r="B347" s="1">
        <f>IF(DAY(C347)=DAY($K$1+1),1,B346+1)</f>
        <v/>
      </c>
      <c r="C347" s="2">
        <f>C346+1</f>
        <v/>
      </c>
      <c r="D347" s="8">
        <f>IF(DAY(C347)=DAY($K$1+1),TRUNC(($D$5),8),D346)</f>
        <v/>
      </c>
      <c r="E347" s="4">
        <f>TRUNC(((1+IPCA!#REF!))^(A347/28),8)</f>
        <v/>
      </c>
      <c r="F347" s="4">
        <f>TRUNC((D347*E347),8)</f>
        <v/>
      </c>
      <c r="G347" s="3">
        <f>ROUND(((1+$G$4)^(30/360))^(B347/(EDATE(C347-A347,1)-(C347-A347))),9)</f>
        <v/>
      </c>
      <c r="H347" s="4">
        <f>TRUNC((F347*G347-F347),8)</f>
        <v/>
      </c>
      <c r="I347" s="4">
        <f>F347+H347</f>
        <v/>
      </c>
    </row>
    <row r="348">
      <c r="A348" s="1">
        <f>IF(DAY(C348)=DAY($K$1+1),1,A347+1)</f>
        <v/>
      </c>
      <c r="B348" s="1">
        <f>IF(DAY(C348)=DAY($K$1+1),1,B347+1)</f>
        <v/>
      </c>
      <c r="C348" s="2">
        <f>C347+1</f>
        <v/>
      </c>
      <c r="D348" s="8">
        <f>IF(DAY(C348)=DAY($K$1+1),TRUNC(($D$5),8),D347)</f>
        <v/>
      </c>
      <c r="E348" s="4">
        <f>TRUNC(((1+IPCA!#REF!))^(A348/28),8)</f>
        <v/>
      </c>
      <c r="F348" s="4">
        <f>TRUNC((D348*E348),8)</f>
        <v/>
      </c>
      <c r="G348" s="3">
        <f>ROUND(((1+$G$4)^(30/360))^(B348/(EDATE(C348-A348,1)-(C348-A348))),9)</f>
        <v/>
      </c>
      <c r="H348" s="4">
        <f>TRUNC((F348*G348-F348),8)</f>
        <v/>
      </c>
      <c r="I348" s="4">
        <f>F348+H348</f>
        <v/>
      </c>
    </row>
    <row r="349">
      <c r="A349" s="1">
        <f>IF(DAY(C349)=DAY($K$1+1),1,A348+1)</f>
        <v/>
      </c>
      <c r="B349" s="1">
        <f>IF(DAY(C349)=DAY($K$1+1),1,B348+1)</f>
        <v/>
      </c>
      <c r="C349" s="2">
        <f>C348+1</f>
        <v/>
      </c>
      <c r="D349" s="8">
        <f>IF(DAY(C349)=DAY($K$1+1),TRUNC(($D$5),8),D348)</f>
        <v/>
      </c>
      <c r="E349" s="4">
        <f>TRUNC(((1+IPCA!#REF!))^(A349/28),8)</f>
        <v/>
      </c>
      <c r="F349" s="4">
        <f>TRUNC((D349*E349),8)</f>
        <v/>
      </c>
      <c r="G349" s="3">
        <f>ROUND(((1+$G$4)^(30/360))^(B349/(EDATE(C349-A349,1)-(C349-A349))),9)</f>
        <v/>
      </c>
      <c r="H349" s="4">
        <f>TRUNC((F349*G349-F349),8)</f>
        <v/>
      </c>
      <c r="I349" s="4">
        <f>F349+H349</f>
        <v/>
      </c>
    </row>
    <row r="350">
      <c r="A350" s="1">
        <f>IF(DAY(C350)=DAY($K$1+1),1,A349+1)</f>
        <v/>
      </c>
      <c r="B350" s="1">
        <f>IF(DAY(C350)=DAY($K$1+1),1,B349+1)</f>
        <v/>
      </c>
      <c r="C350" s="2">
        <f>C349+1</f>
        <v/>
      </c>
      <c r="D350" s="8">
        <f>IF(DAY(C350)=DAY($K$1+1),TRUNC(($D$5),8),D349)</f>
        <v/>
      </c>
      <c r="E350" s="4">
        <f>TRUNC(((1+IPCA!#REF!))^(A350/28),8)</f>
        <v/>
      </c>
      <c r="F350" s="4">
        <f>TRUNC((D350*E350),8)</f>
        <v/>
      </c>
      <c r="G350" s="3">
        <f>ROUND(((1+$G$4)^(30/360))^(B350/(EDATE(C350-A350,1)-(C350-A350))),9)</f>
        <v/>
      </c>
      <c r="H350" s="4">
        <f>TRUNC((F350*G350-F350),8)</f>
        <v/>
      </c>
      <c r="I350" s="4">
        <f>F350+H350</f>
        <v/>
      </c>
    </row>
    <row r="351">
      <c r="A351" s="1">
        <f>IF(DAY(C351)=DAY($K$1+1),1,A350+1)</f>
        <v/>
      </c>
      <c r="B351" s="1">
        <f>IF(DAY(C351)=DAY($K$1+1),1,B350+1)</f>
        <v/>
      </c>
      <c r="C351" s="2">
        <f>C350+1</f>
        <v/>
      </c>
      <c r="D351" s="8">
        <f>IF(DAY(C351)=DAY($K$1+1),TRUNC(($D$5),8),D350)</f>
        <v/>
      </c>
      <c r="E351" s="4">
        <f>TRUNC(((1+IPCA!#REF!))^(A351/28),8)</f>
        <v/>
      </c>
      <c r="F351" s="4">
        <f>TRUNC((D351*E351),8)</f>
        <v/>
      </c>
      <c r="G351" s="3">
        <f>ROUND(((1+$G$4)^(30/360))^(B351/(EDATE(C351-A351,1)-(C351-A351))),9)</f>
        <v/>
      </c>
      <c r="H351" s="4">
        <f>TRUNC((F351*G351-F351),8)</f>
        <v/>
      </c>
      <c r="I351" s="4">
        <f>F351+H351</f>
        <v/>
      </c>
    </row>
    <row r="352">
      <c r="A352" s="1">
        <f>IF(DAY(C352)=DAY($K$1+1),1,A351+1)</f>
        <v/>
      </c>
      <c r="B352" s="1">
        <f>IF(DAY(C352)=DAY($K$1+1),1,B351+1)</f>
        <v/>
      </c>
      <c r="C352" s="2">
        <f>C351+1</f>
        <v/>
      </c>
      <c r="D352" s="8">
        <f>IF(DAY(C352)=DAY($K$1+1),TRUNC(($D$5),8),D351)</f>
        <v/>
      </c>
      <c r="E352" s="4">
        <f>TRUNC(((1+IPCA!#REF!))^(A352/28),8)</f>
        <v/>
      </c>
      <c r="F352" s="4">
        <f>TRUNC((D352*E352),8)</f>
        <v/>
      </c>
      <c r="G352" s="3">
        <f>ROUND(((1+$G$4)^(30/360))^(B352/(EDATE(C352-A352,1)-(C352-A352))),9)</f>
        <v/>
      </c>
      <c r="H352" s="4">
        <f>TRUNC((F352*G352-F352),8)</f>
        <v/>
      </c>
      <c r="I352" s="4">
        <f>F352+H352</f>
        <v/>
      </c>
    </row>
    <row r="353">
      <c r="A353" s="1">
        <f>IF(DAY(C353)=DAY($K$1+1),1,A352+1)</f>
        <v/>
      </c>
      <c r="B353" s="1">
        <f>IF(DAY(C353)=DAY($K$1+1),1,B352+1)</f>
        <v/>
      </c>
      <c r="C353" s="2">
        <f>C352+1</f>
        <v/>
      </c>
      <c r="D353" s="8">
        <f>IF(DAY(C353)=DAY($K$1+1),TRUNC(($D$5),8),D352)</f>
        <v/>
      </c>
      <c r="E353" s="4">
        <f>TRUNC(((1+IPCA!#REF!))^(A353/28),8)</f>
        <v/>
      </c>
      <c r="F353" s="4">
        <f>TRUNC((D353*E353),8)</f>
        <v/>
      </c>
      <c r="G353" s="3">
        <f>ROUND(((1+$G$4)^(30/360))^(B353/(EDATE(C353-A353,1)-(C353-A353))),9)</f>
        <v/>
      </c>
      <c r="H353" s="4">
        <f>TRUNC((F353*G353-F353),8)</f>
        <v/>
      </c>
      <c r="I353" s="4">
        <f>F353+H353</f>
        <v/>
      </c>
    </row>
    <row r="354">
      <c r="A354" s="1">
        <f>IF(DAY(C354)=DAY($K$1+1),1,A353+1)</f>
        <v/>
      </c>
      <c r="B354" s="1">
        <f>IF(DAY(C354)=DAY($K$1+1),1,B353+1)</f>
        <v/>
      </c>
      <c r="C354" s="2">
        <f>C353+1</f>
        <v/>
      </c>
      <c r="D354" s="8">
        <f>IF(DAY(C354)=DAY($K$1+1),TRUNC(($D$5),8),D353)</f>
        <v/>
      </c>
      <c r="E354" s="4">
        <f>TRUNC(((1+IPCA!#REF!))^(A354/28),8)</f>
        <v/>
      </c>
      <c r="F354" s="4">
        <f>TRUNC((D354*E354),8)</f>
        <v/>
      </c>
      <c r="G354" s="3">
        <f>ROUND(((1+$G$4)^(30/360))^(B354/(EDATE(C354-A354,1)-(C354-A354))),9)</f>
        <v/>
      </c>
      <c r="H354" s="4">
        <f>TRUNC((F354*G354-F354),8)</f>
        <v/>
      </c>
      <c r="I354" s="4">
        <f>F354+H354</f>
        <v/>
      </c>
    </row>
    <row r="355">
      <c r="A355" s="1">
        <f>IF(DAY(C355)=DAY($K$1+1),1,A354+1)</f>
        <v/>
      </c>
      <c r="B355" s="1">
        <f>IF(DAY(C355)=DAY($K$1+1),1,B354+1)</f>
        <v/>
      </c>
      <c r="C355" s="2">
        <f>C354+1</f>
        <v/>
      </c>
      <c r="D355" s="8">
        <f>IF(DAY(C355)=DAY($K$1+1),TRUNC(($D$5),8),D354)</f>
        <v/>
      </c>
      <c r="E355" s="4">
        <f>TRUNC(((1+IPCA!#REF!))^(A355/28),8)</f>
        <v/>
      </c>
      <c r="F355" s="4">
        <f>TRUNC((D355*E355),8)</f>
        <v/>
      </c>
      <c r="G355" s="3">
        <f>ROUND(((1+$G$4)^(30/360))^(B355/(EDATE(C355-A355,1)-(C355-A355))),9)</f>
        <v/>
      </c>
      <c r="H355" s="4">
        <f>TRUNC((F355*G355-F355),8)</f>
        <v/>
      </c>
      <c r="I355" s="4">
        <f>F355+H355</f>
        <v/>
      </c>
    </row>
    <row r="356">
      <c r="A356" s="1">
        <f>IF(DAY(C356)=DAY($K$1+1),1,A355+1)</f>
        <v/>
      </c>
      <c r="B356" s="1">
        <f>IF(DAY(C356)=DAY($K$1+1),1,B355+1)</f>
        <v/>
      </c>
      <c r="C356" s="2">
        <f>C355+1</f>
        <v/>
      </c>
      <c r="D356" s="8">
        <f>IF(DAY(C356)=DAY($K$1+1),TRUNC(($D$5),8),D355)</f>
        <v/>
      </c>
      <c r="E356" s="4">
        <f>TRUNC(((1+IPCA!#REF!))^(A356/28),8)</f>
        <v/>
      </c>
      <c r="F356" s="4">
        <f>TRUNC((D356*E356),8)</f>
        <v/>
      </c>
      <c r="G356" s="3">
        <f>ROUND(((1+$G$4)^(30/360))^(B356/(EDATE(C356-A356,1)-(C356-A356))),9)</f>
        <v/>
      </c>
      <c r="H356" s="4">
        <f>TRUNC((F356*G356-F356),8)</f>
        <v/>
      </c>
      <c r="I356" s="4">
        <f>F356+H356</f>
        <v/>
      </c>
    </row>
    <row r="357">
      <c r="A357" s="1">
        <f>IF(DAY(C357)=DAY($K$1+1),1,A356+1)</f>
        <v/>
      </c>
      <c r="B357" s="1">
        <f>IF(DAY(C357)=DAY($K$1+1),1,B356+1)</f>
        <v/>
      </c>
      <c r="C357" s="2">
        <f>C356+1</f>
        <v/>
      </c>
      <c r="D357" s="8">
        <f>IF(DAY(C357)=DAY($K$1+1),TRUNC(($D$5),8),D356)</f>
        <v/>
      </c>
      <c r="E357" s="4">
        <f>TRUNC(((1+IPCA!#REF!))^(A357/28),8)</f>
        <v/>
      </c>
      <c r="F357" s="4">
        <f>TRUNC((D357*E357),8)</f>
        <v/>
      </c>
      <c r="G357" s="3">
        <f>ROUND(((1+$G$4)^(30/360))^(B357/(EDATE(C357-A357,1)-(C357-A357))),9)</f>
        <v/>
      </c>
      <c r="H357" s="4">
        <f>TRUNC((F357*G357-F357),8)</f>
        <v/>
      </c>
      <c r="I357" s="4">
        <f>F357+H357</f>
        <v/>
      </c>
    </row>
    <row r="358">
      <c r="A358" s="1">
        <f>IF(DAY(C358)=DAY($K$1+1),1,A357+1)</f>
        <v/>
      </c>
      <c r="B358" s="1">
        <f>IF(DAY(C358)=DAY($K$1+1),1,B357+1)</f>
        <v/>
      </c>
      <c r="C358" s="2">
        <f>C357+1</f>
        <v/>
      </c>
      <c r="D358" s="8">
        <f>IF(DAY(C358)=DAY($K$1+1),TRUNC(($D$5),8),D357)</f>
        <v/>
      </c>
      <c r="E358" s="4">
        <f>TRUNC(((1+IPCA!#REF!))^(A358/28),8)</f>
        <v/>
      </c>
      <c r="F358" s="4">
        <f>TRUNC((D358*E358),8)</f>
        <v/>
      </c>
      <c r="G358" s="3">
        <f>ROUND(((1+$G$4)^(30/360))^(B358/(EDATE(C358-A358,1)-(C358-A358))),9)</f>
        <v/>
      </c>
      <c r="H358" s="4">
        <f>TRUNC((F358*G358-F358),8)</f>
        <v/>
      </c>
      <c r="I358" s="4">
        <f>F358+H358</f>
        <v/>
      </c>
    </row>
    <row r="359">
      <c r="A359" s="1">
        <f>IF(DAY(C359)=DAY($K$1+1),1,A358+1)</f>
        <v/>
      </c>
      <c r="B359" s="1">
        <f>IF(DAY(C359)=DAY($K$1+1),1,B358+1)</f>
        <v/>
      </c>
      <c r="C359" s="2">
        <f>C358+1</f>
        <v/>
      </c>
      <c r="D359" s="8">
        <f>IF(DAY(C359)=DAY($K$1+1),TRUNC(($D$5),8),D358)</f>
        <v/>
      </c>
      <c r="E359" s="4">
        <f>TRUNC(((1+IPCA!#REF!))^(A359/28),8)</f>
        <v/>
      </c>
      <c r="F359" s="4">
        <f>TRUNC((D359*E359),8)</f>
        <v/>
      </c>
      <c r="G359" s="3">
        <f>ROUND(((1+$G$4)^(30/360))^(B359/(EDATE(C359-A359,1)-(C359-A359))),9)</f>
        <v/>
      </c>
      <c r="H359" s="4">
        <f>TRUNC((F359*G359-F359),8)</f>
        <v/>
      </c>
      <c r="I359" s="4">
        <f>F359+H359</f>
        <v/>
      </c>
    </row>
    <row r="360">
      <c r="A360" s="1">
        <f>IF(DAY(C360)=DAY($K$1+1),1,A359+1)</f>
        <v/>
      </c>
      <c r="B360" s="1">
        <f>IF(DAY(C360)=DAY($K$1+1),1,B359+1)</f>
        <v/>
      </c>
      <c r="C360" s="2">
        <f>C359+1</f>
        <v/>
      </c>
      <c r="D360" s="8">
        <f>IF(DAY(C360)=DAY($K$1+1),TRUNC(($D$5),8),D359)</f>
        <v/>
      </c>
      <c r="E360" s="4">
        <f>TRUNC(((1+IPCA!#REF!))^(A360/28),8)</f>
        <v/>
      </c>
      <c r="F360" s="4">
        <f>TRUNC((D360*E360),8)</f>
        <v/>
      </c>
      <c r="G360" s="3">
        <f>ROUND(((1+$G$4)^(30/360))^(B360/(EDATE(C360-A360,1)-(C360-A360))),9)</f>
        <v/>
      </c>
      <c r="H360" s="4">
        <f>TRUNC((F360*G360-F360),8)</f>
        <v/>
      </c>
      <c r="I360" s="4">
        <f>F360+H360</f>
        <v/>
      </c>
    </row>
    <row r="361">
      <c r="A361" s="1">
        <f>IF(DAY(C361)=DAY($K$1+1),1,A360+1)</f>
        <v/>
      </c>
      <c r="B361" s="1">
        <f>IF(DAY(C361)=DAY($K$1+1),1,B360+1)</f>
        <v/>
      </c>
      <c r="C361" s="2">
        <f>C360+1</f>
        <v/>
      </c>
      <c r="D361" s="8">
        <f>IF(DAY(C361)=DAY($K$1+1),TRUNC(($D$5),8),D360)</f>
        <v/>
      </c>
      <c r="E361" s="4">
        <f>TRUNC(((1+IPCA!#REF!))^(A361/28),8)</f>
        <v/>
      </c>
      <c r="F361" s="4">
        <f>TRUNC((D361*E361),8)</f>
        <v/>
      </c>
      <c r="G361" s="3">
        <f>ROUND(((1+$G$4)^(30/360))^(B361/(EDATE(C361-A361,1)-(C361-A361))),9)</f>
        <v/>
      </c>
      <c r="H361" s="4">
        <f>TRUNC((F361*G361-F361),8)</f>
        <v/>
      </c>
      <c r="I361" s="4">
        <f>F361+H361</f>
        <v/>
      </c>
    </row>
    <row r="362">
      <c r="A362" s="1">
        <f>IF(DAY(C362)=DAY($K$1+1),1,A361+1)</f>
        <v/>
      </c>
      <c r="B362" s="1">
        <f>IF(DAY(C362)=DAY($K$1+1),1,B361+1)</f>
        <v/>
      </c>
      <c r="C362" s="2">
        <f>C361+1</f>
        <v/>
      </c>
      <c r="D362" s="8">
        <f>IF(DAY(C362)=DAY($K$1+1),TRUNC(($D$5),8),D361)</f>
        <v/>
      </c>
      <c r="E362" s="4">
        <f>TRUNC(((1+IPCA!#REF!))^(A362/28),8)</f>
        <v/>
      </c>
      <c r="F362" s="4">
        <f>TRUNC((D362*E362),8)</f>
        <v/>
      </c>
      <c r="G362" s="3">
        <f>ROUND(((1+$G$4)^(30/360))^(B362/(EDATE(C362-A362,1)-(C362-A362))),9)</f>
        <v/>
      </c>
      <c r="H362" s="4">
        <f>TRUNC((F362*G362-F362),8)</f>
        <v/>
      </c>
      <c r="I362" s="4">
        <f>F362+H362</f>
        <v/>
      </c>
    </row>
    <row r="363">
      <c r="A363" s="1">
        <f>IF(DAY(C363)=DAY($K$1+1),1,A362+1)</f>
        <v/>
      </c>
      <c r="B363" s="1">
        <f>IF(DAY(C363)=DAY($K$1+1),1,B362+1)</f>
        <v/>
      </c>
      <c r="C363" s="2">
        <f>C362+1</f>
        <v/>
      </c>
      <c r="D363" s="8">
        <f>IF(DAY(C363)=DAY($K$1+1),TRUNC(($D$5),8),D362)</f>
        <v/>
      </c>
      <c r="E363" s="4">
        <f>TRUNC(((1+IPCA!#REF!))^(A363/28),8)</f>
        <v/>
      </c>
      <c r="F363" s="4">
        <f>TRUNC((D363*E363),8)</f>
        <v/>
      </c>
      <c r="G363" s="3">
        <f>ROUND(((1+$G$4)^(30/360))^(B363/(EDATE(C363-A363,1)-(C363-A363))),9)</f>
        <v/>
      </c>
      <c r="H363" s="4">
        <f>TRUNC((F363*G363-F363),8)</f>
        <v/>
      </c>
      <c r="I363" s="4">
        <f>F363+H363</f>
        <v/>
      </c>
      <c r="J363" s="35" t="inlineStr">
        <is>
          <t>CRI Integralizado:</t>
        </is>
      </c>
      <c r="K363" s="268" t="n">
        <v>1540</v>
      </c>
    </row>
    <row r="364">
      <c r="A364" s="1">
        <f>IF(DAY(C364)=DAY($K$1+1),1,A363+1)</f>
        <v/>
      </c>
      <c r="B364" s="1">
        <f>IF(DAY(C364)=DAY($K$1+1),1,B363+1)</f>
        <v/>
      </c>
      <c r="C364" s="2">
        <f>C363+1</f>
        <v/>
      </c>
      <c r="D364" s="8">
        <f>IF(DAY(C364)=DAY($K$1+1),TRUNC(($D$5),8),D363)</f>
        <v/>
      </c>
      <c r="E364" s="4">
        <f>TRUNC(((1+IPCA!#REF!))^(A364/28),8)</f>
        <v/>
      </c>
      <c r="F364" s="4">
        <f>TRUNC((D364*E364),8)</f>
        <v/>
      </c>
      <c r="G364" s="3">
        <f>ROUND(((1+$G$4)^(30/360))^(B364/(EDATE(C364-A364,1)-(C364-A364))),9)</f>
        <v/>
      </c>
      <c r="H364" s="4">
        <f>TRUNC((F364*G364-F364),8)</f>
        <v/>
      </c>
      <c r="I364" s="4">
        <f>F364+H364</f>
        <v/>
      </c>
      <c r="J364" s="33" t="inlineStr">
        <is>
          <t>JUROS</t>
        </is>
      </c>
      <c r="K364" s="33" t="inlineStr">
        <is>
          <t>AMORTIZAÇÃO</t>
        </is>
      </c>
      <c r="L364" s="33" t="inlineStr">
        <is>
          <t>AMEX</t>
        </is>
      </c>
      <c r="M364" s="33" t="inlineStr">
        <is>
          <t>RESIDUAL</t>
        </is>
      </c>
    </row>
    <row r="365">
      <c r="A365" s="22">
        <f>IF(DAY(C365)=DAY($K$1+1),1,A364+1)</f>
        <v/>
      </c>
      <c r="B365" s="22">
        <f>IF(DAY(C365)=DAY($K$1+1),1,B364+1)</f>
        <v/>
      </c>
      <c r="C365" s="23">
        <f>C364+1</f>
        <v/>
      </c>
      <c r="D365" s="24">
        <f>IF(DAY(C365)=DAY($K$1+1),TRUNC(($D$5),8),D364)</f>
        <v/>
      </c>
      <c r="E365" s="25">
        <f>TRUNC(((1+IPCA!#REF!))^(A365/28),8)</f>
        <v/>
      </c>
      <c r="F365" s="25">
        <f>TRUNC((D365*E365),8)</f>
        <v/>
      </c>
      <c r="G365" s="26">
        <f>ROUND(((1+$G$4)^(30/360))^(B365/(EDATE(C365-A365,1)-(C365-A365))),9)</f>
        <v/>
      </c>
      <c r="H365" s="25">
        <f>TRUNC((F365*G365-F365),8)</f>
        <v/>
      </c>
      <c r="I365" s="25">
        <f>F365+H365</f>
        <v/>
      </c>
      <c r="J365" s="28">
        <f>TRUNC(H365,8)</f>
        <v/>
      </c>
      <c r="K365" s="29">
        <f>TRUNC(F365*'Amort TS'!#REF!,8)</f>
        <v/>
      </c>
      <c r="L365" s="29" t="n">
        <v>0</v>
      </c>
      <c r="M365" s="29">
        <f>I365-J365-K365-L365</f>
        <v/>
      </c>
    </row>
    <row r="366">
      <c r="A366" s="1">
        <f>IF(DAY(C366)=DAY($K$1+1),1,A365+1)</f>
        <v/>
      </c>
      <c r="B366" s="1">
        <f>IF(DAY(C366)=DAY($K$1+1),1,B365+1)</f>
        <v/>
      </c>
      <c r="C366" s="2">
        <f>C365+1</f>
        <v/>
      </c>
      <c r="D366" s="8">
        <f>M365</f>
        <v/>
      </c>
      <c r="E366" s="4">
        <f>TRUNC(((1+IPCA!#REF!))^(A366/31),8)</f>
        <v/>
      </c>
      <c r="F366" s="4">
        <f>TRUNC((D366*E366),8)</f>
        <v/>
      </c>
      <c r="G366" s="3">
        <f>ROUND(((1+$G$4)^(30/360))^(B366/(EDATE(C366-A366,1)-(C366-A366))),9)</f>
        <v/>
      </c>
      <c r="H366" s="4">
        <f>TRUNC((F366*G366-F366),8)</f>
        <v/>
      </c>
      <c r="I366" s="4">
        <f>F366+H366</f>
        <v/>
      </c>
      <c r="J366" s="8">
        <f>J365*1540</f>
        <v/>
      </c>
      <c r="K366" s="8">
        <f>K365*1540</f>
        <v/>
      </c>
      <c r="L366" s="8" t="n">
        <v>0</v>
      </c>
      <c r="M366" s="8">
        <f>M365*1540</f>
        <v/>
      </c>
    </row>
    <row r="367" ht="13.8" customHeight="1" s="260" thickBot="1">
      <c r="A367" s="1">
        <f>IF(DAY(C367)=DAY($K$1+1),1,A366+1)</f>
        <v/>
      </c>
      <c r="B367" s="1">
        <f>IF(DAY(C367)=DAY($K$1+1),1,B366+1)</f>
        <v/>
      </c>
      <c r="C367" s="2">
        <f>C366+1</f>
        <v/>
      </c>
      <c r="D367" s="8">
        <f>IF(DAY(C367)=DAY($K$1+1),TRUNC(($D$5),8),D366)</f>
        <v/>
      </c>
      <c r="E367" s="4">
        <f>TRUNC(((1+IPCA!#REF!))^(A367/31),8)</f>
        <v/>
      </c>
      <c r="F367" s="4">
        <f>TRUNC((D367*E367),8)</f>
        <v/>
      </c>
      <c r="G367" s="3">
        <f>ROUND(((1+$G$4)^(30/360))^(B367/(EDATE(C367-A367,1)-(C367-A367))),9)</f>
        <v/>
      </c>
      <c r="H367" s="4">
        <f>TRUNC((F367*G367-F367),8)</f>
        <v/>
      </c>
      <c r="I367" s="4">
        <f>F367+H367</f>
        <v/>
      </c>
      <c r="J367" s="34" t="n"/>
      <c r="K367" s="30" t="n"/>
      <c r="L367" s="10" t="n"/>
    </row>
    <row r="368" ht="13.8" customHeight="1" s="260" thickBot="1">
      <c r="A368" s="1">
        <f>IF(DAY(C368)=DAY($K$1+1),1,A367+1)</f>
        <v/>
      </c>
      <c r="B368" s="1">
        <f>IF(DAY(C368)=DAY($K$1+1),1,B367+1)</f>
        <v/>
      </c>
      <c r="C368" s="2">
        <f>C367+1</f>
        <v/>
      </c>
      <c r="D368" s="8">
        <f>IF(DAY(C368)=DAY($K$1+1),TRUNC(($D$5),8),D367)</f>
        <v/>
      </c>
      <c r="E368" s="4">
        <f>TRUNC(((1+IPCA!#REF!))^(A368/31),8)</f>
        <v/>
      </c>
      <c r="F368" s="4">
        <f>TRUNC((D368*E368),8)</f>
        <v/>
      </c>
      <c r="G368" s="3">
        <f>ROUND(((1+$G$4)^(30/360))^(B368/(EDATE(C368-A368,1)-(C368-A368))),9)</f>
        <v/>
      </c>
      <c r="H368" s="4">
        <f>TRUNC((F368*G368-F368),8)</f>
        <v/>
      </c>
      <c r="I368" s="4">
        <f>F368+H368</f>
        <v/>
      </c>
      <c r="J368" s="31">
        <f>SUM(J366:K366)</f>
        <v/>
      </c>
      <c r="K368" s="32" t="inlineStr">
        <is>
          <t>TOTAL PMT</t>
        </is>
      </c>
      <c r="L368" s="10" t="n"/>
    </row>
    <row r="369">
      <c r="A369" s="1">
        <f>IF(DAY(C369)=DAY($K$1+1),1,A368+1)</f>
        <v/>
      </c>
      <c r="B369" s="1">
        <f>IF(DAY(C369)=DAY($K$1+1),1,B368+1)</f>
        <v/>
      </c>
      <c r="C369" s="2">
        <f>C368+1</f>
        <v/>
      </c>
      <c r="D369" s="8">
        <f>IF(DAY(C369)=DAY($K$1+1),TRUNC(($D$5),8),D368)</f>
        <v/>
      </c>
      <c r="E369" s="4">
        <f>TRUNC(((1+IPCA!#REF!))^(A369/31),8)</f>
        <v/>
      </c>
      <c r="F369" s="4">
        <f>TRUNC((D369*E369),8)</f>
        <v/>
      </c>
      <c r="G369" s="3">
        <f>ROUND(((1+$G$4)^(30/360))^(B369/(EDATE(C369-A369,1)-(C369-A369))),9)</f>
        <v/>
      </c>
      <c r="H369" s="4">
        <f>TRUNC((F369*G369-F369),8)</f>
        <v/>
      </c>
      <c r="I369" s="4">
        <f>F369+H369</f>
        <v/>
      </c>
      <c r="J369" s="267">
        <f>SUM(J366:L366)</f>
        <v/>
      </c>
    </row>
    <row r="370">
      <c r="A370" s="1">
        <f>IF(DAY(C370)=DAY($K$1+1),1,A369+1)</f>
        <v/>
      </c>
      <c r="B370" s="1">
        <f>IF(DAY(C370)=DAY($K$1+1),1,B369+1)</f>
        <v/>
      </c>
      <c r="C370" s="2">
        <f>C369+1</f>
        <v/>
      </c>
      <c r="D370" s="8">
        <f>IF(DAY(C370)=DAY($K$1+1),TRUNC(($D$5),8),D369)</f>
        <v/>
      </c>
      <c r="E370" s="4">
        <f>TRUNC(((1+IPCA!#REF!))^(A370/31),8)</f>
        <v/>
      </c>
      <c r="F370" s="4">
        <f>TRUNC((D370*E370),8)</f>
        <v/>
      </c>
      <c r="G370" s="3">
        <f>ROUND(((1+$G$4)^(30/360))^(B370/(EDATE(C370-A370,1)-(C370-A370))),9)</f>
        <v/>
      </c>
      <c r="H370" s="4">
        <f>TRUNC((F370*G370-F370),8)</f>
        <v/>
      </c>
      <c r="I370" s="4">
        <f>F370+H370</f>
        <v/>
      </c>
    </row>
    <row r="371">
      <c r="A371" s="1">
        <f>IF(DAY(C371)=DAY($K$1+1),1,A370+1)</f>
        <v/>
      </c>
      <c r="B371" s="1">
        <f>IF(DAY(C371)=DAY($K$1+1),1,B370+1)</f>
        <v/>
      </c>
      <c r="C371" s="2">
        <f>C370+1</f>
        <v/>
      </c>
      <c r="D371" s="8">
        <f>IF(DAY(C371)=DAY($K$1+1),TRUNC(($D$5),8),D370)</f>
        <v/>
      </c>
      <c r="E371" s="4">
        <f>TRUNC(((1+IPCA!#REF!))^(A371/31),8)</f>
        <v/>
      </c>
      <c r="F371" s="4">
        <f>TRUNC((D371*E371),8)</f>
        <v/>
      </c>
      <c r="G371" s="3">
        <f>ROUND(((1+$G$4)^(30/360))^(B371/(EDATE(C371-A371,1)-(C371-A371))),9)</f>
        <v/>
      </c>
      <c r="H371" s="4">
        <f>TRUNC((F371*G371-F371),8)</f>
        <v/>
      </c>
      <c r="I371" s="4">
        <f>F371+H371</f>
        <v/>
      </c>
    </row>
    <row r="372">
      <c r="A372" s="1">
        <f>IF(DAY(C372)=DAY($K$1+1),1,A371+1)</f>
        <v/>
      </c>
      <c r="B372" s="1">
        <f>IF(DAY(C372)=DAY($K$1+1),1,B371+1)</f>
        <v/>
      </c>
      <c r="C372" s="2">
        <f>C371+1</f>
        <v/>
      </c>
      <c r="D372" s="8">
        <f>IF(DAY(C372)=DAY($K$1+1),TRUNC(($D$5),8),D371)</f>
        <v/>
      </c>
      <c r="E372" s="4">
        <f>TRUNC(((1+IPCA!#REF!))^(A372/31),8)</f>
        <v/>
      </c>
      <c r="F372" s="4">
        <f>TRUNC((D372*E372),8)</f>
        <v/>
      </c>
      <c r="G372" s="3">
        <f>ROUND(((1+$G$4)^(30/360))^(B372/(EDATE(C372-A372,1)-(C372-A372))),9)</f>
        <v/>
      </c>
      <c r="H372" s="4">
        <f>TRUNC((F372*G372-F372),8)</f>
        <v/>
      </c>
      <c r="I372" s="4">
        <f>F372+H372</f>
        <v/>
      </c>
    </row>
    <row r="373">
      <c r="A373" s="1">
        <f>IF(DAY(C373)=DAY($K$1+1),1,A372+1)</f>
        <v/>
      </c>
      <c r="B373" s="1">
        <f>IF(DAY(C373)=DAY($K$1+1),1,B372+1)</f>
        <v/>
      </c>
      <c r="C373" s="2">
        <f>C372+1</f>
        <v/>
      </c>
      <c r="D373" s="8">
        <f>IF(DAY(C373)=DAY($K$1+1),TRUNC(($D$5),8),D372)</f>
        <v/>
      </c>
      <c r="E373" s="4">
        <f>TRUNC(((1+IPCA!#REF!))^(A373/31),8)</f>
        <v/>
      </c>
      <c r="F373" s="4">
        <f>TRUNC((D373*E373),8)</f>
        <v/>
      </c>
      <c r="G373" s="3">
        <f>ROUND(((1+$G$4)^(30/360))^(B373/(EDATE(C373-A373,1)-(C373-A373))),9)</f>
        <v/>
      </c>
      <c r="H373" s="4">
        <f>TRUNC((F373*G373-F373),8)</f>
        <v/>
      </c>
      <c r="I373" s="4">
        <f>F373+H373</f>
        <v/>
      </c>
    </row>
    <row r="374">
      <c r="A374" s="1">
        <f>IF(DAY(C374)=DAY($K$1+1),1,A373+1)</f>
        <v/>
      </c>
      <c r="B374" s="1">
        <f>IF(DAY(C374)=DAY($K$1+1),1,B373+1)</f>
        <v/>
      </c>
      <c r="C374" s="2">
        <f>C373+1</f>
        <v/>
      </c>
      <c r="D374" s="8">
        <f>IF(DAY(C374)=DAY($K$1+1),TRUNC(($D$5),8),D373)</f>
        <v/>
      </c>
      <c r="E374" s="4">
        <f>TRUNC(((1+IPCA!#REF!))^(A374/31),8)</f>
        <v/>
      </c>
      <c r="F374" s="4">
        <f>TRUNC((D374*E374),8)</f>
        <v/>
      </c>
      <c r="G374" s="3">
        <f>ROUND(((1+$G$4)^(30/360))^(B374/(EDATE(C374-A374,1)-(C374-A374))),9)</f>
        <v/>
      </c>
      <c r="H374" s="4">
        <f>TRUNC((F374*G374-F374),8)</f>
        <v/>
      </c>
      <c r="I374" s="4">
        <f>F374+H374</f>
        <v/>
      </c>
    </row>
    <row r="375">
      <c r="A375" s="1">
        <f>IF(DAY(C375)=DAY($K$1+1),1,A374+1)</f>
        <v/>
      </c>
      <c r="B375" s="1">
        <f>IF(DAY(C375)=DAY($K$1+1),1,B374+1)</f>
        <v/>
      </c>
      <c r="C375" s="2">
        <f>C374+1</f>
        <v/>
      </c>
      <c r="D375" s="8">
        <f>IF(DAY(C375)=DAY($K$1+1),TRUNC(($D$5),8),D374)</f>
        <v/>
      </c>
      <c r="E375" s="4">
        <f>TRUNC(((1+IPCA!#REF!))^(A375/31),8)</f>
        <v/>
      </c>
      <c r="F375" s="4">
        <f>TRUNC((D375*E375),8)</f>
        <v/>
      </c>
      <c r="G375" s="3">
        <f>ROUND(((1+$G$4)^(30/360))^(B375/(EDATE(C375-A375,1)-(C375-A375))),9)</f>
        <v/>
      </c>
      <c r="H375" s="4">
        <f>TRUNC((F375*G375-F375),8)</f>
        <v/>
      </c>
      <c r="I375" s="4">
        <f>F375+H375</f>
        <v/>
      </c>
    </row>
    <row r="376">
      <c r="A376" s="1">
        <f>IF(DAY(C376)=DAY($K$1+1),1,A375+1)</f>
        <v/>
      </c>
      <c r="B376" s="1">
        <f>IF(DAY(C376)=DAY($K$1+1),1,B375+1)</f>
        <v/>
      </c>
      <c r="C376" s="2">
        <f>C375+1</f>
        <v/>
      </c>
      <c r="D376" s="8">
        <f>IF(DAY(C376)=DAY($K$1+1),TRUNC(($D$5),8),D375)</f>
        <v/>
      </c>
      <c r="E376" s="4">
        <f>TRUNC(((1+IPCA!#REF!))^(A376/31),8)</f>
        <v/>
      </c>
      <c r="F376" s="4">
        <f>TRUNC((D376*E376),8)</f>
        <v/>
      </c>
      <c r="G376" s="3">
        <f>ROUND(((1+$G$4)^(30/360))^(B376/(EDATE(C376-A376,1)-(C376-A376))),9)</f>
        <v/>
      </c>
      <c r="H376" s="4">
        <f>TRUNC((F376*G376-F376),8)</f>
        <v/>
      </c>
      <c r="I376" s="4">
        <f>F376+H376</f>
        <v/>
      </c>
    </row>
    <row r="377">
      <c r="A377" s="1">
        <f>IF(DAY(C377)=DAY($K$1+1),1,A376+1)</f>
        <v/>
      </c>
      <c r="B377" s="1">
        <f>IF(DAY(C377)=DAY($K$1+1),1,B376+1)</f>
        <v/>
      </c>
      <c r="C377" s="2">
        <f>C376+1</f>
        <v/>
      </c>
      <c r="D377" s="8">
        <f>IF(DAY(C377)=DAY($K$1+1),TRUNC(($D$5),8),D376)</f>
        <v/>
      </c>
      <c r="E377" s="4">
        <f>TRUNC(((1+IPCA!#REF!))^(A377/31),8)</f>
        <v/>
      </c>
      <c r="F377" s="4">
        <f>TRUNC((D377*E377),8)</f>
        <v/>
      </c>
      <c r="G377" s="3">
        <f>ROUND(((1+$G$4)^(30/360))^(B377/(EDATE(C377-A377,1)-(C377-A377))),9)</f>
        <v/>
      </c>
      <c r="H377" s="4">
        <f>TRUNC((F377*G377-F377),8)</f>
        <v/>
      </c>
      <c r="I377" s="4">
        <f>F377+H377</f>
        <v/>
      </c>
    </row>
    <row r="378">
      <c r="A378" s="1">
        <f>IF(DAY(C378)=DAY($K$1+1),1,A377+1)</f>
        <v/>
      </c>
      <c r="B378" s="1">
        <f>IF(DAY(C378)=DAY($K$1+1),1,B377+1)</f>
        <v/>
      </c>
      <c r="C378" s="2">
        <f>C377+1</f>
        <v/>
      </c>
      <c r="D378" s="8">
        <f>IF(DAY(C378)=DAY($K$1+1),TRUNC(($D$5),8),D377)</f>
        <v/>
      </c>
      <c r="E378" s="4">
        <f>TRUNC(((1+IPCA!#REF!))^(A378/31),8)</f>
        <v/>
      </c>
      <c r="F378" s="4">
        <f>TRUNC((D378*E378),8)</f>
        <v/>
      </c>
      <c r="G378" s="3">
        <f>ROUND(((1+$G$4)^(30/360))^(B378/(EDATE(C378-A378,1)-(C378-A378))),9)</f>
        <v/>
      </c>
      <c r="H378" s="4">
        <f>TRUNC((F378*G378-F378),8)</f>
        <v/>
      </c>
      <c r="I378" s="4">
        <f>F378+H378</f>
        <v/>
      </c>
    </row>
    <row r="379">
      <c r="A379" s="1">
        <f>IF(DAY(C379)=DAY($K$1+1),1,A378+1)</f>
        <v/>
      </c>
      <c r="B379" s="1">
        <f>IF(DAY(C379)=DAY($K$1+1),1,B378+1)</f>
        <v/>
      </c>
      <c r="C379" s="2">
        <f>C378+1</f>
        <v/>
      </c>
      <c r="D379" s="8">
        <f>IF(DAY(C379)=DAY($K$1+1),TRUNC(($D$5),8),D378)</f>
        <v/>
      </c>
      <c r="E379" s="4">
        <f>TRUNC(((1+IPCA!#REF!))^(A379/31),8)</f>
        <v/>
      </c>
      <c r="F379" s="4">
        <f>TRUNC((D379*E379),8)</f>
        <v/>
      </c>
      <c r="G379" s="3">
        <f>ROUND(((1+$G$4)^(30/360))^(B379/(EDATE(C379-A379,1)-(C379-A379))),9)</f>
        <v/>
      </c>
      <c r="H379" s="4">
        <f>TRUNC((F379*G379-F379),8)</f>
        <v/>
      </c>
      <c r="I379" s="4">
        <f>F379+H379</f>
        <v/>
      </c>
    </row>
    <row r="380">
      <c r="A380" s="1">
        <f>IF(DAY(C380)=DAY($K$1+1),1,A379+1)</f>
        <v/>
      </c>
      <c r="B380" s="1">
        <f>IF(DAY(C380)=DAY($K$1+1),1,B379+1)</f>
        <v/>
      </c>
      <c r="C380" s="2">
        <f>C379+1</f>
        <v/>
      </c>
      <c r="D380" s="8">
        <f>IF(DAY(C380)=DAY($K$1+1),TRUNC(($D$5),8),D379)</f>
        <v/>
      </c>
      <c r="E380" s="4">
        <f>TRUNC(((1+IPCA!#REF!))^(A380/31),8)</f>
        <v/>
      </c>
      <c r="F380" s="4">
        <f>TRUNC((D380*E380),8)</f>
        <v/>
      </c>
      <c r="G380" s="3">
        <f>ROUND(((1+$G$4)^(30/360))^(B380/(EDATE(C380-A380,1)-(C380-A380))),9)</f>
        <v/>
      </c>
      <c r="H380" s="4">
        <f>TRUNC((F380*G380-F380),8)</f>
        <v/>
      </c>
      <c r="I380" s="4">
        <f>F380+H380</f>
        <v/>
      </c>
    </row>
    <row r="381">
      <c r="A381" s="1">
        <f>IF(DAY(C381)=DAY($K$1+1),1,A380+1)</f>
        <v/>
      </c>
      <c r="B381" s="1">
        <f>IF(DAY(C381)=DAY($K$1+1),1,B380+1)</f>
        <v/>
      </c>
      <c r="C381" s="2">
        <f>C380+1</f>
        <v/>
      </c>
      <c r="D381" s="8">
        <f>IF(DAY(C381)=DAY($K$1+1),TRUNC(($D$5),8),D380)</f>
        <v/>
      </c>
      <c r="E381" s="4">
        <f>TRUNC(((1+IPCA!#REF!))^(A381/31),8)</f>
        <v/>
      </c>
      <c r="F381" s="4">
        <f>TRUNC((D381*E381),8)</f>
        <v/>
      </c>
      <c r="G381" s="3">
        <f>ROUND(((1+$G$4)^(30/360))^(B381/(EDATE(C381-A381,1)-(C381-A381))),9)</f>
        <v/>
      </c>
      <c r="H381" s="4">
        <f>TRUNC((F381*G381-F381),8)</f>
        <v/>
      </c>
      <c r="I381" s="4">
        <f>F381+H381</f>
        <v/>
      </c>
    </row>
    <row r="382">
      <c r="A382" s="1">
        <f>IF(DAY(C382)=DAY($K$1+1),1,A381+1)</f>
        <v/>
      </c>
      <c r="B382" s="1">
        <f>IF(DAY(C382)=DAY($K$1+1),1,B381+1)</f>
        <v/>
      </c>
      <c r="C382" s="2">
        <f>C381+1</f>
        <v/>
      </c>
      <c r="D382" s="8">
        <f>IF(DAY(C382)=DAY($K$1+1),TRUNC(($D$5),8),D381)</f>
        <v/>
      </c>
      <c r="E382" s="4">
        <f>TRUNC(((1+IPCA!#REF!))^(A382/31),8)</f>
        <v/>
      </c>
      <c r="F382" s="4">
        <f>TRUNC((D382*E382),8)</f>
        <v/>
      </c>
      <c r="G382" s="3">
        <f>ROUND(((1+$G$4)^(30/360))^(B382/(EDATE(C382-A382,1)-(C382-A382))),9)</f>
        <v/>
      </c>
      <c r="H382" s="4">
        <f>TRUNC((F382*G382-F382),8)</f>
        <v/>
      </c>
      <c r="I382" s="4">
        <f>F382+H382</f>
        <v/>
      </c>
    </row>
    <row r="383">
      <c r="A383" s="1">
        <f>IF(DAY(C383)=DAY($K$1+1),1,A382+1)</f>
        <v/>
      </c>
      <c r="B383" s="1">
        <f>IF(DAY(C383)=DAY($K$1+1),1,B382+1)</f>
        <v/>
      </c>
      <c r="C383" s="2">
        <f>C382+1</f>
        <v/>
      </c>
      <c r="D383" s="8">
        <f>IF(DAY(C383)=DAY($K$1+1),TRUNC(($D$5),8),D382)</f>
        <v/>
      </c>
      <c r="E383" s="4">
        <f>TRUNC(((1+IPCA!#REF!))^(A383/31),8)</f>
        <v/>
      </c>
      <c r="F383" s="4">
        <f>TRUNC((D383*E383),8)</f>
        <v/>
      </c>
      <c r="G383" s="3">
        <f>ROUND(((1+$G$4)^(30/360))^(B383/(EDATE(C383-A383,1)-(C383-A383))),9)</f>
        <v/>
      </c>
      <c r="H383" s="4">
        <f>TRUNC((F383*G383-F383),8)</f>
        <v/>
      </c>
      <c r="I383" s="4">
        <f>F383+H383</f>
        <v/>
      </c>
    </row>
    <row r="384">
      <c r="A384" s="1">
        <f>IF(DAY(C384)=DAY($K$1+1),1,A383+1)</f>
        <v/>
      </c>
      <c r="B384" s="1">
        <f>IF(DAY(C384)=DAY($K$1+1),1,B383+1)</f>
        <v/>
      </c>
      <c r="C384" s="2">
        <f>C383+1</f>
        <v/>
      </c>
      <c r="D384" s="8">
        <f>IF(DAY(C384)=DAY($K$1+1),TRUNC(($D$5),8),D383)</f>
        <v/>
      </c>
      <c r="E384" s="4">
        <f>TRUNC(((1+IPCA!#REF!))^(A384/31),8)</f>
        <v/>
      </c>
      <c r="F384" s="4">
        <f>TRUNC((D384*E384),8)</f>
        <v/>
      </c>
      <c r="G384" s="3">
        <f>ROUND(((1+$G$4)^(30/360))^(B384/(EDATE(C384-A384,1)-(C384-A384))),9)</f>
        <v/>
      </c>
      <c r="H384" s="4">
        <f>TRUNC((F384*G384-F384),8)</f>
        <v/>
      </c>
      <c r="I384" s="4">
        <f>F384+H384</f>
        <v/>
      </c>
    </row>
    <row r="385">
      <c r="A385" s="1">
        <f>IF(DAY(C385)=DAY($K$1+1),1,A384+1)</f>
        <v/>
      </c>
      <c r="B385" s="1">
        <f>IF(DAY(C385)=DAY($K$1+1),1,B384+1)</f>
        <v/>
      </c>
      <c r="C385" s="2">
        <f>C384+1</f>
        <v/>
      </c>
      <c r="D385" s="8">
        <f>IF(DAY(C385)=DAY($K$1+1),TRUNC(($D$5),8),D384)</f>
        <v/>
      </c>
      <c r="E385" s="4">
        <f>TRUNC(((1+IPCA!#REF!))^(A385/31),8)</f>
        <v/>
      </c>
      <c r="F385" s="4">
        <f>TRUNC((D385*E385),8)</f>
        <v/>
      </c>
      <c r="G385" s="3">
        <f>ROUND(((1+$G$4)^(30/360))^(B385/(EDATE(C385-A385,1)-(C385-A385))),9)</f>
        <v/>
      </c>
      <c r="H385" s="4">
        <f>TRUNC((F385*G385-F385),8)</f>
        <v/>
      </c>
      <c r="I385" s="4">
        <f>F385+H385</f>
        <v/>
      </c>
    </row>
    <row r="386">
      <c r="A386" s="1">
        <f>IF(DAY(C386)=DAY($K$1+1),1,A385+1)</f>
        <v/>
      </c>
      <c r="B386" s="1">
        <f>IF(DAY(C386)=DAY($K$1+1),1,B385+1)</f>
        <v/>
      </c>
      <c r="C386" s="2">
        <f>C385+1</f>
        <v/>
      </c>
      <c r="D386" s="8">
        <f>IF(DAY(C386)=DAY($K$1+1),TRUNC(($D$5),8),D385)</f>
        <v/>
      </c>
      <c r="E386" s="4">
        <f>TRUNC(((1+IPCA!#REF!))^(A386/31),8)</f>
        <v/>
      </c>
      <c r="F386" s="4">
        <f>TRUNC((D386*E386),8)</f>
        <v/>
      </c>
      <c r="G386" s="3">
        <f>ROUND(((1+$G$4)^(30/360))^(B386/(EDATE(C386-A386,1)-(C386-A386))),9)</f>
        <v/>
      </c>
      <c r="H386" s="4">
        <f>TRUNC((F386*G386-F386),8)</f>
        <v/>
      </c>
      <c r="I386" s="4">
        <f>F386+H386</f>
        <v/>
      </c>
    </row>
    <row r="387">
      <c r="A387" s="1">
        <f>IF(DAY(C387)=DAY($K$1+1),1,A386+1)</f>
        <v/>
      </c>
      <c r="B387" s="1">
        <f>IF(DAY(C387)=DAY($K$1+1),1,B386+1)</f>
        <v/>
      </c>
      <c r="C387" s="2">
        <f>C386+1</f>
        <v/>
      </c>
      <c r="D387" s="8">
        <f>IF(DAY(C387)=DAY($K$1+1),TRUNC(($D$5),8),D386)</f>
        <v/>
      </c>
      <c r="E387" s="4">
        <f>TRUNC(((1+IPCA!#REF!))^(A387/31),8)</f>
        <v/>
      </c>
      <c r="F387" s="4">
        <f>TRUNC((D387*E387),8)</f>
        <v/>
      </c>
      <c r="G387" s="3">
        <f>ROUND(((1+$G$4)^(30/360))^(B387/(EDATE(C387-A387,1)-(C387-A387))),9)</f>
        <v/>
      </c>
      <c r="H387" s="4">
        <f>TRUNC((F387*G387-F387),8)</f>
        <v/>
      </c>
      <c r="I387" s="4">
        <f>F387+H387</f>
        <v/>
      </c>
    </row>
    <row r="388">
      <c r="A388" s="1">
        <f>IF(DAY(C388)=DAY($K$1+1),1,A387+1)</f>
        <v/>
      </c>
      <c r="B388" s="1">
        <f>IF(DAY(C388)=DAY($K$1+1),1,B387+1)</f>
        <v/>
      </c>
      <c r="C388" s="2">
        <f>C387+1</f>
        <v/>
      </c>
      <c r="D388" s="8">
        <f>IF(DAY(C388)=DAY($K$1+1),TRUNC(($D$5),8),D387)</f>
        <v/>
      </c>
      <c r="E388" s="4">
        <f>TRUNC(((1+IPCA!#REF!))^(A388/31),8)</f>
        <v/>
      </c>
      <c r="F388" s="4">
        <f>TRUNC((D388*E388),8)</f>
        <v/>
      </c>
      <c r="G388" s="3">
        <f>ROUND(((1+$G$4)^(30/360))^(B388/(EDATE(C388-A388,1)-(C388-A388))),9)</f>
        <v/>
      </c>
      <c r="H388" s="4">
        <f>TRUNC((F388*G388-F388),8)</f>
        <v/>
      </c>
      <c r="I388" s="4">
        <f>F388+H388</f>
        <v/>
      </c>
    </row>
    <row r="389">
      <c r="A389" s="1">
        <f>IF(DAY(C389)=DAY($K$1+1),1,A388+1)</f>
        <v/>
      </c>
      <c r="B389" s="1">
        <f>IF(DAY(C389)=DAY($K$1+1),1,B388+1)</f>
        <v/>
      </c>
      <c r="C389" s="2">
        <f>C388+1</f>
        <v/>
      </c>
      <c r="D389" s="8">
        <f>IF(DAY(C389)=DAY($K$1+1),TRUNC(($D$5),8),D388)</f>
        <v/>
      </c>
      <c r="E389" s="4">
        <f>TRUNC(((1+IPCA!#REF!))^(A389/31),8)</f>
        <v/>
      </c>
      <c r="F389" s="4">
        <f>TRUNC((D389*E389),8)</f>
        <v/>
      </c>
      <c r="G389" s="3">
        <f>ROUND(((1+$G$4)^(30/360))^(B389/(EDATE(C389-A389,1)-(C389-A389))),9)</f>
        <v/>
      </c>
      <c r="H389" s="4">
        <f>TRUNC((F389*G389-F389),8)</f>
        <v/>
      </c>
      <c r="I389" s="4">
        <f>F389+H389</f>
        <v/>
      </c>
      <c r="J389" s="267" t="n"/>
    </row>
    <row r="390">
      <c r="A390" s="1">
        <f>IF(DAY(C390)=DAY($K$1+1),1,A389+1)</f>
        <v/>
      </c>
      <c r="B390" s="1">
        <f>IF(DAY(C390)=DAY($K$1+1),1,B389+1)</f>
        <v/>
      </c>
      <c r="C390" s="2">
        <f>C389+1</f>
        <v/>
      </c>
      <c r="D390" s="8">
        <f>IF(DAY(C390)=DAY($K$1+1),TRUNC(($D$5),8),D389)</f>
        <v/>
      </c>
      <c r="E390" s="4">
        <f>TRUNC(((1+IPCA!#REF!))^(A390/31),8)</f>
        <v/>
      </c>
      <c r="F390" s="4">
        <f>TRUNC((D390*E390),8)</f>
        <v/>
      </c>
      <c r="G390" s="3">
        <f>ROUND(((1+$G$4)^(30/360))^(B390/(EDATE(C390-A390,1)-(C390-A390))),9)</f>
        <v/>
      </c>
      <c r="H390" s="4">
        <f>TRUNC((F390*G390-F390),8)</f>
        <v/>
      </c>
      <c r="I390" s="4">
        <f>F390+H390</f>
        <v/>
      </c>
    </row>
    <row r="391">
      <c r="A391" s="1">
        <f>IF(DAY(C391)=DAY($K$1+1),1,A390+1)</f>
        <v/>
      </c>
      <c r="B391" s="1">
        <f>IF(DAY(C391)=DAY($K$1+1),1,B390+1)</f>
        <v/>
      </c>
      <c r="C391" s="2">
        <f>C390+1</f>
        <v/>
      </c>
      <c r="D391" s="8">
        <f>IF(DAY(C391)=DAY($K$1+1),TRUNC(($D$5),8),D390)</f>
        <v/>
      </c>
      <c r="E391" s="4">
        <f>TRUNC(((1+IPCA!#REF!))^(A391/31),8)</f>
        <v/>
      </c>
      <c r="F391" s="4">
        <f>TRUNC((D391*E391),8)</f>
        <v/>
      </c>
      <c r="G391" s="3">
        <f>ROUND(((1+$G$4)^(30/360))^(B391/(EDATE(C391-A391,1)-(C391-A391))),9)</f>
        <v/>
      </c>
      <c r="H391" s="4">
        <f>TRUNC((F391*G391-F391),8)</f>
        <v/>
      </c>
      <c r="I391" s="4">
        <f>F391+H391</f>
        <v/>
      </c>
    </row>
    <row r="392">
      <c r="A392" s="1">
        <f>IF(DAY(C392)=DAY($K$1+1),1,A391+1)</f>
        <v/>
      </c>
      <c r="B392" s="1">
        <f>IF(DAY(C392)=DAY($K$1+1),1,B391+1)</f>
        <v/>
      </c>
      <c r="C392" s="2">
        <f>C391+1</f>
        <v/>
      </c>
      <c r="D392" s="8">
        <f>IF(DAY(C392)=DAY($K$1+1),TRUNC(($D$5),8),D391)</f>
        <v/>
      </c>
      <c r="E392" s="4">
        <f>TRUNC(((1+IPCA!#REF!))^(A392/31),8)</f>
        <v/>
      </c>
      <c r="F392" s="4">
        <f>TRUNC((D392*E392),8)</f>
        <v/>
      </c>
      <c r="G392" s="3">
        <f>ROUND(((1+$G$4)^(30/360))^(B392/(EDATE(C392-A392,1)-(C392-A392))),9)</f>
        <v/>
      </c>
      <c r="H392" s="4">
        <f>TRUNC((F392*G392-F392),8)</f>
        <v/>
      </c>
      <c r="I392" s="4">
        <f>F392+H392</f>
        <v/>
      </c>
    </row>
    <row r="393">
      <c r="A393" s="1">
        <f>IF(DAY(C393)=DAY($K$1+1),1,A392+1)</f>
        <v/>
      </c>
      <c r="B393" s="1">
        <f>IF(DAY(C393)=DAY($K$1+1),1,B392+1)</f>
        <v/>
      </c>
      <c r="C393" s="2">
        <f>C392+1</f>
        <v/>
      </c>
      <c r="D393" s="8">
        <f>IF(DAY(C393)=DAY($K$1+1),TRUNC(($D$5),8),D392)</f>
        <v/>
      </c>
      <c r="E393" s="4">
        <f>TRUNC(((1+IPCA!#REF!))^(A393/31),8)</f>
        <v/>
      </c>
      <c r="F393" s="4">
        <f>TRUNC((D393*E393),8)</f>
        <v/>
      </c>
      <c r="G393" s="3">
        <f>ROUND(((1+$G$4)^(30/360))^(B393/(EDATE(C393-A393,1)-(C393-A393))),9)</f>
        <v/>
      </c>
      <c r="H393" s="4">
        <f>TRUNC((F393*G393-F393),8)</f>
        <v/>
      </c>
      <c r="I393" s="4">
        <f>F393+H393</f>
        <v/>
      </c>
    </row>
    <row r="394">
      <c r="A394" s="1">
        <f>IF(DAY(C394)=DAY($K$1+1),1,A393+1)</f>
        <v/>
      </c>
      <c r="B394" s="1">
        <f>IF(DAY(C394)=DAY($K$1+1),1,B393+1)</f>
        <v/>
      </c>
      <c r="C394" s="2">
        <f>C393+1</f>
        <v/>
      </c>
      <c r="D394" s="8">
        <f>IF(DAY(C394)=DAY($K$1+1),TRUNC(($D$5),8),D393)</f>
        <v/>
      </c>
      <c r="E394" s="4">
        <f>TRUNC(((1+IPCA!#REF!))^(A394/31),8)</f>
        <v/>
      </c>
      <c r="F394" s="4">
        <f>TRUNC((D394*E394),8)</f>
        <v/>
      </c>
      <c r="G394" s="3">
        <f>ROUND(((1+$G$4)^(30/360))^(B394/(EDATE(C394-A394,1)-(C394-A394))),9)</f>
        <v/>
      </c>
      <c r="H394" s="4">
        <f>TRUNC((F394*G394-F394),8)</f>
        <v/>
      </c>
      <c r="I394" s="4">
        <f>F394+H394</f>
        <v/>
      </c>
      <c r="J394" s="35" t="inlineStr">
        <is>
          <t>CRI Integralizado:</t>
        </is>
      </c>
      <c r="K394" s="268" t="n">
        <v>1540</v>
      </c>
    </row>
    <row r="395">
      <c r="A395" s="1">
        <f>IF(DAY(C395)=DAY($K$1+1),1,A394+1)</f>
        <v/>
      </c>
      <c r="B395" s="1">
        <f>IF(DAY(C395)=DAY($K$1+1),1,B394+1)</f>
        <v/>
      </c>
      <c r="C395" s="2">
        <f>C394+1</f>
        <v/>
      </c>
      <c r="D395" s="8">
        <f>IF(DAY(C395)=DAY($K$1+1),TRUNC(($D$5),8),D394)</f>
        <v/>
      </c>
      <c r="E395" s="4">
        <f>TRUNC(((1+IPCA!#REF!))^(A395/31),8)</f>
        <v/>
      </c>
      <c r="F395" s="4">
        <f>TRUNC((D395*E395),8)</f>
        <v/>
      </c>
      <c r="G395" s="3">
        <f>ROUND(((1+$G$4)^(30/360))^(B395/(EDATE(C395-A395,1)-(C395-A395))),9)</f>
        <v/>
      </c>
      <c r="H395" s="4">
        <f>TRUNC((F395*G395-F395),8)</f>
        <v/>
      </c>
      <c r="I395" s="4">
        <f>F395+H395</f>
        <v/>
      </c>
      <c r="J395" s="33" t="inlineStr">
        <is>
          <t>JUROS</t>
        </is>
      </c>
      <c r="K395" s="33" t="inlineStr">
        <is>
          <t>AMORTIZAÇÃO</t>
        </is>
      </c>
      <c r="L395" s="33" t="inlineStr">
        <is>
          <t>AMEX</t>
        </is>
      </c>
      <c r="M395" s="33" t="inlineStr">
        <is>
          <t>RESIDUAL</t>
        </is>
      </c>
    </row>
    <row r="396">
      <c r="A396" s="22">
        <f>IF(DAY(C396)=DAY($K$1+1),1,A395+1)</f>
        <v/>
      </c>
      <c r="B396" s="22">
        <f>IF(DAY(C396)=DAY($K$1+1),1,B395+1)</f>
        <v/>
      </c>
      <c r="C396" s="23">
        <f>C395+1</f>
        <v/>
      </c>
      <c r="D396" s="24">
        <f>IF(DAY(C396)=DAY($K$1+1),TRUNC(($D$5),8),D395)</f>
        <v/>
      </c>
      <c r="E396" s="25">
        <f>TRUNC(((1+IPCA!#REF!))^(A396/31),8)</f>
        <v/>
      </c>
      <c r="F396" s="25">
        <f>TRUNC((D396*E396),8)</f>
        <v/>
      </c>
      <c r="G396" s="26">
        <f>ROUND(((1+$G$4)^(30/360))^(B396/(EDATE(C396-A396,1)-(C396-A396))),9)</f>
        <v/>
      </c>
      <c r="H396" s="25">
        <f>TRUNC((F396*G396-F396),8)</f>
        <v/>
      </c>
      <c r="I396" s="25">
        <f>F396+H396</f>
        <v/>
      </c>
      <c r="J396" s="28">
        <f>TRUNC(H396,8)</f>
        <v/>
      </c>
      <c r="K396" s="29">
        <f>TRUNC(F396*'Amort TS'!#REF!,8)</f>
        <v/>
      </c>
      <c r="L396" s="29" t="n">
        <v>0</v>
      </c>
      <c r="M396" s="29">
        <f>I396-J396-K396-L396</f>
        <v/>
      </c>
    </row>
    <row r="397">
      <c r="A397" s="1">
        <f>IF(DAY(C397)=DAY($K$1+1),1,A396+1)</f>
        <v/>
      </c>
      <c r="B397" s="1">
        <f>IF(DAY(C397)=DAY($K$1+1),1,B396+1)</f>
        <v/>
      </c>
      <c r="C397" s="2">
        <f>C396+1</f>
        <v/>
      </c>
      <c r="D397" s="8">
        <f>M396</f>
        <v/>
      </c>
      <c r="E397" s="4">
        <f>TRUNC(((1+IPCA!#REF!))^(A397/30),8)</f>
        <v/>
      </c>
      <c r="F397" s="4">
        <f>TRUNC((D397*E397),8)</f>
        <v/>
      </c>
      <c r="G397" s="3">
        <f>ROUND(((1+$G$4)^(30/360))^(B397/(EDATE(C397-A397,1)-(C397-A397))),9)</f>
        <v/>
      </c>
      <c r="H397" s="4">
        <f>TRUNC((F397*G397-F397),8)</f>
        <v/>
      </c>
      <c r="I397" s="4">
        <f>F397+H397</f>
        <v/>
      </c>
      <c r="J397" s="8">
        <f>J396*1540</f>
        <v/>
      </c>
      <c r="K397" s="8">
        <f>K396*1540</f>
        <v/>
      </c>
      <c r="L397" s="8" t="n">
        <v>0</v>
      </c>
      <c r="M397" s="8">
        <f>M396*1540</f>
        <v/>
      </c>
    </row>
    <row r="398" ht="13.8" customHeight="1" s="260" thickBot="1">
      <c r="A398" s="1">
        <f>IF(DAY(C398)=DAY($K$1+1),1,A397+1)</f>
        <v/>
      </c>
      <c r="B398" s="1">
        <f>IF(DAY(C398)=DAY($K$1+1),1,B397+1)</f>
        <v/>
      </c>
      <c r="C398" s="2">
        <f>C397+1</f>
        <v/>
      </c>
      <c r="D398" s="8">
        <f>IF(DAY(C398)=DAY($K$1+1),TRUNC(($D$5),8),D397)</f>
        <v/>
      </c>
      <c r="E398" s="4">
        <f>TRUNC(((1+IPCA!#REF!))^(A398/30),8)</f>
        <v/>
      </c>
      <c r="F398" s="4">
        <f>TRUNC((D398*E398),8)</f>
        <v/>
      </c>
      <c r="G398" s="3">
        <f>ROUND(((1+$G$4)^(30/360))^(B398/(EDATE(C398-A398,1)-(C398-A398))),9)</f>
        <v/>
      </c>
      <c r="H398" s="4">
        <f>TRUNC((F398*G398-F398),8)</f>
        <v/>
      </c>
      <c r="I398" s="4">
        <f>F398+H398</f>
        <v/>
      </c>
      <c r="J398" s="34" t="n"/>
      <c r="K398" s="30" t="n"/>
      <c r="L398" s="10" t="n"/>
    </row>
    <row r="399" ht="13.8" customHeight="1" s="260" thickBot="1">
      <c r="A399" s="1">
        <f>IF(DAY(C399)=DAY($K$1+1),1,A398+1)</f>
        <v/>
      </c>
      <c r="B399" s="1">
        <f>IF(DAY(C399)=DAY($K$1+1),1,B398+1)</f>
        <v/>
      </c>
      <c r="C399" s="2">
        <f>C398+1</f>
        <v/>
      </c>
      <c r="D399" s="8">
        <f>IF(DAY(C399)=DAY($K$1+1),TRUNC(($D$5),8),D398)</f>
        <v/>
      </c>
      <c r="E399" s="4">
        <f>TRUNC(((1+IPCA!#REF!))^(A399/30),8)</f>
        <v/>
      </c>
      <c r="F399" s="4">
        <f>TRUNC((D399*E399),8)</f>
        <v/>
      </c>
      <c r="G399" s="3">
        <f>ROUND(((1+$G$4)^(30/360))^(B399/(EDATE(C399-A399,1)-(C399-A399))),9)</f>
        <v/>
      </c>
      <c r="H399" s="4">
        <f>TRUNC((F399*G399-F399),8)</f>
        <v/>
      </c>
      <c r="I399" s="4">
        <f>F399+H399</f>
        <v/>
      </c>
      <c r="J399" s="31">
        <f>SUM(J397:K397)</f>
        <v/>
      </c>
      <c r="K399" s="32" t="inlineStr">
        <is>
          <t>TOTAL PMT</t>
        </is>
      </c>
      <c r="L399" s="10" t="n"/>
    </row>
    <row r="400">
      <c r="A400" s="1">
        <f>IF(DAY(C400)=DAY($K$1+1),1,A399+1)</f>
        <v/>
      </c>
      <c r="B400" s="1">
        <f>IF(DAY(C400)=DAY($K$1+1),1,B399+1)</f>
        <v/>
      </c>
      <c r="C400" s="2">
        <f>C399+1</f>
        <v/>
      </c>
      <c r="D400" s="8">
        <f>IF(DAY(C400)=DAY($K$1+1),TRUNC(($D$5),8),D399)</f>
        <v/>
      </c>
      <c r="E400" s="4">
        <f>TRUNC(((1+IPCA!#REF!))^(A400/30),8)</f>
        <v/>
      </c>
      <c r="F400" s="4">
        <f>TRUNC((D400*E400),8)</f>
        <v/>
      </c>
      <c r="G400" s="3">
        <f>ROUND(((1+$G$4)^(30/360))^(B400/(EDATE(C400-A400,1)-(C400-A400))),9)</f>
        <v/>
      </c>
      <c r="H400" s="4">
        <f>TRUNC((F400*G400-F400),8)</f>
        <v/>
      </c>
      <c r="I400" s="4">
        <f>F400+H400</f>
        <v/>
      </c>
      <c r="J400" s="267" t="n"/>
    </row>
    <row r="401">
      <c r="A401" s="1">
        <f>IF(DAY(C401)=DAY($K$1+1),1,A400+1)</f>
        <v/>
      </c>
      <c r="B401" s="1">
        <f>IF(DAY(C401)=DAY($K$1+1),1,B400+1)</f>
        <v/>
      </c>
      <c r="C401" s="2">
        <f>C400+1</f>
        <v/>
      </c>
      <c r="D401" s="8">
        <f>IF(DAY(C401)=DAY($K$1+1),TRUNC(($D$5),8),D400)</f>
        <v/>
      </c>
      <c r="E401" s="4">
        <f>TRUNC(((1+IPCA!#REF!))^(A401/30),8)</f>
        <v/>
      </c>
      <c r="F401" s="4">
        <f>TRUNC((D401*E401),8)</f>
        <v/>
      </c>
      <c r="G401" s="3">
        <f>ROUND(((1+$G$4)^(30/360))^(B401/(EDATE(C401-A401,1)-(C401-A401))),9)</f>
        <v/>
      </c>
      <c r="H401" s="4">
        <f>TRUNC((F401*G401-F401),8)</f>
        <v/>
      </c>
      <c r="I401" s="4">
        <f>F401+H401</f>
        <v/>
      </c>
    </row>
    <row r="402">
      <c r="A402" s="1">
        <f>IF(DAY(C402)=DAY($K$1+1),1,A401+1)</f>
        <v/>
      </c>
      <c r="B402" s="1">
        <f>IF(DAY(C402)=DAY($K$1+1),1,B401+1)</f>
        <v/>
      </c>
      <c r="C402" s="2">
        <f>C401+1</f>
        <v/>
      </c>
      <c r="D402" s="8">
        <f>IF(DAY(C402)=DAY($K$1+1),TRUNC(($D$5),8),D401)</f>
        <v/>
      </c>
      <c r="E402" s="4">
        <f>TRUNC(((1+IPCA!#REF!))^(A402/30),8)</f>
        <v/>
      </c>
      <c r="F402" s="4">
        <f>TRUNC((D402*E402),8)</f>
        <v/>
      </c>
      <c r="G402" s="3">
        <f>ROUND(((1+$G$4)^(30/360))^(B402/(EDATE(C402-A402,1)-(C402-A402))),9)</f>
        <v/>
      </c>
      <c r="H402" s="4">
        <f>TRUNC((F402*G402-F402),8)</f>
        <v/>
      </c>
      <c r="I402" s="4">
        <f>F402+H402</f>
        <v/>
      </c>
    </row>
    <row r="403">
      <c r="A403" s="1">
        <f>IF(DAY(C403)=DAY($K$1+1),1,A402+1)</f>
        <v/>
      </c>
      <c r="B403" s="1">
        <f>IF(DAY(C403)=DAY($K$1+1),1,B402+1)</f>
        <v/>
      </c>
      <c r="C403" s="2">
        <f>C402+1</f>
        <v/>
      </c>
      <c r="D403" s="8">
        <f>IF(DAY(C403)=DAY($K$1+1),TRUNC(($D$5),8),D402)</f>
        <v/>
      </c>
      <c r="E403" s="4">
        <f>TRUNC(((1+IPCA!#REF!))^(A403/30),8)</f>
        <v/>
      </c>
      <c r="F403" s="4">
        <f>TRUNC((D403*E403),8)</f>
        <v/>
      </c>
      <c r="G403" s="3">
        <f>ROUND(((1+$G$4)^(30/360))^(B403/(EDATE(C403-A403,1)-(C403-A403))),9)</f>
        <v/>
      </c>
      <c r="H403" s="4">
        <f>TRUNC((F403*G403-F403),8)</f>
        <v/>
      </c>
      <c r="I403" s="4">
        <f>F403+H403</f>
        <v/>
      </c>
    </row>
    <row r="404">
      <c r="A404" s="1">
        <f>IF(DAY(C404)=DAY($K$1+1),1,A403+1)</f>
        <v/>
      </c>
      <c r="B404" s="1">
        <f>IF(DAY(C404)=DAY($K$1+1),1,B403+1)</f>
        <v/>
      </c>
      <c r="C404" s="2">
        <f>C403+1</f>
        <v/>
      </c>
      <c r="D404" s="8">
        <f>IF(DAY(C404)=DAY($K$1+1),TRUNC(($D$5),8),D403)</f>
        <v/>
      </c>
      <c r="E404" s="4">
        <f>TRUNC(((1+IPCA!#REF!))^(A404/30),8)</f>
        <v/>
      </c>
      <c r="F404" s="4">
        <f>TRUNC((D404*E404),8)</f>
        <v/>
      </c>
      <c r="G404" s="3">
        <f>ROUND(((1+$G$4)^(30/360))^(B404/(EDATE(C404-A404,1)-(C404-A404))),9)</f>
        <v/>
      </c>
      <c r="H404" s="4">
        <f>TRUNC((F404*G404-F404),8)</f>
        <v/>
      </c>
      <c r="I404" s="4">
        <f>F404+H404</f>
        <v/>
      </c>
    </row>
    <row r="405">
      <c r="A405" s="1">
        <f>IF(DAY(C405)=DAY($K$1+1),1,A404+1)</f>
        <v/>
      </c>
      <c r="B405" s="1">
        <f>IF(DAY(C405)=DAY($K$1+1),1,B404+1)</f>
        <v/>
      </c>
      <c r="C405" s="2">
        <f>C404+1</f>
        <v/>
      </c>
      <c r="D405" s="8">
        <f>IF(DAY(C405)=DAY($K$1+1),TRUNC(($D$5),8),D404)</f>
        <v/>
      </c>
      <c r="E405" s="4">
        <f>TRUNC(((1+IPCA!#REF!))^(A405/30),8)</f>
        <v/>
      </c>
      <c r="F405" s="4">
        <f>TRUNC((D405*E405),8)</f>
        <v/>
      </c>
      <c r="G405" s="3">
        <f>ROUND(((1+$G$4)^(30/360))^(B405/(EDATE(C405-A405,1)-(C405-A405))),9)</f>
        <v/>
      </c>
      <c r="H405" s="4">
        <f>TRUNC((F405*G405-F405),8)</f>
        <v/>
      </c>
      <c r="I405" s="4">
        <f>F405+H405</f>
        <v/>
      </c>
    </row>
    <row r="406">
      <c r="A406" s="1">
        <f>IF(DAY(C406)=DAY($K$1+1),1,A405+1)</f>
        <v/>
      </c>
      <c r="B406" s="1">
        <f>IF(DAY(C406)=DAY($K$1+1),1,B405+1)</f>
        <v/>
      </c>
      <c r="C406" s="2">
        <f>C405+1</f>
        <v/>
      </c>
      <c r="D406" s="8">
        <f>IF(DAY(C406)=DAY($K$1+1),TRUNC(($D$5),8),D405)</f>
        <v/>
      </c>
      <c r="E406" s="4">
        <f>TRUNC(((1+IPCA!#REF!))^(A406/30),8)</f>
        <v/>
      </c>
      <c r="F406" s="4">
        <f>TRUNC((D406*E406),8)</f>
        <v/>
      </c>
      <c r="G406" s="3">
        <f>ROUND(((1+$G$4)^(30/360))^(B406/(EDATE(C406-A406,1)-(C406-A406))),9)</f>
        <v/>
      </c>
      <c r="H406" s="4">
        <f>TRUNC((F406*G406-F406),8)</f>
        <v/>
      </c>
      <c r="I406" s="4">
        <f>F406+H406</f>
        <v/>
      </c>
    </row>
    <row r="407">
      <c r="A407" s="1">
        <f>IF(DAY(C407)=DAY($K$1+1),1,A406+1)</f>
        <v/>
      </c>
      <c r="B407" s="1">
        <f>IF(DAY(C407)=DAY($K$1+1),1,B406+1)</f>
        <v/>
      </c>
      <c r="C407" s="2">
        <f>C406+1</f>
        <v/>
      </c>
      <c r="D407" s="8">
        <f>IF(DAY(C407)=DAY($K$1+1),TRUNC(($D$5),8),D406)</f>
        <v/>
      </c>
      <c r="E407" s="4">
        <f>TRUNC(((1+IPCA!#REF!))^(A407/30),8)</f>
        <v/>
      </c>
      <c r="F407" s="4">
        <f>TRUNC((D407*E407),8)</f>
        <v/>
      </c>
      <c r="G407" s="3">
        <f>ROUND(((1+$G$4)^(30/360))^(B407/(EDATE(C407-A407,1)-(C407-A407))),9)</f>
        <v/>
      </c>
      <c r="H407" s="4">
        <f>TRUNC((F407*G407-F407),8)</f>
        <v/>
      </c>
      <c r="I407" s="4">
        <f>F407+H407</f>
        <v/>
      </c>
    </row>
    <row r="408">
      <c r="A408" s="1">
        <f>IF(DAY(C408)=DAY($K$1+1),1,A407+1)</f>
        <v/>
      </c>
      <c r="B408" s="1">
        <f>IF(DAY(C408)=DAY($K$1+1),1,B407+1)</f>
        <v/>
      </c>
      <c r="C408" s="2">
        <f>C407+1</f>
        <v/>
      </c>
      <c r="D408" s="8">
        <f>IF(DAY(C408)=DAY($K$1+1),TRUNC(($D$5),8),D407)</f>
        <v/>
      </c>
      <c r="E408" s="4">
        <f>TRUNC(((1+IPCA!#REF!))^(A408/30),8)</f>
        <v/>
      </c>
      <c r="F408" s="4">
        <f>TRUNC((D408*E408),8)</f>
        <v/>
      </c>
      <c r="G408" s="3">
        <f>ROUND(((1+$G$4)^(30/360))^(B408/(EDATE(C408-A408,1)-(C408-A408))),9)</f>
        <v/>
      </c>
      <c r="H408" s="4">
        <f>TRUNC((F408*G408-F408),8)</f>
        <v/>
      </c>
      <c r="I408" s="4">
        <f>F408+H408</f>
        <v/>
      </c>
    </row>
    <row r="409">
      <c r="A409" s="1">
        <f>IF(DAY(C409)=DAY($K$1+1),1,A408+1)</f>
        <v/>
      </c>
      <c r="B409" s="1">
        <f>IF(DAY(C409)=DAY($K$1+1),1,B408+1)</f>
        <v/>
      </c>
      <c r="C409" s="2">
        <f>C408+1</f>
        <v/>
      </c>
      <c r="D409" s="8">
        <f>IF(DAY(C409)=DAY($K$1+1),TRUNC(($D$5),8),D408)</f>
        <v/>
      </c>
      <c r="E409" s="4">
        <f>TRUNC(((1+IPCA!#REF!))^(A409/30),8)</f>
        <v/>
      </c>
      <c r="F409" s="4">
        <f>TRUNC((D409*E409),8)</f>
        <v/>
      </c>
      <c r="G409" s="3">
        <f>ROUND(((1+$G$4)^(30/360))^(B409/(EDATE(C409-A409,1)-(C409-A409))),9)</f>
        <v/>
      </c>
      <c r="H409" s="4">
        <f>TRUNC((F409*G409-F409),8)</f>
        <v/>
      </c>
      <c r="I409" s="4">
        <f>F409+H409</f>
        <v/>
      </c>
    </row>
    <row r="410">
      <c r="A410" s="1">
        <f>IF(DAY(C410)=DAY($K$1+1),1,A409+1)</f>
        <v/>
      </c>
      <c r="B410" s="1">
        <f>IF(DAY(C410)=DAY($K$1+1),1,B409+1)</f>
        <v/>
      </c>
      <c r="C410" s="2">
        <f>C409+1</f>
        <v/>
      </c>
      <c r="D410" s="8">
        <f>IF(DAY(C410)=DAY($K$1+1),TRUNC(($D$5),8),D409)</f>
        <v/>
      </c>
      <c r="E410" s="4">
        <f>TRUNC(((1+IPCA!#REF!))^(A410/30),8)</f>
        <v/>
      </c>
      <c r="F410" s="4">
        <f>TRUNC((D410*E410),8)</f>
        <v/>
      </c>
      <c r="G410" s="3">
        <f>ROUND(((1+$G$4)^(30/360))^(B410/(EDATE(C410-A410,1)-(C410-A410))),9)</f>
        <v/>
      </c>
      <c r="H410" s="4">
        <f>TRUNC((F410*G410-F410),8)</f>
        <v/>
      </c>
      <c r="I410" s="4">
        <f>F410+H410</f>
        <v/>
      </c>
    </row>
    <row r="411">
      <c r="A411" s="1">
        <f>IF(DAY(C411)=DAY($K$1+1),1,A410+1)</f>
        <v/>
      </c>
      <c r="B411" s="1">
        <f>IF(DAY(C411)=DAY($K$1+1),1,B410+1)</f>
        <v/>
      </c>
      <c r="C411" s="2">
        <f>C410+1</f>
        <v/>
      </c>
      <c r="D411" s="8">
        <f>IF(DAY(C411)=DAY($K$1+1),TRUNC(($D$5),8),D410)</f>
        <v/>
      </c>
      <c r="E411" s="4">
        <f>TRUNC(((1+IPCA!#REF!))^(A411/30),8)</f>
        <v/>
      </c>
      <c r="F411" s="4">
        <f>TRUNC((D411*E411),8)</f>
        <v/>
      </c>
      <c r="G411" s="3">
        <f>ROUND(((1+$G$4)^(30/360))^(B411/(EDATE(C411-A411,1)-(C411-A411))),9)</f>
        <v/>
      </c>
      <c r="H411" s="4">
        <f>TRUNC((F411*G411-F411),8)</f>
        <v/>
      </c>
      <c r="I411" s="4">
        <f>F411+H411</f>
        <v/>
      </c>
    </row>
    <row r="412">
      <c r="A412" s="1">
        <f>IF(DAY(C412)=DAY($K$1+1),1,A411+1)</f>
        <v/>
      </c>
      <c r="B412" s="1">
        <f>IF(DAY(C412)=DAY($K$1+1),1,B411+1)</f>
        <v/>
      </c>
      <c r="C412" s="2">
        <f>C411+1</f>
        <v/>
      </c>
      <c r="D412" s="8">
        <f>IF(DAY(C412)=DAY($K$1+1),TRUNC(($D$5),8),D411)</f>
        <v/>
      </c>
      <c r="E412" s="4">
        <f>TRUNC(((1+IPCA!#REF!))^(A412/30),8)</f>
        <v/>
      </c>
      <c r="F412" s="4">
        <f>TRUNC((D412*E412),8)</f>
        <v/>
      </c>
      <c r="G412" s="3">
        <f>ROUND(((1+$G$4)^(30/360))^(B412/(EDATE(C412-A412,1)-(C412-A412))),9)</f>
        <v/>
      </c>
      <c r="H412" s="4">
        <f>TRUNC((F412*G412-F412),8)</f>
        <v/>
      </c>
      <c r="I412" s="4">
        <f>F412+H412</f>
        <v/>
      </c>
    </row>
    <row r="413">
      <c r="A413" s="1">
        <f>IF(DAY(C413)=DAY($K$1+1),1,A412+1)</f>
        <v/>
      </c>
      <c r="B413" s="1">
        <f>IF(DAY(C413)=DAY($K$1+1),1,B412+1)</f>
        <v/>
      </c>
      <c r="C413" s="2">
        <f>C412+1</f>
        <v/>
      </c>
      <c r="D413" s="8">
        <f>IF(DAY(C413)=DAY($K$1+1),TRUNC(($D$5),8),D412)</f>
        <v/>
      </c>
      <c r="E413" s="4">
        <f>TRUNC(((1+IPCA!#REF!))^(A413/30),8)</f>
        <v/>
      </c>
      <c r="F413" s="4">
        <f>TRUNC((D413*E413),8)</f>
        <v/>
      </c>
      <c r="G413" s="3">
        <f>ROUND(((1+$G$4)^(30/360))^(B413/(EDATE(C413-A413,1)-(C413-A413))),9)</f>
        <v/>
      </c>
      <c r="H413" s="4">
        <f>TRUNC((F413*G413-F413),8)</f>
        <v/>
      </c>
      <c r="I413" s="4">
        <f>F413+H413</f>
        <v/>
      </c>
    </row>
    <row r="414">
      <c r="A414" s="1">
        <f>IF(DAY(C414)=DAY($K$1+1),1,A413+1)</f>
        <v/>
      </c>
      <c r="B414" s="1">
        <f>IF(DAY(C414)=DAY($K$1+1),1,B413+1)</f>
        <v/>
      </c>
      <c r="C414" s="2">
        <f>C413+1</f>
        <v/>
      </c>
      <c r="D414" s="8">
        <f>IF(DAY(C414)=DAY($K$1+1),TRUNC(($D$5),8),D413)</f>
        <v/>
      </c>
      <c r="E414" s="4">
        <f>TRUNC(((1+IPCA!#REF!))^(A414/30),8)</f>
        <v/>
      </c>
      <c r="F414" s="4">
        <f>TRUNC((D414*E414),8)</f>
        <v/>
      </c>
      <c r="G414" s="3">
        <f>ROUND(((1+$G$4)^(30/360))^(B414/(EDATE(C414-A414,1)-(C414-A414))),9)</f>
        <v/>
      </c>
      <c r="H414" s="4">
        <f>TRUNC((F414*G414-F414),8)</f>
        <v/>
      </c>
      <c r="I414" s="4">
        <f>F414+H414</f>
        <v/>
      </c>
    </row>
    <row r="415">
      <c r="A415" s="1">
        <f>IF(DAY(C415)=DAY($K$1+1),1,A414+1)</f>
        <v/>
      </c>
      <c r="B415" s="1">
        <f>IF(DAY(C415)=DAY($K$1+1),1,B414+1)</f>
        <v/>
      </c>
      <c r="C415" s="2">
        <f>C414+1</f>
        <v/>
      </c>
      <c r="D415" s="8">
        <f>IF(DAY(C415)=DAY($K$1+1),TRUNC(($D$5),8),D414)</f>
        <v/>
      </c>
      <c r="E415" s="4">
        <f>TRUNC(((1+IPCA!#REF!))^(A415/30),8)</f>
        <v/>
      </c>
      <c r="F415" s="4">
        <f>TRUNC((D415*E415),8)</f>
        <v/>
      </c>
      <c r="G415" s="3">
        <f>ROUND(((1+$G$4)^(30/360))^(B415/(EDATE(C415-A415,1)-(C415-A415))),9)</f>
        <v/>
      </c>
      <c r="H415" s="4">
        <f>TRUNC((F415*G415-F415),8)</f>
        <v/>
      </c>
      <c r="I415" s="4">
        <f>F415+H415</f>
        <v/>
      </c>
    </row>
    <row r="416">
      <c r="A416" s="1">
        <f>IF(DAY(C416)=DAY($K$1+1),1,A415+1)</f>
        <v/>
      </c>
      <c r="B416" s="1">
        <f>IF(DAY(C416)=DAY($K$1+1),1,B415+1)</f>
        <v/>
      </c>
      <c r="C416" s="2">
        <f>C415+1</f>
        <v/>
      </c>
      <c r="D416" s="8">
        <f>IF(DAY(C416)=DAY($K$1+1),TRUNC(($D$5),8),D415)</f>
        <v/>
      </c>
      <c r="E416" s="4">
        <f>TRUNC(((1+IPCA!#REF!))^(A416/30),8)</f>
        <v/>
      </c>
      <c r="F416" s="4">
        <f>TRUNC((D416*E416),8)</f>
        <v/>
      </c>
      <c r="G416" s="3">
        <f>ROUND(((1+$G$4)^(30/360))^(B416/(EDATE(C416-A416,1)-(C416-A416))),9)</f>
        <v/>
      </c>
      <c r="H416" s="4">
        <f>TRUNC((F416*G416-F416),8)</f>
        <v/>
      </c>
      <c r="I416" s="4">
        <f>F416+H416</f>
        <v/>
      </c>
    </row>
    <row r="417">
      <c r="A417" s="1">
        <f>IF(DAY(C417)=DAY($K$1+1),1,A416+1)</f>
        <v/>
      </c>
      <c r="B417" s="1">
        <f>IF(DAY(C417)=DAY($K$1+1),1,B416+1)</f>
        <v/>
      </c>
      <c r="C417" s="2">
        <f>C416+1</f>
        <v/>
      </c>
      <c r="D417" s="8">
        <f>IF(DAY(C417)=DAY($K$1+1),TRUNC(($D$5),8),D416)</f>
        <v/>
      </c>
      <c r="E417" s="4">
        <f>TRUNC(((1+IPCA!#REF!))^(A417/30),8)</f>
        <v/>
      </c>
      <c r="F417" s="4">
        <f>TRUNC((D417*E417),8)</f>
        <v/>
      </c>
      <c r="G417" s="3">
        <f>ROUND(((1+$G$4)^(30/360))^(B417/(EDATE(C417-A417,1)-(C417-A417))),9)</f>
        <v/>
      </c>
      <c r="H417" s="4">
        <f>TRUNC((F417*G417-F417),8)</f>
        <v/>
      </c>
      <c r="I417" s="4">
        <f>F417+H417</f>
        <v/>
      </c>
    </row>
    <row r="418">
      <c r="A418" s="1">
        <f>IF(DAY(C418)=DAY($K$1+1),1,A417+1)</f>
        <v/>
      </c>
      <c r="B418" s="1">
        <f>IF(DAY(C418)=DAY($K$1+1),1,B417+1)</f>
        <v/>
      </c>
      <c r="C418" s="2">
        <f>C417+1</f>
        <v/>
      </c>
      <c r="D418" s="8">
        <f>IF(DAY(C418)=DAY($K$1+1),TRUNC(($D$5),8),D417)</f>
        <v/>
      </c>
      <c r="E418" s="4">
        <f>TRUNC(((1+IPCA!#REF!))^(A418/30),8)</f>
        <v/>
      </c>
      <c r="F418" s="4">
        <f>TRUNC((D418*E418),8)</f>
        <v/>
      </c>
      <c r="G418" s="3">
        <f>ROUND(((1+$G$4)^(30/360))^(B418/(EDATE(C418-A418,1)-(C418-A418))),9)</f>
        <v/>
      </c>
      <c r="H418" s="4">
        <f>TRUNC((F418*G418-F418),8)</f>
        <v/>
      </c>
      <c r="I418" s="4">
        <f>F418+H418</f>
        <v/>
      </c>
    </row>
    <row r="419">
      <c r="A419" s="1">
        <f>IF(DAY(C419)=DAY($K$1+1),1,A418+1)</f>
        <v/>
      </c>
      <c r="B419" s="1">
        <f>IF(DAY(C419)=DAY($K$1+1),1,B418+1)</f>
        <v/>
      </c>
      <c r="C419" s="2">
        <f>C418+1</f>
        <v/>
      </c>
      <c r="D419" s="8">
        <f>IF(DAY(C419)=DAY($K$1+1),TRUNC(($D$5),8),D418)</f>
        <v/>
      </c>
      <c r="E419" s="4">
        <f>TRUNC(((1+IPCA!#REF!))^(A419/30),8)</f>
        <v/>
      </c>
      <c r="F419" s="4">
        <f>TRUNC((D419*E419),8)</f>
        <v/>
      </c>
      <c r="G419" s="3">
        <f>ROUND(((1+$G$4)^(30/360))^(B419/(EDATE(C419-A419,1)-(C419-A419))),9)</f>
        <v/>
      </c>
      <c r="H419" s="4">
        <f>TRUNC((F419*G419-F419),8)</f>
        <v/>
      </c>
      <c r="I419" s="4">
        <f>F419+H419</f>
        <v/>
      </c>
    </row>
    <row r="420">
      <c r="A420" s="1">
        <f>IF(DAY(C420)=DAY($K$1+1),1,A419+1)</f>
        <v/>
      </c>
      <c r="B420" s="1">
        <f>IF(DAY(C420)=DAY($K$1+1),1,B419+1)</f>
        <v/>
      </c>
      <c r="C420" s="2">
        <f>C419+1</f>
        <v/>
      </c>
      <c r="D420" s="8">
        <f>IF(DAY(C420)=DAY($K$1+1),TRUNC(($D$5),8),D419)</f>
        <v/>
      </c>
      <c r="E420" s="4">
        <f>TRUNC(((1+IPCA!#REF!))^(A420/30),8)</f>
        <v/>
      </c>
      <c r="F420" s="4">
        <f>TRUNC((D420*E420),8)</f>
        <v/>
      </c>
      <c r="G420" s="3">
        <f>ROUND(((1+$G$4)^(30/360))^(B420/(EDATE(C420-A420,1)-(C420-A420))),9)</f>
        <v/>
      </c>
      <c r="H420" s="4">
        <f>TRUNC((F420*G420-F420),8)</f>
        <v/>
      </c>
      <c r="I420" s="4">
        <f>F420+H420</f>
        <v/>
      </c>
    </row>
    <row r="421">
      <c r="A421" s="1">
        <f>IF(DAY(C421)=DAY($K$1+1),1,A420+1)</f>
        <v/>
      </c>
      <c r="B421" s="1">
        <f>IF(DAY(C421)=DAY($K$1+1),1,B420+1)</f>
        <v/>
      </c>
      <c r="C421" s="2">
        <f>C420+1</f>
        <v/>
      </c>
      <c r="D421" s="8">
        <f>IF(DAY(C421)=DAY($K$1+1),TRUNC(($D$5),8),D420)</f>
        <v/>
      </c>
      <c r="E421" s="4">
        <f>TRUNC(((1+IPCA!#REF!))^(A421/30),8)</f>
        <v/>
      </c>
      <c r="F421" s="4">
        <f>TRUNC((D421*E421),8)</f>
        <v/>
      </c>
      <c r="G421" s="3">
        <f>ROUND(((1+$G$4)^(30/360))^(B421/(EDATE(C421-A421,1)-(C421-A421))),9)</f>
        <v/>
      </c>
      <c r="H421" s="4">
        <f>TRUNC((F421*G421-F421),8)</f>
        <v/>
      </c>
      <c r="I421" s="4">
        <f>F421+H421</f>
        <v/>
      </c>
    </row>
    <row r="422">
      <c r="A422" s="1">
        <f>IF(DAY(C422)=DAY($K$1+1),1,A421+1)</f>
        <v/>
      </c>
      <c r="B422" s="1">
        <f>IF(DAY(C422)=DAY($K$1+1),1,B421+1)</f>
        <v/>
      </c>
      <c r="C422" s="2">
        <f>C421+1</f>
        <v/>
      </c>
      <c r="D422" s="8">
        <f>IF(DAY(C422)=DAY($K$1+1),TRUNC(($D$5),8),D421)</f>
        <v/>
      </c>
      <c r="E422" s="4">
        <f>TRUNC(((1+IPCA!#REF!))^(A422/30),8)</f>
        <v/>
      </c>
      <c r="F422" s="4">
        <f>TRUNC((D422*E422),8)</f>
        <v/>
      </c>
      <c r="G422" s="3">
        <f>ROUND(((1+$G$4)^(30/360))^(B422/(EDATE(C422-A422,1)-(C422-A422))),9)</f>
        <v/>
      </c>
      <c r="H422" s="4">
        <f>TRUNC((F422*G422-F422),8)</f>
        <v/>
      </c>
      <c r="I422" s="4">
        <f>F422+H422</f>
        <v/>
      </c>
    </row>
    <row r="423">
      <c r="A423" s="1">
        <f>IF(DAY(C423)=DAY($K$1+1),1,A422+1)</f>
        <v/>
      </c>
      <c r="B423" s="1">
        <f>IF(DAY(C423)=DAY($K$1+1),1,B422+1)</f>
        <v/>
      </c>
      <c r="C423" s="2">
        <f>C422+1</f>
        <v/>
      </c>
      <c r="D423" s="8">
        <f>IF(DAY(C423)=DAY($K$1+1),TRUNC(($D$5),8),D422)</f>
        <v/>
      </c>
      <c r="E423" s="4">
        <f>TRUNC(((1+IPCA!#REF!))^(A423/30),8)</f>
        <v/>
      </c>
      <c r="F423" s="4">
        <f>TRUNC((D423*E423),8)</f>
        <v/>
      </c>
      <c r="G423" s="3">
        <f>ROUND(((1+$G$4)^(30/360))^(B423/(EDATE(C423-A423,1)-(C423-A423))),9)</f>
        <v/>
      </c>
      <c r="H423" s="4">
        <f>TRUNC((F423*G423-F423),8)</f>
        <v/>
      </c>
      <c r="I423" s="4">
        <f>F423+H423</f>
        <v/>
      </c>
    </row>
    <row r="424">
      <c r="A424" s="1">
        <f>IF(DAY(C424)=DAY($K$1+1),1,A423+1)</f>
        <v/>
      </c>
      <c r="B424" s="1">
        <f>IF(DAY(C424)=DAY($K$1+1),1,B423+1)</f>
        <v/>
      </c>
      <c r="C424" s="2">
        <f>C423+1</f>
        <v/>
      </c>
      <c r="D424" s="8">
        <f>IF(DAY(C424)=DAY($K$1+1),TRUNC(($D$5),8),D423)</f>
        <v/>
      </c>
      <c r="E424" s="4">
        <f>TRUNC(((1+IPCA!#REF!))^(A424/30),8)</f>
        <v/>
      </c>
      <c r="F424" s="4">
        <f>TRUNC((D424*E424),8)</f>
        <v/>
      </c>
      <c r="G424" s="3">
        <f>ROUND(((1+$G$4)^(30/360))^(B424/(EDATE(C424-A424,1)-(C424-A424))),9)</f>
        <v/>
      </c>
      <c r="H424" s="4">
        <f>TRUNC((F424*G424-F424),8)</f>
        <v/>
      </c>
      <c r="I424" s="4">
        <f>F424+H424</f>
        <v/>
      </c>
      <c r="J424" s="35" t="inlineStr">
        <is>
          <t>CRI Integralizado:</t>
        </is>
      </c>
      <c r="K424" s="268" t="n">
        <v>1540</v>
      </c>
    </row>
    <row r="425">
      <c r="A425" s="1">
        <f>IF(DAY(C425)=DAY($K$1+1),1,A424+1)</f>
        <v/>
      </c>
      <c r="B425" s="1">
        <f>IF(DAY(C425)=DAY($K$1+1),1,B424+1)</f>
        <v/>
      </c>
      <c r="C425" s="2">
        <f>C424+1</f>
        <v/>
      </c>
      <c r="D425" s="8">
        <f>IF(DAY(C425)=DAY($K$1+1),TRUNC(($D$5),8),D424)</f>
        <v/>
      </c>
      <c r="E425" s="4">
        <f>TRUNC(((1+IPCA!#REF!))^(A425/30),8)</f>
        <v/>
      </c>
      <c r="F425" s="4">
        <f>TRUNC((D425*E425),8)</f>
        <v/>
      </c>
      <c r="G425" s="3">
        <f>ROUND(((1+$G$4)^(30/360))^(B425/(EDATE(C425-A425,1)-(C425-A425))),9)</f>
        <v/>
      </c>
      <c r="H425" s="4">
        <f>TRUNC((F425*G425-F425),8)</f>
        <v/>
      </c>
      <c r="I425" s="4">
        <f>F425+H425</f>
        <v/>
      </c>
      <c r="J425" s="33" t="inlineStr">
        <is>
          <t>JUROS</t>
        </is>
      </c>
      <c r="K425" s="33" t="inlineStr">
        <is>
          <t>AMORTIZAÇÃO</t>
        </is>
      </c>
      <c r="L425" s="33" t="inlineStr">
        <is>
          <t>AMEX</t>
        </is>
      </c>
      <c r="M425" s="33" t="inlineStr">
        <is>
          <t>RESIDUAL</t>
        </is>
      </c>
    </row>
    <row r="426">
      <c r="A426" s="22">
        <f>IF(DAY(C426)=DAY($K$1+1),1,A425+1)</f>
        <v/>
      </c>
      <c r="B426" s="22">
        <f>IF(DAY(C426)=DAY($K$1+1),1,B425+1)</f>
        <v/>
      </c>
      <c r="C426" s="23">
        <f>C425+1</f>
        <v/>
      </c>
      <c r="D426" s="24">
        <f>IF(DAY(C426)=DAY($K$1+1),TRUNC(($D$5),8),D425)</f>
        <v/>
      </c>
      <c r="E426" s="25">
        <f>TRUNC(((1+IPCA!#REF!))^(A426/30),8)</f>
        <v/>
      </c>
      <c r="F426" s="25">
        <f>TRUNC((D426*E426),8)</f>
        <v/>
      </c>
      <c r="G426" s="26">
        <f>ROUND(((1+$G$4)^(30/360))^(B426/(EDATE(C426-A426,1)-(C426-A426))),9)</f>
        <v/>
      </c>
      <c r="H426" s="25">
        <f>TRUNC((F426*G426-F426),8)</f>
        <v/>
      </c>
      <c r="I426" s="25">
        <f>F426+H426</f>
        <v/>
      </c>
      <c r="J426" s="28">
        <f>TRUNC(H426,8)</f>
        <v/>
      </c>
      <c r="K426" s="29">
        <f>TRUNC(F426*'Amort TS'!#REF!,8)</f>
        <v/>
      </c>
      <c r="L426" s="29" t="n">
        <v>0</v>
      </c>
      <c r="M426" s="29">
        <f>I426-J426-K426-L426</f>
        <v/>
      </c>
    </row>
    <row r="427">
      <c r="A427" s="1">
        <f>IF(DAY(C427)=DAY($K$1+1),1,A426+1)</f>
        <v/>
      </c>
      <c r="B427" s="1">
        <f>IF(DAY(C427)=DAY($K$1+1),1,B426+1)</f>
        <v/>
      </c>
      <c r="C427" s="2">
        <f>C426+1</f>
        <v/>
      </c>
      <c r="D427" s="8">
        <f>M426</f>
        <v/>
      </c>
      <c r="E427" s="4">
        <f>TRUNC(((1+IPCA!#REF!))^(A427/31),8)</f>
        <v/>
      </c>
      <c r="F427" s="4">
        <f>TRUNC((D427*E427),8)</f>
        <v/>
      </c>
      <c r="G427" s="3">
        <f>ROUND(((1+$G$4)^(30/360))^(B427/(EDATE(C427-A427,1)-(C427-A427))),9)</f>
        <v/>
      </c>
      <c r="H427" s="4">
        <f>TRUNC((F427*G427-F427),8)</f>
        <v/>
      </c>
      <c r="I427" s="4">
        <f>F427+H427</f>
        <v/>
      </c>
      <c r="J427" s="8">
        <f>J426*1540</f>
        <v/>
      </c>
      <c r="K427" s="8">
        <f>K426*1540</f>
        <v/>
      </c>
      <c r="L427" s="8" t="n">
        <v>0</v>
      </c>
      <c r="M427" s="8">
        <f>M426*1540</f>
        <v/>
      </c>
    </row>
    <row r="428" ht="13.8" customHeight="1" s="260" thickBot="1">
      <c r="A428" s="1">
        <f>IF(DAY(C428)=DAY($K$1+1),1,A427+1)</f>
        <v/>
      </c>
      <c r="B428" s="1">
        <f>IF(DAY(C428)=DAY($K$1+1),1,B427+1)</f>
        <v/>
      </c>
      <c r="C428" s="2">
        <f>C427+1</f>
        <v/>
      </c>
      <c r="D428" s="8">
        <f>IF(DAY(C428)=DAY($K$1+1),TRUNC(($D$5),8),D427)</f>
        <v/>
      </c>
      <c r="E428" s="4">
        <f>TRUNC(((1+IPCA!#REF!))^(A428/31),8)</f>
        <v/>
      </c>
      <c r="F428" s="4">
        <f>TRUNC((D428*E428),8)</f>
        <v/>
      </c>
      <c r="G428" s="3">
        <f>ROUND(((1+$G$4)^(30/360))^(B428/(EDATE(C428-A428,1)-(C428-A428))),9)</f>
        <v/>
      </c>
      <c r="H428" s="4">
        <f>TRUNC((F428*G428-F428),8)</f>
        <v/>
      </c>
      <c r="I428" s="4">
        <f>F428+H428</f>
        <v/>
      </c>
      <c r="J428" s="34" t="n"/>
      <c r="K428" s="30" t="n"/>
      <c r="L428" s="10" t="n"/>
    </row>
    <row r="429" ht="13.8" customHeight="1" s="260" thickBot="1">
      <c r="A429" s="1">
        <f>IF(DAY(C429)=DAY($K$1+1),1,A428+1)</f>
        <v/>
      </c>
      <c r="B429" s="1">
        <f>IF(DAY(C429)=DAY($K$1+1),1,B428+1)</f>
        <v/>
      </c>
      <c r="C429" s="2">
        <f>C428+1</f>
        <v/>
      </c>
      <c r="D429" s="8">
        <f>IF(DAY(C429)=DAY($K$1+1),TRUNC(($D$5),8),D428)</f>
        <v/>
      </c>
      <c r="E429" s="4">
        <f>TRUNC(((1+IPCA!#REF!))^(A429/31),8)</f>
        <v/>
      </c>
      <c r="F429" s="4">
        <f>TRUNC((D429*E429),8)</f>
        <v/>
      </c>
      <c r="G429" s="3">
        <f>ROUND(((1+$G$4)^(30/360))^(B429/(EDATE(C429-A429,1)-(C429-A429))),9)</f>
        <v/>
      </c>
      <c r="H429" s="4">
        <f>TRUNC((F429*G429-F429),8)</f>
        <v/>
      </c>
      <c r="I429" s="4">
        <f>F429+H429</f>
        <v/>
      </c>
      <c r="J429" s="31">
        <f>SUM(J427:K427)</f>
        <v/>
      </c>
      <c r="K429" s="32" t="inlineStr">
        <is>
          <t>TOTAL PMT</t>
        </is>
      </c>
      <c r="L429" s="10" t="n"/>
    </row>
    <row r="430">
      <c r="A430" s="1">
        <f>IF(DAY(C430)=DAY($K$1+1),1,A429+1)</f>
        <v/>
      </c>
      <c r="B430" s="1">
        <f>IF(DAY(C430)=DAY($K$1+1),1,B429+1)</f>
        <v/>
      </c>
      <c r="C430" s="2">
        <f>C429+1</f>
        <v/>
      </c>
      <c r="D430" s="8">
        <f>IF(DAY(C430)=DAY($K$1+1),TRUNC(($D$5),8),D429)</f>
        <v/>
      </c>
      <c r="E430" s="4">
        <f>TRUNC(((1+IPCA!#REF!))^(A430/31),8)</f>
        <v/>
      </c>
      <c r="F430" s="4">
        <f>TRUNC((D430*E430),8)</f>
        <v/>
      </c>
      <c r="G430" s="3">
        <f>ROUND(((1+$G$4)^(30/360))^(B430/(EDATE(C430-A430,1)-(C430-A430))),9)</f>
        <v/>
      </c>
      <c r="H430" s="4">
        <f>TRUNC((F430*G430-F430),8)</f>
        <v/>
      </c>
      <c r="I430" s="4">
        <f>F430+H430</f>
        <v/>
      </c>
    </row>
    <row r="431">
      <c r="A431" s="1">
        <f>IF(DAY(C431)=DAY($K$1+1),1,A430+1)</f>
        <v/>
      </c>
      <c r="B431" s="1">
        <f>IF(DAY(C431)=DAY($K$1+1),1,B430+1)</f>
        <v/>
      </c>
      <c r="C431" s="2">
        <f>C430+1</f>
        <v/>
      </c>
      <c r="D431" s="8">
        <f>IF(DAY(C431)=DAY($K$1+1),TRUNC(($D$5),8),D430)</f>
        <v/>
      </c>
      <c r="E431" s="4">
        <f>TRUNC(((1+IPCA!#REF!))^(A431/31),8)</f>
        <v/>
      </c>
      <c r="F431" s="4">
        <f>TRUNC((D431*E431),8)</f>
        <v/>
      </c>
      <c r="G431" s="3">
        <f>ROUND(((1+$G$4)^(30/360))^(B431/(EDATE(C431-A431,1)-(C431-A431))),9)</f>
        <v/>
      </c>
      <c r="H431" s="4">
        <f>TRUNC((F431*G431-F431),8)</f>
        <v/>
      </c>
      <c r="I431" s="4">
        <f>F431+H431</f>
        <v/>
      </c>
    </row>
    <row r="432">
      <c r="A432" s="1">
        <f>IF(DAY(C432)=DAY($K$1+1),1,A431+1)</f>
        <v/>
      </c>
      <c r="B432" s="1">
        <f>IF(DAY(C432)=DAY($K$1+1),1,B431+1)</f>
        <v/>
      </c>
      <c r="C432" s="2">
        <f>C431+1</f>
        <v/>
      </c>
      <c r="D432" s="8">
        <f>IF(DAY(C432)=DAY($K$1+1),TRUNC(($D$5),8),D431)</f>
        <v/>
      </c>
      <c r="E432" s="4">
        <f>TRUNC(((1+IPCA!#REF!))^(A432/31),8)</f>
        <v/>
      </c>
      <c r="F432" s="4">
        <f>TRUNC((D432*E432),8)</f>
        <v/>
      </c>
      <c r="G432" s="3">
        <f>ROUND(((1+$G$4)^(30/360))^(B432/(EDATE(C432-A432,1)-(C432-A432))),9)</f>
        <v/>
      </c>
      <c r="H432" s="4">
        <f>TRUNC((F432*G432-F432),8)</f>
        <v/>
      </c>
      <c r="I432" s="4">
        <f>F432+H432</f>
        <v/>
      </c>
    </row>
    <row r="433">
      <c r="A433" s="1">
        <f>IF(DAY(C433)=DAY($K$1+1),1,A432+1)</f>
        <v/>
      </c>
      <c r="B433" s="1">
        <f>IF(DAY(C433)=DAY($K$1+1),1,B432+1)</f>
        <v/>
      </c>
      <c r="C433" s="2">
        <f>C432+1</f>
        <v/>
      </c>
      <c r="D433" s="8">
        <f>IF(DAY(C433)=DAY($K$1+1),TRUNC(($D$5),8),D432)</f>
        <v/>
      </c>
      <c r="E433" s="4">
        <f>TRUNC(((1+IPCA!#REF!))^(A433/31),8)</f>
        <v/>
      </c>
      <c r="F433" s="4">
        <f>TRUNC((D433*E433),8)</f>
        <v/>
      </c>
      <c r="G433" s="3">
        <f>ROUND(((1+$G$4)^(30/360))^(B433/(EDATE(C433-A433,1)-(C433-A433))),9)</f>
        <v/>
      </c>
      <c r="H433" s="4">
        <f>TRUNC((F433*G433-F433),8)</f>
        <v/>
      </c>
      <c r="I433" s="4">
        <f>F433+H433</f>
        <v/>
      </c>
    </row>
    <row r="434">
      <c r="A434" s="1">
        <f>IF(DAY(C434)=DAY($K$1+1),1,A433+1)</f>
        <v/>
      </c>
      <c r="B434" s="1">
        <f>IF(DAY(C434)=DAY($K$1+1),1,B433+1)</f>
        <v/>
      </c>
      <c r="C434" s="2">
        <f>C433+1</f>
        <v/>
      </c>
      <c r="D434" s="8">
        <f>IF(DAY(C434)=DAY($K$1+1),TRUNC(($D$5),8),D433)</f>
        <v/>
      </c>
      <c r="E434" s="4">
        <f>TRUNC(((1+IPCA!#REF!))^(A434/31),8)</f>
        <v/>
      </c>
      <c r="F434" s="4">
        <f>TRUNC((D434*E434),8)</f>
        <v/>
      </c>
      <c r="G434" s="3">
        <f>ROUND(((1+$G$4)^(30/360))^(B434/(EDATE(C434-A434,1)-(C434-A434))),9)</f>
        <v/>
      </c>
      <c r="H434" s="4">
        <f>TRUNC((F434*G434-F434),8)</f>
        <v/>
      </c>
      <c r="I434" s="4">
        <f>F434+H434</f>
        <v/>
      </c>
    </row>
    <row r="435">
      <c r="A435" s="1">
        <f>IF(DAY(C435)=DAY($K$1+1),1,A434+1)</f>
        <v/>
      </c>
      <c r="B435" s="1">
        <f>IF(DAY(C435)=DAY($K$1+1),1,B434+1)</f>
        <v/>
      </c>
      <c r="C435" s="2">
        <f>C434+1</f>
        <v/>
      </c>
      <c r="D435" s="8">
        <f>IF(DAY(C435)=DAY($K$1+1),TRUNC(($D$5),8),D434)</f>
        <v/>
      </c>
      <c r="E435" s="4">
        <f>TRUNC(((1+IPCA!#REF!))^(A435/31),8)</f>
        <v/>
      </c>
      <c r="F435" s="4">
        <f>TRUNC((D435*E435),8)</f>
        <v/>
      </c>
      <c r="G435" s="3">
        <f>ROUND(((1+$G$4)^(30/360))^(B435/(EDATE(C435-A435,1)-(C435-A435))),9)</f>
        <v/>
      </c>
      <c r="H435" s="4">
        <f>TRUNC((F435*G435-F435),8)</f>
        <v/>
      </c>
      <c r="I435" s="4">
        <f>F435+H435</f>
        <v/>
      </c>
    </row>
    <row r="436">
      <c r="A436" s="1">
        <f>IF(DAY(C436)=DAY($K$1+1),1,A435+1)</f>
        <v/>
      </c>
      <c r="B436" s="1">
        <f>IF(DAY(C436)=DAY($K$1+1),1,B435+1)</f>
        <v/>
      </c>
      <c r="C436" s="2">
        <f>C435+1</f>
        <v/>
      </c>
      <c r="D436" s="8">
        <f>IF(DAY(C436)=DAY($K$1+1),TRUNC(($D$5),8),D435)</f>
        <v/>
      </c>
      <c r="E436" s="4">
        <f>TRUNC(((1+IPCA!#REF!))^(A436/31),8)</f>
        <v/>
      </c>
      <c r="F436" s="4">
        <f>TRUNC((D436*E436),8)</f>
        <v/>
      </c>
      <c r="G436" s="3">
        <f>ROUND(((1+$G$4)^(30/360))^(B436/(EDATE(C436-A436,1)-(C436-A436))),9)</f>
        <v/>
      </c>
      <c r="H436" s="4">
        <f>TRUNC((F436*G436-F436),8)</f>
        <v/>
      </c>
      <c r="I436" s="4">
        <f>F436+H436</f>
        <v/>
      </c>
    </row>
    <row r="437">
      <c r="A437" s="1">
        <f>IF(DAY(C437)=DAY($K$1+1),1,A436+1)</f>
        <v/>
      </c>
      <c r="B437" s="1">
        <f>IF(DAY(C437)=DAY($K$1+1),1,B436+1)</f>
        <v/>
      </c>
      <c r="C437" s="2">
        <f>C436+1</f>
        <v/>
      </c>
      <c r="D437" s="8">
        <f>IF(DAY(C437)=DAY($K$1+1),TRUNC(($D$5),8),D436)</f>
        <v/>
      </c>
      <c r="E437" s="4">
        <f>TRUNC(((1+IPCA!#REF!))^(A437/31),8)</f>
        <v/>
      </c>
      <c r="F437" s="4">
        <f>TRUNC((D437*E437),8)</f>
        <v/>
      </c>
      <c r="G437" s="3">
        <f>ROUND(((1+$G$4)^(30/360))^(B437/(EDATE(C437-A437,1)-(C437-A437))),9)</f>
        <v/>
      </c>
      <c r="H437" s="4">
        <f>TRUNC((F437*G437-F437),8)</f>
        <v/>
      </c>
      <c r="I437" s="4">
        <f>F437+H437</f>
        <v/>
      </c>
    </row>
    <row r="438">
      <c r="A438" s="1">
        <f>IF(DAY(C438)=DAY($K$1+1),1,A437+1)</f>
        <v/>
      </c>
      <c r="B438" s="1">
        <f>IF(DAY(C438)=DAY($K$1+1),1,B437+1)</f>
        <v/>
      </c>
      <c r="C438" s="2">
        <f>C437+1</f>
        <v/>
      </c>
      <c r="D438" s="8">
        <f>IF(DAY(C438)=DAY($K$1+1),TRUNC(($D$5),8),D437)</f>
        <v/>
      </c>
      <c r="E438" s="4">
        <f>TRUNC(((1+IPCA!#REF!))^(A438/31),8)</f>
        <v/>
      </c>
      <c r="F438" s="4">
        <f>TRUNC((D438*E438),8)</f>
        <v/>
      </c>
      <c r="G438" s="3">
        <f>ROUND(((1+$G$4)^(30/360))^(B438/(EDATE(C438-A438,1)-(C438-A438))),9)</f>
        <v/>
      </c>
      <c r="H438" s="4">
        <f>TRUNC((F438*G438-F438),8)</f>
        <v/>
      </c>
      <c r="I438" s="4">
        <f>F438+H438</f>
        <v/>
      </c>
    </row>
    <row r="439">
      <c r="A439" s="1">
        <f>IF(DAY(C439)=DAY($K$1+1),1,A438+1)</f>
        <v/>
      </c>
      <c r="B439" s="1">
        <f>IF(DAY(C439)=DAY($K$1+1),1,B438+1)</f>
        <v/>
      </c>
      <c r="C439" s="2">
        <f>C438+1</f>
        <v/>
      </c>
      <c r="D439" s="8">
        <f>IF(DAY(C439)=DAY($K$1+1),TRUNC(($D$5),8),D438)</f>
        <v/>
      </c>
      <c r="E439" s="4">
        <f>TRUNC(((1+IPCA!#REF!))^(A439/31),8)</f>
        <v/>
      </c>
      <c r="F439" s="4">
        <f>TRUNC((D439*E439),8)</f>
        <v/>
      </c>
      <c r="G439" s="3">
        <f>ROUND(((1+$G$4)^(30/360))^(B439/(EDATE(C439-A439,1)-(C439-A439))),9)</f>
        <v/>
      </c>
      <c r="H439" s="4">
        <f>TRUNC((F439*G439-F439),8)</f>
        <v/>
      </c>
      <c r="I439" s="4">
        <f>F439+H439</f>
        <v/>
      </c>
    </row>
    <row r="440">
      <c r="A440" s="1">
        <f>IF(DAY(C440)=DAY($K$1+1),1,A439+1)</f>
        <v/>
      </c>
      <c r="B440" s="1">
        <f>IF(DAY(C440)=DAY($K$1+1),1,B439+1)</f>
        <v/>
      </c>
      <c r="C440" s="2">
        <f>C439+1</f>
        <v/>
      </c>
      <c r="D440" s="8">
        <f>IF(DAY(C440)=DAY($K$1+1),TRUNC(($D$5),8),D439)</f>
        <v/>
      </c>
      <c r="E440" s="4">
        <f>TRUNC(((1+IPCA!#REF!))^(A440/31),8)</f>
        <v/>
      </c>
      <c r="F440" s="4">
        <f>TRUNC((D440*E440),8)</f>
        <v/>
      </c>
      <c r="G440" s="3">
        <f>ROUND(((1+$G$4)^(30/360))^(B440/(EDATE(C440-A440,1)-(C440-A440))),9)</f>
        <v/>
      </c>
      <c r="H440" s="4">
        <f>TRUNC((F440*G440-F440),8)</f>
        <v/>
      </c>
      <c r="I440" s="4">
        <f>F440+H440</f>
        <v/>
      </c>
    </row>
    <row r="441">
      <c r="A441" s="1">
        <f>IF(DAY(C441)=DAY($K$1+1),1,A440+1)</f>
        <v/>
      </c>
      <c r="B441" s="1">
        <f>IF(DAY(C441)=DAY($K$1+1),1,B440+1)</f>
        <v/>
      </c>
      <c r="C441" s="2">
        <f>C440+1</f>
        <v/>
      </c>
      <c r="D441" s="8">
        <f>IF(DAY(C441)=DAY($K$1+1),TRUNC(($D$5),8),D440)</f>
        <v/>
      </c>
      <c r="E441" s="4">
        <f>TRUNC(((1+IPCA!#REF!))^(A441/31),8)</f>
        <v/>
      </c>
      <c r="F441" s="4">
        <f>TRUNC((D441*E441),8)</f>
        <v/>
      </c>
      <c r="G441" s="3">
        <f>ROUND(((1+$G$4)^(30/360))^(B441/(EDATE(C441-A441,1)-(C441-A441))),9)</f>
        <v/>
      </c>
      <c r="H441" s="4">
        <f>TRUNC((F441*G441-F441),8)</f>
        <v/>
      </c>
      <c r="I441" s="4">
        <f>F441+H441</f>
        <v/>
      </c>
    </row>
    <row r="442">
      <c r="A442" s="1">
        <f>IF(DAY(C442)=DAY($K$1+1),1,A441+1)</f>
        <v/>
      </c>
      <c r="B442" s="1">
        <f>IF(DAY(C442)=DAY($K$1+1),1,B441+1)</f>
        <v/>
      </c>
      <c r="C442" s="2">
        <f>C441+1</f>
        <v/>
      </c>
      <c r="D442" s="8">
        <f>IF(DAY(C442)=DAY($K$1+1),TRUNC(($D$5),8),D441)</f>
        <v/>
      </c>
      <c r="E442" s="4">
        <f>TRUNC(((1+IPCA!#REF!))^(A442/31),8)</f>
        <v/>
      </c>
      <c r="F442" s="4">
        <f>TRUNC((D442*E442),8)</f>
        <v/>
      </c>
      <c r="G442" s="3">
        <f>ROUND(((1+$G$4)^(30/360))^(B442/(EDATE(C442-A442,1)-(C442-A442))),9)</f>
        <v/>
      </c>
      <c r="H442" s="4">
        <f>TRUNC((F442*G442-F442),8)</f>
        <v/>
      </c>
      <c r="I442" s="4">
        <f>F442+H442</f>
        <v/>
      </c>
    </row>
    <row r="443">
      <c r="A443" s="1">
        <f>IF(DAY(C443)=DAY($K$1+1),1,A442+1)</f>
        <v/>
      </c>
      <c r="B443" s="1">
        <f>IF(DAY(C443)=DAY($K$1+1),1,B442+1)</f>
        <v/>
      </c>
      <c r="C443" s="2">
        <f>C442+1</f>
        <v/>
      </c>
      <c r="D443" s="8">
        <f>IF(DAY(C443)=DAY($K$1+1),TRUNC(($D$5),8),D442)</f>
        <v/>
      </c>
      <c r="E443" s="4">
        <f>TRUNC(((1+IPCA!#REF!))^(A443/31),8)</f>
        <v/>
      </c>
      <c r="F443" s="4">
        <f>TRUNC((D443*E443),8)</f>
        <v/>
      </c>
      <c r="G443" s="3">
        <f>ROUND(((1+$G$4)^(30/360))^(B443/(EDATE(C443-A443,1)-(C443-A443))),9)</f>
        <v/>
      </c>
      <c r="H443" s="4">
        <f>TRUNC((F443*G443-F443),8)</f>
        <v/>
      </c>
      <c r="I443" s="4">
        <f>F443+H443</f>
        <v/>
      </c>
    </row>
    <row r="444">
      <c r="A444" s="1">
        <f>IF(DAY(C444)=DAY($K$1+1),1,A443+1)</f>
        <v/>
      </c>
      <c r="B444" s="1">
        <f>IF(DAY(C444)=DAY($K$1+1),1,B443+1)</f>
        <v/>
      </c>
      <c r="C444" s="2">
        <f>C443+1</f>
        <v/>
      </c>
      <c r="D444" s="8">
        <f>IF(DAY(C444)=DAY($K$1+1),TRUNC(($D$5),8),D443)</f>
        <v/>
      </c>
      <c r="E444" s="4">
        <f>TRUNC(((1+IPCA!#REF!))^(A444/31),8)</f>
        <v/>
      </c>
      <c r="F444" s="4">
        <f>TRUNC((D444*E444),8)</f>
        <v/>
      </c>
      <c r="G444" s="3">
        <f>ROUND(((1+$G$4)^(30/360))^(B444/(EDATE(C444-A444,1)-(C444-A444))),9)</f>
        <v/>
      </c>
      <c r="H444" s="4">
        <f>TRUNC((F444*G444-F444),8)</f>
        <v/>
      </c>
      <c r="I444" s="4">
        <f>F444+H444</f>
        <v/>
      </c>
    </row>
    <row r="445">
      <c r="A445" s="1">
        <f>IF(DAY(C445)=DAY($K$1+1),1,A444+1)</f>
        <v/>
      </c>
      <c r="B445" s="1">
        <f>IF(DAY(C445)=DAY($K$1+1),1,B444+1)</f>
        <v/>
      </c>
      <c r="C445" s="2">
        <f>C444+1</f>
        <v/>
      </c>
      <c r="D445" s="8">
        <f>IF(DAY(C445)=DAY($K$1+1),TRUNC(($D$5),8),D444)</f>
        <v/>
      </c>
      <c r="E445" s="4">
        <f>TRUNC(((1+IPCA!#REF!))^(A445/31),8)</f>
        <v/>
      </c>
      <c r="F445" s="4">
        <f>TRUNC((D445*E445),8)</f>
        <v/>
      </c>
      <c r="G445" s="3">
        <f>ROUND(((1+$G$4)^(30/360))^(B445/(EDATE(C445-A445,1)-(C445-A445))),9)</f>
        <v/>
      </c>
      <c r="H445" s="4">
        <f>TRUNC((F445*G445-F445),8)</f>
        <v/>
      </c>
      <c r="I445" s="4">
        <f>F445+H445</f>
        <v/>
      </c>
    </row>
    <row r="446">
      <c r="A446" s="1">
        <f>IF(DAY(C446)=DAY($K$1+1),1,A445+1)</f>
        <v/>
      </c>
      <c r="B446" s="1">
        <f>IF(DAY(C446)=DAY($K$1+1),1,B445+1)</f>
        <v/>
      </c>
      <c r="C446" s="2">
        <f>C445+1</f>
        <v/>
      </c>
      <c r="D446" s="8">
        <f>IF(DAY(C446)=DAY($K$1+1),TRUNC(($D$5),8),D445)</f>
        <v/>
      </c>
      <c r="E446" s="4">
        <f>TRUNC(((1+IPCA!#REF!))^(A446/31),8)</f>
        <v/>
      </c>
      <c r="F446" s="4">
        <f>TRUNC((D446*E446),8)</f>
        <v/>
      </c>
      <c r="G446" s="3">
        <f>ROUND(((1+$G$4)^(30/360))^(B446/(EDATE(C446-A446,1)-(C446-A446))),9)</f>
        <v/>
      </c>
      <c r="H446" s="4">
        <f>TRUNC((F446*G446-F446),8)</f>
        <v/>
      </c>
      <c r="I446" s="4">
        <f>F446+H446</f>
        <v/>
      </c>
    </row>
    <row r="447">
      <c r="A447" s="1">
        <f>IF(DAY(C447)=DAY($K$1+1),1,A446+1)</f>
        <v/>
      </c>
      <c r="B447" s="1">
        <f>IF(DAY(C447)=DAY($K$1+1),1,B446+1)</f>
        <v/>
      </c>
      <c r="C447" s="2">
        <f>C446+1</f>
        <v/>
      </c>
      <c r="D447" s="8">
        <f>IF(DAY(C447)=DAY($K$1+1),TRUNC(($D$5),8),D446)</f>
        <v/>
      </c>
      <c r="E447" s="4">
        <f>TRUNC(((1+IPCA!#REF!))^(A447/31),8)</f>
        <v/>
      </c>
      <c r="F447" s="4">
        <f>TRUNC((D447*E447),8)</f>
        <v/>
      </c>
      <c r="G447" s="3">
        <f>ROUND(((1+$G$4)^(30/360))^(B447/(EDATE(C447-A447,1)-(C447-A447))),9)</f>
        <v/>
      </c>
      <c r="H447" s="4">
        <f>TRUNC((F447*G447-F447),8)</f>
        <v/>
      </c>
      <c r="I447" s="4">
        <f>F447+H447</f>
        <v/>
      </c>
    </row>
    <row r="448">
      <c r="A448" s="1">
        <f>IF(DAY(C448)=DAY($K$1+1),1,A447+1)</f>
        <v/>
      </c>
      <c r="B448" s="1">
        <f>IF(DAY(C448)=DAY($K$1+1),1,B447+1)</f>
        <v/>
      </c>
      <c r="C448" s="2">
        <f>C447+1</f>
        <v/>
      </c>
      <c r="D448" s="8">
        <f>IF(DAY(C448)=DAY($K$1+1),TRUNC(($D$5),8),D447)</f>
        <v/>
      </c>
      <c r="E448" s="4">
        <f>TRUNC(((1+IPCA!#REF!))^(A448/31),8)</f>
        <v/>
      </c>
      <c r="F448" s="4">
        <f>TRUNC((D448*E448),8)</f>
        <v/>
      </c>
      <c r="G448" s="3">
        <f>ROUND(((1+$G$4)^(30/360))^(B448/(EDATE(C448-A448,1)-(C448-A448))),9)</f>
        <v/>
      </c>
      <c r="H448" s="4">
        <f>TRUNC((F448*G448-F448),8)</f>
        <v/>
      </c>
      <c r="I448" s="4">
        <f>F448+H448</f>
        <v/>
      </c>
    </row>
    <row r="449">
      <c r="A449" s="1">
        <f>IF(DAY(C449)=DAY($K$1+1),1,A448+1)</f>
        <v/>
      </c>
      <c r="B449" s="1">
        <f>IF(DAY(C449)=DAY($K$1+1),1,B448+1)</f>
        <v/>
      </c>
      <c r="C449" s="2">
        <f>C448+1</f>
        <v/>
      </c>
      <c r="D449" s="8">
        <f>IF(DAY(C449)=DAY($K$1+1),TRUNC(($D$5),8),D448)</f>
        <v/>
      </c>
      <c r="E449" s="4">
        <f>TRUNC(((1+IPCA!#REF!))^(A449/31),8)</f>
        <v/>
      </c>
      <c r="F449" s="4">
        <f>TRUNC((D449*E449),8)</f>
        <v/>
      </c>
      <c r="G449" s="3">
        <f>ROUND(((1+$G$4)^(30/360))^(B449/(EDATE(C449-A449,1)-(C449-A449))),9)</f>
        <v/>
      </c>
      <c r="H449" s="4">
        <f>TRUNC((F449*G449-F449),8)</f>
        <v/>
      </c>
      <c r="I449" s="4">
        <f>F449+H449</f>
        <v/>
      </c>
    </row>
    <row r="450">
      <c r="A450" s="1">
        <f>IF(DAY(C450)=DAY($K$1+1),1,A449+1)</f>
        <v/>
      </c>
      <c r="B450" s="1">
        <f>IF(DAY(C450)=DAY($K$1+1),1,B449+1)</f>
        <v/>
      </c>
      <c r="C450" s="2">
        <f>C449+1</f>
        <v/>
      </c>
      <c r="D450" s="8">
        <f>IF(DAY(C450)=DAY($K$1+1),TRUNC(($D$5),8),D449)</f>
        <v/>
      </c>
      <c r="E450" s="4">
        <f>TRUNC(((1+IPCA!#REF!))^(A450/31),8)</f>
        <v/>
      </c>
      <c r="F450" s="4">
        <f>TRUNC((D450*E450),8)</f>
        <v/>
      </c>
      <c r="G450" s="3">
        <f>ROUND(((1+$G$4)^(30/360))^(B450/(EDATE(C450-A450,1)-(C450-A450))),9)</f>
        <v/>
      </c>
      <c r="H450" s="4">
        <f>TRUNC((F450*G450-F450),8)</f>
        <v/>
      </c>
      <c r="I450" s="4">
        <f>F450+H450</f>
        <v/>
      </c>
    </row>
    <row r="451">
      <c r="A451" s="1">
        <f>IF(DAY(C451)=DAY($K$1+1),1,A450+1)</f>
        <v/>
      </c>
      <c r="B451" s="1">
        <f>IF(DAY(C451)=DAY($K$1+1),1,B450+1)</f>
        <v/>
      </c>
      <c r="C451" s="2">
        <f>C450+1</f>
        <v/>
      </c>
      <c r="D451" s="8">
        <f>IF(DAY(C451)=DAY($K$1+1),TRUNC(($D$5),8),D450)</f>
        <v/>
      </c>
      <c r="E451" s="4">
        <f>TRUNC(((1+IPCA!#REF!))^(A451/31),8)</f>
        <v/>
      </c>
      <c r="F451" s="4">
        <f>TRUNC((D451*E451),8)</f>
        <v/>
      </c>
      <c r="G451" s="3">
        <f>ROUND(((1+$G$4)^(30/360))^(B451/(EDATE(C451-A451,1)-(C451-A451))),9)</f>
        <v/>
      </c>
      <c r="H451" s="4">
        <f>TRUNC((F451*G451-F451),8)</f>
        <v/>
      </c>
      <c r="I451" s="4">
        <f>F451+H451</f>
        <v/>
      </c>
    </row>
    <row r="452">
      <c r="A452" s="1">
        <f>IF(DAY(C452)=DAY($K$1+1),1,A451+1)</f>
        <v/>
      </c>
      <c r="B452" s="1">
        <f>IF(DAY(C452)=DAY($K$1+1),1,B451+1)</f>
        <v/>
      </c>
      <c r="C452" s="2">
        <f>C451+1</f>
        <v/>
      </c>
      <c r="D452" s="8">
        <f>IF(DAY(C452)=DAY($K$1+1),TRUNC(($D$5),8),D451)</f>
        <v/>
      </c>
      <c r="E452" s="4">
        <f>TRUNC(((1+IPCA!#REF!))^(A452/31),8)</f>
        <v/>
      </c>
      <c r="F452" s="4">
        <f>TRUNC((D452*E452),8)</f>
        <v/>
      </c>
      <c r="G452" s="3">
        <f>ROUND(((1+$G$4)^(30/360))^(B452/(EDATE(C452-A452,1)-(C452-A452))),9)</f>
        <v/>
      </c>
      <c r="H452" s="4">
        <f>TRUNC((F452*G452-F452),8)</f>
        <v/>
      </c>
      <c r="I452" s="4">
        <f>F452+H452</f>
        <v/>
      </c>
    </row>
    <row r="453">
      <c r="A453" s="1">
        <f>IF(DAY(C453)=DAY($K$1+1),1,A452+1)</f>
        <v/>
      </c>
      <c r="B453" s="1">
        <f>IF(DAY(C453)=DAY($K$1+1),1,B452+1)</f>
        <v/>
      </c>
      <c r="C453" s="2">
        <f>C452+1</f>
        <v/>
      </c>
      <c r="D453" s="8">
        <f>IF(DAY(C453)=DAY($K$1+1),TRUNC(($D$5),8),D452)</f>
        <v/>
      </c>
      <c r="E453" s="4">
        <f>TRUNC(((1+IPCA!#REF!))^(A453/31),8)</f>
        <v/>
      </c>
      <c r="F453" s="4">
        <f>TRUNC((D453*E453),8)</f>
        <v/>
      </c>
      <c r="G453" s="3">
        <f>ROUND(((1+$G$4)^(30/360))^(B453/(EDATE(C453-A453,1)-(C453-A453))),9)</f>
        <v/>
      </c>
      <c r="H453" s="4">
        <f>TRUNC((F453*G453-F453),8)</f>
        <v/>
      </c>
      <c r="I453" s="4">
        <f>F453+H453</f>
        <v/>
      </c>
    </row>
    <row r="454">
      <c r="A454" s="1">
        <f>IF(DAY(C454)=DAY($K$1+1),1,A453+1)</f>
        <v/>
      </c>
      <c r="B454" s="1">
        <f>IF(DAY(C454)=DAY($K$1+1),1,B453+1)</f>
        <v/>
      </c>
      <c r="C454" s="2">
        <f>C453+1</f>
        <v/>
      </c>
      <c r="D454" s="8">
        <f>IF(DAY(C454)=DAY($K$1+1),TRUNC(($D$5),8),D453)</f>
        <v/>
      </c>
      <c r="E454" s="4">
        <f>TRUNC(((1+IPCA!#REF!))^(A454/31),8)</f>
        <v/>
      </c>
      <c r="F454" s="4">
        <f>TRUNC((D454*E454),8)</f>
        <v/>
      </c>
      <c r="G454" s="3">
        <f>ROUND(((1+$G$4)^(30/360))^(B454/(EDATE(C454-A454,1)-(C454-A454))),9)</f>
        <v/>
      </c>
      <c r="H454" s="4">
        <f>TRUNC((F454*G454-F454),8)</f>
        <v/>
      </c>
      <c r="I454" s="4">
        <f>F454+H454</f>
        <v/>
      </c>
    </row>
    <row r="455">
      <c r="A455" s="1">
        <f>IF(DAY(C455)=DAY($K$1+1),1,A454+1)</f>
        <v/>
      </c>
      <c r="B455" s="1">
        <f>IF(DAY(C455)=DAY($K$1+1),1,B454+1)</f>
        <v/>
      </c>
      <c r="C455" s="2">
        <f>C454+1</f>
        <v/>
      </c>
      <c r="D455" s="8">
        <f>IF(DAY(C455)=DAY($K$1+1),TRUNC(($D$5),8),D454)</f>
        <v/>
      </c>
      <c r="E455" s="4">
        <f>TRUNC(((1+IPCA!#REF!))^(A455/31),8)</f>
        <v/>
      </c>
      <c r="F455" s="4">
        <f>TRUNC((D455*E455),8)</f>
        <v/>
      </c>
      <c r="G455" s="3">
        <f>ROUND(((1+$G$4)^(30/360))^(B455/(EDATE(C455-A455,1)-(C455-A455))),9)</f>
        <v/>
      </c>
      <c r="H455" s="4">
        <f>TRUNC((F455*G455-F455),8)</f>
        <v/>
      </c>
      <c r="I455" s="4">
        <f>F455+H455</f>
        <v/>
      </c>
      <c r="J455" s="35" t="inlineStr">
        <is>
          <t>CRI Integralizado:</t>
        </is>
      </c>
      <c r="K455" s="268" t="n">
        <v>1540</v>
      </c>
    </row>
    <row r="456">
      <c r="A456" s="1">
        <f>IF(DAY(C456)=DAY($K$1+1),1,A455+1)</f>
        <v/>
      </c>
      <c r="B456" s="1">
        <f>IF(DAY(C456)=DAY($K$1+1),1,B455+1)</f>
        <v/>
      </c>
      <c r="C456" s="2">
        <f>C455+1</f>
        <v/>
      </c>
      <c r="D456" s="8">
        <f>IF(DAY(C456)=DAY($K$1+1),TRUNC(($D$5),8),D455)</f>
        <v/>
      </c>
      <c r="E456" s="4">
        <f>TRUNC(((1+IPCA!#REF!))^(A456/31),8)</f>
        <v/>
      </c>
      <c r="F456" s="4">
        <f>TRUNC((D456*E456),8)</f>
        <v/>
      </c>
      <c r="G456" s="3">
        <f>ROUND(((1+$G$4)^(30/360))^(B456/(EDATE(C456-A456,1)-(C456-A456))),9)</f>
        <v/>
      </c>
      <c r="H456" s="4">
        <f>TRUNC((F456*G456-F456),8)</f>
        <v/>
      </c>
      <c r="I456" s="4">
        <f>F456+H456</f>
        <v/>
      </c>
      <c r="J456" s="33" t="inlineStr">
        <is>
          <t>JUROS</t>
        </is>
      </c>
      <c r="K456" s="33" t="inlineStr">
        <is>
          <t>AMORTIZAÇÃO</t>
        </is>
      </c>
      <c r="L456" s="33" t="inlineStr">
        <is>
          <t>AMEX</t>
        </is>
      </c>
      <c r="M456" s="33" t="inlineStr">
        <is>
          <t>RESIDUAL</t>
        </is>
      </c>
    </row>
    <row r="457">
      <c r="A457" s="22">
        <f>IF(DAY(C457)=DAY($K$1+1),1,A456+1)</f>
        <v/>
      </c>
      <c r="B457" s="22">
        <f>IF(DAY(C457)=DAY($K$1+1),1,B456+1)</f>
        <v/>
      </c>
      <c r="C457" s="23">
        <f>C456+1</f>
        <v/>
      </c>
      <c r="D457" s="24">
        <f>IF(DAY(C457)=DAY($K$1+1),TRUNC(($D$5),8),D456)</f>
        <v/>
      </c>
      <c r="E457" s="25">
        <f>TRUNC(((1+IPCA!#REF!))^(A457/31),8)</f>
        <v/>
      </c>
      <c r="F457" s="25">
        <f>TRUNC((D457*E457),8)</f>
        <v/>
      </c>
      <c r="G457" s="26">
        <f>ROUND(((1+$G$4)^(30/360))^(B457/(EDATE(C457-A457,1)-(C457-A457))),9)</f>
        <v/>
      </c>
      <c r="H457" s="25">
        <f>TRUNC((F457*G457-F457),8)</f>
        <v/>
      </c>
      <c r="I457" s="25">
        <f>F457+H457</f>
        <v/>
      </c>
      <c r="J457" s="28">
        <f>TRUNC(H457,8)</f>
        <v/>
      </c>
      <c r="K457" s="29">
        <f>TRUNC(F457*'Amort TS'!#REF!,8)</f>
        <v/>
      </c>
      <c r="L457" s="29" t="n">
        <v>0</v>
      </c>
      <c r="M457" s="29">
        <f>I457-J457-K457-L457</f>
        <v/>
      </c>
    </row>
    <row r="458">
      <c r="A458" s="1">
        <f>IF(DAY(C458)=DAY($K$1+1),1,A457+1)</f>
        <v/>
      </c>
      <c r="B458" s="1">
        <f>IF(DAY(C458)=DAY($K$1+1),1,B457+1)</f>
        <v/>
      </c>
      <c r="C458" s="2">
        <f>C457+1</f>
        <v/>
      </c>
      <c r="D458" s="8">
        <f>M457</f>
        <v/>
      </c>
      <c r="E458" s="4">
        <f>TRUNC(((1+IPCA!#REF!))^(A458/30),8)</f>
        <v/>
      </c>
      <c r="F458" s="4">
        <f>TRUNC((D458*E458),8)</f>
        <v/>
      </c>
      <c r="G458" s="3">
        <f>ROUND(((1+$G$4)^(30/360))^(B458/(EDATE(C458-A458,1)-(C458-A458))),9)</f>
        <v/>
      </c>
      <c r="H458" s="4">
        <f>TRUNC((F458*G458-F458),8)</f>
        <v/>
      </c>
      <c r="I458" s="4">
        <f>F458+H458</f>
        <v/>
      </c>
      <c r="J458" s="8">
        <f>J457*1540</f>
        <v/>
      </c>
      <c r="K458" s="8">
        <f>K457*1540</f>
        <v/>
      </c>
      <c r="L458" s="8" t="n">
        <v>0</v>
      </c>
      <c r="M458" s="8">
        <f>M457*1540</f>
        <v/>
      </c>
    </row>
    <row r="459" ht="13.8" customHeight="1" s="260" thickBot="1">
      <c r="A459" s="1">
        <f>IF(DAY(C459)=DAY($K$1+1),1,A458+1)</f>
        <v/>
      </c>
      <c r="B459" s="1">
        <f>IF(DAY(C459)=DAY($K$1+1),1,B458+1)</f>
        <v/>
      </c>
      <c r="C459" s="2">
        <f>C458+1</f>
        <v/>
      </c>
      <c r="D459" s="8">
        <f>IF(DAY(C459)=DAY($K$1+1),TRUNC(($D$5),8),D458)</f>
        <v/>
      </c>
      <c r="E459" s="4">
        <f>TRUNC(((1+IPCA!#REF!))^(A459/30),8)</f>
        <v/>
      </c>
      <c r="F459" s="4">
        <f>TRUNC((D459*E459),8)</f>
        <v/>
      </c>
      <c r="G459" s="3">
        <f>ROUND(((1+$G$4)^(30/360))^(B459/(EDATE(C459-A459,1)-(C459-A459))),9)</f>
        <v/>
      </c>
      <c r="H459" s="4">
        <f>TRUNC((F459*G459-F459),8)</f>
        <v/>
      </c>
      <c r="I459" s="4">
        <f>F459+H459</f>
        <v/>
      </c>
      <c r="J459" s="34" t="n"/>
      <c r="K459" s="30" t="n"/>
      <c r="L459" s="10" t="n"/>
    </row>
    <row r="460" ht="13.8" customHeight="1" s="260" thickBot="1">
      <c r="A460" s="1">
        <f>IF(DAY(C460)=DAY($K$1+1),1,A459+1)</f>
        <v/>
      </c>
      <c r="B460" s="1">
        <f>IF(DAY(C460)=DAY($K$1+1),1,B459+1)</f>
        <v/>
      </c>
      <c r="C460" s="2">
        <f>C459+1</f>
        <v/>
      </c>
      <c r="D460" s="8">
        <f>IF(DAY(C460)=DAY($K$1+1),TRUNC(($D$5),8),D459)</f>
        <v/>
      </c>
      <c r="E460" s="4">
        <f>TRUNC(((1+IPCA!#REF!))^(A460/30),8)</f>
        <v/>
      </c>
      <c r="F460" s="4">
        <f>TRUNC((D460*E460),8)</f>
        <v/>
      </c>
      <c r="G460" s="3">
        <f>ROUND(((1+$G$4)^(30/360))^(B460/(EDATE(C460-A460,1)-(C460-A460))),9)</f>
        <v/>
      </c>
      <c r="H460" s="4">
        <f>TRUNC((F460*G460-F460),8)</f>
        <v/>
      </c>
      <c r="I460" s="4">
        <f>F460+H460</f>
        <v/>
      </c>
      <c r="J460" s="31">
        <f>SUM(J458:K458)</f>
        <v/>
      </c>
      <c r="K460" s="32" t="inlineStr">
        <is>
          <t>TOTAL PMT</t>
        </is>
      </c>
      <c r="L460" s="10" t="n"/>
    </row>
    <row r="461">
      <c r="A461" s="1">
        <f>IF(DAY(C461)=DAY($K$1+1),1,A460+1)</f>
        <v/>
      </c>
      <c r="B461" s="1">
        <f>IF(DAY(C461)=DAY($K$1+1),1,B460+1)</f>
        <v/>
      </c>
      <c r="C461" s="2">
        <f>C460+1</f>
        <v/>
      </c>
      <c r="D461" s="8">
        <f>IF(DAY(C461)=DAY($K$1+1),TRUNC(($D$5),8),D460)</f>
        <v/>
      </c>
      <c r="E461" s="4">
        <f>TRUNC(((1+IPCA!#REF!))^(A461/30),8)</f>
        <v/>
      </c>
      <c r="F461" s="4">
        <f>TRUNC((D461*E461),8)</f>
        <v/>
      </c>
      <c r="G461" s="3">
        <f>ROUND(((1+$G$4)^(30/360))^(B461/(EDATE(C461-A461,1)-(C461-A461))),9)</f>
        <v/>
      </c>
      <c r="H461" s="4">
        <f>TRUNC((F461*G461-F461),8)</f>
        <v/>
      </c>
      <c r="I461" s="4">
        <f>F461+H461</f>
        <v/>
      </c>
    </row>
    <row r="462">
      <c r="A462" s="1">
        <f>IF(DAY(C462)=DAY($K$1+1),1,A461+1)</f>
        <v/>
      </c>
      <c r="B462" s="1">
        <f>IF(DAY(C462)=DAY($K$1+1),1,B461+1)</f>
        <v/>
      </c>
      <c r="C462" s="2">
        <f>C461+1</f>
        <v/>
      </c>
      <c r="D462" s="8">
        <f>IF(DAY(C462)=DAY($K$1+1),TRUNC(($D$5),8),D461)</f>
        <v/>
      </c>
      <c r="E462" s="4">
        <f>TRUNC(((1+IPCA!#REF!))^(A462/30),8)</f>
        <v/>
      </c>
      <c r="F462" s="4">
        <f>TRUNC((D462*E462),8)</f>
        <v/>
      </c>
      <c r="G462" s="3">
        <f>ROUND(((1+$G$4)^(30/360))^(B462/(EDATE(C462-A462,1)-(C462-A462))),9)</f>
        <v/>
      </c>
      <c r="H462" s="4">
        <f>TRUNC((F462*G462-F462),8)</f>
        <v/>
      </c>
      <c r="I462" s="4">
        <f>F462+H462</f>
        <v/>
      </c>
    </row>
    <row r="463">
      <c r="A463" s="1">
        <f>IF(DAY(C463)=DAY($K$1+1),1,A462+1)</f>
        <v/>
      </c>
      <c r="B463" s="1">
        <f>IF(DAY(C463)=DAY($K$1+1),1,B462+1)</f>
        <v/>
      </c>
      <c r="C463" s="2">
        <f>C462+1</f>
        <v/>
      </c>
      <c r="D463" s="8">
        <f>IF(DAY(C463)=DAY($K$1+1),TRUNC(($D$5),8),D462)</f>
        <v/>
      </c>
      <c r="E463" s="4">
        <f>TRUNC(((1+IPCA!#REF!))^(A463/30),8)</f>
        <v/>
      </c>
      <c r="F463" s="4">
        <f>TRUNC((D463*E463),8)</f>
        <v/>
      </c>
      <c r="G463" s="3">
        <f>ROUND(((1+$G$4)^(30/360))^(B463/(EDATE(C463-A463,1)-(C463-A463))),9)</f>
        <v/>
      </c>
      <c r="H463" s="4">
        <f>TRUNC((F463*G463-F463),8)</f>
        <v/>
      </c>
      <c r="I463" s="4">
        <f>F463+H463</f>
        <v/>
      </c>
    </row>
    <row r="464">
      <c r="A464" s="1">
        <f>IF(DAY(C464)=DAY($K$1+1),1,A463+1)</f>
        <v/>
      </c>
      <c r="B464" s="1">
        <f>IF(DAY(C464)=DAY($K$1+1),1,B463+1)</f>
        <v/>
      </c>
      <c r="C464" s="2">
        <f>C463+1</f>
        <v/>
      </c>
      <c r="D464" s="8">
        <f>IF(DAY(C464)=DAY($K$1+1),TRUNC(($D$5),8),D463)</f>
        <v/>
      </c>
      <c r="E464" s="4">
        <f>TRUNC(((1+IPCA!#REF!))^(A464/30),8)</f>
        <v/>
      </c>
      <c r="F464" s="4">
        <f>TRUNC((D464*E464),8)</f>
        <v/>
      </c>
      <c r="G464" s="3">
        <f>ROUND(((1+$G$4)^(30/360))^(B464/(EDATE(C464-A464,1)-(C464-A464))),9)</f>
        <v/>
      </c>
      <c r="H464" s="4">
        <f>TRUNC((F464*G464-F464),8)</f>
        <v/>
      </c>
      <c r="I464" s="4">
        <f>F464+H464</f>
        <v/>
      </c>
    </row>
    <row r="465">
      <c r="A465" s="1">
        <f>IF(DAY(C465)=DAY($K$1+1),1,A464+1)</f>
        <v/>
      </c>
      <c r="B465" s="1">
        <f>IF(DAY(C465)=DAY($K$1+1),1,B464+1)</f>
        <v/>
      </c>
      <c r="C465" s="2">
        <f>C464+1</f>
        <v/>
      </c>
      <c r="D465" s="8">
        <f>IF(DAY(C465)=DAY($K$1+1),TRUNC(($D$5),8),D464)</f>
        <v/>
      </c>
      <c r="E465" s="4">
        <f>TRUNC(((1+IPCA!#REF!))^(A465/30),8)</f>
        <v/>
      </c>
      <c r="F465" s="4">
        <f>TRUNC((D465*E465),8)</f>
        <v/>
      </c>
      <c r="G465" s="3">
        <f>ROUND(((1+$G$4)^(30/360))^(B465/(EDATE(C465-A465,1)-(C465-A465))),9)</f>
        <v/>
      </c>
      <c r="H465" s="4">
        <f>TRUNC((F465*G465-F465),8)</f>
        <v/>
      </c>
      <c r="I465" s="4">
        <f>F465+H465</f>
        <v/>
      </c>
    </row>
    <row r="466">
      <c r="A466" s="1">
        <f>IF(DAY(C466)=DAY($K$1+1),1,A465+1)</f>
        <v/>
      </c>
      <c r="B466" s="1">
        <f>IF(DAY(C466)=DAY($K$1+1),1,B465+1)</f>
        <v/>
      </c>
      <c r="C466" s="2">
        <f>C465+1</f>
        <v/>
      </c>
      <c r="D466" s="8">
        <f>IF(DAY(C466)=DAY($K$1+1),TRUNC(($D$5),8),D465)</f>
        <v/>
      </c>
      <c r="E466" s="4">
        <f>TRUNC(((1+IPCA!#REF!))^(A466/30),8)</f>
        <v/>
      </c>
      <c r="F466" s="4">
        <f>TRUNC((D466*E466),8)</f>
        <v/>
      </c>
      <c r="G466" s="3">
        <f>ROUND(((1+$G$4)^(30/360))^(B466/(EDATE(C466-A466,1)-(C466-A466))),9)</f>
        <v/>
      </c>
      <c r="H466" s="4">
        <f>TRUNC((F466*G466-F466),8)</f>
        <v/>
      </c>
      <c r="I466" s="4">
        <f>F466+H466</f>
        <v/>
      </c>
    </row>
    <row r="467">
      <c r="A467" s="1">
        <f>IF(DAY(C467)=DAY($K$1+1),1,A466+1)</f>
        <v/>
      </c>
      <c r="B467" s="1">
        <f>IF(DAY(C467)=DAY($K$1+1),1,B466+1)</f>
        <v/>
      </c>
      <c r="C467" s="2">
        <f>C466+1</f>
        <v/>
      </c>
      <c r="D467" s="8">
        <f>IF(DAY(C467)=DAY($K$1+1),TRUNC(($D$5),8),D466)</f>
        <v/>
      </c>
      <c r="E467" s="4">
        <f>TRUNC(((1+IPCA!#REF!))^(A467/30),8)</f>
        <v/>
      </c>
      <c r="F467" s="4">
        <f>TRUNC((D467*E467),8)</f>
        <v/>
      </c>
      <c r="G467" s="3">
        <f>ROUND(((1+$G$4)^(30/360))^(B467/(EDATE(C467-A467,1)-(C467-A467))),9)</f>
        <v/>
      </c>
      <c r="H467" s="4">
        <f>TRUNC((F467*G467-F467),8)</f>
        <v/>
      </c>
      <c r="I467" s="4">
        <f>F467+H467</f>
        <v/>
      </c>
    </row>
    <row r="468">
      <c r="A468" s="1">
        <f>IF(DAY(C468)=DAY($K$1+1),1,A467+1)</f>
        <v/>
      </c>
      <c r="B468" s="1">
        <f>IF(DAY(C468)=DAY($K$1+1),1,B467+1)</f>
        <v/>
      </c>
      <c r="C468" s="2">
        <f>C467+1</f>
        <v/>
      </c>
      <c r="D468" s="8">
        <f>IF(DAY(C468)=DAY($K$1+1),TRUNC(($D$5),8),D467)</f>
        <v/>
      </c>
      <c r="E468" s="4">
        <f>TRUNC(((1+IPCA!#REF!))^(A468/30),8)</f>
        <v/>
      </c>
      <c r="F468" s="4">
        <f>TRUNC((D468*E468),8)</f>
        <v/>
      </c>
      <c r="G468" s="3">
        <f>ROUND(((1+$G$4)^(30/360))^(B468/(EDATE(C468-A468,1)-(C468-A468))),9)</f>
        <v/>
      </c>
      <c r="H468" s="4">
        <f>TRUNC((F468*G468-F468),8)</f>
        <v/>
      </c>
      <c r="I468" s="4">
        <f>F468+H468</f>
        <v/>
      </c>
    </row>
    <row r="469">
      <c r="A469" s="1">
        <f>IF(DAY(C469)=DAY($K$1+1),1,A468+1)</f>
        <v/>
      </c>
      <c r="B469" s="1">
        <f>IF(DAY(C469)=DAY($K$1+1),1,B468+1)</f>
        <v/>
      </c>
      <c r="C469" s="2">
        <f>C468+1</f>
        <v/>
      </c>
      <c r="D469" s="8">
        <f>IF(DAY(C469)=DAY($K$1+1),TRUNC(($D$5),8),D468)</f>
        <v/>
      </c>
      <c r="E469" s="4">
        <f>TRUNC(((1+IPCA!#REF!))^(A469/30),8)</f>
        <v/>
      </c>
      <c r="F469" s="4">
        <f>TRUNC((D469*E469),8)</f>
        <v/>
      </c>
      <c r="G469" s="3">
        <f>ROUND(((1+$G$4)^(30/360))^(B469/(EDATE(C469-A469,1)-(C469-A469))),9)</f>
        <v/>
      </c>
      <c r="H469" s="4">
        <f>TRUNC((F469*G469-F469),8)</f>
        <v/>
      </c>
      <c r="I469" s="4">
        <f>F469+H469</f>
        <v/>
      </c>
    </row>
    <row r="470">
      <c r="A470" s="1">
        <f>IF(DAY(C470)=DAY($K$1+1),1,A469+1)</f>
        <v/>
      </c>
      <c r="B470" s="1">
        <f>IF(DAY(C470)=DAY($K$1+1),1,B469+1)</f>
        <v/>
      </c>
      <c r="C470" s="2">
        <f>C469+1</f>
        <v/>
      </c>
      <c r="D470" s="8">
        <f>IF(DAY(C470)=DAY($K$1+1),TRUNC(($D$5),8),D469)</f>
        <v/>
      </c>
      <c r="E470" s="4">
        <f>TRUNC(((1+IPCA!#REF!))^(A470/30),8)</f>
        <v/>
      </c>
      <c r="F470" s="4">
        <f>TRUNC((D470*E470),8)</f>
        <v/>
      </c>
      <c r="G470" s="3">
        <f>ROUND(((1+$G$4)^(30/360))^(B470/(EDATE(C470-A470,1)-(C470-A470))),9)</f>
        <v/>
      </c>
      <c r="H470" s="4">
        <f>TRUNC((F470*G470-F470),8)</f>
        <v/>
      </c>
      <c r="I470" s="4">
        <f>F470+H470</f>
        <v/>
      </c>
    </row>
    <row r="471">
      <c r="A471" s="1">
        <f>IF(DAY(C471)=DAY($K$1+1),1,A470+1)</f>
        <v/>
      </c>
      <c r="B471" s="1">
        <f>IF(DAY(C471)=DAY($K$1+1),1,B470+1)</f>
        <v/>
      </c>
      <c r="C471" s="2">
        <f>C470+1</f>
        <v/>
      </c>
      <c r="D471" s="8">
        <f>IF(DAY(C471)=DAY($K$1+1),TRUNC(($D$5),8),D470)</f>
        <v/>
      </c>
      <c r="E471" s="4">
        <f>TRUNC(((1+IPCA!#REF!))^(A471/30),8)</f>
        <v/>
      </c>
      <c r="F471" s="4">
        <f>TRUNC((D471*E471),8)</f>
        <v/>
      </c>
      <c r="G471" s="3">
        <f>ROUND(((1+$G$4)^(30/360))^(B471/(EDATE(C471-A471,1)-(C471-A471))),9)</f>
        <v/>
      </c>
      <c r="H471" s="4">
        <f>TRUNC((F471*G471-F471),8)</f>
        <v/>
      </c>
      <c r="I471" s="4">
        <f>F471+H471</f>
        <v/>
      </c>
    </row>
    <row r="472">
      <c r="A472" s="1">
        <f>IF(DAY(C472)=DAY($K$1+1),1,A471+1)</f>
        <v/>
      </c>
      <c r="B472" s="1">
        <f>IF(DAY(C472)=DAY($K$1+1),1,B471+1)</f>
        <v/>
      </c>
      <c r="C472" s="2">
        <f>C471+1</f>
        <v/>
      </c>
      <c r="D472" s="8">
        <f>IF(DAY(C472)=DAY($K$1+1),TRUNC(($D$5),8),D471)</f>
        <v/>
      </c>
      <c r="E472" s="4">
        <f>TRUNC(((1+IPCA!#REF!))^(A472/30),8)</f>
        <v/>
      </c>
      <c r="F472" s="4">
        <f>TRUNC((D472*E472),8)</f>
        <v/>
      </c>
      <c r="G472" s="3">
        <f>ROUND(((1+$G$4)^(30/360))^(B472/(EDATE(C472-A472,1)-(C472-A472))),9)</f>
        <v/>
      </c>
      <c r="H472" s="4">
        <f>TRUNC((F472*G472-F472),8)</f>
        <v/>
      </c>
      <c r="I472" s="4">
        <f>F472+H472</f>
        <v/>
      </c>
    </row>
    <row r="473">
      <c r="A473" s="1">
        <f>IF(DAY(C473)=DAY($K$1+1),1,A472+1)</f>
        <v/>
      </c>
      <c r="B473" s="1">
        <f>IF(DAY(C473)=DAY($K$1+1),1,B472+1)</f>
        <v/>
      </c>
      <c r="C473" s="2">
        <f>C472+1</f>
        <v/>
      </c>
      <c r="D473" s="8">
        <f>IF(DAY(C473)=DAY($K$1+1),TRUNC(($D$5),8),D472)</f>
        <v/>
      </c>
      <c r="E473" s="4">
        <f>TRUNC(((1+IPCA!#REF!))^(A473/30),8)</f>
        <v/>
      </c>
      <c r="F473" s="4">
        <f>TRUNC((D473*E473),8)</f>
        <v/>
      </c>
      <c r="G473" s="3">
        <f>ROUND(((1+$G$4)^(30/360))^(B473/(EDATE(C473-A473,1)-(C473-A473))),9)</f>
        <v/>
      </c>
      <c r="H473" s="4">
        <f>TRUNC((F473*G473-F473),8)</f>
        <v/>
      </c>
      <c r="I473" s="4">
        <f>F473+H473</f>
        <v/>
      </c>
    </row>
    <row r="474">
      <c r="A474" s="1">
        <f>IF(DAY(C474)=DAY($K$1+1),1,A473+1)</f>
        <v/>
      </c>
      <c r="B474" s="1">
        <f>IF(DAY(C474)=DAY($K$1+1),1,B473+1)</f>
        <v/>
      </c>
      <c r="C474" s="2">
        <f>C473+1</f>
        <v/>
      </c>
      <c r="D474" s="8">
        <f>IF(DAY(C474)=DAY($K$1+1),TRUNC(($D$5),8),D473)</f>
        <v/>
      </c>
      <c r="E474" s="4">
        <f>TRUNC(((1+IPCA!#REF!))^(A474/30),8)</f>
        <v/>
      </c>
      <c r="F474" s="4">
        <f>TRUNC((D474*E474),8)</f>
        <v/>
      </c>
      <c r="G474" s="3">
        <f>ROUND(((1+$G$4)^(30/360))^(B474/(EDATE(C474-A474,1)-(C474-A474))),9)</f>
        <v/>
      </c>
      <c r="H474" s="4">
        <f>TRUNC((F474*G474-F474),8)</f>
        <v/>
      </c>
      <c r="I474" s="4">
        <f>F474+H474</f>
        <v/>
      </c>
    </row>
    <row r="475">
      <c r="A475" s="1">
        <f>IF(DAY(C475)=DAY($K$1+1),1,A474+1)</f>
        <v/>
      </c>
      <c r="B475" s="1">
        <f>IF(DAY(C475)=DAY($K$1+1),1,B474+1)</f>
        <v/>
      </c>
      <c r="C475" s="2">
        <f>C474+1</f>
        <v/>
      </c>
      <c r="D475" s="8">
        <f>IF(DAY(C475)=DAY($K$1+1),TRUNC(($D$5),8),D474)</f>
        <v/>
      </c>
      <c r="E475" s="4">
        <f>TRUNC(((1+IPCA!#REF!))^(A475/30),8)</f>
        <v/>
      </c>
      <c r="F475" s="4">
        <f>TRUNC((D475*E475),8)</f>
        <v/>
      </c>
      <c r="G475" s="3">
        <f>ROUND(((1+$G$4)^(30/360))^(B475/(EDATE(C475-A475,1)-(C475-A475))),9)</f>
        <v/>
      </c>
      <c r="H475" s="4">
        <f>TRUNC((F475*G475-F475),8)</f>
        <v/>
      </c>
      <c r="I475" s="4">
        <f>F475+H475</f>
        <v/>
      </c>
    </row>
    <row r="476">
      <c r="A476" s="1">
        <f>IF(DAY(C476)=DAY($K$1+1),1,A475+1)</f>
        <v/>
      </c>
      <c r="B476" s="1">
        <f>IF(DAY(C476)=DAY($K$1+1),1,B475+1)</f>
        <v/>
      </c>
      <c r="C476" s="2">
        <f>C475+1</f>
        <v/>
      </c>
      <c r="D476" s="8">
        <f>IF(DAY(C476)=DAY($K$1+1),TRUNC(($D$5),8),D475)</f>
        <v/>
      </c>
      <c r="E476" s="4">
        <f>TRUNC(((1+IPCA!#REF!))^(A476/30),8)</f>
        <v/>
      </c>
      <c r="F476" s="4">
        <f>TRUNC((D476*E476),8)</f>
        <v/>
      </c>
      <c r="G476" s="3">
        <f>ROUND(((1+$G$4)^(30/360))^(B476/(EDATE(C476-A476,1)-(C476-A476))),9)</f>
        <v/>
      </c>
      <c r="H476" s="4">
        <f>TRUNC((F476*G476-F476),8)</f>
        <v/>
      </c>
      <c r="I476" s="4">
        <f>F476+H476</f>
        <v/>
      </c>
    </row>
    <row r="477">
      <c r="A477" s="1">
        <f>IF(DAY(C477)=DAY($K$1+1),1,A476+1)</f>
        <v/>
      </c>
      <c r="B477" s="1">
        <f>IF(DAY(C477)=DAY($K$1+1),1,B476+1)</f>
        <v/>
      </c>
      <c r="C477" s="2">
        <f>C476+1</f>
        <v/>
      </c>
      <c r="D477" s="8">
        <f>IF(DAY(C477)=DAY($K$1+1),TRUNC(($D$5),8),D476)</f>
        <v/>
      </c>
      <c r="E477" s="4">
        <f>TRUNC(((1+IPCA!#REF!))^(A477/30),8)</f>
        <v/>
      </c>
      <c r="F477" s="4">
        <f>TRUNC((D477*E477),8)</f>
        <v/>
      </c>
      <c r="G477" s="3">
        <f>ROUND(((1+$G$4)^(30/360))^(B477/(EDATE(C477-A477,1)-(C477-A477))),9)</f>
        <v/>
      </c>
      <c r="H477" s="4">
        <f>TRUNC((F477*G477-F477),8)</f>
        <v/>
      </c>
      <c r="I477" s="4">
        <f>F477+H477</f>
        <v/>
      </c>
    </row>
    <row r="478">
      <c r="A478" s="1">
        <f>IF(DAY(C478)=DAY($K$1+1),1,A477+1)</f>
        <v/>
      </c>
      <c r="B478" s="1">
        <f>IF(DAY(C478)=DAY($K$1+1),1,B477+1)</f>
        <v/>
      </c>
      <c r="C478" s="2">
        <f>C477+1</f>
        <v/>
      </c>
      <c r="D478" s="8">
        <f>IF(DAY(C478)=DAY($K$1+1),TRUNC(($D$5),8),D477)</f>
        <v/>
      </c>
      <c r="E478" s="4">
        <f>TRUNC(((1+IPCA!#REF!))^(A478/30),8)</f>
        <v/>
      </c>
      <c r="F478" s="4">
        <f>TRUNC((D478*E478),8)</f>
        <v/>
      </c>
      <c r="G478" s="3">
        <f>ROUND(((1+$G$4)^(30/360))^(B478/(EDATE(C478-A478,1)-(C478-A478))),9)</f>
        <v/>
      </c>
      <c r="H478" s="4">
        <f>TRUNC((F478*G478-F478),8)</f>
        <v/>
      </c>
      <c r="I478" s="4">
        <f>F478+H478</f>
        <v/>
      </c>
    </row>
    <row r="479">
      <c r="A479" s="1">
        <f>IF(DAY(C479)=DAY($K$1+1),1,A478+1)</f>
        <v/>
      </c>
      <c r="B479" s="1">
        <f>IF(DAY(C479)=DAY($K$1+1),1,B478+1)</f>
        <v/>
      </c>
      <c r="C479" s="2">
        <f>C478+1</f>
        <v/>
      </c>
      <c r="D479" s="8">
        <f>IF(DAY(C479)=DAY($K$1+1),TRUNC(($D$5),8),D478)</f>
        <v/>
      </c>
      <c r="E479" s="4">
        <f>TRUNC(((1+IPCA!#REF!))^(A479/30),8)</f>
        <v/>
      </c>
      <c r="F479" s="4">
        <f>TRUNC((D479*E479),8)</f>
        <v/>
      </c>
      <c r="G479" s="3">
        <f>ROUND(((1+$G$4)^(30/360))^(B479/(EDATE(C479-A479,1)-(C479-A479))),9)</f>
        <v/>
      </c>
      <c r="H479" s="4">
        <f>TRUNC((F479*G479-F479),8)</f>
        <v/>
      </c>
      <c r="I479" s="4">
        <f>F479+H479</f>
        <v/>
      </c>
    </row>
    <row r="480">
      <c r="A480" s="1">
        <f>IF(DAY(C480)=DAY($K$1+1),1,A479+1)</f>
        <v/>
      </c>
      <c r="B480" s="1">
        <f>IF(DAY(C480)=DAY($K$1+1),1,B479+1)</f>
        <v/>
      </c>
      <c r="C480" s="2">
        <f>C479+1</f>
        <v/>
      </c>
      <c r="D480" s="8">
        <f>IF(DAY(C480)=DAY($K$1+1),TRUNC(($D$5),8),D479)</f>
        <v/>
      </c>
      <c r="E480" s="4">
        <f>TRUNC(((1+IPCA!#REF!))^(A480/30),8)</f>
        <v/>
      </c>
      <c r="F480" s="4">
        <f>TRUNC((D480*E480),8)</f>
        <v/>
      </c>
      <c r="G480" s="3">
        <f>ROUND(((1+$G$4)^(30/360))^(B480/(EDATE(C480-A480,1)-(C480-A480))),9)</f>
        <v/>
      </c>
      <c r="H480" s="4">
        <f>TRUNC((F480*G480-F480),8)</f>
        <v/>
      </c>
      <c r="I480" s="4">
        <f>F480+H480</f>
        <v/>
      </c>
    </row>
    <row r="481">
      <c r="A481" s="1">
        <f>IF(DAY(C481)=DAY($K$1+1),1,A480+1)</f>
        <v/>
      </c>
      <c r="B481" s="1">
        <f>IF(DAY(C481)=DAY($K$1+1),1,B480+1)</f>
        <v/>
      </c>
      <c r="C481" s="2">
        <f>C480+1</f>
        <v/>
      </c>
      <c r="D481" s="8">
        <f>IF(DAY(C481)=DAY($K$1+1),TRUNC(($D$5),8),D480)</f>
        <v/>
      </c>
      <c r="E481" s="4">
        <f>TRUNC(((1+IPCA!#REF!))^(A481/30),8)</f>
        <v/>
      </c>
      <c r="F481" s="4">
        <f>TRUNC((D481*E481),8)</f>
        <v/>
      </c>
      <c r="G481" s="3">
        <f>ROUND(((1+$G$4)^(30/360))^(B481/(EDATE(C481-A481,1)-(C481-A481))),9)</f>
        <v/>
      </c>
      <c r="H481" s="4">
        <f>TRUNC((F481*G481-F481),8)</f>
        <v/>
      </c>
      <c r="I481" s="4">
        <f>F481+H481</f>
        <v/>
      </c>
    </row>
    <row r="482">
      <c r="A482" s="1">
        <f>IF(DAY(C482)=DAY($K$1+1),1,A481+1)</f>
        <v/>
      </c>
      <c r="B482" s="1">
        <f>IF(DAY(C482)=DAY($K$1+1),1,B481+1)</f>
        <v/>
      </c>
      <c r="C482" s="2">
        <f>C481+1</f>
        <v/>
      </c>
      <c r="D482" s="8">
        <f>IF(DAY(C482)=DAY($K$1+1),TRUNC(($D$5),8),D481)</f>
        <v/>
      </c>
      <c r="E482" s="4">
        <f>TRUNC(((1+IPCA!#REF!))^(A482/30),8)</f>
        <v/>
      </c>
      <c r="F482" s="4">
        <f>TRUNC((D482*E482),8)</f>
        <v/>
      </c>
      <c r="G482" s="3">
        <f>ROUND(((1+$G$4)^(30/360))^(B482/(EDATE(C482-A482,1)-(C482-A482))),9)</f>
        <v/>
      </c>
      <c r="H482" s="4">
        <f>TRUNC((F482*G482-F482),8)</f>
        <v/>
      </c>
      <c r="I482" s="4">
        <f>F482+H482</f>
        <v/>
      </c>
    </row>
    <row r="483">
      <c r="A483" s="1">
        <f>IF(DAY(C483)=DAY($K$1+1),1,A482+1)</f>
        <v/>
      </c>
      <c r="B483" s="1">
        <f>IF(DAY(C483)=DAY($K$1+1),1,B482+1)</f>
        <v/>
      </c>
      <c r="C483" s="2">
        <f>C482+1</f>
        <v/>
      </c>
      <c r="D483" s="8">
        <f>IF(DAY(C483)=DAY($K$1+1),TRUNC(($D$5),8),D482)</f>
        <v/>
      </c>
      <c r="E483" s="4">
        <f>TRUNC(((1+IPCA!#REF!))^(A483/30),8)</f>
        <v/>
      </c>
      <c r="F483" s="4">
        <f>TRUNC((D483*E483),8)</f>
        <v/>
      </c>
      <c r="G483" s="3">
        <f>ROUND(((1+$G$4)^(30/360))^(B483/(EDATE(C483-A483,1)-(C483-A483))),9)</f>
        <v/>
      </c>
      <c r="H483" s="4">
        <f>TRUNC((F483*G483-F483),8)</f>
        <v/>
      </c>
      <c r="I483" s="4">
        <f>F483+H483</f>
        <v/>
      </c>
    </row>
    <row r="484">
      <c r="A484" s="1">
        <f>IF(DAY(C484)=DAY($K$1+1),1,A483+1)</f>
        <v/>
      </c>
      <c r="B484" s="1">
        <f>IF(DAY(C484)=DAY($K$1+1),1,B483+1)</f>
        <v/>
      </c>
      <c r="C484" s="2">
        <f>C483+1</f>
        <v/>
      </c>
      <c r="D484" s="8">
        <f>IF(DAY(C484)=DAY($K$1+1),TRUNC(($D$5),8),D483)</f>
        <v/>
      </c>
      <c r="E484" s="4">
        <f>TRUNC(((1+IPCA!#REF!))^(A484/30),8)</f>
        <v/>
      </c>
      <c r="F484" s="4">
        <f>TRUNC((D484*E484),8)</f>
        <v/>
      </c>
      <c r="G484" s="3">
        <f>ROUND(((1+$G$4)^(30/360))^(B484/(EDATE(C484-A484,1)-(C484-A484))),9)</f>
        <v/>
      </c>
      <c r="H484" s="4">
        <f>TRUNC((F484*G484-F484),8)</f>
        <v/>
      </c>
      <c r="I484" s="4">
        <f>F484+H484</f>
        <v/>
      </c>
    </row>
    <row r="485">
      <c r="A485" s="1">
        <f>IF(DAY(C485)=DAY($K$1+1),1,A484+1)</f>
        <v/>
      </c>
      <c r="B485" s="1">
        <f>IF(DAY(C485)=DAY($K$1+1),1,B484+1)</f>
        <v/>
      </c>
      <c r="C485" s="2">
        <f>C484+1</f>
        <v/>
      </c>
      <c r="D485" s="8">
        <f>IF(DAY(C485)=DAY($K$1+1),TRUNC(($D$5),8),D484)</f>
        <v/>
      </c>
      <c r="E485" s="4">
        <f>TRUNC(((1+IPCA!#REF!))^(A485/30),8)</f>
        <v/>
      </c>
      <c r="F485" s="4">
        <f>TRUNC((D485*E485),8)</f>
        <v/>
      </c>
      <c r="G485" s="3">
        <f>ROUND(((1+$G$4)^(30/360))^(B485/(EDATE(C485-A485,1)-(C485-A485))),9)</f>
        <v/>
      </c>
      <c r="H485" s="4">
        <f>TRUNC((F485*G485-F485),8)</f>
        <v/>
      </c>
      <c r="I485" s="4">
        <f>F485+H485</f>
        <v/>
      </c>
      <c r="J485" s="35" t="inlineStr">
        <is>
          <t>CRI Integralizado:</t>
        </is>
      </c>
      <c r="K485" s="268" t="n">
        <v>1540</v>
      </c>
    </row>
    <row r="486">
      <c r="A486" s="1">
        <f>IF(DAY(C486)=DAY($K$1+1),1,A485+1)</f>
        <v/>
      </c>
      <c r="B486" s="1">
        <f>IF(DAY(C486)=DAY($K$1+1),1,B485+1)</f>
        <v/>
      </c>
      <c r="C486" s="2">
        <f>C485+1</f>
        <v/>
      </c>
      <c r="D486" s="8">
        <f>IF(DAY(C486)=DAY($K$1+1),TRUNC(($D$5),8),D485)</f>
        <v/>
      </c>
      <c r="E486" s="4">
        <f>TRUNC(((1+IPCA!#REF!))^(A486/30),8)</f>
        <v/>
      </c>
      <c r="F486" s="4">
        <f>TRUNC((D486*E486),8)</f>
        <v/>
      </c>
      <c r="G486" s="3">
        <f>ROUND(((1+$G$4)^(30/360))^(B486/(EDATE(C486-A486,1)-(C486-A486))),9)</f>
        <v/>
      </c>
      <c r="H486" s="4">
        <f>TRUNC((F486*G486-F486),8)</f>
        <v/>
      </c>
      <c r="I486" s="4">
        <f>F486+H486</f>
        <v/>
      </c>
      <c r="J486" s="33" t="inlineStr">
        <is>
          <t>JUROS</t>
        </is>
      </c>
      <c r="K486" s="33" t="inlineStr">
        <is>
          <t>AMORTIZAÇÃO</t>
        </is>
      </c>
      <c r="L486" s="33" t="inlineStr">
        <is>
          <t>AMEX</t>
        </is>
      </c>
      <c r="M486" s="33" t="inlineStr">
        <is>
          <t>RESIDUAL</t>
        </is>
      </c>
    </row>
    <row r="487">
      <c r="A487" s="22">
        <f>IF(DAY(C487)=DAY($K$1+1),1,A486+1)</f>
        <v/>
      </c>
      <c r="B487" s="22">
        <f>IF(DAY(C487)=DAY($K$1+1),1,B486+1)</f>
        <v/>
      </c>
      <c r="C487" s="23">
        <f>C486+1</f>
        <v/>
      </c>
      <c r="D487" s="24">
        <f>IF(DAY(C487)=DAY($K$1+1),TRUNC(($D$5),8),D486)</f>
        <v/>
      </c>
      <c r="E487" s="25">
        <f>TRUNC(((1+IPCA!#REF!))^(A487/30),8)</f>
        <v/>
      </c>
      <c r="F487" s="25">
        <f>TRUNC((D487*E487),8)</f>
        <v/>
      </c>
      <c r="G487" s="26">
        <f>ROUND(((1+$G$4)^(30/360))^(B487/(EDATE(C487-A487,1)-(C487-A487))),9)</f>
        <v/>
      </c>
      <c r="H487" s="25">
        <f>TRUNC((F487*G487-F487),8)</f>
        <v/>
      </c>
      <c r="I487" s="25">
        <f>F487+H487</f>
        <v/>
      </c>
      <c r="J487" s="28">
        <f>TRUNC(H487,8)</f>
        <v/>
      </c>
      <c r="K487" s="29">
        <f>TRUNC(F487*'Amort TS'!#REF!,8)</f>
        <v/>
      </c>
      <c r="L487" s="29" t="n">
        <v>0</v>
      </c>
      <c r="M487" s="29">
        <f>I487-J487-K487-L487</f>
        <v/>
      </c>
    </row>
    <row r="488">
      <c r="A488" s="1">
        <f>IF(DAY(C488)=DAY($K$1+1),1,A487+1)</f>
        <v/>
      </c>
      <c r="B488" s="1">
        <f>IF(DAY(C488)=DAY($K$1+1),1,B487+1)</f>
        <v/>
      </c>
      <c r="C488" s="2">
        <f>C487+1</f>
        <v/>
      </c>
      <c r="D488" s="8">
        <f>M487</f>
        <v/>
      </c>
      <c r="E488" s="4">
        <f>TRUNC(((1+IPCA!#REF!))^(A488/31),8)</f>
        <v/>
      </c>
      <c r="F488" s="4">
        <f>TRUNC((D488*E488),8)</f>
        <v/>
      </c>
      <c r="G488" s="3">
        <f>ROUND(((1+$G$4)^(30/360))^(B488/(EDATE(C488-A488,1)-(C488-A488))),9)</f>
        <v/>
      </c>
      <c r="H488" s="4">
        <f>TRUNC((F488*G488-F488),8)</f>
        <v/>
      </c>
      <c r="I488" s="4">
        <f>F488+H488</f>
        <v/>
      </c>
      <c r="J488" s="8">
        <f>J487*1540</f>
        <v/>
      </c>
      <c r="K488" s="8">
        <f>K487*1540</f>
        <v/>
      </c>
      <c r="L488" s="8" t="n">
        <v>0</v>
      </c>
      <c r="M488" s="8">
        <f>M487*1540</f>
        <v/>
      </c>
    </row>
    <row r="489" ht="13.8" customHeight="1" s="260" thickBot="1">
      <c r="A489" s="1">
        <f>IF(DAY(C489)=DAY($K$1+1),1,A488+1)</f>
        <v/>
      </c>
      <c r="B489" s="1">
        <f>IF(DAY(C489)=DAY($K$1+1),1,B488+1)</f>
        <v/>
      </c>
      <c r="C489" s="2">
        <f>C488+1</f>
        <v/>
      </c>
      <c r="D489" s="8">
        <f>IF(DAY(C489)=DAY($K$1+1),TRUNC(($D$5),8),D488)</f>
        <v/>
      </c>
      <c r="E489" s="4">
        <f>TRUNC(((1+IPCA!#REF!))^(A489/31),8)</f>
        <v/>
      </c>
      <c r="F489" s="4">
        <f>TRUNC((D489*E489),8)</f>
        <v/>
      </c>
      <c r="G489" s="3">
        <f>ROUND(((1+$G$4)^(30/360))^(B489/(EDATE(C489-A489,1)-(C489-A489))),9)</f>
        <v/>
      </c>
      <c r="H489" s="4">
        <f>TRUNC((F489*G489-F489),8)</f>
        <v/>
      </c>
      <c r="I489" s="4">
        <f>F489+H489</f>
        <v/>
      </c>
      <c r="J489" s="34" t="n"/>
      <c r="K489" s="30" t="n"/>
      <c r="L489" s="10" t="n"/>
    </row>
    <row r="490" ht="13.8" customHeight="1" s="260" thickBot="1">
      <c r="A490" s="1">
        <f>IF(DAY(C490)=DAY($K$1+1),1,A489+1)</f>
        <v/>
      </c>
      <c r="B490" s="1">
        <f>IF(DAY(C490)=DAY($K$1+1),1,B489+1)</f>
        <v/>
      </c>
      <c r="C490" s="2">
        <f>C489+1</f>
        <v/>
      </c>
      <c r="D490" s="8">
        <f>IF(DAY(C490)=DAY($K$1+1),TRUNC(($D$5),8),D489)</f>
        <v/>
      </c>
      <c r="E490" s="4">
        <f>TRUNC(((1+IPCA!#REF!))^(A490/31),8)</f>
        <v/>
      </c>
      <c r="F490" s="4">
        <f>TRUNC((D490*E490),8)</f>
        <v/>
      </c>
      <c r="G490" s="3">
        <f>ROUND(((1+$G$4)^(30/360))^(B490/(EDATE(C490-A490,1)-(C490-A490))),9)</f>
        <v/>
      </c>
      <c r="H490" s="4">
        <f>TRUNC((F490*G490-F490),8)</f>
        <v/>
      </c>
      <c r="I490" s="4">
        <f>F490+H490</f>
        <v/>
      </c>
      <c r="J490" s="31">
        <f>SUM(J488:K488)</f>
        <v/>
      </c>
      <c r="K490" s="32" t="inlineStr">
        <is>
          <t>TOTAL PMT</t>
        </is>
      </c>
      <c r="L490" s="10" t="n"/>
    </row>
    <row r="491">
      <c r="A491" s="1">
        <f>IF(DAY(C491)=DAY($K$1+1),1,A490+1)</f>
        <v/>
      </c>
      <c r="B491" s="1">
        <f>IF(DAY(C491)=DAY($K$1+1),1,B490+1)</f>
        <v/>
      </c>
      <c r="C491" s="2">
        <f>C490+1</f>
        <v/>
      </c>
      <c r="D491" s="8">
        <f>IF(DAY(C491)=DAY($K$1+1),TRUNC(($D$5),8),D490)</f>
        <v/>
      </c>
      <c r="E491" s="4">
        <f>TRUNC(((1+IPCA!#REF!))^(A491/31),8)</f>
        <v/>
      </c>
      <c r="F491" s="4">
        <f>TRUNC((D491*E491),8)</f>
        <v/>
      </c>
      <c r="G491" s="3">
        <f>ROUND(((1+$G$4)^(30/360))^(B491/(EDATE(C491-A491,1)-(C491-A491))),9)</f>
        <v/>
      </c>
      <c r="H491" s="4">
        <f>TRUNC((F491*G491-F491),8)</f>
        <v/>
      </c>
      <c r="I491" s="4">
        <f>F491+H491</f>
        <v/>
      </c>
    </row>
    <row r="492">
      <c r="A492" s="1">
        <f>IF(DAY(C492)=DAY($K$1+1),1,A491+1)</f>
        <v/>
      </c>
      <c r="B492" s="1">
        <f>IF(DAY(C492)=DAY($K$1+1),1,B491+1)</f>
        <v/>
      </c>
      <c r="C492" s="2">
        <f>C491+1</f>
        <v/>
      </c>
      <c r="D492" s="8">
        <f>IF(DAY(C492)=DAY($K$1+1),TRUNC(($D$5),8),D491)</f>
        <v/>
      </c>
      <c r="E492" s="4">
        <f>TRUNC(((1+IPCA!#REF!))^(A492/31),8)</f>
        <v/>
      </c>
      <c r="F492" s="4">
        <f>TRUNC((D492*E492),8)</f>
        <v/>
      </c>
      <c r="G492" s="3">
        <f>ROUND(((1+$G$4)^(30/360))^(B492/(EDATE(C492-A492,1)-(C492-A492))),9)</f>
        <v/>
      </c>
      <c r="H492" s="4">
        <f>TRUNC((F492*G492-F492),8)</f>
        <v/>
      </c>
      <c r="I492" s="4">
        <f>F492+H492</f>
        <v/>
      </c>
    </row>
    <row r="493">
      <c r="A493" s="1">
        <f>IF(DAY(C493)=DAY($K$1+1),1,A492+1)</f>
        <v/>
      </c>
      <c r="B493" s="1">
        <f>IF(DAY(C493)=DAY($K$1+1),1,B492+1)</f>
        <v/>
      </c>
      <c r="C493" s="2">
        <f>C492+1</f>
        <v/>
      </c>
      <c r="D493" s="8">
        <f>IF(DAY(C493)=DAY($K$1+1),TRUNC(($D$5),8),D492)</f>
        <v/>
      </c>
      <c r="E493" s="4">
        <f>TRUNC(((1+IPCA!#REF!))^(A493/31),8)</f>
        <v/>
      </c>
      <c r="F493" s="4">
        <f>TRUNC((D493*E493),8)</f>
        <v/>
      </c>
      <c r="G493" s="3">
        <f>ROUND(((1+$G$4)^(30/360))^(B493/(EDATE(C493-A493,1)-(C493-A493))),9)</f>
        <v/>
      </c>
      <c r="H493" s="4">
        <f>TRUNC((F493*G493-F493),8)</f>
        <v/>
      </c>
      <c r="I493" s="4">
        <f>F493+H493</f>
        <v/>
      </c>
    </row>
    <row r="494">
      <c r="A494" s="1">
        <f>IF(DAY(C494)=DAY($K$1+1),1,A493+1)</f>
        <v/>
      </c>
      <c r="B494" s="1">
        <f>IF(DAY(C494)=DAY($K$1+1),1,B493+1)</f>
        <v/>
      </c>
      <c r="C494" s="2">
        <f>C493+1</f>
        <v/>
      </c>
      <c r="D494" s="8">
        <f>IF(DAY(C494)=DAY($K$1+1),TRUNC(($D$5),8),D493)</f>
        <v/>
      </c>
      <c r="E494" s="4">
        <f>TRUNC(((1+IPCA!#REF!))^(A494/31),8)</f>
        <v/>
      </c>
      <c r="F494" s="4">
        <f>TRUNC((D494*E494),8)</f>
        <v/>
      </c>
      <c r="G494" s="3">
        <f>ROUND(((1+$G$4)^(30/360))^(B494/(EDATE(C494-A494,1)-(C494-A494))),9)</f>
        <v/>
      </c>
      <c r="H494" s="4">
        <f>TRUNC((F494*G494-F494),8)</f>
        <v/>
      </c>
      <c r="I494" s="4">
        <f>F494+H494</f>
        <v/>
      </c>
    </row>
    <row r="495">
      <c r="A495" s="1">
        <f>IF(DAY(C495)=DAY($K$1+1),1,A494+1)</f>
        <v/>
      </c>
      <c r="B495" s="1">
        <f>IF(DAY(C495)=DAY($K$1+1),1,B494+1)</f>
        <v/>
      </c>
      <c r="C495" s="2">
        <f>C494+1</f>
        <v/>
      </c>
      <c r="D495" s="8">
        <f>IF(DAY(C495)=DAY($K$1+1),TRUNC(($D$5),8),D494)</f>
        <v/>
      </c>
      <c r="E495" s="4">
        <f>TRUNC(((1+IPCA!#REF!))^(A495/31),8)</f>
        <v/>
      </c>
      <c r="F495" s="4">
        <f>TRUNC((D495*E495),8)</f>
        <v/>
      </c>
      <c r="G495" s="3">
        <f>ROUND(((1+$G$4)^(30/360))^(B495/(EDATE(C495-A495,1)-(C495-A495))),9)</f>
        <v/>
      </c>
      <c r="H495" s="4">
        <f>TRUNC((F495*G495-F495),8)</f>
        <v/>
      </c>
      <c r="I495" s="4">
        <f>F495+H495</f>
        <v/>
      </c>
    </row>
    <row r="496">
      <c r="A496" s="1">
        <f>IF(DAY(C496)=DAY($K$1+1),1,A495+1)</f>
        <v/>
      </c>
      <c r="B496" s="1">
        <f>IF(DAY(C496)=DAY($K$1+1),1,B495+1)</f>
        <v/>
      </c>
      <c r="C496" s="2">
        <f>C495+1</f>
        <v/>
      </c>
      <c r="D496" s="8">
        <f>IF(DAY(C496)=DAY($K$1+1),TRUNC(($D$5),8),D495)</f>
        <v/>
      </c>
      <c r="E496" s="4">
        <f>TRUNC(((1+IPCA!#REF!))^(A496/31),8)</f>
        <v/>
      </c>
      <c r="F496" s="4">
        <f>TRUNC((D496*E496),8)</f>
        <v/>
      </c>
      <c r="G496" s="3">
        <f>ROUND(((1+$G$4)^(30/360))^(B496/(EDATE(C496-A496,1)-(C496-A496))),9)</f>
        <v/>
      </c>
      <c r="H496" s="4">
        <f>TRUNC((F496*G496-F496),8)</f>
        <v/>
      </c>
      <c r="I496" s="4">
        <f>F496+H496</f>
        <v/>
      </c>
    </row>
    <row r="497">
      <c r="A497" s="1">
        <f>IF(DAY(C497)=DAY($K$1+1),1,A496+1)</f>
        <v/>
      </c>
      <c r="B497" s="1">
        <f>IF(DAY(C497)=DAY($K$1+1),1,B496+1)</f>
        <v/>
      </c>
      <c r="C497" s="2">
        <f>C496+1</f>
        <v/>
      </c>
      <c r="D497" s="8">
        <f>IF(DAY(C497)=DAY($K$1+1),TRUNC(($D$5),8),D496)</f>
        <v/>
      </c>
      <c r="E497" s="4">
        <f>TRUNC(((1+IPCA!#REF!))^(A497/31),8)</f>
        <v/>
      </c>
      <c r="F497" s="4">
        <f>TRUNC((D497*E497),8)</f>
        <v/>
      </c>
      <c r="G497" s="3">
        <f>ROUND(((1+$G$4)^(30/360))^(B497/(EDATE(C497-A497,1)-(C497-A497))),9)</f>
        <v/>
      </c>
      <c r="H497" s="4">
        <f>TRUNC((F497*G497-F497),8)</f>
        <v/>
      </c>
      <c r="I497" s="4">
        <f>F497+H497</f>
        <v/>
      </c>
    </row>
    <row r="498">
      <c r="A498" s="1">
        <f>IF(DAY(C498)=DAY($K$1+1),1,A497+1)</f>
        <v/>
      </c>
      <c r="B498" s="1">
        <f>IF(DAY(C498)=DAY($K$1+1),1,B497+1)</f>
        <v/>
      </c>
      <c r="C498" s="2">
        <f>C497+1</f>
        <v/>
      </c>
      <c r="D498" s="8">
        <f>IF(DAY(C498)=DAY($K$1+1),TRUNC(($D$5),8),D497)</f>
        <v/>
      </c>
      <c r="E498" s="4">
        <f>TRUNC(((1+IPCA!#REF!))^(A498/31),8)</f>
        <v/>
      </c>
      <c r="F498" s="4">
        <f>TRUNC((D498*E498),8)</f>
        <v/>
      </c>
      <c r="G498" s="3">
        <f>ROUND(((1+$G$4)^(30/360))^(B498/(EDATE(C498-A498,1)-(C498-A498))),9)</f>
        <v/>
      </c>
      <c r="H498" s="4">
        <f>TRUNC((F498*G498-F498),8)</f>
        <v/>
      </c>
      <c r="I498" s="4">
        <f>F498+H498</f>
        <v/>
      </c>
    </row>
    <row r="499">
      <c r="A499" s="1">
        <f>IF(DAY(C499)=DAY($K$1+1),1,A498+1)</f>
        <v/>
      </c>
      <c r="B499" s="1">
        <f>IF(DAY(C499)=DAY($K$1+1),1,B498+1)</f>
        <v/>
      </c>
      <c r="C499" s="2">
        <f>C498+1</f>
        <v/>
      </c>
      <c r="D499" s="8">
        <f>IF(DAY(C499)=DAY($K$1+1),TRUNC(($D$5),8),D498)</f>
        <v/>
      </c>
      <c r="E499" s="4">
        <f>TRUNC(((1+IPCA!#REF!))^(A499/31),8)</f>
        <v/>
      </c>
      <c r="F499" s="4">
        <f>TRUNC((D499*E499),8)</f>
        <v/>
      </c>
      <c r="G499" s="3">
        <f>ROUND(((1+$G$4)^(30/360))^(B499/(EDATE(C499-A499,1)-(C499-A499))),9)</f>
        <v/>
      </c>
      <c r="H499" s="4">
        <f>TRUNC((F499*G499-F499),8)</f>
        <v/>
      </c>
      <c r="I499" s="4">
        <f>F499+H499</f>
        <v/>
      </c>
    </row>
    <row r="500">
      <c r="A500" s="1">
        <f>IF(DAY(C500)=DAY($K$1+1),1,A499+1)</f>
        <v/>
      </c>
      <c r="B500" s="1">
        <f>IF(DAY(C500)=DAY($K$1+1),1,B499+1)</f>
        <v/>
      </c>
      <c r="C500" s="2">
        <f>C499+1</f>
        <v/>
      </c>
      <c r="D500" s="8">
        <f>IF(DAY(C500)=DAY($K$1+1),TRUNC(($D$5),8),D499)</f>
        <v/>
      </c>
      <c r="E500" s="4">
        <f>TRUNC(((1+IPCA!#REF!))^(A500/31),8)</f>
        <v/>
      </c>
      <c r="F500" s="4">
        <f>TRUNC((D500*E500),8)</f>
        <v/>
      </c>
      <c r="G500" s="3">
        <f>ROUND(((1+$G$4)^(30/360))^(B500/(EDATE(C500-A500,1)-(C500-A500))),9)</f>
        <v/>
      </c>
      <c r="H500" s="4">
        <f>TRUNC((F500*G500-F500),8)</f>
        <v/>
      </c>
      <c r="I500" s="4">
        <f>F500+H500</f>
        <v/>
      </c>
    </row>
    <row r="501">
      <c r="A501" s="1">
        <f>IF(DAY(C501)=DAY($K$1+1),1,A500+1)</f>
        <v/>
      </c>
      <c r="B501" s="1">
        <f>IF(DAY(C501)=DAY($K$1+1),1,B500+1)</f>
        <v/>
      </c>
      <c r="C501" s="2">
        <f>C500+1</f>
        <v/>
      </c>
      <c r="D501" s="8">
        <f>IF(DAY(C501)=DAY($K$1+1),TRUNC(($D$5),8),D500)</f>
        <v/>
      </c>
      <c r="E501" s="4">
        <f>TRUNC(((1+IPCA!#REF!))^(A501/31),8)</f>
        <v/>
      </c>
      <c r="F501" s="4">
        <f>TRUNC((D501*E501),8)</f>
        <v/>
      </c>
      <c r="G501" s="3">
        <f>ROUND(((1+$G$4)^(30/360))^(B501/(EDATE(C501-A501,1)-(C501-A501))),9)</f>
        <v/>
      </c>
      <c r="H501" s="4">
        <f>TRUNC((F501*G501-F501),8)</f>
        <v/>
      </c>
      <c r="I501" s="4">
        <f>F501+H501</f>
        <v/>
      </c>
    </row>
    <row r="502">
      <c r="A502" s="1">
        <f>IF(DAY(C502)=DAY($K$1+1),1,A501+1)</f>
        <v/>
      </c>
      <c r="B502" s="1">
        <f>IF(DAY(C502)=DAY($K$1+1),1,B501+1)</f>
        <v/>
      </c>
      <c r="C502" s="2">
        <f>C501+1</f>
        <v/>
      </c>
      <c r="D502" s="8">
        <f>IF(DAY(C502)=DAY($K$1+1),TRUNC(($D$5),8),D501)</f>
        <v/>
      </c>
      <c r="E502" s="4">
        <f>TRUNC(((1+IPCA!#REF!))^(A502/31),8)</f>
        <v/>
      </c>
      <c r="F502" s="4">
        <f>TRUNC((D502*E502),8)</f>
        <v/>
      </c>
      <c r="G502" s="3">
        <f>ROUND(((1+$G$4)^(30/360))^(B502/(EDATE(C502-A502,1)-(C502-A502))),9)</f>
        <v/>
      </c>
      <c r="H502" s="4">
        <f>TRUNC((F502*G502-F502),8)</f>
        <v/>
      </c>
      <c r="I502" s="4">
        <f>F502+H502</f>
        <v/>
      </c>
    </row>
    <row r="503">
      <c r="A503" s="1">
        <f>IF(DAY(C503)=DAY($K$1+1),1,A502+1)</f>
        <v/>
      </c>
      <c r="B503" s="1">
        <f>IF(DAY(C503)=DAY($K$1+1),1,B502+1)</f>
        <v/>
      </c>
      <c r="C503" s="2">
        <f>C502+1</f>
        <v/>
      </c>
      <c r="D503" s="8">
        <f>IF(DAY(C503)=DAY($K$1+1),TRUNC(($D$5),8),D502)</f>
        <v/>
      </c>
      <c r="E503" s="4">
        <f>TRUNC(((1+IPCA!#REF!))^(A503/31),8)</f>
        <v/>
      </c>
      <c r="F503" s="4">
        <f>TRUNC((D503*E503),8)</f>
        <v/>
      </c>
      <c r="G503" s="3">
        <f>ROUND(((1+$G$4)^(30/360))^(B503/(EDATE(C503-A503,1)-(C503-A503))),9)</f>
        <v/>
      </c>
      <c r="H503" s="4">
        <f>TRUNC((F503*G503-F503),8)</f>
        <v/>
      </c>
      <c r="I503" s="4">
        <f>F503+H503</f>
        <v/>
      </c>
    </row>
    <row r="504">
      <c r="A504" s="1">
        <f>IF(DAY(C504)=DAY($K$1+1),1,A503+1)</f>
        <v/>
      </c>
      <c r="B504" s="1">
        <f>IF(DAY(C504)=DAY($K$1+1),1,B503+1)</f>
        <v/>
      </c>
      <c r="C504" s="2">
        <f>C503+1</f>
        <v/>
      </c>
      <c r="D504" s="8">
        <f>IF(DAY(C504)=DAY($K$1+1),TRUNC(($D$5),8),D503)</f>
        <v/>
      </c>
      <c r="E504" s="4">
        <f>TRUNC(((1+IPCA!#REF!))^(A504/31),8)</f>
        <v/>
      </c>
      <c r="F504" s="4">
        <f>TRUNC((D504*E504),8)</f>
        <v/>
      </c>
      <c r="G504" s="3">
        <f>ROUND(((1+$G$4)^(30/360))^(B504/(EDATE(C504-A504,1)-(C504-A504))),9)</f>
        <v/>
      </c>
      <c r="H504" s="4">
        <f>TRUNC((F504*G504-F504),8)</f>
        <v/>
      </c>
      <c r="I504" s="4">
        <f>F504+H504</f>
        <v/>
      </c>
    </row>
    <row r="505">
      <c r="A505" s="1">
        <f>IF(DAY(C505)=DAY($K$1+1),1,A504+1)</f>
        <v/>
      </c>
      <c r="B505" s="1">
        <f>IF(DAY(C505)=DAY($K$1+1),1,B504+1)</f>
        <v/>
      </c>
      <c r="C505" s="2">
        <f>C504+1</f>
        <v/>
      </c>
      <c r="D505" s="8">
        <f>IF(DAY(C505)=DAY($K$1+1),TRUNC(($D$5),8),D504)</f>
        <v/>
      </c>
      <c r="E505" s="4">
        <f>TRUNC(((1+IPCA!#REF!))^(A505/31),8)</f>
        <v/>
      </c>
      <c r="F505" s="4">
        <f>TRUNC((D505*E505),8)</f>
        <v/>
      </c>
      <c r="G505" s="3">
        <f>ROUND(((1+$G$4)^(30/360))^(B505/(EDATE(C505-A505,1)-(C505-A505))),9)</f>
        <v/>
      </c>
      <c r="H505" s="4">
        <f>TRUNC((F505*G505-F505),8)</f>
        <v/>
      </c>
      <c r="I505" s="4">
        <f>F505+H505</f>
        <v/>
      </c>
    </row>
    <row r="506">
      <c r="A506" s="1">
        <f>IF(DAY(C506)=DAY($K$1+1),1,A505+1)</f>
        <v/>
      </c>
      <c r="B506" s="1">
        <f>IF(DAY(C506)=DAY($K$1+1),1,B505+1)</f>
        <v/>
      </c>
      <c r="C506" s="2">
        <f>C505+1</f>
        <v/>
      </c>
      <c r="D506" s="8">
        <f>IF(DAY(C506)=DAY($K$1+1),TRUNC(($D$5),8),D505)</f>
        <v/>
      </c>
      <c r="E506" s="4">
        <f>TRUNC(((1+IPCA!#REF!))^(A506/31),8)</f>
        <v/>
      </c>
      <c r="F506" s="4">
        <f>TRUNC((D506*E506),8)</f>
        <v/>
      </c>
      <c r="G506" s="3">
        <f>ROUND(((1+$G$4)^(30/360))^(B506/(EDATE(C506-A506,1)-(C506-A506))),9)</f>
        <v/>
      </c>
      <c r="H506" s="4">
        <f>TRUNC((F506*G506-F506),8)</f>
        <v/>
      </c>
      <c r="I506" s="4">
        <f>F506+H506</f>
        <v/>
      </c>
    </row>
    <row r="507">
      <c r="A507" s="1">
        <f>IF(DAY(C507)=DAY($K$1+1),1,A506+1)</f>
        <v/>
      </c>
      <c r="B507" s="1">
        <f>IF(DAY(C507)=DAY($K$1+1),1,B506+1)</f>
        <v/>
      </c>
      <c r="C507" s="2">
        <f>C506+1</f>
        <v/>
      </c>
      <c r="D507" s="8">
        <f>IF(DAY(C507)=DAY($K$1+1),TRUNC(($D$5),8),D506)</f>
        <v/>
      </c>
      <c r="E507" s="4">
        <f>TRUNC(((1+IPCA!#REF!))^(A507/31),8)</f>
        <v/>
      </c>
      <c r="F507" s="4">
        <f>TRUNC((D507*E507),8)</f>
        <v/>
      </c>
      <c r="G507" s="3">
        <f>ROUND(((1+$G$4)^(30/360))^(B507/(EDATE(C507-A507,1)-(C507-A507))),9)</f>
        <v/>
      </c>
      <c r="H507" s="4">
        <f>TRUNC((F507*G507-F507),8)</f>
        <v/>
      </c>
      <c r="I507" s="4">
        <f>F507+H507</f>
        <v/>
      </c>
    </row>
    <row r="508">
      <c r="A508" s="1">
        <f>IF(DAY(C508)=DAY($K$1+1),1,A507+1)</f>
        <v/>
      </c>
      <c r="B508" s="1">
        <f>IF(DAY(C508)=DAY($K$1+1),1,B507+1)</f>
        <v/>
      </c>
      <c r="C508" s="2">
        <f>C507+1</f>
        <v/>
      </c>
      <c r="D508" s="8">
        <f>IF(DAY(C508)=DAY($K$1+1),TRUNC(($D$5),8),D507)</f>
        <v/>
      </c>
      <c r="E508" s="4">
        <f>TRUNC(((1+IPCA!#REF!))^(A508/31),8)</f>
        <v/>
      </c>
      <c r="F508" s="4">
        <f>TRUNC((D508*E508),8)</f>
        <v/>
      </c>
      <c r="G508" s="3">
        <f>ROUND(((1+$G$4)^(30/360))^(B508/(EDATE(C508-A508,1)-(C508-A508))),9)</f>
        <v/>
      </c>
      <c r="H508" s="4">
        <f>TRUNC((F508*G508-F508),8)</f>
        <v/>
      </c>
      <c r="I508" s="4">
        <f>F508+H508</f>
        <v/>
      </c>
    </row>
    <row r="509">
      <c r="A509" s="1">
        <f>IF(DAY(C509)=DAY($K$1+1),1,A508+1)</f>
        <v/>
      </c>
      <c r="B509" s="1">
        <f>IF(DAY(C509)=DAY($K$1+1),1,B508+1)</f>
        <v/>
      </c>
      <c r="C509" s="2">
        <f>C508+1</f>
        <v/>
      </c>
      <c r="D509" s="8">
        <f>IF(DAY(C509)=DAY($K$1+1),TRUNC(($D$5),8),D508)</f>
        <v/>
      </c>
      <c r="E509" s="4">
        <f>TRUNC(((1+IPCA!#REF!))^(A509/31),8)</f>
        <v/>
      </c>
      <c r="F509" s="4">
        <f>TRUNC((D509*E509),8)</f>
        <v/>
      </c>
      <c r="G509" s="3">
        <f>ROUND(((1+$G$4)^(30/360))^(B509/(EDATE(C509-A509,1)-(C509-A509))),9)</f>
        <v/>
      </c>
      <c r="H509" s="4">
        <f>TRUNC((F509*G509-F509),8)</f>
        <v/>
      </c>
      <c r="I509" s="4">
        <f>F509+H509</f>
        <v/>
      </c>
    </row>
    <row r="510">
      <c r="A510" s="1">
        <f>IF(DAY(C510)=DAY($K$1+1),1,A509+1)</f>
        <v/>
      </c>
      <c r="B510" s="1">
        <f>IF(DAY(C510)=DAY($K$1+1),1,B509+1)</f>
        <v/>
      </c>
      <c r="C510" s="2">
        <f>C509+1</f>
        <v/>
      </c>
      <c r="D510" s="8">
        <f>IF(DAY(C510)=DAY($K$1+1),TRUNC(($D$5),8),D509)</f>
        <v/>
      </c>
      <c r="E510" s="4">
        <f>TRUNC(((1+IPCA!#REF!))^(A510/31),8)</f>
        <v/>
      </c>
      <c r="F510" s="4">
        <f>TRUNC((D510*E510),8)</f>
        <v/>
      </c>
      <c r="G510" s="3">
        <f>ROUND(((1+$G$4)^(30/360))^(B510/(EDATE(C510-A510,1)-(C510-A510))),9)</f>
        <v/>
      </c>
      <c r="H510" s="4">
        <f>TRUNC((F510*G510-F510),8)</f>
        <v/>
      </c>
      <c r="I510" s="4">
        <f>F510+H510</f>
        <v/>
      </c>
    </row>
    <row r="511">
      <c r="A511" s="1">
        <f>IF(DAY(C511)=DAY($K$1+1),1,A510+1)</f>
        <v/>
      </c>
      <c r="B511" s="1">
        <f>IF(DAY(C511)=DAY($K$1+1),1,B510+1)</f>
        <v/>
      </c>
      <c r="C511" s="2">
        <f>C510+1</f>
        <v/>
      </c>
      <c r="D511" s="8">
        <f>IF(DAY(C511)=DAY($K$1+1),TRUNC(($D$5),8),D510)</f>
        <v/>
      </c>
      <c r="E511" s="4">
        <f>TRUNC(((1+IPCA!#REF!))^(A511/31),8)</f>
        <v/>
      </c>
      <c r="F511" s="4">
        <f>TRUNC((D511*E511),8)</f>
        <v/>
      </c>
      <c r="G511" s="3">
        <f>ROUND(((1+$G$4)^(30/360))^(B511/(EDATE(C511-A511,1)-(C511-A511))),9)</f>
        <v/>
      </c>
      <c r="H511" s="4">
        <f>TRUNC((F511*G511-F511),8)</f>
        <v/>
      </c>
      <c r="I511" s="4">
        <f>F511+H511</f>
        <v/>
      </c>
    </row>
    <row r="512">
      <c r="A512" s="1">
        <f>IF(DAY(C512)=DAY($K$1+1),1,A511+1)</f>
        <v/>
      </c>
      <c r="B512" s="1">
        <f>IF(DAY(C512)=DAY($K$1+1),1,B511+1)</f>
        <v/>
      </c>
      <c r="C512" s="2">
        <f>C511+1</f>
        <v/>
      </c>
      <c r="D512" s="8">
        <f>IF(DAY(C512)=DAY($K$1+1),TRUNC(($D$5),8),D511)</f>
        <v/>
      </c>
      <c r="E512" s="4">
        <f>TRUNC(((1+IPCA!#REF!))^(A512/31),8)</f>
        <v/>
      </c>
      <c r="F512" s="4">
        <f>TRUNC((D512*E512),8)</f>
        <v/>
      </c>
      <c r="G512" s="3">
        <f>ROUND(((1+$G$4)^(30/360))^(B512/(EDATE(C512-A512,1)-(C512-A512))),9)</f>
        <v/>
      </c>
      <c r="H512" s="4">
        <f>TRUNC((F512*G512-F512),8)</f>
        <v/>
      </c>
      <c r="I512" s="4">
        <f>F512+H512</f>
        <v/>
      </c>
    </row>
    <row r="513">
      <c r="A513" s="1">
        <f>IF(DAY(C513)=DAY($K$1+1),1,A512+1)</f>
        <v/>
      </c>
      <c r="B513" s="1">
        <f>IF(DAY(C513)=DAY($K$1+1),1,B512+1)</f>
        <v/>
      </c>
      <c r="C513" s="2">
        <f>C512+1</f>
        <v/>
      </c>
      <c r="D513" s="8">
        <f>IF(DAY(C513)=DAY($K$1+1),TRUNC(($D$5),8),D512)</f>
        <v/>
      </c>
      <c r="E513" s="4">
        <f>TRUNC(((1+IPCA!#REF!))^(A513/31),8)</f>
        <v/>
      </c>
      <c r="F513" s="4">
        <f>TRUNC((D513*E513),8)</f>
        <v/>
      </c>
      <c r="G513" s="3">
        <f>ROUND(((1+$G$4)^(30/360))^(B513/(EDATE(C513-A513,1)-(C513-A513))),9)</f>
        <v/>
      </c>
      <c r="H513" s="4">
        <f>TRUNC((F513*G513-F513),8)</f>
        <v/>
      </c>
      <c r="I513" s="4">
        <f>F513+H513</f>
        <v/>
      </c>
    </row>
    <row r="514">
      <c r="A514" s="1">
        <f>IF(DAY(C514)=DAY($K$1+1),1,A513+1)</f>
        <v/>
      </c>
      <c r="B514" s="1">
        <f>IF(DAY(C514)=DAY($K$1+1),1,B513+1)</f>
        <v/>
      </c>
      <c r="C514" s="2">
        <f>C513+1</f>
        <v/>
      </c>
      <c r="D514" s="8">
        <f>IF(DAY(C514)=DAY($K$1+1),TRUNC(($D$5),8),D513)</f>
        <v/>
      </c>
      <c r="E514" s="4">
        <f>TRUNC(((1+IPCA!#REF!))^(A514/31),8)</f>
        <v/>
      </c>
      <c r="F514" s="4">
        <f>TRUNC((D514*E514),8)</f>
        <v/>
      </c>
      <c r="G514" s="3">
        <f>ROUND(((1+$G$4)^(30/360))^(B514/(EDATE(C514-A514,1)-(C514-A514))),9)</f>
        <v/>
      </c>
      <c r="H514" s="4">
        <f>TRUNC((F514*G514-F514),8)</f>
        <v/>
      </c>
      <c r="I514" s="4">
        <f>F514+H514</f>
        <v/>
      </c>
    </row>
    <row r="515">
      <c r="A515" s="1">
        <f>IF(DAY(C515)=DAY($K$1+1),1,A514+1)</f>
        <v/>
      </c>
      <c r="B515" s="1">
        <f>IF(DAY(C515)=DAY($K$1+1),1,B514+1)</f>
        <v/>
      </c>
      <c r="C515" s="2">
        <f>C514+1</f>
        <v/>
      </c>
      <c r="D515" s="8">
        <f>IF(DAY(C515)=DAY($K$1+1),TRUNC(($D$5),8),D514)</f>
        <v/>
      </c>
      <c r="E515" s="4">
        <f>TRUNC(((1+IPCA!#REF!))^(A515/31),8)</f>
        <v/>
      </c>
      <c r="F515" s="4">
        <f>TRUNC((D515*E515),8)</f>
        <v/>
      </c>
      <c r="G515" s="3">
        <f>ROUND(((1+$G$4)^(30/360))^(B515/(EDATE(C515-A515,1)-(C515-A515))),9)</f>
        <v/>
      </c>
      <c r="H515" s="4">
        <f>TRUNC((F515*G515-F515),8)</f>
        <v/>
      </c>
      <c r="I515" s="4">
        <f>F515+H515</f>
        <v/>
      </c>
    </row>
    <row r="516">
      <c r="A516" s="1">
        <f>IF(DAY(C516)=DAY($K$1+1),1,A515+1)</f>
        <v/>
      </c>
      <c r="B516" s="1">
        <f>IF(DAY(C516)=DAY($K$1+1),1,B515+1)</f>
        <v/>
      </c>
      <c r="C516" s="2">
        <f>C515+1</f>
        <v/>
      </c>
      <c r="D516" s="8">
        <f>IF(DAY(C516)=DAY($K$1+1),TRUNC(($D$5),8),D515)</f>
        <v/>
      </c>
      <c r="E516" s="4">
        <f>TRUNC(((1+IPCA!#REF!))^(A516/31),8)</f>
        <v/>
      </c>
      <c r="F516" s="4">
        <f>TRUNC((D516*E516),8)</f>
        <v/>
      </c>
      <c r="G516" s="3">
        <f>ROUND(((1+$G$4)^(30/360))^(B516/(EDATE(C516-A516,1)-(C516-A516))),9)</f>
        <v/>
      </c>
      <c r="H516" s="4">
        <f>TRUNC((F516*G516-F516),8)</f>
        <v/>
      </c>
      <c r="I516" s="4">
        <f>F516+H516</f>
        <v/>
      </c>
      <c r="J516" s="35" t="inlineStr">
        <is>
          <t>CRI Integralizado:</t>
        </is>
      </c>
      <c r="K516" s="268" t="n">
        <v>1540</v>
      </c>
    </row>
    <row r="517">
      <c r="A517" s="1">
        <f>IF(DAY(C517)=DAY($K$1+1),1,A516+1)</f>
        <v/>
      </c>
      <c r="B517" s="1">
        <f>IF(DAY(C517)=DAY($K$1+1),1,B516+1)</f>
        <v/>
      </c>
      <c r="C517" s="2">
        <f>C516+1</f>
        <v/>
      </c>
      <c r="D517" s="8">
        <f>IF(DAY(C517)=DAY($K$1+1),TRUNC(($D$5),8),D516)</f>
        <v/>
      </c>
      <c r="E517" s="4">
        <f>TRUNC(((1+IPCA!#REF!))^(A517/31),8)</f>
        <v/>
      </c>
      <c r="F517" s="4">
        <f>TRUNC((D517*E517),8)</f>
        <v/>
      </c>
      <c r="G517" s="3">
        <f>ROUND(((1+$G$4)^(30/360))^(B517/(EDATE(C517-A517,1)-(C517-A517))),9)</f>
        <v/>
      </c>
      <c r="H517" s="4">
        <f>TRUNC((F517*G517-F517),8)</f>
        <v/>
      </c>
      <c r="I517" s="4">
        <f>F517+H517</f>
        <v/>
      </c>
      <c r="J517" s="33" t="inlineStr">
        <is>
          <t>JUROS</t>
        </is>
      </c>
      <c r="K517" s="33" t="inlineStr">
        <is>
          <t>AMORTIZAÇÃO</t>
        </is>
      </c>
      <c r="L517" s="33" t="inlineStr">
        <is>
          <t>AMEX</t>
        </is>
      </c>
      <c r="M517" s="33" t="inlineStr">
        <is>
          <t>RESIDUAL</t>
        </is>
      </c>
    </row>
    <row r="518">
      <c r="A518" s="22">
        <f>IF(DAY(C518)=DAY($K$1+1),1,A517+1)</f>
        <v/>
      </c>
      <c r="B518" s="22">
        <f>IF(DAY(C518)=DAY($K$1+1),1,B517+1)</f>
        <v/>
      </c>
      <c r="C518" s="23">
        <f>C517+1</f>
        <v/>
      </c>
      <c r="D518" s="24">
        <f>IF(DAY(C518)=DAY($K$1+1),TRUNC(($D$5),8),D517)</f>
        <v/>
      </c>
      <c r="E518" s="25">
        <f>TRUNC(((1+IPCA!#REF!))^(A518/31),8)</f>
        <v/>
      </c>
      <c r="F518" s="25">
        <f>TRUNC((D518*E518),8)</f>
        <v/>
      </c>
      <c r="G518" s="26">
        <f>ROUND(((1+$G$4)^(30/360))^(B518/(EDATE(C518-A518,1)-(C518-A518))),9)</f>
        <v/>
      </c>
      <c r="H518" s="25">
        <f>TRUNC((F518*G518-F518),8)</f>
        <v/>
      </c>
      <c r="I518" s="25">
        <f>F518+H518</f>
        <v/>
      </c>
      <c r="J518" s="28">
        <f>TRUNC(H518,8)</f>
        <v/>
      </c>
      <c r="K518" s="29">
        <f>TRUNC(F518*'Amort TS'!#REF!,8)</f>
        <v/>
      </c>
      <c r="L518" s="29" t="n">
        <v>0</v>
      </c>
      <c r="M518" s="29">
        <f>I518-J518-K518-L518</f>
        <v/>
      </c>
    </row>
    <row r="519">
      <c r="A519" s="1">
        <f>IF(DAY(C519)=DAY($K$1+1),1,A518+1)</f>
        <v/>
      </c>
      <c r="B519" s="1">
        <f>IF(DAY(C519)=DAY($K$1+1),1,B518+1)</f>
        <v/>
      </c>
      <c r="C519" s="2">
        <f>C518+1</f>
        <v/>
      </c>
      <c r="D519" s="8">
        <f>M518</f>
        <v/>
      </c>
      <c r="E519" s="4">
        <f>TRUNC(((1+IPCA!#REF!))^(A519/31),8)</f>
        <v/>
      </c>
      <c r="F519" s="4">
        <f>TRUNC((D519*E519),8)</f>
        <v/>
      </c>
      <c r="G519" s="3">
        <f>ROUND(((1+$G$4)^(30/360))^(B519/(EDATE(C519-A519,1)-(C519-A519))),9)</f>
        <v/>
      </c>
      <c r="H519" s="4">
        <f>TRUNC((F519*G519-F519),8)</f>
        <v/>
      </c>
      <c r="I519" s="4">
        <f>F519+H519</f>
        <v/>
      </c>
      <c r="J519" s="8">
        <f>J518*1540</f>
        <v/>
      </c>
      <c r="K519" s="8">
        <f>K518*1540</f>
        <v/>
      </c>
      <c r="L519" s="8" t="n">
        <v>0</v>
      </c>
      <c r="M519" s="8">
        <f>M518*1540</f>
        <v/>
      </c>
    </row>
    <row r="520" ht="13.8" customHeight="1" s="260" thickBot="1">
      <c r="A520" s="1">
        <f>IF(DAY(C520)=DAY($K$1+1),1,A519+1)</f>
        <v/>
      </c>
      <c r="B520" s="1">
        <f>IF(DAY(C520)=DAY($K$1+1),1,B519+1)</f>
        <v/>
      </c>
      <c r="C520" s="2">
        <f>C519+1</f>
        <v/>
      </c>
      <c r="D520" s="8">
        <f>IF(DAY(C520)=DAY($K$1+1),TRUNC(($D$5),8),D519)</f>
        <v/>
      </c>
      <c r="E520" s="4">
        <f>TRUNC(((1+IPCA!#REF!))^(A520/31),8)</f>
        <v/>
      </c>
      <c r="F520" s="4">
        <f>TRUNC((D520*E520),8)</f>
        <v/>
      </c>
      <c r="G520" s="3">
        <f>ROUND(((1+$G$4)^(30/360))^(B520/(EDATE(C520-A520,1)-(C520-A520))),9)</f>
        <v/>
      </c>
      <c r="H520" s="4">
        <f>TRUNC((F520*G520-F520),8)</f>
        <v/>
      </c>
      <c r="I520" s="4">
        <f>F520+H520</f>
        <v/>
      </c>
      <c r="J520" s="34" t="n"/>
      <c r="K520" s="30" t="n"/>
      <c r="L520" s="10" t="n"/>
    </row>
    <row r="521" ht="13.8" customHeight="1" s="260" thickBot="1">
      <c r="A521" s="1">
        <f>IF(DAY(C521)=DAY($K$1+1),1,A520+1)</f>
        <v/>
      </c>
      <c r="B521" s="1">
        <f>IF(DAY(C521)=DAY($K$1+1),1,B520+1)</f>
        <v/>
      </c>
      <c r="C521" s="2">
        <f>C520+1</f>
        <v/>
      </c>
      <c r="D521" s="8">
        <f>IF(DAY(C521)=DAY($K$1+1),TRUNC(($D$5),8),D520)</f>
        <v/>
      </c>
      <c r="E521" s="4">
        <f>TRUNC(((1+IPCA!#REF!))^(A521/31),8)</f>
        <v/>
      </c>
      <c r="F521" s="4">
        <f>TRUNC((D521*E521),8)</f>
        <v/>
      </c>
      <c r="G521" s="3">
        <f>ROUND(((1+$G$4)^(30/360))^(B521/(EDATE(C521-A521,1)-(C521-A521))),9)</f>
        <v/>
      </c>
      <c r="H521" s="4">
        <f>TRUNC((F521*G521-F521),8)</f>
        <v/>
      </c>
      <c r="I521" s="4">
        <f>F521+H521</f>
        <v/>
      </c>
      <c r="J521" s="31">
        <f>SUM(J519:K519)</f>
        <v/>
      </c>
      <c r="K521" s="32" t="inlineStr">
        <is>
          <t>TOTAL PMT</t>
        </is>
      </c>
      <c r="L521" s="10" t="n"/>
    </row>
    <row r="522">
      <c r="A522" s="1">
        <f>IF(DAY(C522)=DAY($K$1+1),1,A521+1)</f>
        <v/>
      </c>
      <c r="B522" s="1">
        <f>IF(DAY(C522)=DAY($K$1+1),1,B521+1)</f>
        <v/>
      </c>
      <c r="C522" s="2">
        <f>C521+1</f>
        <v/>
      </c>
      <c r="D522" s="8">
        <f>IF(DAY(C522)=DAY($K$1+1),TRUNC(($D$5),8),D521)</f>
        <v/>
      </c>
      <c r="E522" s="4">
        <f>TRUNC(((1+IPCA!#REF!))^(A522/31),8)</f>
        <v/>
      </c>
      <c r="F522" s="4">
        <f>TRUNC((D522*E522),8)</f>
        <v/>
      </c>
      <c r="G522" s="3">
        <f>ROUND(((1+$G$4)^(30/360))^(B522/(EDATE(C522-A522,1)-(C522-A522))),9)</f>
        <v/>
      </c>
      <c r="H522" s="4">
        <f>TRUNC((F522*G522-F522),8)</f>
        <v/>
      </c>
      <c r="I522" s="4">
        <f>F522+H522</f>
        <v/>
      </c>
    </row>
    <row r="523">
      <c r="A523" s="1">
        <f>IF(DAY(C523)=DAY($K$1+1),1,A522+1)</f>
        <v/>
      </c>
      <c r="B523" s="1">
        <f>IF(DAY(C523)=DAY($K$1+1),1,B522+1)</f>
        <v/>
      </c>
      <c r="C523" s="2">
        <f>C522+1</f>
        <v/>
      </c>
      <c r="D523" s="8">
        <f>IF(DAY(C523)=DAY($K$1+1),TRUNC(($D$5),8),D522)</f>
        <v/>
      </c>
      <c r="E523" s="4">
        <f>TRUNC(((1+IPCA!#REF!))^(A523/31),8)</f>
        <v/>
      </c>
      <c r="F523" s="4">
        <f>TRUNC((D523*E523),8)</f>
        <v/>
      </c>
      <c r="G523" s="3">
        <f>ROUND(((1+$G$4)^(30/360))^(B523/(EDATE(C523-A523,1)-(C523-A523))),9)</f>
        <v/>
      </c>
      <c r="H523" s="4">
        <f>TRUNC((F523*G523-F523),8)</f>
        <v/>
      </c>
      <c r="I523" s="4">
        <f>F523+H523</f>
        <v/>
      </c>
    </row>
    <row r="524">
      <c r="A524" s="1">
        <f>IF(DAY(C524)=DAY($K$1+1),1,A523+1)</f>
        <v/>
      </c>
      <c r="B524" s="1">
        <f>IF(DAY(C524)=DAY($K$1+1),1,B523+1)</f>
        <v/>
      </c>
      <c r="C524" s="2">
        <f>C523+1</f>
        <v/>
      </c>
      <c r="D524" s="8">
        <f>IF(DAY(C524)=DAY($K$1+1),TRUNC(($D$5),8),D523)</f>
        <v/>
      </c>
      <c r="E524" s="4">
        <f>TRUNC(((1+IPCA!#REF!))^(A524/31),8)</f>
        <v/>
      </c>
      <c r="F524" s="4">
        <f>TRUNC((D524*E524),8)</f>
        <v/>
      </c>
      <c r="G524" s="3">
        <f>ROUND(((1+$G$4)^(30/360))^(B524/(EDATE(C524-A524,1)-(C524-A524))),9)</f>
        <v/>
      </c>
      <c r="H524" s="4">
        <f>TRUNC((F524*G524-F524),8)</f>
        <v/>
      </c>
      <c r="I524" s="4">
        <f>F524+H524</f>
        <v/>
      </c>
    </row>
    <row r="525">
      <c r="A525" s="1">
        <f>IF(DAY(C525)=DAY($K$1+1),1,A524+1)</f>
        <v/>
      </c>
      <c r="B525" s="1">
        <f>IF(DAY(C525)=DAY($K$1+1),1,B524+1)</f>
        <v/>
      </c>
      <c r="C525" s="2">
        <f>C524+1</f>
        <v/>
      </c>
      <c r="D525" s="8">
        <f>IF(DAY(C525)=DAY($K$1+1),TRUNC(($D$5),8),D524)</f>
        <v/>
      </c>
      <c r="E525" s="4">
        <f>TRUNC(((1+IPCA!#REF!))^(A525/31),8)</f>
        <v/>
      </c>
      <c r="F525" s="4">
        <f>TRUNC((D525*E525),8)</f>
        <v/>
      </c>
      <c r="G525" s="3">
        <f>ROUND(((1+$G$4)^(30/360))^(B525/(EDATE(C525-A525,1)-(C525-A525))),9)</f>
        <v/>
      </c>
      <c r="H525" s="4">
        <f>TRUNC((F525*G525-F525),8)</f>
        <v/>
      </c>
      <c r="I525" s="4">
        <f>F525+H525</f>
        <v/>
      </c>
    </row>
    <row r="526">
      <c r="A526" s="1">
        <f>IF(DAY(C526)=DAY($K$1+1),1,A525+1)</f>
        <v/>
      </c>
      <c r="B526" s="1">
        <f>IF(DAY(C526)=DAY($K$1+1),1,B525+1)</f>
        <v/>
      </c>
      <c r="C526" s="2">
        <f>C525+1</f>
        <v/>
      </c>
      <c r="D526" s="8">
        <f>IF(DAY(C526)=DAY($K$1+1),TRUNC(($D$5),8),D525)</f>
        <v/>
      </c>
      <c r="E526" s="4">
        <f>TRUNC(((1+IPCA!#REF!))^(A526/31),8)</f>
        <v/>
      </c>
      <c r="F526" s="4">
        <f>TRUNC((D526*E526),8)</f>
        <v/>
      </c>
      <c r="G526" s="3">
        <f>ROUND(((1+$G$4)^(30/360))^(B526/(EDATE(C526-A526,1)-(C526-A526))),9)</f>
        <v/>
      </c>
      <c r="H526" s="4">
        <f>TRUNC((F526*G526-F526),8)</f>
        <v/>
      </c>
      <c r="I526" s="4">
        <f>F526+H526</f>
        <v/>
      </c>
    </row>
    <row r="527">
      <c r="A527" s="1">
        <f>IF(DAY(C527)=DAY($K$1+1),1,A526+1)</f>
        <v/>
      </c>
      <c r="B527" s="1">
        <f>IF(DAY(C527)=DAY($K$1+1),1,B526+1)</f>
        <v/>
      </c>
      <c r="C527" s="2">
        <f>C526+1</f>
        <v/>
      </c>
      <c r="D527" s="8">
        <f>IF(DAY(C527)=DAY($K$1+1),TRUNC(($D$5),8),D526)</f>
        <v/>
      </c>
      <c r="E527" s="4">
        <f>TRUNC(((1+IPCA!#REF!))^(A527/31),8)</f>
        <v/>
      </c>
      <c r="F527" s="4">
        <f>TRUNC((D527*E527),8)</f>
        <v/>
      </c>
      <c r="G527" s="3">
        <f>ROUND(((1+$G$4)^(30/360))^(B527/(EDATE(C527-A527,1)-(C527-A527))),9)</f>
        <v/>
      </c>
      <c r="H527" s="4">
        <f>TRUNC((F527*G527-F527),8)</f>
        <v/>
      </c>
      <c r="I527" s="4">
        <f>F527+H527</f>
        <v/>
      </c>
    </row>
    <row r="528">
      <c r="A528" s="1">
        <f>IF(DAY(C528)=DAY($K$1+1),1,A527+1)</f>
        <v/>
      </c>
      <c r="B528" s="1">
        <f>IF(DAY(C528)=DAY($K$1+1),1,B527+1)</f>
        <v/>
      </c>
      <c r="C528" s="2">
        <f>C527+1</f>
        <v/>
      </c>
      <c r="D528" s="8">
        <f>IF(DAY(C528)=DAY($K$1+1),TRUNC(($D$5),8),D527)</f>
        <v/>
      </c>
      <c r="E528" s="4">
        <f>TRUNC(((1+IPCA!#REF!))^(A528/31),8)</f>
        <v/>
      </c>
      <c r="F528" s="4">
        <f>TRUNC((D528*E528),8)</f>
        <v/>
      </c>
      <c r="G528" s="3">
        <f>ROUND(((1+$G$4)^(30/360))^(B528/(EDATE(C528-A528,1)-(C528-A528))),9)</f>
        <v/>
      </c>
      <c r="H528" s="4">
        <f>TRUNC((F528*G528-F528),8)</f>
        <v/>
      </c>
      <c r="I528" s="4">
        <f>F528+H528</f>
        <v/>
      </c>
    </row>
    <row r="529">
      <c r="A529" s="1">
        <f>IF(DAY(C529)=DAY($K$1+1),1,A528+1)</f>
        <v/>
      </c>
      <c r="B529" s="1">
        <f>IF(DAY(C529)=DAY($K$1+1),1,B528+1)</f>
        <v/>
      </c>
      <c r="C529" s="2">
        <f>C528+1</f>
        <v/>
      </c>
      <c r="D529" s="8">
        <f>IF(DAY(C529)=DAY($K$1+1),TRUNC(($D$5),8),D528)</f>
        <v/>
      </c>
      <c r="E529" s="4">
        <f>TRUNC(((1+IPCA!#REF!))^(A529/31),8)</f>
        <v/>
      </c>
      <c r="F529" s="4">
        <f>TRUNC((D529*E529),8)</f>
        <v/>
      </c>
      <c r="G529" s="3">
        <f>ROUND(((1+$G$4)^(30/360))^(B529/(EDATE(C529-A529,1)-(C529-A529))),9)</f>
        <v/>
      </c>
      <c r="H529" s="4">
        <f>TRUNC((F529*G529-F529),8)</f>
        <v/>
      </c>
      <c r="I529" s="4">
        <f>F529+H529</f>
        <v/>
      </c>
    </row>
    <row r="530">
      <c r="A530" s="1">
        <f>IF(DAY(C530)=DAY($K$1+1),1,A529+1)</f>
        <v/>
      </c>
      <c r="B530" s="1">
        <f>IF(DAY(C530)=DAY($K$1+1),1,B529+1)</f>
        <v/>
      </c>
      <c r="C530" s="2">
        <f>C529+1</f>
        <v/>
      </c>
      <c r="D530" s="8">
        <f>IF(DAY(C530)=DAY($K$1+1),TRUNC(($D$5),8),D529)</f>
        <v/>
      </c>
      <c r="E530" s="4">
        <f>TRUNC(((1+IPCA!#REF!))^(A530/31),8)</f>
        <v/>
      </c>
      <c r="F530" s="4">
        <f>TRUNC((D530*E530),8)</f>
        <v/>
      </c>
      <c r="G530" s="3">
        <f>ROUND(((1+$G$4)^(30/360))^(B530/(EDATE(C530-A530,1)-(C530-A530))),9)</f>
        <v/>
      </c>
      <c r="H530" s="4">
        <f>TRUNC((F530*G530-F530),8)</f>
        <v/>
      </c>
      <c r="I530" s="4">
        <f>F530+H530</f>
        <v/>
      </c>
    </row>
    <row r="531">
      <c r="A531" s="1">
        <f>IF(DAY(C531)=DAY($K$1+1),1,A530+1)</f>
        <v/>
      </c>
      <c r="B531" s="1">
        <f>IF(DAY(C531)=DAY($K$1+1),1,B530+1)</f>
        <v/>
      </c>
      <c r="C531" s="2">
        <f>C530+1</f>
        <v/>
      </c>
      <c r="D531" s="8">
        <f>IF(DAY(C531)=DAY($K$1+1),TRUNC(($D$5),8),D530)</f>
        <v/>
      </c>
      <c r="E531" s="4">
        <f>TRUNC(((1+IPCA!#REF!))^(A531/31),8)</f>
        <v/>
      </c>
      <c r="F531" s="4">
        <f>TRUNC((D531*E531),8)</f>
        <v/>
      </c>
      <c r="G531" s="3">
        <f>ROUND(((1+$G$4)^(30/360))^(B531/(EDATE(C531-A531,1)-(C531-A531))),9)</f>
        <v/>
      </c>
      <c r="H531" s="4">
        <f>TRUNC((F531*G531-F531),8)</f>
        <v/>
      </c>
      <c r="I531" s="4">
        <f>F531+H531</f>
        <v/>
      </c>
    </row>
    <row r="532">
      <c r="A532" s="1">
        <f>IF(DAY(C532)=DAY($K$1+1),1,A531+1)</f>
        <v/>
      </c>
      <c r="B532" s="1">
        <f>IF(DAY(C532)=DAY($K$1+1),1,B531+1)</f>
        <v/>
      </c>
      <c r="C532" s="2">
        <f>C531+1</f>
        <v/>
      </c>
      <c r="D532" s="8">
        <f>IF(DAY(C532)=DAY($K$1+1),TRUNC(($D$5),8),D531)</f>
        <v/>
      </c>
      <c r="E532" s="4">
        <f>TRUNC(((1+IPCA!#REF!))^(A532/31),8)</f>
        <v/>
      </c>
      <c r="F532" s="4">
        <f>TRUNC((D532*E532),8)</f>
        <v/>
      </c>
      <c r="G532" s="3">
        <f>ROUND(((1+$G$4)^(30/360))^(B532/(EDATE(C532-A532,1)-(C532-A532))),9)</f>
        <v/>
      </c>
      <c r="H532" s="4">
        <f>TRUNC((F532*G532-F532),8)</f>
        <v/>
      </c>
      <c r="I532" s="4">
        <f>F532+H532</f>
        <v/>
      </c>
    </row>
    <row r="533">
      <c r="A533" s="1">
        <f>IF(DAY(C533)=DAY($K$1+1),1,A532+1)</f>
        <v/>
      </c>
      <c r="B533" s="1">
        <f>IF(DAY(C533)=DAY($K$1+1),1,B532+1)</f>
        <v/>
      </c>
      <c r="C533" s="2">
        <f>C532+1</f>
        <v/>
      </c>
      <c r="D533" s="8">
        <f>IF(DAY(C533)=DAY($K$1+1),TRUNC(($D$5),8),D532)</f>
        <v/>
      </c>
      <c r="E533" s="4">
        <f>TRUNC(((1+IPCA!#REF!))^(A533/31),8)</f>
        <v/>
      </c>
      <c r="F533" s="4">
        <f>TRUNC((D533*E533),8)</f>
        <v/>
      </c>
      <c r="G533" s="3">
        <f>ROUND(((1+$G$4)^(30/360))^(B533/(EDATE(C533-A533,1)-(C533-A533))),9)</f>
        <v/>
      </c>
      <c r="H533" s="4">
        <f>TRUNC((F533*G533-F533),8)</f>
        <v/>
      </c>
      <c r="I533" s="4">
        <f>F533+H533</f>
        <v/>
      </c>
    </row>
    <row r="534">
      <c r="A534" s="1">
        <f>IF(DAY(C534)=DAY($K$1+1),1,A533+1)</f>
        <v/>
      </c>
      <c r="B534" s="1">
        <f>IF(DAY(C534)=DAY($K$1+1),1,B533+1)</f>
        <v/>
      </c>
      <c r="C534" s="2">
        <f>C533+1</f>
        <v/>
      </c>
      <c r="D534" s="8">
        <f>IF(DAY(C534)=DAY($K$1+1),TRUNC(($D$5),8),D533)</f>
        <v/>
      </c>
      <c r="E534" s="4">
        <f>TRUNC(((1+IPCA!#REF!))^(A534/31),8)</f>
        <v/>
      </c>
      <c r="F534" s="4">
        <f>TRUNC((D534*E534),8)</f>
        <v/>
      </c>
      <c r="G534" s="3">
        <f>ROUND(((1+$G$4)^(30/360))^(B534/(EDATE(C534-A534,1)-(C534-A534))),9)</f>
        <v/>
      </c>
      <c r="H534" s="4">
        <f>TRUNC((F534*G534-F534),8)</f>
        <v/>
      </c>
      <c r="I534" s="4">
        <f>F534+H534</f>
        <v/>
      </c>
    </row>
    <row r="535">
      <c r="A535" s="1">
        <f>IF(DAY(C535)=DAY($K$1+1),1,A534+1)</f>
        <v/>
      </c>
      <c r="B535" s="1">
        <f>IF(DAY(C535)=DAY($K$1+1),1,B534+1)</f>
        <v/>
      </c>
      <c r="C535" s="2">
        <f>C534+1</f>
        <v/>
      </c>
      <c r="D535" s="8">
        <f>IF(DAY(C535)=DAY($K$1+1),TRUNC(($D$5),8),D534)</f>
        <v/>
      </c>
      <c r="E535" s="4">
        <f>TRUNC(((1+IPCA!#REF!))^(A535/31),8)</f>
        <v/>
      </c>
      <c r="F535" s="4">
        <f>TRUNC((D535*E535),8)</f>
        <v/>
      </c>
      <c r="G535" s="3">
        <f>ROUND(((1+$G$4)^(30/360))^(B535/(EDATE(C535-A535,1)-(C535-A535))),9)</f>
        <v/>
      </c>
      <c r="H535" s="4">
        <f>TRUNC((F535*G535-F535),8)</f>
        <v/>
      </c>
      <c r="I535" s="4">
        <f>F535+H535</f>
        <v/>
      </c>
    </row>
    <row r="536">
      <c r="A536" s="1">
        <f>IF(DAY(C536)=DAY($K$1+1),1,A535+1)</f>
        <v/>
      </c>
      <c r="B536" s="1">
        <f>IF(DAY(C536)=DAY($K$1+1),1,B535+1)</f>
        <v/>
      </c>
      <c r="C536" s="2">
        <f>C535+1</f>
        <v/>
      </c>
      <c r="D536" s="8">
        <f>IF(DAY(C536)=DAY($K$1+1),TRUNC(($D$5),8),D535)</f>
        <v/>
      </c>
      <c r="E536" s="4">
        <f>TRUNC(((1+IPCA!#REF!))^(A536/31),8)</f>
        <v/>
      </c>
      <c r="F536" s="4">
        <f>TRUNC((D536*E536),8)</f>
        <v/>
      </c>
      <c r="G536" s="3">
        <f>ROUND(((1+$G$4)^(30/360))^(B536/(EDATE(C536-A536,1)-(C536-A536))),9)</f>
        <v/>
      </c>
      <c r="H536" s="4">
        <f>TRUNC((F536*G536-F536),8)</f>
        <v/>
      </c>
      <c r="I536" s="4">
        <f>F536+H536</f>
        <v/>
      </c>
    </row>
    <row r="537">
      <c r="A537" s="1">
        <f>IF(DAY(C537)=DAY($K$1+1),1,A536+1)</f>
        <v/>
      </c>
      <c r="B537" s="1">
        <f>IF(DAY(C537)=DAY($K$1+1),1,B536+1)</f>
        <v/>
      </c>
      <c r="C537" s="2">
        <f>C536+1</f>
        <v/>
      </c>
      <c r="D537" s="8">
        <f>IF(DAY(C537)=DAY($K$1+1),TRUNC(($D$5),8),D536)</f>
        <v/>
      </c>
      <c r="E537" s="4">
        <f>TRUNC(((1+IPCA!#REF!))^(A537/31),8)</f>
        <v/>
      </c>
      <c r="F537" s="4">
        <f>TRUNC((D537*E537),8)</f>
        <v/>
      </c>
      <c r="G537" s="3">
        <f>ROUND(((1+$G$4)^(30/360))^(B537/(EDATE(C537-A537,1)-(C537-A537))),9)</f>
        <v/>
      </c>
      <c r="H537" s="4">
        <f>TRUNC((F537*G537-F537),8)</f>
        <v/>
      </c>
      <c r="I537" s="4">
        <f>F537+H537</f>
        <v/>
      </c>
    </row>
    <row r="538">
      <c r="A538" s="1">
        <f>IF(DAY(C538)=DAY($K$1+1),1,A537+1)</f>
        <v/>
      </c>
      <c r="B538" s="1">
        <f>IF(DAY(C538)=DAY($K$1+1),1,B537+1)</f>
        <v/>
      </c>
      <c r="C538" s="2">
        <f>C537+1</f>
        <v/>
      </c>
      <c r="D538" s="8">
        <f>IF(DAY(C538)=DAY($K$1+1),TRUNC(($D$5),8),D537)</f>
        <v/>
      </c>
      <c r="E538" s="4">
        <f>TRUNC(((1+IPCA!#REF!))^(A538/31),8)</f>
        <v/>
      </c>
      <c r="F538" s="4">
        <f>TRUNC((D538*E538),8)</f>
        <v/>
      </c>
      <c r="G538" s="3">
        <f>ROUND(((1+$G$4)^(30/360))^(B538/(EDATE(C538-A538,1)-(C538-A538))),9)</f>
        <v/>
      </c>
      <c r="H538" s="4">
        <f>TRUNC((F538*G538-F538),8)</f>
        <v/>
      </c>
      <c r="I538" s="4">
        <f>F538+H538</f>
        <v/>
      </c>
    </row>
    <row r="539">
      <c r="A539" s="1">
        <f>IF(DAY(C539)=DAY($K$1+1),1,A538+1)</f>
        <v/>
      </c>
      <c r="B539" s="1">
        <f>IF(DAY(C539)=DAY($K$1+1),1,B538+1)</f>
        <v/>
      </c>
      <c r="C539" s="2">
        <f>C538+1</f>
        <v/>
      </c>
      <c r="D539" s="8">
        <f>IF(DAY(C539)=DAY($K$1+1),TRUNC(($D$5),8),D538)</f>
        <v/>
      </c>
      <c r="E539" s="4">
        <f>TRUNC(((1+IPCA!#REF!))^(A539/31),8)</f>
        <v/>
      </c>
      <c r="F539" s="4">
        <f>TRUNC((D539*E539),8)</f>
        <v/>
      </c>
      <c r="G539" s="3">
        <f>ROUND(((1+$G$4)^(30/360))^(B539/(EDATE(C539-A539,1)-(C539-A539))),9)</f>
        <v/>
      </c>
      <c r="H539" s="4">
        <f>TRUNC((F539*G539-F539),8)</f>
        <v/>
      </c>
      <c r="I539" s="4">
        <f>F539+H539</f>
        <v/>
      </c>
    </row>
    <row r="540">
      <c r="A540" s="1">
        <f>IF(DAY(C540)=DAY($K$1+1),1,A539+1)</f>
        <v/>
      </c>
      <c r="B540" s="1">
        <f>IF(DAY(C540)=DAY($K$1+1),1,B539+1)</f>
        <v/>
      </c>
      <c r="C540" s="2">
        <f>C539+1</f>
        <v/>
      </c>
      <c r="D540" s="8">
        <f>IF(DAY(C540)=DAY($K$1+1),TRUNC(($D$5),8),D539)</f>
        <v/>
      </c>
      <c r="E540" s="4">
        <f>TRUNC(((1+IPCA!#REF!))^(A540/31),8)</f>
        <v/>
      </c>
      <c r="F540" s="4">
        <f>TRUNC((D540*E540),8)</f>
        <v/>
      </c>
      <c r="G540" s="3">
        <f>ROUND(((1+$G$4)^(30/360))^(B540/(EDATE(C540-A540,1)-(C540-A540))),9)</f>
        <v/>
      </c>
      <c r="H540" s="4">
        <f>TRUNC((F540*G540-F540),8)</f>
        <v/>
      </c>
      <c r="I540" s="4">
        <f>F540+H540</f>
        <v/>
      </c>
    </row>
    <row r="541">
      <c r="A541" s="1">
        <f>IF(DAY(C541)=DAY($K$1+1),1,A540+1)</f>
        <v/>
      </c>
      <c r="B541" s="1">
        <f>IF(DAY(C541)=DAY($K$1+1),1,B540+1)</f>
        <v/>
      </c>
      <c r="C541" s="2">
        <f>C540+1</f>
        <v/>
      </c>
      <c r="D541" s="8">
        <f>IF(DAY(C541)=DAY($K$1+1),TRUNC(($D$5),8),D540)</f>
        <v/>
      </c>
      <c r="E541" s="4">
        <f>TRUNC(((1+IPCA!#REF!))^(A541/31),8)</f>
        <v/>
      </c>
      <c r="F541" s="4">
        <f>TRUNC((D541*E541),8)</f>
        <v/>
      </c>
      <c r="G541" s="3">
        <f>ROUND(((1+$G$4)^(30/360))^(B541/(EDATE(C541-A541,1)-(C541-A541))),9)</f>
        <v/>
      </c>
      <c r="H541" s="4">
        <f>TRUNC((F541*G541-F541),8)</f>
        <v/>
      </c>
      <c r="I541" s="4">
        <f>F541+H541</f>
        <v/>
      </c>
    </row>
    <row r="542">
      <c r="A542" s="1">
        <f>IF(DAY(C542)=DAY($K$1+1),1,A541+1)</f>
        <v/>
      </c>
      <c r="B542" s="1">
        <f>IF(DAY(C542)=DAY($K$1+1),1,B541+1)</f>
        <v/>
      </c>
      <c r="C542" s="2">
        <f>C541+1</f>
        <v/>
      </c>
      <c r="D542" s="8">
        <f>IF(DAY(C542)=DAY($K$1+1),TRUNC(($D$5),8),D541)</f>
        <v/>
      </c>
      <c r="E542" s="4">
        <f>TRUNC(((1+IPCA!#REF!))^(A542/31),8)</f>
        <v/>
      </c>
      <c r="F542" s="4">
        <f>TRUNC((D542*E542),8)</f>
        <v/>
      </c>
      <c r="G542" s="3">
        <f>ROUND(((1+$G$4)^(30/360))^(B542/(EDATE(C542-A542,1)-(C542-A542))),9)</f>
        <v/>
      </c>
      <c r="H542" s="4">
        <f>TRUNC((F542*G542-F542),8)</f>
        <v/>
      </c>
      <c r="I542" s="4">
        <f>F542+H542</f>
        <v/>
      </c>
    </row>
    <row r="543">
      <c r="A543" s="1">
        <f>IF(DAY(C543)=DAY($K$1+1),1,A542+1)</f>
        <v/>
      </c>
      <c r="B543" s="1">
        <f>IF(DAY(C543)=DAY($K$1+1),1,B542+1)</f>
        <v/>
      </c>
      <c r="C543" s="2">
        <f>C542+1</f>
        <v/>
      </c>
      <c r="D543" s="8">
        <f>IF(DAY(C543)=DAY($K$1+1),TRUNC(($D$5),8),D542)</f>
        <v/>
      </c>
      <c r="E543" s="4">
        <f>TRUNC(((1+IPCA!#REF!))^(A543/31),8)</f>
        <v/>
      </c>
      <c r="F543" s="4">
        <f>TRUNC((D543*E543),8)</f>
        <v/>
      </c>
      <c r="G543" s="3">
        <f>ROUND(((1+$G$4)^(30/360))^(B543/(EDATE(C543-A543,1)-(C543-A543))),9)</f>
        <v/>
      </c>
      <c r="H543" s="4">
        <f>TRUNC((F543*G543-F543),8)</f>
        <v/>
      </c>
      <c r="I543" s="4">
        <f>F543+H543</f>
        <v/>
      </c>
    </row>
    <row r="544">
      <c r="A544" s="1">
        <f>IF(DAY(C544)=DAY($K$1+1),1,A543+1)</f>
        <v/>
      </c>
      <c r="B544" s="1">
        <f>IF(DAY(C544)=DAY($K$1+1),1,B543+1)</f>
        <v/>
      </c>
      <c r="C544" s="2">
        <f>C543+1</f>
        <v/>
      </c>
      <c r="D544" s="8">
        <f>IF(DAY(C544)=DAY($K$1+1),TRUNC(($D$5),8),D543)</f>
        <v/>
      </c>
      <c r="E544" s="4">
        <f>TRUNC(((1+IPCA!#REF!))^(A544/31),8)</f>
        <v/>
      </c>
      <c r="F544" s="4">
        <f>TRUNC((D544*E544),8)</f>
        <v/>
      </c>
      <c r="G544" s="3">
        <f>ROUND(((1+$G$4)^(30/360))^(B544/(EDATE(C544-A544,1)-(C544-A544))),9)</f>
        <v/>
      </c>
      <c r="H544" s="4">
        <f>TRUNC((F544*G544-F544),8)</f>
        <v/>
      </c>
      <c r="I544" s="4">
        <f>F544+H544</f>
        <v/>
      </c>
    </row>
    <row r="545">
      <c r="A545" s="1">
        <f>IF(DAY(C545)=DAY($K$1+1),1,A544+1)</f>
        <v/>
      </c>
      <c r="B545" s="1">
        <f>IF(DAY(C545)=DAY($K$1+1),1,B544+1)</f>
        <v/>
      </c>
      <c r="C545" s="2">
        <f>C544+1</f>
        <v/>
      </c>
      <c r="D545" s="8">
        <f>IF(DAY(C545)=DAY($K$1+1),TRUNC(($D$5),8),D544)</f>
        <v/>
      </c>
      <c r="E545" s="4">
        <f>TRUNC(((1+IPCA!#REF!))^(A545/31),8)</f>
        <v/>
      </c>
      <c r="F545" s="4">
        <f>TRUNC((D545*E545),8)</f>
        <v/>
      </c>
      <c r="G545" s="3">
        <f>ROUND(((1+$G$4)^(30/360))^(B545/(EDATE(C545-A545,1)-(C545-A545))),9)</f>
        <v/>
      </c>
      <c r="H545" s="4">
        <f>TRUNC((F545*G545-F545),8)</f>
        <v/>
      </c>
      <c r="I545" s="4">
        <f>F545+H545</f>
        <v/>
      </c>
    </row>
    <row r="546">
      <c r="A546" s="1">
        <f>IF(DAY(C546)=DAY($K$1+1),1,A545+1)</f>
        <v/>
      </c>
      <c r="B546" s="1">
        <f>IF(DAY(C546)=DAY($K$1+1),1,B545+1)</f>
        <v/>
      </c>
      <c r="C546" s="2">
        <f>C545+1</f>
        <v/>
      </c>
      <c r="D546" s="8">
        <f>IF(DAY(C546)=DAY($K$1+1),TRUNC(($D$5),8),D545)</f>
        <v/>
      </c>
      <c r="E546" s="4">
        <f>TRUNC(((1+IPCA!#REF!))^(A546/31),8)</f>
        <v/>
      </c>
      <c r="F546" s="4">
        <f>TRUNC((D546*E546),8)</f>
        <v/>
      </c>
      <c r="G546" s="3">
        <f>ROUND(((1+$G$4)^(30/360))^(B546/(EDATE(C546-A546,1)-(C546-A546))),9)</f>
        <v/>
      </c>
      <c r="H546" s="4">
        <f>TRUNC((F546*G546-F546),8)</f>
        <v/>
      </c>
      <c r="I546" s="4">
        <f>F546+H546</f>
        <v/>
      </c>
    </row>
    <row r="547">
      <c r="A547" s="1">
        <f>IF(DAY(C547)=DAY($K$1+1),1,A546+1)</f>
        <v/>
      </c>
      <c r="B547" s="1">
        <f>IF(DAY(C547)=DAY($K$1+1),1,B546+1)</f>
        <v/>
      </c>
      <c r="C547" s="2">
        <f>C546+1</f>
        <v/>
      </c>
      <c r="D547" s="8">
        <f>IF(DAY(C547)=DAY($K$1+1),TRUNC(($D$5),8),D546)</f>
        <v/>
      </c>
      <c r="E547" s="4">
        <f>TRUNC(((1+IPCA!#REF!))^(A547/31),8)</f>
        <v/>
      </c>
      <c r="F547" s="4">
        <f>TRUNC((D547*E547),8)</f>
        <v/>
      </c>
      <c r="G547" s="3">
        <f>ROUND(((1+$G$4)^(30/360))^(B547/(EDATE(C547-A547,1)-(C547-A547))),9)</f>
        <v/>
      </c>
      <c r="H547" s="4">
        <f>TRUNC((F547*G547-F547),8)</f>
        <v/>
      </c>
      <c r="I547" s="4">
        <f>F547+H547</f>
        <v/>
      </c>
      <c r="J547" s="35" t="inlineStr">
        <is>
          <t>CRI Integralizado:</t>
        </is>
      </c>
      <c r="K547" s="268" t="n">
        <v>1540</v>
      </c>
    </row>
    <row r="548">
      <c r="A548" s="1">
        <f>IF(DAY(C548)=DAY($K$1+1),1,A547+1)</f>
        <v/>
      </c>
      <c r="B548" s="1">
        <f>IF(DAY(C548)=DAY($K$1+1),1,B547+1)</f>
        <v/>
      </c>
      <c r="C548" s="2">
        <f>C547+1</f>
        <v/>
      </c>
      <c r="D548" s="8">
        <f>IF(DAY(C548)=DAY($K$1+1),TRUNC(($D$5),8),D547)</f>
        <v/>
      </c>
      <c r="E548" s="4">
        <f>TRUNC(((1+IPCA!#REF!))^(A548/31),8)</f>
        <v/>
      </c>
      <c r="F548" s="4">
        <f>TRUNC((D548*E548),8)</f>
        <v/>
      </c>
      <c r="G548" s="3">
        <f>ROUND(((1+$G$4)^(30/360))^(B548/(EDATE(C548-A548,1)-(C548-A548))),9)</f>
        <v/>
      </c>
      <c r="H548" s="4">
        <f>TRUNC((F548*G548-F548),8)</f>
        <v/>
      </c>
      <c r="I548" s="4">
        <f>F548+H548</f>
        <v/>
      </c>
      <c r="J548" s="33" t="inlineStr">
        <is>
          <t>JUROS</t>
        </is>
      </c>
      <c r="K548" s="33" t="inlineStr">
        <is>
          <t>AMORTIZAÇÃO</t>
        </is>
      </c>
      <c r="L548" s="33" t="inlineStr">
        <is>
          <t>AMEX</t>
        </is>
      </c>
      <c r="M548" s="33" t="inlineStr">
        <is>
          <t>RESIDUAL</t>
        </is>
      </c>
    </row>
    <row r="549">
      <c r="A549" s="22">
        <f>IF(DAY(C549)=DAY($K$1+1),1,A548+1)</f>
        <v/>
      </c>
      <c r="B549" s="22">
        <f>IF(DAY(C549)=DAY($K$1+1),1,B548+1)</f>
        <v/>
      </c>
      <c r="C549" s="23">
        <f>C548+1</f>
        <v/>
      </c>
      <c r="D549" s="24">
        <f>IF(DAY(C549)=DAY($K$1+1),TRUNC(($D$5),8),D548)</f>
        <v/>
      </c>
      <c r="E549" s="25">
        <f>TRUNC(((1+IPCA!#REF!))^(A549/31),8)</f>
        <v/>
      </c>
      <c r="F549" s="25">
        <f>TRUNC((D549*E549),8)</f>
        <v/>
      </c>
      <c r="G549" s="26">
        <f>ROUND(((1+$G$4)^(30/360))^(B549/(EDATE(C549-A549,1)-(C549-A549))),9)</f>
        <v/>
      </c>
      <c r="H549" s="25">
        <f>TRUNC((F549*G549-F549),8)</f>
        <v/>
      </c>
      <c r="I549" s="25">
        <f>F549+H549</f>
        <v/>
      </c>
      <c r="J549" s="28">
        <f>TRUNC(H549,8)</f>
        <v/>
      </c>
      <c r="K549" s="29">
        <f>TRUNC(F549*'Amort TS'!#REF!,8)</f>
        <v/>
      </c>
      <c r="L549" s="29" t="n">
        <v>0</v>
      </c>
      <c r="M549" s="29">
        <f>I549-J549-K549-L549</f>
        <v/>
      </c>
    </row>
    <row r="550">
      <c r="A550" s="1">
        <f>IF(DAY(C550)=DAY($K$1+1),1,A549+1)</f>
        <v/>
      </c>
      <c r="B550" s="1">
        <f>IF(DAY(C550)=DAY($K$1+1),1,B549+1)</f>
        <v/>
      </c>
      <c r="C550" s="2">
        <f>C549+1</f>
        <v/>
      </c>
      <c r="D550" s="8">
        <f>M549</f>
        <v/>
      </c>
      <c r="E550" s="4">
        <f>TRUNC(((1+IPCA!#REF!))^(A550/30),8)</f>
        <v/>
      </c>
      <c r="F550" s="4">
        <f>TRUNC((D550*E550),8)</f>
        <v/>
      </c>
      <c r="G550" s="3">
        <f>ROUND(((1+$G$4)^(30/360))^(B550/(EDATE(C550-A550,1)-(C550-A550))),9)</f>
        <v/>
      </c>
      <c r="H550" s="4">
        <f>TRUNC((F550*G550-F550),8)</f>
        <v/>
      </c>
      <c r="I550" s="4">
        <f>F550+H550</f>
        <v/>
      </c>
      <c r="J550" s="8">
        <f>J549*1540</f>
        <v/>
      </c>
      <c r="K550" s="8">
        <f>K549*1540</f>
        <v/>
      </c>
      <c r="L550" s="8" t="n">
        <v>0</v>
      </c>
      <c r="M550" s="8">
        <f>M549*1540</f>
        <v/>
      </c>
    </row>
    <row r="551" ht="13.8" customHeight="1" s="260" thickBot="1">
      <c r="A551" s="1">
        <f>IF(DAY(C551)=DAY($K$1+1),1,A550+1)</f>
        <v/>
      </c>
      <c r="B551" s="1">
        <f>IF(DAY(C551)=DAY($K$1+1),1,B550+1)</f>
        <v/>
      </c>
      <c r="C551" s="2">
        <f>C550+1</f>
        <v/>
      </c>
      <c r="D551" s="8">
        <f>IF(DAY(C551)=DAY($K$1+1),TRUNC(($D$5),8),D550)</f>
        <v/>
      </c>
      <c r="E551" s="4">
        <f>TRUNC(((1+IPCA!#REF!))^(A551/30),8)</f>
        <v/>
      </c>
      <c r="F551" s="4">
        <f>TRUNC((D551*E551),8)</f>
        <v/>
      </c>
      <c r="G551" s="3">
        <f>ROUND(((1+$G$4)^(30/360))^(B551/(EDATE(C551-A551,1)-(C551-A551))),9)</f>
        <v/>
      </c>
      <c r="H551" s="4">
        <f>TRUNC((F551*G551-F551),8)</f>
        <v/>
      </c>
      <c r="I551" s="4">
        <f>F551+H551</f>
        <v/>
      </c>
      <c r="J551" s="34" t="n"/>
      <c r="K551" s="30" t="n"/>
      <c r="L551" s="10" t="n"/>
    </row>
    <row r="552" ht="13.8" customHeight="1" s="260" thickBot="1">
      <c r="A552" s="1">
        <f>IF(DAY(C552)=DAY($K$1+1),1,A551+1)</f>
        <v/>
      </c>
      <c r="B552" s="1">
        <f>IF(DAY(C552)=DAY($K$1+1),1,B551+1)</f>
        <v/>
      </c>
      <c r="C552" s="2">
        <f>C551+1</f>
        <v/>
      </c>
      <c r="D552" s="8">
        <f>IF(DAY(C552)=DAY($K$1+1),TRUNC(($D$5),8),D551)</f>
        <v/>
      </c>
      <c r="E552" s="4">
        <f>TRUNC(((1+IPCA!#REF!))^(A552/30),8)</f>
        <v/>
      </c>
      <c r="F552" s="4">
        <f>TRUNC((D552*E552),8)</f>
        <v/>
      </c>
      <c r="G552" s="3">
        <f>ROUND(((1+$G$4)^(30/360))^(B552/(EDATE(C552-A552,1)-(C552-A552))),9)</f>
        <v/>
      </c>
      <c r="H552" s="4">
        <f>TRUNC((F552*G552-F552),8)</f>
        <v/>
      </c>
      <c r="I552" s="4">
        <f>F552+H552</f>
        <v/>
      </c>
      <c r="J552" s="31">
        <f>SUM(J550:K550)</f>
        <v/>
      </c>
      <c r="K552" s="32" t="inlineStr">
        <is>
          <t>TOTAL PMT</t>
        </is>
      </c>
      <c r="L552" s="10" t="n"/>
    </row>
    <row r="553">
      <c r="A553" s="1">
        <f>IF(DAY(C553)=DAY($K$1+1),1,A552+1)</f>
        <v/>
      </c>
      <c r="B553" s="1">
        <f>IF(DAY(C553)=DAY($K$1+1),1,B552+1)</f>
        <v/>
      </c>
      <c r="C553" s="2">
        <f>C552+1</f>
        <v/>
      </c>
      <c r="D553" s="8">
        <f>IF(DAY(C553)=DAY($K$1+1),TRUNC(($D$5),8),D552)</f>
        <v/>
      </c>
      <c r="E553" s="4">
        <f>TRUNC(((1+IPCA!#REF!))^(A553/30),8)</f>
        <v/>
      </c>
      <c r="F553" s="4">
        <f>TRUNC((D553*E553),8)</f>
        <v/>
      </c>
      <c r="G553" s="3">
        <f>ROUND(((1+$G$4)^(30/360))^(B553/(EDATE(C553-A553,1)-(C553-A553))),9)</f>
        <v/>
      </c>
      <c r="H553" s="4">
        <f>TRUNC((F553*G553-F553),8)</f>
        <v/>
      </c>
      <c r="I553" s="4">
        <f>F553+H553</f>
        <v/>
      </c>
    </row>
    <row r="554">
      <c r="A554" s="1">
        <f>IF(DAY(C554)=DAY($K$1+1),1,A553+1)</f>
        <v/>
      </c>
      <c r="B554" s="1">
        <f>IF(DAY(C554)=DAY($K$1+1),1,B553+1)</f>
        <v/>
      </c>
      <c r="C554" s="2">
        <f>C553+1</f>
        <v/>
      </c>
      <c r="D554" s="8">
        <f>IF(DAY(C554)=DAY($K$1+1),TRUNC(($D$5),8),D553)</f>
        <v/>
      </c>
      <c r="E554" s="4">
        <f>TRUNC(((1+IPCA!#REF!))^(A554/30),8)</f>
        <v/>
      </c>
      <c r="F554" s="4">
        <f>TRUNC((D554*E554),8)</f>
        <v/>
      </c>
      <c r="G554" s="3">
        <f>ROUND(((1+$G$4)^(30/360))^(B554/(EDATE(C554-A554,1)-(C554-A554))),9)</f>
        <v/>
      </c>
      <c r="H554" s="4">
        <f>TRUNC((F554*G554-F554),8)</f>
        <v/>
      </c>
      <c r="I554" s="4">
        <f>F554+H554</f>
        <v/>
      </c>
    </row>
    <row r="555">
      <c r="A555" s="1">
        <f>IF(DAY(C555)=DAY($K$1+1),1,A554+1)</f>
        <v/>
      </c>
      <c r="B555" s="1">
        <f>IF(DAY(C555)=DAY($K$1+1),1,B554+1)</f>
        <v/>
      </c>
      <c r="C555" s="2">
        <f>C554+1</f>
        <v/>
      </c>
      <c r="D555" s="8">
        <f>IF(DAY(C555)=DAY($K$1+1),TRUNC(($D$5),8),D554)</f>
        <v/>
      </c>
      <c r="E555" s="4">
        <f>TRUNC(((1+IPCA!#REF!))^(A555/30),8)</f>
        <v/>
      </c>
      <c r="F555" s="4">
        <f>TRUNC((D555*E555),8)</f>
        <v/>
      </c>
      <c r="G555" s="3">
        <f>ROUND(((1+$G$4)^(30/360))^(B555/(EDATE(C555-A555,1)-(C555-A555))),9)</f>
        <v/>
      </c>
      <c r="H555" s="4">
        <f>TRUNC((F555*G555-F555),8)</f>
        <v/>
      </c>
      <c r="I555" s="4">
        <f>F555+H555</f>
        <v/>
      </c>
    </row>
    <row r="556">
      <c r="A556" s="1">
        <f>IF(DAY(C556)=DAY($K$1+1),1,A555+1)</f>
        <v/>
      </c>
      <c r="B556" s="1">
        <f>IF(DAY(C556)=DAY($K$1+1),1,B555+1)</f>
        <v/>
      </c>
      <c r="C556" s="2">
        <f>C555+1</f>
        <v/>
      </c>
      <c r="D556" s="8">
        <f>IF(DAY(C556)=DAY($K$1+1),TRUNC(($D$5),8),D555)</f>
        <v/>
      </c>
      <c r="E556" s="4">
        <f>TRUNC(((1+IPCA!#REF!))^(A556/30),8)</f>
        <v/>
      </c>
      <c r="F556" s="4">
        <f>TRUNC((D556*E556),8)</f>
        <v/>
      </c>
      <c r="G556" s="3">
        <f>ROUND(((1+$G$4)^(30/360))^(B556/(EDATE(C556-A556,1)-(C556-A556))),9)</f>
        <v/>
      </c>
      <c r="H556" s="4">
        <f>TRUNC((F556*G556-F556),8)</f>
        <v/>
      </c>
      <c r="I556" s="4">
        <f>F556+H556</f>
        <v/>
      </c>
    </row>
    <row r="557">
      <c r="A557" s="1">
        <f>IF(DAY(C557)=DAY($K$1+1),1,A556+1)</f>
        <v/>
      </c>
      <c r="B557" s="1">
        <f>IF(DAY(C557)=DAY($K$1+1),1,B556+1)</f>
        <v/>
      </c>
      <c r="C557" s="2">
        <f>C556+1</f>
        <v/>
      </c>
      <c r="D557" s="8">
        <f>IF(DAY(C557)=DAY($K$1+1),TRUNC(($D$5),8),D556)</f>
        <v/>
      </c>
      <c r="E557" s="4">
        <f>TRUNC(((1+IPCA!#REF!))^(A557/30),8)</f>
        <v/>
      </c>
      <c r="F557" s="4">
        <f>TRUNC((D557*E557),8)</f>
        <v/>
      </c>
      <c r="G557" s="3">
        <f>ROUND(((1+$G$4)^(30/360))^(B557/(EDATE(C557-A557,1)-(C557-A557))),9)</f>
        <v/>
      </c>
      <c r="H557" s="4">
        <f>TRUNC((F557*G557-F557),8)</f>
        <v/>
      </c>
      <c r="I557" s="4">
        <f>F557+H557</f>
        <v/>
      </c>
    </row>
    <row r="558">
      <c r="A558" s="1">
        <f>IF(DAY(C558)=DAY($K$1+1),1,A557+1)</f>
        <v/>
      </c>
      <c r="B558" s="1">
        <f>IF(DAY(C558)=DAY($K$1+1),1,B557+1)</f>
        <v/>
      </c>
      <c r="C558" s="2">
        <f>C557+1</f>
        <v/>
      </c>
      <c r="D558" s="8">
        <f>IF(DAY(C558)=DAY($K$1+1),TRUNC(($D$5),8),D557)</f>
        <v/>
      </c>
      <c r="E558" s="4">
        <f>TRUNC(((1+IPCA!#REF!))^(A558/30),8)</f>
        <v/>
      </c>
      <c r="F558" s="4">
        <f>TRUNC((D558*E558),8)</f>
        <v/>
      </c>
      <c r="G558" s="3">
        <f>ROUND(((1+$G$4)^(30/360))^(B558/(EDATE(C558-A558,1)-(C558-A558))),9)</f>
        <v/>
      </c>
      <c r="H558" s="4">
        <f>TRUNC((F558*G558-F558),8)</f>
        <v/>
      </c>
      <c r="I558" s="4">
        <f>F558+H558</f>
        <v/>
      </c>
    </row>
    <row r="559">
      <c r="A559" s="1">
        <f>IF(DAY(C559)=DAY($K$1+1),1,A558+1)</f>
        <v/>
      </c>
      <c r="B559" s="1">
        <f>IF(DAY(C559)=DAY($K$1+1),1,B558+1)</f>
        <v/>
      </c>
      <c r="C559" s="2">
        <f>C558+1</f>
        <v/>
      </c>
      <c r="D559" s="8">
        <f>IF(DAY(C559)=DAY($K$1+1),TRUNC(($D$5),8),D558)</f>
        <v/>
      </c>
      <c r="E559" s="4">
        <f>TRUNC(((1+IPCA!#REF!))^(A559/30),8)</f>
        <v/>
      </c>
      <c r="F559" s="4">
        <f>TRUNC((D559*E559),8)</f>
        <v/>
      </c>
      <c r="G559" s="3">
        <f>ROUND(((1+$G$4)^(30/360))^(B559/(EDATE(C559-A559,1)-(C559-A559))),9)</f>
        <v/>
      </c>
      <c r="H559" s="4">
        <f>TRUNC((F559*G559-F559),8)</f>
        <v/>
      </c>
      <c r="I559" s="4">
        <f>F559+H559</f>
        <v/>
      </c>
    </row>
    <row r="560">
      <c r="A560" s="1">
        <f>IF(DAY(C560)=DAY($K$1+1),1,A559+1)</f>
        <v/>
      </c>
      <c r="B560" s="1">
        <f>IF(DAY(C560)=DAY($K$1+1),1,B559+1)</f>
        <v/>
      </c>
      <c r="C560" s="2">
        <f>C559+1</f>
        <v/>
      </c>
      <c r="D560" s="8">
        <f>IF(DAY(C560)=DAY($K$1+1),TRUNC(($D$5),8),D559)</f>
        <v/>
      </c>
      <c r="E560" s="4">
        <f>TRUNC(((1+IPCA!#REF!))^(A560/30),8)</f>
        <v/>
      </c>
      <c r="F560" s="4">
        <f>TRUNC((D560*E560),8)</f>
        <v/>
      </c>
      <c r="G560" s="3">
        <f>ROUND(((1+$G$4)^(30/360))^(B560/(EDATE(C560-A560,1)-(C560-A560))),9)</f>
        <v/>
      </c>
      <c r="H560" s="4">
        <f>TRUNC((F560*G560-F560),8)</f>
        <v/>
      </c>
      <c r="I560" s="4">
        <f>F560+H560</f>
        <v/>
      </c>
    </row>
    <row r="561">
      <c r="A561" s="1">
        <f>IF(DAY(C561)=DAY($K$1+1),1,A560+1)</f>
        <v/>
      </c>
      <c r="B561" s="1">
        <f>IF(DAY(C561)=DAY($K$1+1),1,B560+1)</f>
        <v/>
      </c>
      <c r="C561" s="2">
        <f>C560+1</f>
        <v/>
      </c>
      <c r="D561" s="8">
        <f>IF(DAY(C561)=DAY($K$1+1),TRUNC(($D$5),8),D560)</f>
        <v/>
      </c>
      <c r="E561" s="4">
        <f>TRUNC(((1+IPCA!#REF!))^(A561/30),8)</f>
        <v/>
      </c>
      <c r="F561" s="4">
        <f>TRUNC((D561*E561),8)</f>
        <v/>
      </c>
      <c r="G561" s="3">
        <f>ROUND(((1+$G$4)^(30/360))^(B561/(EDATE(C561-A561,1)-(C561-A561))),9)</f>
        <v/>
      </c>
      <c r="H561" s="4">
        <f>TRUNC((F561*G561-F561),8)</f>
        <v/>
      </c>
      <c r="I561" s="4">
        <f>F561+H561</f>
        <v/>
      </c>
    </row>
    <row r="562">
      <c r="A562" s="1">
        <f>IF(DAY(C562)=DAY($K$1+1),1,A561+1)</f>
        <v/>
      </c>
      <c r="B562" s="1">
        <f>IF(DAY(C562)=DAY($K$1+1),1,B561+1)</f>
        <v/>
      </c>
      <c r="C562" s="2">
        <f>C561+1</f>
        <v/>
      </c>
      <c r="D562" s="8">
        <f>IF(DAY(C562)=DAY($K$1+1),TRUNC(($D$5),8),D561)</f>
        <v/>
      </c>
      <c r="E562" s="4">
        <f>TRUNC(((1+IPCA!#REF!))^(A562/30),8)</f>
        <v/>
      </c>
      <c r="F562" s="4">
        <f>TRUNC((D562*E562),8)</f>
        <v/>
      </c>
      <c r="G562" s="3">
        <f>ROUND(((1+$G$4)^(30/360))^(B562/(EDATE(C562-A562,1)-(C562-A562))),9)</f>
        <v/>
      </c>
      <c r="H562" s="4">
        <f>TRUNC((F562*G562-F562),8)</f>
        <v/>
      </c>
      <c r="I562" s="4">
        <f>F562+H562</f>
        <v/>
      </c>
    </row>
    <row r="563">
      <c r="A563" s="1">
        <f>IF(DAY(C563)=DAY($K$1+1),1,A562+1)</f>
        <v/>
      </c>
      <c r="B563" s="1">
        <f>IF(DAY(C563)=DAY($K$1+1),1,B562+1)</f>
        <v/>
      </c>
      <c r="C563" s="2">
        <f>C562+1</f>
        <v/>
      </c>
      <c r="D563" s="8">
        <f>IF(DAY(C563)=DAY($K$1+1),TRUNC(($D$5),8),D562)</f>
        <v/>
      </c>
      <c r="E563" s="4">
        <f>TRUNC(((1+IPCA!#REF!))^(A563/30),8)</f>
        <v/>
      </c>
      <c r="F563" s="4">
        <f>TRUNC((D563*E563),8)</f>
        <v/>
      </c>
      <c r="G563" s="3">
        <f>ROUND(((1+$G$4)^(30/360))^(B563/(EDATE(C563-A563,1)-(C563-A563))),9)</f>
        <v/>
      </c>
      <c r="H563" s="4">
        <f>TRUNC((F563*G563-F563),8)</f>
        <v/>
      </c>
      <c r="I563" s="4">
        <f>F563+H563</f>
        <v/>
      </c>
    </row>
    <row r="564">
      <c r="A564" s="1">
        <f>IF(DAY(C564)=DAY($K$1+1),1,A563+1)</f>
        <v/>
      </c>
      <c r="B564" s="1">
        <f>IF(DAY(C564)=DAY($K$1+1),1,B563+1)</f>
        <v/>
      </c>
      <c r="C564" s="2">
        <f>C563+1</f>
        <v/>
      </c>
      <c r="D564" s="8">
        <f>IF(DAY(C564)=DAY($K$1+1),TRUNC(($D$5),8),D563)</f>
        <v/>
      </c>
      <c r="E564" s="4">
        <f>TRUNC(((1+IPCA!#REF!))^(A564/30),8)</f>
        <v/>
      </c>
      <c r="F564" s="4">
        <f>TRUNC((D564*E564),8)</f>
        <v/>
      </c>
      <c r="G564" s="3">
        <f>ROUND(((1+$G$4)^(30/360))^(B564/(EDATE(C564-A564,1)-(C564-A564))),9)</f>
        <v/>
      </c>
      <c r="H564" s="4">
        <f>TRUNC((F564*G564-F564),8)</f>
        <v/>
      </c>
      <c r="I564" s="4">
        <f>F564+H564</f>
        <v/>
      </c>
    </row>
    <row r="565">
      <c r="A565" s="1">
        <f>IF(DAY(C565)=DAY($K$1+1),1,A564+1)</f>
        <v/>
      </c>
      <c r="B565" s="1">
        <f>IF(DAY(C565)=DAY($K$1+1),1,B564+1)</f>
        <v/>
      </c>
      <c r="C565" s="2">
        <f>C564+1</f>
        <v/>
      </c>
      <c r="D565" s="8">
        <f>IF(DAY(C565)=DAY($K$1+1),TRUNC(($D$5),8),D564)</f>
        <v/>
      </c>
      <c r="E565" s="4">
        <f>TRUNC(((1+IPCA!#REF!))^(A565/30),8)</f>
        <v/>
      </c>
      <c r="F565" s="4">
        <f>TRUNC((D565*E565),8)</f>
        <v/>
      </c>
      <c r="G565" s="3">
        <f>ROUND(((1+$G$4)^(30/360))^(B565/(EDATE(C565-A565,1)-(C565-A565))),9)</f>
        <v/>
      </c>
      <c r="H565" s="4">
        <f>TRUNC((F565*G565-F565),8)</f>
        <v/>
      </c>
      <c r="I565" s="4">
        <f>F565+H565</f>
        <v/>
      </c>
    </row>
    <row r="566">
      <c r="A566" s="1">
        <f>IF(DAY(C566)=DAY($K$1+1),1,A565+1)</f>
        <v/>
      </c>
      <c r="B566" s="1">
        <f>IF(DAY(C566)=DAY($K$1+1),1,B565+1)</f>
        <v/>
      </c>
      <c r="C566" s="2">
        <f>C565+1</f>
        <v/>
      </c>
      <c r="D566" s="8">
        <f>IF(DAY(C566)=DAY($K$1+1),TRUNC(($D$5),8),D565)</f>
        <v/>
      </c>
      <c r="E566" s="4">
        <f>TRUNC(((1+IPCA!#REF!))^(A566/30),8)</f>
        <v/>
      </c>
      <c r="F566" s="4">
        <f>TRUNC((D566*E566),8)</f>
        <v/>
      </c>
      <c r="G566" s="3">
        <f>ROUND(((1+$G$4)^(30/360))^(B566/(EDATE(C566-A566,1)-(C566-A566))),9)</f>
        <v/>
      </c>
      <c r="H566" s="4">
        <f>TRUNC((F566*G566-F566),8)</f>
        <v/>
      </c>
      <c r="I566" s="4">
        <f>F566+H566</f>
        <v/>
      </c>
    </row>
    <row r="567">
      <c r="A567" s="1">
        <f>IF(DAY(C567)=DAY($K$1+1),1,A566+1)</f>
        <v/>
      </c>
      <c r="B567" s="1">
        <f>IF(DAY(C567)=DAY($K$1+1),1,B566+1)</f>
        <v/>
      </c>
      <c r="C567" s="2">
        <f>C566+1</f>
        <v/>
      </c>
      <c r="D567" s="8">
        <f>IF(DAY(C567)=DAY($K$1+1),TRUNC(($D$5),8),D566)</f>
        <v/>
      </c>
      <c r="E567" s="4">
        <f>TRUNC(((1+IPCA!#REF!))^(A567/30),8)</f>
        <v/>
      </c>
      <c r="F567" s="4">
        <f>TRUNC((D567*E567),8)</f>
        <v/>
      </c>
      <c r="G567" s="3">
        <f>ROUND(((1+$G$4)^(30/360))^(B567/(EDATE(C567-A567,1)-(C567-A567))),9)</f>
        <v/>
      </c>
      <c r="H567" s="4">
        <f>TRUNC((F567*G567-F567),8)</f>
        <v/>
      </c>
      <c r="I567" s="4">
        <f>F567+H567</f>
        <v/>
      </c>
    </row>
    <row r="568">
      <c r="A568" s="1">
        <f>IF(DAY(C568)=DAY($K$1+1),1,A567+1)</f>
        <v/>
      </c>
      <c r="B568" s="1">
        <f>IF(DAY(C568)=DAY($K$1+1),1,B567+1)</f>
        <v/>
      </c>
      <c r="C568" s="2">
        <f>C567+1</f>
        <v/>
      </c>
      <c r="D568" s="8">
        <f>IF(DAY(C568)=DAY($K$1+1),TRUNC(($D$5),8),D567)</f>
        <v/>
      </c>
      <c r="E568" s="4">
        <f>TRUNC(((1+IPCA!#REF!))^(A568/30),8)</f>
        <v/>
      </c>
      <c r="F568" s="4">
        <f>TRUNC((D568*E568),8)</f>
        <v/>
      </c>
      <c r="G568" s="3">
        <f>ROUND(((1+$G$4)^(30/360))^(B568/(EDATE(C568-A568,1)-(C568-A568))),9)</f>
        <v/>
      </c>
      <c r="H568" s="4">
        <f>TRUNC((F568*G568-F568),8)</f>
        <v/>
      </c>
      <c r="I568" s="4">
        <f>F568+H568</f>
        <v/>
      </c>
    </row>
    <row r="569">
      <c r="A569" s="1">
        <f>IF(DAY(C569)=DAY($K$1+1),1,A568+1)</f>
        <v/>
      </c>
      <c r="B569" s="1">
        <f>IF(DAY(C569)=DAY($K$1+1),1,B568+1)</f>
        <v/>
      </c>
      <c r="C569" s="2">
        <f>C568+1</f>
        <v/>
      </c>
      <c r="D569" s="8">
        <f>IF(DAY(C569)=DAY($K$1+1),TRUNC(($D$5),8),D568)</f>
        <v/>
      </c>
      <c r="E569" s="4">
        <f>TRUNC(((1+IPCA!#REF!))^(A569/30),8)</f>
        <v/>
      </c>
      <c r="F569" s="4">
        <f>TRUNC((D569*E569),8)</f>
        <v/>
      </c>
      <c r="G569" s="3">
        <f>ROUND(((1+$G$4)^(30/360))^(B569/(EDATE(C569-A569,1)-(C569-A569))),9)</f>
        <v/>
      </c>
      <c r="H569" s="4">
        <f>TRUNC((F569*G569-F569),8)</f>
        <v/>
      </c>
      <c r="I569" s="4">
        <f>F569+H569</f>
        <v/>
      </c>
    </row>
    <row r="570">
      <c r="A570" s="1">
        <f>IF(DAY(C570)=DAY($K$1+1),1,A569+1)</f>
        <v/>
      </c>
      <c r="B570" s="1">
        <f>IF(DAY(C570)=DAY($K$1+1),1,B569+1)</f>
        <v/>
      </c>
      <c r="C570" s="2">
        <f>C569+1</f>
        <v/>
      </c>
      <c r="D570" s="8">
        <f>IF(DAY(C570)=DAY($K$1+1),TRUNC(($D$5),8),D569)</f>
        <v/>
      </c>
      <c r="E570" s="4">
        <f>TRUNC(((1+IPCA!#REF!))^(A570/30),8)</f>
        <v/>
      </c>
      <c r="F570" s="4">
        <f>TRUNC((D570*E570),8)</f>
        <v/>
      </c>
      <c r="G570" s="3">
        <f>ROUND(((1+$G$4)^(30/360))^(B570/(EDATE(C570-A570,1)-(C570-A570))),9)</f>
        <v/>
      </c>
      <c r="H570" s="4">
        <f>TRUNC((F570*G570-F570),8)</f>
        <v/>
      </c>
      <c r="I570" s="4">
        <f>F570+H570</f>
        <v/>
      </c>
    </row>
    <row r="571">
      <c r="A571" s="1">
        <f>IF(DAY(C571)=DAY($K$1+1),1,A570+1)</f>
        <v/>
      </c>
      <c r="B571" s="1">
        <f>IF(DAY(C571)=DAY($K$1+1),1,B570+1)</f>
        <v/>
      </c>
      <c r="C571" s="2">
        <f>C570+1</f>
        <v/>
      </c>
      <c r="D571" s="8">
        <f>IF(DAY(C571)=DAY($K$1+1),TRUNC(($D$5),8),D570)</f>
        <v/>
      </c>
      <c r="E571" s="4">
        <f>TRUNC(((1+IPCA!#REF!))^(A571/30),8)</f>
        <v/>
      </c>
      <c r="F571" s="4">
        <f>TRUNC((D571*E571),8)</f>
        <v/>
      </c>
      <c r="G571" s="3">
        <f>ROUND(((1+$G$4)^(30/360))^(B571/(EDATE(C571-A571,1)-(C571-A571))),9)</f>
        <v/>
      </c>
      <c r="H571" s="4">
        <f>TRUNC((F571*G571-F571),8)</f>
        <v/>
      </c>
      <c r="I571" s="4">
        <f>F571+H571</f>
        <v/>
      </c>
    </row>
    <row r="572">
      <c r="A572" s="1">
        <f>IF(DAY(C572)=DAY($K$1+1),1,A571+1)</f>
        <v/>
      </c>
      <c r="B572" s="1">
        <f>IF(DAY(C572)=DAY($K$1+1),1,B571+1)</f>
        <v/>
      </c>
      <c r="C572" s="2">
        <f>C571+1</f>
        <v/>
      </c>
      <c r="D572" s="8">
        <f>IF(DAY(C572)=DAY($K$1+1),TRUNC(($D$5),8),D571)</f>
        <v/>
      </c>
      <c r="E572" s="4">
        <f>TRUNC(((1+IPCA!#REF!))^(A572/30),8)</f>
        <v/>
      </c>
      <c r="F572" s="4">
        <f>TRUNC((D572*E572),8)</f>
        <v/>
      </c>
      <c r="G572" s="3">
        <f>ROUND(((1+$G$4)^(30/360))^(B572/(EDATE(C572-A572,1)-(C572-A572))),9)</f>
        <v/>
      </c>
      <c r="H572" s="4">
        <f>TRUNC((F572*G572-F572),8)</f>
        <v/>
      </c>
      <c r="I572" s="4">
        <f>F572+H572</f>
        <v/>
      </c>
    </row>
    <row r="573">
      <c r="A573" s="1">
        <f>IF(DAY(C573)=DAY($K$1+1),1,A572+1)</f>
        <v/>
      </c>
      <c r="B573" s="1">
        <f>IF(DAY(C573)=DAY($K$1+1),1,B572+1)</f>
        <v/>
      </c>
      <c r="C573" s="2">
        <f>C572+1</f>
        <v/>
      </c>
      <c r="D573" s="8">
        <f>IF(DAY(C573)=DAY($K$1+1),TRUNC(($D$5),8),D572)</f>
        <v/>
      </c>
      <c r="E573" s="4">
        <f>TRUNC(((1+IPCA!#REF!))^(A573/30),8)</f>
        <v/>
      </c>
      <c r="F573" s="4">
        <f>TRUNC((D573*E573),8)</f>
        <v/>
      </c>
      <c r="G573" s="3">
        <f>ROUND(((1+$G$4)^(30/360))^(B573/(EDATE(C573-A573,1)-(C573-A573))),9)</f>
        <v/>
      </c>
      <c r="H573" s="4">
        <f>TRUNC((F573*G573-F573),8)</f>
        <v/>
      </c>
      <c r="I573" s="4">
        <f>F573+H573</f>
        <v/>
      </c>
    </row>
    <row r="574">
      <c r="A574" s="1">
        <f>IF(DAY(C574)=DAY($K$1+1),1,A573+1)</f>
        <v/>
      </c>
      <c r="B574" s="1">
        <f>IF(DAY(C574)=DAY($K$1+1),1,B573+1)</f>
        <v/>
      </c>
      <c r="C574" s="2">
        <f>C573+1</f>
        <v/>
      </c>
      <c r="D574" s="8">
        <f>IF(DAY(C574)=DAY($K$1+1),TRUNC(($D$5),8),D573)</f>
        <v/>
      </c>
      <c r="E574" s="4">
        <f>TRUNC(((1+IPCA!#REF!))^(A574/30),8)</f>
        <v/>
      </c>
      <c r="F574" s="4">
        <f>TRUNC((D574*E574),8)</f>
        <v/>
      </c>
      <c r="G574" s="3">
        <f>ROUND(((1+$G$4)^(30/360))^(B574/(EDATE(C574-A574,1)-(C574-A574))),9)</f>
        <v/>
      </c>
      <c r="H574" s="4">
        <f>TRUNC((F574*G574-F574),8)</f>
        <v/>
      </c>
      <c r="I574" s="4">
        <f>F574+H574</f>
        <v/>
      </c>
    </row>
    <row r="575">
      <c r="A575" s="1">
        <f>IF(DAY(C575)=DAY($K$1+1),1,A574+1)</f>
        <v/>
      </c>
      <c r="B575" s="1">
        <f>IF(DAY(C575)=DAY($K$1+1),1,B574+1)</f>
        <v/>
      </c>
      <c r="C575" s="2">
        <f>C574+1</f>
        <v/>
      </c>
      <c r="D575" s="8">
        <f>IF(DAY(C575)=DAY($K$1+1),TRUNC(($D$5),8),D574)</f>
        <v/>
      </c>
      <c r="E575" s="4">
        <f>TRUNC(((1+IPCA!#REF!))^(A575/30),8)</f>
        <v/>
      </c>
      <c r="F575" s="4">
        <f>TRUNC((D575*E575),8)</f>
        <v/>
      </c>
      <c r="G575" s="3">
        <f>ROUND(((1+$G$4)^(30/360))^(B575/(EDATE(C575-A575,1)-(C575-A575))),9)</f>
        <v/>
      </c>
      <c r="H575" s="4">
        <f>TRUNC((F575*G575-F575),8)</f>
        <v/>
      </c>
      <c r="I575" s="4">
        <f>F575+H575</f>
        <v/>
      </c>
    </row>
    <row r="576">
      <c r="A576" s="1">
        <f>IF(DAY(C576)=DAY($K$1+1),1,A575+1)</f>
        <v/>
      </c>
      <c r="B576" s="1">
        <f>IF(DAY(C576)=DAY($K$1+1),1,B575+1)</f>
        <v/>
      </c>
      <c r="C576" s="2">
        <f>C575+1</f>
        <v/>
      </c>
      <c r="D576" s="8">
        <f>IF(DAY(C576)=DAY($K$1+1),TRUNC(($D$5),8),D575)</f>
        <v/>
      </c>
      <c r="E576" s="4">
        <f>TRUNC(((1+IPCA!#REF!))^(A576/30),8)</f>
        <v/>
      </c>
      <c r="F576" s="4">
        <f>TRUNC((D576*E576),8)</f>
        <v/>
      </c>
      <c r="G576" s="3">
        <f>ROUND(((1+$G$4)^(30/360))^(B576/(EDATE(C576-A576,1)-(C576-A576))),9)</f>
        <v/>
      </c>
      <c r="H576" s="4">
        <f>TRUNC((F576*G576-F576),8)</f>
        <v/>
      </c>
      <c r="I576" s="4">
        <f>F576+H576</f>
        <v/>
      </c>
    </row>
    <row r="577">
      <c r="A577" s="1">
        <f>IF(DAY(C577)=DAY($K$1+1),1,A576+1)</f>
        <v/>
      </c>
      <c r="B577" s="1">
        <f>IF(DAY(C577)=DAY($K$1+1),1,B576+1)</f>
        <v/>
      </c>
      <c r="C577" s="2">
        <f>C576+1</f>
        <v/>
      </c>
      <c r="D577" s="8">
        <f>IF(DAY(C577)=DAY($K$1+1),TRUNC(($D$5),8),D576)</f>
        <v/>
      </c>
      <c r="E577" s="4">
        <f>TRUNC(((1+IPCA!#REF!))^(A577/30),8)</f>
        <v/>
      </c>
      <c r="F577" s="4">
        <f>TRUNC((D577*E577),8)</f>
        <v/>
      </c>
      <c r="G577" s="3">
        <f>ROUND(((1+$G$4)^(30/360))^(B577/(EDATE(C577-A577,1)-(C577-A577))),9)</f>
        <v/>
      </c>
      <c r="H577" s="4">
        <f>TRUNC((F577*G577-F577),8)</f>
        <v/>
      </c>
      <c r="I577" s="4">
        <f>F577+H577</f>
        <v/>
      </c>
      <c r="J577" s="35" t="inlineStr">
        <is>
          <t>CRI Integralizado:</t>
        </is>
      </c>
      <c r="K577" s="268" t="n">
        <v>1540</v>
      </c>
    </row>
    <row r="578">
      <c r="A578" s="1">
        <f>IF(DAY(C578)=DAY($K$1+1),1,A577+1)</f>
        <v/>
      </c>
      <c r="B578" s="1">
        <f>IF(DAY(C578)=DAY($K$1+1),1,B577+1)</f>
        <v/>
      </c>
      <c r="C578" s="2">
        <f>C577+1</f>
        <v/>
      </c>
      <c r="D578" s="8">
        <f>IF(DAY(C578)=DAY($K$1+1),TRUNC(($D$5),8),D577)</f>
        <v/>
      </c>
      <c r="E578" s="4">
        <f>TRUNC(((1+IPCA!#REF!))^(A578/30),8)</f>
        <v/>
      </c>
      <c r="F578" s="4">
        <f>TRUNC((D578*E578),8)</f>
        <v/>
      </c>
      <c r="G578" s="3">
        <f>ROUND(((1+$G$4)^(30/360))^(B578/(EDATE(C578-A578,1)-(C578-A578))),9)</f>
        <v/>
      </c>
      <c r="H578" s="4">
        <f>TRUNC((F578*G578-F578),8)</f>
        <v/>
      </c>
      <c r="I578" s="4">
        <f>F578+H578</f>
        <v/>
      </c>
      <c r="J578" s="33" t="inlineStr">
        <is>
          <t>JUROS</t>
        </is>
      </c>
      <c r="K578" s="33" t="inlineStr">
        <is>
          <t>AMORTIZAÇÃO</t>
        </is>
      </c>
      <c r="L578" s="33" t="inlineStr">
        <is>
          <t>AMEX</t>
        </is>
      </c>
      <c r="M578" s="33" t="inlineStr">
        <is>
          <t>RESIDUAL</t>
        </is>
      </c>
    </row>
    <row r="579">
      <c r="A579" s="22">
        <f>IF(DAY(C579)=DAY($K$1+1),1,A578+1)</f>
        <v/>
      </c>
      <c r="B579" s="22">
        <f>IF(DAY(C579)=DAY($K$1+1),1,B578+1)</f>
        <v/>
      </c>
      <c r="C579" s="23">
        <f>C578+1</f>
        <v/>
      </c>
      <c r="D579" s="24">
        <f>IF(DAY(C579)=DAY($K$1+1),TRUNC(($D$5),8),D578)</f>
        <v/>
      </c>
      <c r="E579" s="25">
        <f>TRUNC(((1+IPCA!#REF!))^(A579/30),8)</f>
        <v/>
      </c>
      <c r="F579" s="25">
        <f>TRUNC((D579*E579),8)</f>
        <v/>
      </c>
      <c r="G579" s="26">
        <f>ROUND(((1+$G$4)^(30/360))^(B579/(EDATE(C579-A579,1)-(C579-A579))),9)</f>
        <v/>
      </c>
      <c r="H579" s="25">
        <f>TRUNC((F579*G579-F579),8)</f>
        <v/>
      </c>
      <c r="I579" s="25">
        <f>F579+H579</f>
        <v/>
      </c>
      <c r="J579" s="28">
        <f>TRUNC(H579,8)</f>
        <v/>
      </c>
      <c r="K579" s="29">
        <f>TRUNC(F579*'Amort TS'!#REF!,8)</f>
        <v/>
      </c>
      <c r="L579" s="29" t="n">
        <v>0</v>
      </c>
      <c r="M579" s="29">
        <f>I579-J579-K579-L579</f>
        <v/>
      </c>
    </row>
    <row r="580">
      <c r="A580" s="1">
        <f>IF(DAY(C580)=DAY($K$1+1),1,A579+1)</f>
        <v/>
      </c>
      <c r="B580" s="1">
        <f>IF(DAY(C580)=DAY($K$1+1),1,B579+1)</f>
        <v/>
      </c>
      <c r="C580" s="2">
        <f>C579+1</f>
        <v/>
      </c>
      <c r="D580" s="8">
        <f>M579</f>
        <v/>
      </c>
      <c r="E580" s="4">
        <f>TRUNC(((1+IPCA!#REF!))^(A580/31),8)</f>
        <v/>
      </c>
      <c r="F580" s="4">
        <f>TRUNC((D580*E580),8)</f>
        <v/>
      </c>
      <c r="G580" s="3">
        <f>ROUND(((1+$G$4)^(30/360))^(B580/(EDATE(C580-A580,1)-(C580-A580))),9)</f>
        <v/>
      </c>
      <c r="H580" s="4">
        <f>TRUNC((F580*G580-F580),8)</f>
        <v/>
      </c>
      <c r="I580" s="4">
        <f>F580+H580</f>
        <v/>
      </c>
      <c r="J580" s="8">
        <f>J579*1540</f>
        <v/>
      </c>
      <c r="K580" s="8">
        <f>K579*1540</f>
        <v/>
      </c>
      <c r="L580" s="8" t="n">
        <v>0</v>
      </c>
      <c r="M580" s="8">
        <f>M579*1540</f>
        <v/>
      </c>
    </row>
    <row r="581" ht="13.8" customHeight="1" s="260" thickBot="1">
      <c r="A581" s="1">
        <f>IF(DAY(C581)=DAY($K$1+1),1,A580+1)</f>
        <v/>
      </c>
      <c r="B581" s="1">
        <f>IF(DAY(C581)=DAY($K$1+1),1,B580+1)</f>
        <v/>
      </c>
      <c r="C581" s="2">
        <f>C580+1</f>
        <v/>
      </c>
      <c r="D581" s="8">
        <f>IF(DAY(C581)=DAY($K$1+1),TRUNC(($D$5),8),D580)</f>
        <v/>
      </c>
      <c r="E581" s="4">
        <f>TRUNC(((1+IPCA!#REF!))^(A581/31),8)</f>
        <v/>
      </c>
      <c r="F581" s="4">
        <f>TRUNC((D581*E581),8)</f>
        <v/>
      </c>
      <c r="G581" s="3">
        <f>ROUND(((1+$G$4)^(30/360))^(B581/(EDATE(C581-A581,1)-(C581-A581))),9)</f>
        <v/>
      </c>
      <c r="H581" s="4">
        <f>TRUNC((F581*G581-F581),8)</f>
        <v/>
      </c>
      <c r="I581" s="4">
        <f>F581+H581</f>
        <v/>
      </c>
      <c r="J581" s="34" t="n"/>
      <c r="K581" s="30" t="n"/>
      <c r="L581" s="10" t="n"/>
    </row>
    <row r="582" ht="13.8" customHeight="1" s="260" thickBot="1">
      <c r="J582" s="31">
        <f>SUM(J580:K580)</f>
        <v/>
      </c>
      <c r="K582" s="32" t="inlineStr">
        <is>
          <t>TOTAL PMT</t>
        </is>
      </c>
      <c r="L582" s="10" t="n"/>
    </row>
  </sheetData>
  <mergeCells count="8">
    <mergeCell ref="C3:C4"/>
    <mergeCell ref="A3:A4"/>
    <mergeCell ref="B3:B4"/>
    <mergeCell ref="E3:E4"/>
    <mergeCell ref="I3:I4"/>
    <mergeCell ref="H3:H4"/>
    <mergeCell ref="D3:D4"/>
    <mergeCell ref="F3:F4"/>
  </mergeCells>
  <pageMargins left="0.787401575" right="0.787401575" top="0.984251969" bottom="0.984251969" header="0.492125985" footer="0.492125985"/>
  <pageSetup orientation="portrait" paperSize="9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67"/>
  <sheetViews>
    <sheetView showGridLines="0" tabSelected="1" topLeftCell="A1142" zoomScale="70" zoomScaleNormal="70" workbookViewId="0">
      <selection activeCell="D1177" sqref="D1177"/>
    </sheetView>
  </sheetViews>
  <sheetFormatPr baseColWidth="8" defaultRowHeight="13.2"/>
  <cols>
    <col width="9.109375" customWidth="1" style="260" min="1" max="1"/>
    <col width="3.6640625" customWidth="1" style="260" min="2" max="2"/>
    <col width="4.6640625" customWidth="1" style="260" min="3" max="3"/>
    <col width="12.33203125" customWidth="1" style="260" min="4" max="4"/>
    <col width="22.33203125" customWidth="1" style="260" min="5" max="5"/>
    <col width="15.44140625" customWidth="1" style="260" min="6" max="6"/>
    <col width="23.109375" customWidth="1" style="260" min="7" max="7"/>
    <col width="13.88671875" customWidth="1" style="260" min="8" max="8"/>
    <col width="20.44140625" customWidth="1" style="260" min="9" max="9"/>
    <col width="23.109375" customWidth="1" style="260" min="10" max="10"/>
    <col width="27.5546875" customWidth="1" style="260" min="11" max="11"/>
    <col width="27.109375" customWidth="1" style="260" min="12" max="12"/>
    <col width="21.109375" bestFit="1" customWidth="1" style="260" min="13" max="13"/>
    <col width="31" customWidth="1" style="260" min="14" max="14"/>
    <col width="14" customWidth="1" style="260" min="15" max="15"/>
    <col width="17.44140625" bestFit="1" customWidth="1" style="260" min="16" max="16"/>
    <col width="14" bestFit="1" customWidth="1" style="260" min="17" max="17"/>
  </cols>
  <sheetData>
    <row r="1" ht="15.6" customHeight="1" s="260">
      <c r="B1" s="12" t="inlineStr">
        <is>
          <t>LOGOS SECURITIZADORA</t>
        </is>
      </c>
      <c r="C1" s="13" t="n"/>
      <c r="D1" s="13" t="n"/>
      <c r="E1" s="13" t="n"/>
      <c r="F1" s="13" t="n"/>
      <c r="G1" s="13" t="n"/>
      <c r="H1" s="13" t="n"/>
      <c r="I1" s="13" t="n"/>
      <c r="J1" s="14" t="n"/>
      <c r="K1" s="10" t="inlineStr">
        <is>
          <t>Data de Vencimento:</t>
        </is>
      </c>
      <c r="L1" s="5" t="n">
        <v>48908</v>
      </c>
      <c r="N1" t="inlineStr">
        <is>
          <t>1ª Integralização:</t>
        </is>
      </c>
    </row>
    <row r="2" ht="15.6" customHeight="1" s="260">
      <c r="B2" s="15" t="inlineStr">
        <is>
          <t>46ª Série da 1ª Emissão (22F1187231)</t>
        </is>
      </c>
      <c r="C2" s="16" t="n"/>
      <c r="D2" s="16" t="n"/>
      <c r="E2" s="16" t="n"/>
      <c r="F2" s="16" t="n"/>
      <c r="G2" s="16" t="n"/>
      <c r="H2" s="16" t="n"/>
      <c r="I2" s="16" t="n"/>
      <c r="J2" s="17" t="n"/>
      <c r="K2" s="10" t="inlineStr">
        <is>
          <t>Data de Emissão:</t>
        </is>
      </c>
      <c r="L2" s="5" t="n">
        <v>44739</v>
      </c>
      <c r="N2" s="5" t="n">
        <v>44754</v>
      </c>
    </row>
    <row r="3">
      <c r="B3" s="240" t="inlineStr">
        <is>
          <t>dC</t>
        </is>
      </c>
      <c r="C3" s="240" t="inlineStr">
        <is>
          <t>dJ</t>
        </is>
      </c>
      <c r="D3" s="240" t="inlineStr">
        <is>
          <t>DATA</t>
        </is>
      </c>
      <c r="E3" s="240" t="inlineStr">
        <is>
          <t>VNe</t>
        </is>
      </c>
      <c r="F3" s="240" t="inlineStr">
        <is>
          <t>Fator IPCA</t>
        </is>
      </c>
      <c r="G3" s="240" t="inlineStr">
        <is>
          <t>VNa</t>
        </is>
      </c>
      <c r="H3" s="11" t="inlineStr">
        <is>
          <t>FatorJuros</t>
        </is>
      </c>
      <c r="I3" s="240" t="inlineStr">
        <is>
          <t>JUROS</t>
        </is>
      </c>
      <c r="J3" s="240" t="inlineStr">
        <is>
          <t>PU</t>
        </is>
      </c>
      <c r="K3" s="10" t="inlineStr">
        <is>
          <t>Valor Nominal Emissão:</t>
        </is>
      </c>
      <c r="L3" s="21" t="n">
        <v>1</v>
      </c>
      <c r="N3" s="269" t="n">
        <v>1113210</v>
      </c>
    </row>
    <row r="4">
      <c r="B4" s="241" t="n"/>
      <c r="C4" s="241" t="n"/>
      <c r="D4" s="241" t="n"/>
      <c r="E4" s="241" t="n"/>
      <c r="F4" s="241" t="n"/>
      <c r="G4" s="241" t="n"/>
      <c r="H4" s="18" t="n">
        <v>0.095</v>
      </c>
      <c r="I4" s="241" t="n"/>
      <c r="J4" s="241" t="n"/>
      <c r="K4" s="10" t="inlineStr">
        <is>
          <t>Início da Rentabilidade</t>
        </is>
      </c>
      <c r="L4" s="5" t="n">
        <v>44754</v>
      </c>
      <c r="M4" t="inlineStr">
        <is>
          <t>(J + A)</t>
        </is>
      </c>
    </row>
    <row r="5">
      <c r="A5" t="n">
        <v>1</v>
      </c>
      <c r="B5" s="46" t="n">
        <v>0</v>
      </c>
      <c r="C5" s="46" t="n">
        <v>0</v>
      </c>
      <c r="D5" s="2" t="n">
        <v>44753</v>
      </c>
      <c r="E5" s="8" t="n">
        <v>1</v>
      </c>
      <c r="F5" s="4">
        <f>TRUNC(((1+VLOOKUP(A5,IPCA!$A$2:$C$140,3,0)))^(C5/30),8)</f>
        <v/>
      </c>
      <c r="G5" s="49">
        <f>TRUNC((E5*F5),8)</f>
        <v/>
      </c>
      <c r="H5" s="4">
        <f>ROUND(((1+$H$4)^(30/360))^(C5/30),9)</f>
        <v/>
      </c>
      <c r="I5" s="49">
        <f>TRUNC((G5*H5-G5),8)</f>
        <v/>
      </c>
      <c r="J5" s="49">
        <f>G5+I5</f>
        <v/>
      </c>
      <c r="K5" s="256" t="n"/>
      <c r="L5" s="256" t="n"/>
      <c r="M5" s="256" t="n"/>
      <c r="N5" s="256" t="n"/>
      <c r="O5" s="256" t="n"/>
      <c r="P5" s="256" t="n"/>
      <c r="Q5" s="256" t="n"/>
    </row>
    <row r="6">
      <c r="A6" t="n">
        <v>1</v>
      </c>
      <c r="B6" s="193">
        <f>IF(DAY(D6)=DAY($L$1+1),1,B5+1)</f>
        <v/>
      </c>
      <c r="C6" s="193">
        <f>IF(DAY(D6)=DAY($L$1+1),1,C5+1)</f>
        <v/>
      </c>
      <c r="D6" s="56">
        <f>D5+1</f>
        <v/>
      </c>
      <c r="E6" s="57" t="n">
        <v>1</v>
      </c>
      <c r="F6" s="58">
        <f>TRUNC(((1+VLOOKUP(A6,IPCA!$A$2:$C$140,3,0)))^(C6/30),8)</f>
        <v/>
      </c>
      <c r="G6" s="58">
        <f>TRUNC((E6*F6),8)</f>
        <v/>
      </c>
      <c r="H6" s="58">
        <f>ROUND(((1+$H$4)^(30/360))^(C6/30),9)</f>
        <v/>
      </c>
      <c r="I6" s="58">
        <f>TRUNC((G6*H6-G6),8)</f>
        <v/>
      </c>
      <c r="J6" s="58">
        <f>G6+I6</f>
        <v/>
      </c>
      <c r="K6" s="194" t="inlineStr">
        <is>
          <t>Cri Integralizado</t>
        </is>
      </c>
      <c r="L6" s="195" t="n">
        <v>1113210</v>
      </c>
      <c r="M6" s="256" t="n"/>
      <c r="N6" s="256" t="n"/>
      <c r="O6" s="256" t="n"/>
      <c r="P6" s="256" t="n"/>
      <c r="Q6" s="256" t="n"/>
    </row>
    <row r="7">
      <c r="A7">
        <f>IF(DAY(D7)=DAY($L$1+1),A6+1,A6)</f>
        <v/>
      </c>
      <c r="B7" s="46">
        <f>IF(DAY(D7)=DAY($L$1+1),1,B6+1)</f>
        <v/>
      </c>
      <c r="C7" s="46">
        <f>IF(DAY(D7)=DAY($L$1+1),1,C6+1)</f>
        <v/>
      </c>
      <c r="D7" s="2">
        <f>D6+1</f>
        <v/>
      </c>
      <c r="E7" s="8">
        <f>IF(DAY(D7)=DAY($L$1+1),TRUNC((N6),8),E6)</f>
        <v/>
      </c>
      <c r="F7" s="4">
        <f>TRUNC(((1+VLOOKUP(A7,IPCA!$A$2:$C$140,3,0)))^(C7/30),8)</f>
        <v/>
      </c>
      <c r="G7" s="49">
        <f>TRUNC((E7*F7),8)</f>
        <v/>
      </c>
      <c r="H7" s="4">
        <f>ROUND(((1+$H$4)^(30/360))^(C7/30),9)</f>
        <v/>
      </c>
      <c r="I7" s="49">
        <f>TRUNC((G7*H7-G7),8)</f>
        <v/>
      </c>
      <c r="J7" s="49">
        <f>G7+I7</f>
        <v/>
      </c>
      <c r="K7" s="256" t="n"/>
      <c r="L7" s="256" t="n"/>
      <c r="M7" s="256" t="n"/>
      <c r="N7" s="256" t="n"/>
      <c r="O7" s="256" t="n"/>
      <c r="P7" s="256" t="n"/>
      <c r="Q7" s="256" t="n"/>
    </row>
    <row r="8">
      <c r="A8">
        <f>IF(DAY(D8)=DAY($L$1+1),A7+1,A7)</f>
        <v/>
      </c>
      <c r="B8" s="46">
        <f>IF(DAY(D8)=DAY($L$1+1),1,B7+1)</f>
        <v/>
      </c>
      <c r="C8" s="46">
        <f>IF(DAY(D8)=DAY($L$1+1),1,C7+1)</f>
        <v/>
      </c>
      <c r="D8" s="2">
        <f>D7+1</f>
        <v/>
      </c>
      <c r="E8" s="8">
        <f>IF(DAY(D8)=DAY($L$1+1),TRUNC((N7),8),E7)</f>
        <v/>
      </c>
      <c r="F8" s="4">
        <f>TRUNC(((1+VLOOKUP(A8,IPCA!$A$2:$C$140,3,0)))^(C8/30),8)</f>
        <v/>
      </c>
      <c r="G8" s="49">
        <f>TRUNC((E8*F8),8)</f>
        <v/>
      </c>
      <c r="H8" s="4">
        <f>ROUND(((1+$H$4)^(30/360))^(C8/30),9)</f>
        <v/>
      </c>
      <c r="I8" s="49">
        <f>TRUNC((G8*H8-G8),8)</f>
        <v/>
      </c>
      <c r="J8" s="49">
        <f>G8+I8</f>
        <v/>
      </c>
      <c r="K8" s="256" t="n"/>
      <c r="L8" s="256" t="n"/>
      <c r="M8" s="256" t="n"/>
      <c r="N8" s="256" t="n"/>
      <c r="O8" s="256" t="n"/>
      <c r="P8" s="256" t="n"/>
      <c r="Q8" s="256" t="n"/>
    </row>
    <row r="9">
      <c r="A9">
        <f>IF(DAY(D9)=DAY($L$1+1),A8+1,A8)</f>
        <v/>
      </c>
      <c r="B9" s="46">
        <f>IF(DAY(D9)=DAY($L$1+1),1,B8+1)</f>
        <v/>
      </c>
      <c r="C9" s="46">
        <f>IF(DAY(D9)=DAY($L$1+1),1,C8+1)</f>
        <v/>
      </c>
      <c r="D9" s="2">
        <f>D8+1</f>
        <v/>
      </c>
      <c r="E9" s="8">
        <f>IF(DAY(D9)=DAY($L$1+1),TRUNC((N8),8),E8)</f>
        <v/>
      </c>
      <c r="F9" s="4">
        <f>TRUNC(((1+VLOOKUP(A9,IPCA!$A$2:$C$140,3,0)))^(C9/30),8)</f>
        <v/>
      </c>
      <c r="G9" s="49">
        <f>TRUNC((E9*F9),8)</f>
        <v/>
      </c>
      <c r="H9" s="4">
        <f>ROUND(((1+$H$4)^(30/360))^(C9/30),9)</f>
        <v/>
      </c>
      <c r="I9" s="49">
        <f>TRUNC((G9*H9-G9),8)</f>
        <v/>
      </c>
      <c r="J9" s="49">
        <f>G9+I9</f>
        <v/>
      </c>
      <c r="K9" s="256" t="n"/>
      <c r="L9" s="256" t="n"/>
      <c r="M9" s="256" t="n"/>
      <c r="N9" s="256" t="n"/>
      <c r="O9" s="256" t="n"/>
      <c r="P9" s="256" t="n"/>
      <c r="Q9" s="256" t="n"/>
    </row>
    <row r="10">
      <c r="A10">
        <f>IF(DAY(D10)=DAY($L$1+1),A9+1,A9)</f>
        <v/>
      </c>
      <c r="B10" s="46">
        <f>IF(DAY(D10)=DAY($L$1+1),1,B9+1)</f>
        <v/>
      </c>
      <c r="C10" s="46">
        <f>IF(DAY(D10)=DAY($L$1+1),1,C9+1)</f>
        <v/>
      </c>
      <c r="D10" s="2">
        <f>D9+1</f>
        <v/>
      </c>
      <c r="E10" s="8">
        <f>IF(DAY(D10)=DAY($L$1+1),TRUNC((N9),8),E9)</f>
        <v/>
      </c>
      <c r="F10" s="4">
        <f>TRUNC(((1+VLOOKUP(A10,IPCA!$A$2:$C$140,3,0)))^(C10/30),8)</f>
        <v/>
      </c>
      <c r="G10" s="49">
        <f>TRUNC((E10*F10),8)</f>
        <v/>
      </c>
      <c r="H10" s="4">
        <f>ROUND(((1+$H$4)^(30/360))^(C10/30),9)</f>
        <v/>
      </c>
      <c r="I10" s="49">
        <f>TRUNC((G10*H10-G10),8)</f>
        <v/>
      </c>
      <c r="J10" s="49">
        <f>G10+I10</f>
        <v/>
      </c>
      <c r="K10" s="256" t="n"/>
      <c r="L10" s="256" t="n"/>
      <c r="M10" s="256" t="n"/>
      <c r="N10" s="256" t="n"/>
      <c r="O10" s="256" t="n"/>
      <c r="P10" s="256" t="n"/>
      <c r="Q10" s="256" t="n"/>
    </row>
    <row r="11">
      <c r="A11">
        <f>IF(DAY(D11)=DAY($L$1+1),A10+1,A10)</f>
        <v/>
      </c>
      <c r="B11" s="46">
        <f>IF(DAY(D11)=DAY($L$1+1),1,B10+1)</f>
        <v/>
      </c>
      <c r="C11" s="46">
        <f>IF(DAY(D11)=DAY($L$1+1),1,C10+1)</f>
        <v/>
      </c>
      <c r="D11" s="2">
        <f>D10+1</f>
        <v/>
      </c>
      <c r="E11" s="8">
        <f>IF(DAY(D11)=DAY($L$1+1),TRUNC((N10),8),E10)</f>
        <v/>
      </c>
      <c r="F11" s="4">
        <f>TRUNC(((1+VLOOKUP(A11,IPCA!$A$2:$C$140,3,0)))^(C11/30),8)</f>
        <v/>
      </c>
      <c r="G11" s="49">
        <f>TRUNC((E11*F11),8)</f>
        <v/>
      </c>
      <c r="H11" s="4">
        <f>ROUND(((1+$H$4)^(30/360))^(C11/30),9)</f>
        <v/>
      </c>
      <c r="I11" s="49">
        <f>TRUNC((G11*H11-G11),8)</f>
        <v/>
      </c>
      <c r="J11" s="49">
        <f>G11+I11</f>
        <v/>
      </c>
      <c r="K11" s="256" t="n"/>
      <c r="L11" s="256" t="n"/>
      <c r="M11" s="256" t="n"/>
      <c r="N11" s="256" t="n"/>
      <c r="O11" s="256" t="n"/>
      <c r="P11" s="256" t="n"/>
      <c r="Q11" s="256" t="n"/>
    </row>
    <row r="12">
      <c r="A12">
        <f>IF(DAY(D12)=DAY($L$1+1),A11+1,A11)</f>
        <v/>
      </c>
      <c r="B12" s="193">
        <f>IF(DAY(D12)=DAY($L$1+1),1,B11+1)</f>
        <v/>
      </c>
      <c r="C12" s="193">
        <f>IF(DAY(D12)=DAY($L$1+1),1,C11+1)</f>
        <v/>
      </c>
      <c r="D12" s="56">
        <f>D11+1</f>
        <v/>
      </c>
      <c r="E12" s="57">
        <f>IF(DAY(D12)=DAY($L$1+1),TRUNC((N11),8),E11)</f>
        <v/>
      </c>
      <c r="F12" s="58">
        <f>TRUNC(((1+VLOOKUP(A12,IPCA!$A$2:$C$140,3,0)))^(C12/30),8)</f>
        <v/>
      </c>
      <c r="G12" s="58">
        <f>TRUNC((E12*F12),8)</f>
        <v/>
      </c>
      <c r="H12" s="58">
        <f>ROUND(((1+$H$4)^(30/360))^(C12/30),9)</f>
        <v/>
      </c>
      <c r="I12" s="58">
        <f>TRUNC((G12*H12-G12),8)</f>
        <v/>
      </c>
      <c r="J12" s="58">
        <f>G12+I12</f>
        <v/>
      </c>
      <c r="K12" s="194" t="inlineStr">
        <is>
          <t>Cri Integralizado</t>
        </is>
      </c>
      <c r="L12" s="195" t="n">
        <v>668088</v>
      </c>
      <c r="M12" s="256" t="n"/>
      <c r="N12" s="256" t="n"/>
      <c r="O12" s="256" t="n"/>
      <c r="P12" s="256" t="n"/>
      <c r="Q12" s="256" t="n"/>
    </row>
    <row r="13">
      <c r="A13">
        <f>IF(DAY(D13)=DAY($L$1+1),A12+1,A12)</f>
        <v/>
      </c>
      <c r="B13" s="46">
        <f>IF(DAY(D13)=DAY($L$1+1),1,B12+1)</f>
        <v/>
      </c>
      <c r="C13" s="46">
        <f>IF(DAY(D13)=DAY($L$1+1),1,C12+1)</f>
        <v/>
      </c>
      <c r="D13" s="2">
        <f>D12+1</f>
        <v/>
      </c>
      <c r="E13" s="8">
        <f>IF(DAY(D13)=DAY($L$1+1),TRUNC((N12),8),E12)</f>
        <v/>
      </c>
      <c r="F13" s="4">
        <f>TRUNC(((1+VLOOKUP(A13,IPCA!$A$2:$C$140,3,0)))^(C13/30),8)</f>
        <v/>
      </c>
      <c r="G13" s="49">
        <f>TRUNC((E13*F13),8)</f>
        <v/>
      </c>
      <c r="H13" s="4">
        <f>ROUND(((1+$H$4)^(30/360))^(C13/30),9)</f>
        <v/>
      </c>
      <c r="I13" s="49">
        <f>TRUNC((G13*H13-G13),8)</f>
        <v/>
      </c>
      <c r="J13" s="49">
        <f>G13+I13</f>
        <v/>
      </c>
      <c r="K13" s="256" t="n"/>
      <c r="L13" s="256" t="n"/>
      <c r="M13" s="256" t="n"/>
      <c r="N13" s="256" t="n"/>
      <c r="O13" s="256" t="n"/>
      <c r="P13" s="256" t="n"/>
      <c r="Q13" s="256" t="n"/>
    </row>
    <row r="14">
      <c r="A14">
        <f>IF(DAY(D14)=DAY($L$1+1),A13+1,A13)</f>
        <v/>
      </c>
      <c r="B14" s="46">
        <f>IF(DAY(D14)=DAY($L$1+1),1,B13+1)</f>
        <v/>
      </c>
      <c r="C14" s="46">
        <f>IF(DAY(D14)=DAY($L$1+1),1,C13+1)</f>
        <v/>
      </c>
      <c r="D14" s="2">
        <f>D13+1</f>
        <v/>
      </c>
      <c r="E14" s="8">
        <f>IF(DAY(D14)=DAY($L$1+1),TRUNC((N13),8),E13)</f>
        <v/>
      </c>
      <c r="F14" s="4">
        <f>TRUNC(((1+VLOOKUP(A14,IPCA!$A$2:$C$140,3,0)))^(C14/30),8)</f>
        <v/>
      </c>
      <c r="G14" s="49">
        <f>TRUNC((E14*F14),8)</f>
        <v/>
      </c>
      <c r="H14" s="4">
        <f>ROUND(((1+$H$4)^(30/360))^(C14/30),9)</f>
        <v/>
      </c>
      <c r="I14" s="49">
        <f>TRUNC((G14*H14-G14),8)</f>
        <v/>
      </c>
      <c r="J14" s="49">
        <f>G14+I14</f>
        <v/>
      </c>
      <c r="K14" s="256" t="n"/>
      <c r="L14" s="256" t="n"/>
      <c r="M14" s="256" t="n"/>
      <c r="N14" s="256" t="n"/>
      <c r="O14" s="256" t="n"/>
      <c r="P14" s="256" t="n"/>
      <c r="Q14" s="256" t="n"/>
    </row>
    <row r="15">
      <c r="A15">
        <f>IF(DAY(D15)=DAY($L$1+1),A14+1,A14)</f>
        <v/>
      </c>
      <c r="B15" s="46">
        <f>IF(DAY(D15)=DAY($L$1+1),1,B14+1)</f>
        <v/>
      </c>
      <c r="C15" s="46">
        <f>IF(DAY(D15)=DAY($L$1+1),1,C14+1)</f>
        <v/>
      </c>
      <c r="D15" s="2">
        <f>D14+1</f>
        <v/>
      </c>
      <c r="E15" s="8">
        <f>IF(DAY(D15)=DAY($L$1+1),TRUNC((N14),8),E14)</f>
        <v/>
      </c>
      <c r="F15" s="4">
        <f>TRUNC(((1+VLOOKUP(A15,IPCA!$A$2:$C$140,3,0)))^(C15/30),8)</f>
        <v/>
      </c>
      <c r="G15" s="49">
        <f>TRUNC((E15*F15),8)</f>
        <v/>
      </c>
      <c r="H15" s="4">
        <f>ROUND(((1+$H$4)^(30/360))^(C15/30),9)</f>
        <v/>
      </c>
      <c r="I15" s="49">
        <f>TRUNC((G15*H15-G15),8)</f>
        <v/>
      </c>
      <c r="J15" s="49">
        <f>G15+I15</f>
        <v/>
      </c>
      <c r="K15" s="256" t="n"/>
      <c r="L15" s="256" t="n"/>
      <c r="M15" s="256" t="n"/>
      <c r="N15" s="256" t="n"/>
      <c r="O15" s="256" t="n"/>
      <c r="P15" s="256" t="n"/>
      <c r="Q15" s="256" t="n"/>
    </row>
    <row r="16">
      <c r="A16">
        <f>IF(DAY(D16)=DAY($L$1+1),A15+1,A15)</f>
        <v/>
      </c>
      <c r="B16" s="46">
        <f>IF(DAY(D16)=DAY($L$1+1),1,B15+1)</f>
        <v/>
      </c>
      <c r="C16" s="46">
        <f>IF(DAY(D16)=DAY($L$1+1),1,C15+1)</f>
        <v/>
      </c>
      <c r="D16" s="2">
        <f>D15+1</f>
        <v/>
      </c>
      <c r="E16" s="8">
        <f>IF(DAY(D16)=DAY($L$1+1),TRUNC((N15),8),E15)</f>
        <v/>
      </c>
      <c r="F16" s="4">
        <f>TRUNC(((1+VLOOKUP(A16,IPCA!$A$2:$C$140,3,0)))^(C16/30),8)</f>
        <v/>
      </c>
      <c r="G16" s="49">
        <f>TRUNC((E16*F16),8)</f>
        <v/>
      </c>
      <c r="H16" s="4">
        <f>ROUND(((1+$H$4)^(30/360))^(C16/30),9)</f>
        <v/>
      </c>
      <c r="I16" s="49">
        <f>TRUNC((G16*H16-G16),8)</f>
        <v/>
      </c>
      <c r="J16" s="49">
        <f>G16+I16</f>
        <v/>
      </c>
      <c r="K16" s="196" t="n"/>
      <c r="L16" s="256" t="n"/>
      <c r="M16" s="256" t="n"/>
      <c r="N16" s="256" t="n"/>
      <c r="O16" s="256" t="n"/>
      <c r="P16" s="256" t="n"/>
      <c r="Q16" s="256" t="n"/>
    </row>
    <row r="17">
      <c r="A17">
        <f>IF(DAY(D17)=DAY($L$1+1),A16+1,A16)</f>
        <v/>
      </c>
      <c r="B17" s="46">
        <f>IF(DAY(D17)=DAY($L$1+1),1,B16+1)</f>
        <v/>
      </c>
      <c r="C17" s="46">
        <f>IF(DAY(D17)=DAY($L$1+1),1,C16+1)</f>
        <v/>
      </c>
      <c r="D17" s="2">
        <f>D16+1</f>
        <v/>
      </c>
      <c r="E17" s="8">
        <f>IF(DAY(D17)=DAY($L$1+1),TRUNC((N16),8),E16)</f>
        <v/>
      </c>
      <c r="F17" s="4">
        <f>TRUNC(((1+VLOOKUP(A17,IPCA!$A$2:$C$140,3,0)))^(C17/30),8)</f>
        <v/>
      </c>
      <c r="G17" s="49">
        <f>TRUNC((E17*F17),8)</f>
        <v/>
      </c>
      <c r="H17" s="4">
        <f>ROUND(((1+$H$4)^(30/360))^(C17/30),9)</f>
        <v/>
      </c>
      <c r="I17" s="49">
        <f>TRUNC((G17*H17-G17),8)</f>
        <v/>
      </c>
      <c r="J17" s="49">
        <f>G17+I17</f>
        <v/>
      </c>
      <c r="K17" s="256" t="inlineStr">
        <is>
          <t>Cri Integralizado</t>
        </is>
      </c>
      <c r="L17" s="270">
        <f>1113210+L12</f>
        <v/>
      </c>
      <c r="M17" s="256" t="n"/>
      <c r="N17" s="256" t="n"/>
      <c r="O17" s="256" t="n"/>
      <c r="P17" s="256" t="n"/>
      <c r="Q17" s="256" t="n"/>
    </row>
    <row r="18">
      <c r="A18">
        <f>IF(DAY(D18)=DAY($L$1+1),A17+1,A17)</f>
        <v/>
      </c>
      <c r="B18" s="46">
        <f>IF(DAY(D18)=DAY($L$1+1),1,B17+1)</f>
        <v/>
      </c>
      <c r="C18" s="46">
        <f>IF(DAY(D18)=DAY($L$1+1),1,C17+1)</f>
        <v/>
      </c>
      <c r="D18" s="2">
        <f>D17+1</f>
        <v/>
      </c>
      <c r="E18" s="8">
        <f>IF(DAY(D18)=DAY($L$1+1),TRUNC((N17),8),E17)</f>
        <v/>
      </c>
      <c r="F18" s="4">
        <f>TRUNC(((1+VLOOKUP(A18,IPCA!$A$2:$C$140,3,0)))^(C18/30),8)</f>
        <v/>
      </c>
      <c r="G18" s="49">
        <f>TRUNC((E18*F18),8)</f>
        <v/>
      </c>
      <c r="H18" s="4">
        <f>ROUND(((1+$H$4)^(30/360))^(C18/30),9)</f>
        <v/>
      </c>
      <c r="I18" s="49">
        <f>TRUNC((G18*H18-G18),8)</f>
        <v/>
      </c>
      <c r="J18" s="49">
        <f>G18+I18</f>
        <v/>
      </c>
      <c r="K18" s="118" t="inlineStr">
        <is>
          <t>JUROS</t>
        </is>
      </c>
      <c r="L18" s="118" t="inlineStr">
        <is>
          <t>AMORTIZAÇÃO</t>
        </is>
      </c>
      <c r="M18" s="118" t="inlineStr">
        <is>
          <t>AMEX</t>
        </is>
      </c>
      <c r="N18" s="118" t="inlineStr">
        <is>
          <t>RESIDUAL</t>
        </is>
      </c>
      <c r="O18" s="256" t="n"/>
      <c r="P18" s="256" t="n"/>
      <c r="Q18" s="256" t="n"/>
    </row>
    <row r="19">
      <c r="A19">
        <f>IF(DAY(D19)=DAY($L$1+1),A18+1,A18)</f>
        <v/>
      </c>
      <c r="B19" s="111">
        <f>IF(DAY(D19)=DAY($L$1+1),1,B18+1)</f>
        <v/>
      </c>
      <c r="C19" s="111">
        <f>IF(DAY(D19)=DAY($L$1+1),1,C18+1)</f>
        <v/>
      </c>
      <c r="D19" s="112">
        <f>D18+1</f>
        <v/>
      </c>
      <c r="E19" s="113">
        <f>IF(DAY(D19)=DAY($L$1+1),TRUNC((N18),8),E18)</f>
        <v/>
      </c>
      <c r="F19" s="113">
        <f>TRUNC(((1+VLOOKUP(A19,IPCA!$A$2:$C$140,3,0)))^(C19/30),8)</f>
        <v/>
      </c>
      <c r="G19" s="113">
        <f>TRUNC((E19*F19),8)</f>
        <v/>
      </c>
      <c r="H19" s="113">
        <f>ROUND(((1+$H$4)^(30/360))^(C19/30),9)</f>
        <v/>
      </c>
      <c r="I19" s="114">
        <f>TRUNC((G19*H19-G19),8)</f>
        <v/>
      </c>
      <c r="J19" s="114">
        <f>G19+I19</f>
        <v/>
      </c>
      <c r="K19" s="119" t="n">
        <v>0</v>
      </c>
      <c r="L19" s="120" t="n">
        <v>0</v>
      </c>
      <c r="M19" s="120" t="n">
        <v>0</v>
      </c>
      <c r="N19" s="120" t="n">
        <v>1100000</v>
      </c>
      <c r="O19" s="256" t="n"/>
      <c r="P19" s="256" t="n"/>
      <c r="Q19" s="256" t="n"/>
    </row>
    <row r="20">
      <c r="A20">
        <f>IF(DAY(D20)=DAY($L$1+1),A19+1,A19)</f>
        <v/>
      </c>
      <c r="B20" s="46">
        <f>IF(DAY(D20)=DAY($L$1+1),1,B19+1)</f>
        <v/>
      </c>
      <c r="C20" s="46">
        <f>IF(DAY(D20)=DAY($L$1+1),1,C19+1)</f>
        <v/>
      </c>
      <c r="D20" s="2">
        <f>D19+1</f>
        <v/>
      </c>
      <c r="E20" s="8">
        <f>IF(DAY(D20)=DAY($L$1+1),TRUNC((N19),8),E19)</f>
        <v/>
      </c>
      <c r="F20" s="49">
        <f>TRUNC(((1+VLOOKUP(A20,IPCA!$A$2:$C$140,3,0)))^(C20/(EDATE(D20-C20,1)-(D20-C20))),8)</f>
        <v/>
      </c>
      <c r="G20" s="49">
        <f>TRUNC((E20*F20),8)</f>
        <v/>
      </c>
      <c r="H20" s="49">
        <f>ROUND(((1+$H$4)^(30/360))^(C20/(EDATE(D20-B20,1)-(D20-B20))),9)</f>
        <v/>
      </c>
      <c r="I20" s="49">
        <f>TRUNC((G20*H20-G20),8)</f>
        <v/>
      </c>
      <c r="J20" s="49">
        <f>G20+I20</f>
        <v/>
      </c>
      <c r="K20" s="121">
        <f>K19*L17</f>
        <v/>
      </c>
      <c r="L20" s="121">
        <f>L19*L17</f>
        <v/>
      </c>
      <c r="M20" s="121">
        <f>M19*L17</f>
        <v/>
      </c>
      <c r="N20" s="121">
        <f>N19*L17</f>
        <v/>
      </c>
      <c r="O20" s="256" t="n"/>
      <c r="P20" s="256" t="n"/>
      <c r="Q20" s="256" t="n"/>
    </row>
    <row r="21">
      <c r="A21">
        <f>IF(DAY(D21)=DAY($L$1+1),A20+1,A20)</f>
        <v/>
      </c>
      <c r="B21" s="46">
        <f>IF(DAY(D21)=DAY($L$1+1),1,B20+1)</f>
        <v/>
      </c>
      <c r="C21" s="46">
        <f>IF(DAY(D21)=DAY($L$1+1),1,C20+1)</f>
        <v/>
      </c>
      <c r="D21" s="47">
        <f>D20+1</f>
        <v/>
      </c>
      <c r="E21" s="8">
        <f>IF(DAY(D21)=DAY($L$1+1),TRUNC((N20),8),E20)</f>
        <v/>
      </c>
      <c r="F21" s="49">
        <f>TRUNC(((1+VLOOKUP(A21,IPCA!$A$2:$C$140,3,0)))^(C21/(EDATE(D21-C21,1)-(D21-C21))),8)</f>
        <v/>
      </c>
      <c r="G21" s="49">
        <f>TRUNC((E21*F21),8)</f>
        <v/>
      </c>
      <c r="H21" s="49">
        <f>ROUND(((1+$H$4)^(30/360))^(C21/(EDATE(D21-B21,1)-(D21-B21))),9)</f>
        <v/>
      </c>
      <c r="I21" s="49">
        <f>TRUNC((G21*H21-G21),8)</f>
        <v/>
      </c>
      <c r="J21" s="49">
        <f>G21+I21</f>
        <v/>
      </c>
      <c r="K21" s="256" t="n"/>
      <c r="L21" s="256" t="n"/>
      <c r="M21" s="256" t="n"/>
      <c r="N21" s="256" t="n"/>
      <c r="O21" s="256" t="n"/>
      <c r="P21" s="256" t="n"/>
      <c r="Q21" s="256" t="n"/>
    </row>
    <row r="22">
      <c r="A22">
        <f>IF(DAY(D22)=DAY($L$1+1),A21+1,A21)</f>
        <v/>
      </c>
      <c r="B22" s="46">
        <f>IF(DAY(D22)=DAY($L$1+1),1,B21+1)</f>
        <v/>
      </c>
      <c r="C22" s="46">
        <f>IF(DAY(D22)=DAY($L$1+1),1,C21+1)</f>
        <v/>
      </c>
      <c r="D22" s="2">
        <f>D21+1</f>
        <v/>
      </c>
      <c r="E22" s="8">
        <f>IF(DAY(D22)=DAY($L$1+1),TRUNC((#REF!),8),E21)</f>
        <v/>
      </c>
      <c r="F22" s="49">
        <f>TRUNC(((1+VLOOKUP(A22,IPCA!$A$2:$C$140,3,0)))^(C22/(EDATE(D22-C22,1)-(D22-C22))),8)</f>
        <v/>
      </c>
      <c r="G22" s="49">
        <f>TRUNC((E22*F22),8)</f>
        <v/>
      </c>
      <c r="H22" s="49">
        <f>ROUND(((1+$H$4)^(30/360))^(C22/(EDATE(D22-B22,1)-(D22-B22))),9)</f>
        <v/>
      </c>
      <c r="I22" s="49">
        <f>TRUNC((G22*H22-G22),8)</f>
        <v/>
      </c>
      <c r="J22" s="49">
        <f>G22+I22</f>
        <v/>
      </c>
      <c r="K22" s="256" t="n"/>
      <c r="L22" s="256" t="n"/>
      <c r="M22" s="256" t="n"/>
      <c r="N22" s="256" t="n"/>
      <c r="O22" s="256" t="n"/>
      <c r="P22" s="256" t="n"/>
      <c r="Q22" s="256" t="n"/>
    </row>
    <row r="23">
      <c r="A23">
        <f>IF(DAY(D23)=DAY($L$1+1),A22+1,A22)</f>
        <v/>
      </c>
      <c r="B23" s="46">
        <f>IF(DAY(D23)=DAY($L$1+1),1,B22+1)</f>
        <v/>
      </c>
      <c r="C23" s="46">
        <f>IF(DAY(D23)=DAY($L$1+1),1,C22+1)</f>
        <v/>
      </c>
      <c r="D23" s="2">
        <f>D22+1</f>
        <v/>
      </c>
      <c r="E23" s="8">
        <f>IF(DAY(D23)=DAY($L$1+1),TRUNC((#REF!),8),E22)</f>
        <v/>
      </c>
      <c r="F23" s="49">
        <f>TRUNC(((1+VLOOKUP(A23,IPCA!$A$2:$C$140,3,0)))^(C23/(EDATE(D23-C23,1)-(D23-C23))),8)</f>
        <v/>
      </c>
      <c r="G23" s="49">
        <f>TRUNC((E23*F23),8)</f>
        <v/>
      </c>
      <c r="H23" s="49">
        <f>ROUND(((1+$H$4)^(30/360))^(C23/(EDATE(D23-B23,1)-(D23-B23))),9)</f>
        <v/>
      </c>
      <c r="I23" s="49">
        <f>TRUNC((G23*H23-G23),8)</f>
        <v/>
      </c>
      <c r="J23" s="49">
        <f>G23+I23</f>
        <v/>
      </c>
      <c r="K23" s="256" t="n">
        <v>1.00619604</v>
      </c>
      <c r="L23" s="256" t="n"/>
      <c r="M23" s="256" t="n"/>
      <c r="N23" s="256" t="n"/>
      <c r="O23" s="256" t="n"/>
      <c r="P23" s="256" t="n"/>
      <c r="Q23" s="256" t="n"/>
    </row>
    <row r="24">
      <c r="A24">
        <f>IF(DAY(D24)=DAY($L$1+1),A23+1,A23)</f>
        <v/>
      </c>
      <c r="B24" s="46">
        <f>IF(DAY(D24)=DAY($L$1+1),1,B23+1)</f>
        <v/>
      </c>
      <c r="C24" s="46">
        <f>IF(DAY(D24)=DAY($L$1+1),1,C23+1)</f>
        <v/>
      </c>
      <c r="D24" s="2">
        <f>D23+1</f>
        <v/>
      </c>
      <c r="E24" s="8">
        <f>IF(DAY(D24)=DAY($L$1+1),TRUNC((#REF!),8),E23)</f>
        <v/>
      </c>
      <c r="F24" s="49">
        <f>TRUNC(((1+VLOOKUP(A24,IPCA!$A$2:$C$140,3,0)))^(C24/(EDATE(D24-C24,1)-(D24-C24))),8)</f>
        <v/>
      </c>
      <c r="G24" s="49">
        <f>TRUNC((E24*F24),8)</f>
        <v/>
      </c>
      <c r="H24" s="49">
        <f>ROUND(((1+$H$4)^(30/360))^(C24/(EDATE(D24-B24,1)-(D24-B24))),9)</f>
        <v/>
      </c>
      <c r="I24" s="49">
        <f>TRUNC((G24*H24-G24),8)</f>
        <v/>
      </c>
      <c r="J24" s="49">
        <f>G24+I24</f>
        <v/>
      </c>
      <c r="K24" s="196">
        <f>J20-K23</f>
        <v/>
      </c>
      <c r="L24" s="256" t="n"/>
      <c r="M24" s="256" t="n"/>
      <c r="N24" s="256" t="n"/>
      <c r="O24" s="256" t="n"/>
      <c r="P24" s="256" t="n"/>
      <c r="Q24" s="256" t="n"/>
    </row>
    <row r="25">
      <c r="A25">
        <f>IF(DAY(D25)=DAY($L$1+1),A24+1,A24)</f>
        <v/>
      </c>
      <c r="B25" s="46">
        <f>IF(DAY(D25)=DAY($L$1+1),1,B24+1)</f>
        <v/>
      </c>
      <c r="C25" s="46">
        <f>IF(DAY(D25)=DAY($L$1+1),1,C24+1)</f>
        <v/>
      </c>
      <c r="D25" s="2">
        <f>D24+1</f>
        <v/>
      </c>
      <c r="E25" s="8">
        <f>IF(DAY(D25)=DAY($L$1+1),TRUNC((#REF!),8),E24)</f>
        <v/>
      </c>
      <c r="F25" s="49">
        <f>TRUNC(((1+VLOOKUP(A25,IPCA!$A$2:$C$140,3,0)))^(C25/(EDATE(D25-C25,1)-(D25-C25))),8)</f>
        <v/>
      </c>
      <c r="G25" s="49">
        <f>TRUNC((E25*F25),8)</f>
        <v/>
      </c>
      <c r="H25" s="49">
        <f>ROUND(((1+$H$4)^(30/360))^(C25/(EDATE(D25-B25,1)-(D25-B25))),9)</f>
        <v/>
      </c>
      <c r="I25" s="49">
        <f>TRUNC((G25*H25-G25),8)</f>
        <v/>
      </c>
      <c r="J25" s="49">
        <f>G25+I25</f>
        <v/>
      </c>
      <c r="K25" s="256" t="n"/>
      <c r="L25" s="256" t="n"/>
      <c r="M25" s="256" t="n"/>
      <c r="N25" s="256" t="n"/>
      <c r="O25" s="256" t="n"/>
      <c r="P25" s="256" t="n"/>
      <c r="Q25" s="256" t="n"/>
    </row>
    <row r="26">
      <c r="A26">
        <f>IF(DAY(D26)=DAY($L$1+1),A25+1,A25)</f>
        <v/>
      </c>
      <c r="B26" s="46">
        <f>IF(DAY(D26)=DAY($L$1+1),1,B25+1)</f>
        <v/>
      </c>
      <c r="C26" s="46">
        <f>IF(DAY(D26)=DAY($L$1+1),1,C25+1)</f>
        <v/>
      </c>
      <c r="D26" s="2">
        <f>D25+1</f>
        <v/>
      </c>
      <c r="E26" s="8">
        <f>IF(DAY(D26)=DAY($L$1+1),TRUNC((#REF!),8),E25)</f>
        <v/>
      </c>
      <c r="F26" s="49">
        <f>TRUNC(((1+VLOOKUP(A26,IPCA!$A$2:$C$140,3,0)))^(C26/(EDATE(D26-C26,1)-(D26-C26))),8)</f>
        <v/>
      </c>
      <c r="G26" s="49">
        <f>TRUNC((E26*F26),8)</f>
        <v/>
      </c>
      <c r="H26" s="49">
        <f>ROUND(((1+$H$4)^(30/360))^(C26/(EDATE(D26-B26,1)-(D26-B26))),9)</f>
        <v/>
      </c>
      <c r="I26" s="49">
        <f>TRUNC((G26*H26-G26),8)</f>
        <v/>
      </c>
      <c r="J26" s="49">
        <f>G26+I26</f>
        <v/>
      </c>
      <c r="K26" s="196" t="n"/>
      <c r="L26" s="256" t="n"/>
      <c r="M26" s="256" t="n"/>
      <c r="N26" s="256" t="n"/>
      <c r="O26" s="256" t="n"/>
      <c r="P26" s="256" t="n"/>
      <c r="Q26" s="256" t="n"/>
    </row>
    <row r="27">
      <c r="A27">
        <f>IF(DAY(D27)=DAY($L$1+1),A26+1,A26)</f>
        <v/>
      </c>
      <c r="B27" s="46">
        <f>IF(DAY(D27)=DAY($L$1+1),1,B26+1)</f>
        <v/>
      </c>
      <c r="C27" s="46">
        <f>IF(DAY(D27)=DAY($L$1+1),1,C26+1)</f>
        <v/>
      </c>
      <c r="D27" s="2">
        <f>D26+1</f>
        <v/>
      </c>
      <c r="E27" s="8">
        <f>IF(DAY(D27)=DAY($L$1+1),TRUNC((#REF!),8),E26)</f>
        <v/>
      </c>
      <c r="F27" s="49">
        <f>TRUNC(((1+VLOOKUP(A27,IPCA!$A$2:$C$140,3,0)))^(C27/(EDATE(D27-C27,1)-(D27-C27))),8)</f>
        <v/>
      </c>
      <c r="G27" s="49">
        <f>TRUNC((E27*F27),8)</f>
        <v/>
      </c>
      <c r="H27" s="49">
        <f>ROUND(((1+$H$4)^(30/360))^(C27/(EDATE(D27-B27,1)-(D27-B27))),9)</f>
        <v/>
      </c>
      <c r="I27" s="49">
        <f>TRUNC((G27*H27-G27),8)</f>
        <v/>
      </c>
      <c r="J27" s="49">
        <f>G27+I27</f>
        <v/>
      </c>
      <c r="K27" s="256" t="n"/>
      <c r="L27" s="256" t="n"/>
      <c r="M27" s="256" t="n"/>
      <c r="N27" s="256" t="n"/>
      <c r="O27" s="256" t="n"/>
      <c r="P27" s="256" t="n"/>
      <c r="Q27" s="256" t="n"/>
    </row>
    <row r="28">
      <c r="A28">
        <f>IF(DAY(D28)=DAY($L$1+1),A27+1,A27)</f>
        <v/>
      </c>
      <c r="B28" s="46">
        <f>IF(DAY(D28)=DAY($L$1+1),1,B27+1)</f>
        <v/>
      </c>
      <c r="C28" s="46">
        <f>IF(DAY(D28)=DAY($L$1+1),1,C27+1)</f>
        <v/>
      </c>
      <c r="D28" s="2">
        <f>D27+1</f>
        <v/>
      </c>
      <c r="E28" s="8">
        <f>IF(DAY(D28)=DAY($L$1+1),TRUNC((#REF!),8),E27)</f>
        <v/>
      </c>
      <c r="F28" s="49">
        <f>TRUNC(((1+VLOOKUP(A28,IPCA!$A$2:$C$140,3,0)))^(C28/(EDATE(D28-C28,1)-(D28-C28))),8)</f>
        <v/>
      </c>
      <c r="G28" s="49">
        <f>TRUNC((E28*F28),8)</f>
        <v/>
      </c>
      <c r="H28" s="49">
        <f>ROUND(((1+$H$4)^(30/360))^(C28/(EDATE(D28-B28,1)-(D28-B28))),9)</f>
        <v/>
      </c>
      <c r="I28" s="49">
        <f>TRUNC((G28*H28-G28),8)</f>
        <v/>
      </c>
      <c r="J28" s="49">
        <f>G28+I28</f>
        <v/>
      </c>
      <c r="K28" s="256" t="n"/>
      <c r="L28" s="256" t="n"/>
      <c r="M28" s="256" t="n"/>
      <c r="N28" s="256" t="n"/>
      <c r="O28" s="256" t="n"/>
      <c r="P28" s="256" t="n"/>
      <c r="Q28" s="256" t="n"/>
    </row>
    <row r="29">
      <c r="A29">
        <f>IF(DAY(D29)=DAY($L$1+1),A28+1,A28)</f>
        <v/>
      </c>
      <c r="B29" s="46">
        <f>IF(DAY(D29)=DAY($L$1+1),1,B28+1)</f>
        <v/>
      </c>
      <c r="C29" s="46">
        <f>IF(DAY(D29)=DAY($L$1+1),1,C28+1)</f>
        <v/>
      </c>
      <c r="D29" s="2">
        <f>D28+1</f>
        <v/>
      </c>
      <c r="E29" s="8">
        <f>IF(DAY(D29)=DAY($L$1+1),TRUNC((#REF!),8),E28)</f>
        <v/>
      </c>
      <c r="F29" s="49">
        <f>TRUNC(((1+VLOOKUP(A29,IPCA!$A$2:$C$140,3,0)))^(C29/(EDATE(D29-C29,1)-(D29-C29))),8)</f>
        <v/>
      </c>
      <c r="G29" s="49">
        <f>TRUNC((E29*F29),8)</f>
        <v/>
      </c>
      <c r="H29" s="49">
        <f>ROUND(((1+$H$4)^(30/360))^(C29/(EDATE(D29-B29,1)-(D29-B29))),9)</f>
        <v/>
      </c>
      <c r="I29" s="49">
        <f>TRUNC((G29*H29-G29),8)</f>
        <v/>
      </c>
      <c r="J29" s="49">
        <f>G29+I29</f>
        <v/>
      </c>
      <c r="K29" s="256" t="n"/>
      <c r="L29" s="256" t="n"/>
      <c r="M29" s="256" t="n"/>
      <c r="N29" s="256" t="n"/>
      <c r="O29" s="256" t="n"/>
      <c r="P29" s="256" t="n"/>
      <c r="Q29" s="256" t="n"/>
    </row>
    <row r="30">
      <c r="A30">
        <f>IF(DAY(D30)=DAY($L$1+1),A29+1,A29)</f>
        <v/>
      </c>
      <c r="B30" s="46">
        <f>IF(DAY(D30)=DAY($L$1+1),1,B29+1)</f>
        <v/>
      </c>
      <c r="C30" s="46">
        <f>IF(DAY(D30)=DAY($L$1+1),1,C29+1)</f>
        <v/>
      </c>
      <c r="D30" s="2">
        <f>D29+1</f>
        <v/>
      </c>
      <c r="E30" s="8">
        <f>IF(DAY(D30)=DAY($L$1+1),TRUNC((#REF!),8),E29)</f>
        <v/>
      </c>
      <c r="F30" s="49">
        <f>TRUNC(((1+VLOOKUP(A30,IPCA!$A$2:$C$140,3,0)))^(C30/(EDATE(D30-C30,1)-(D30-C30))),8)</f>
        <v/>
      </c>
      <c r="G30" s="49">
        <f>TRUNC((E30*F30),8)</f>
        <v/>
      </c>
      <c r="H30" s="49">
        <f>ROUND(((1+$H$4)^(30/360))^(C30/(EDATE(D30-B30,1)-(D30-B30))),9)</f>
        <v/>
      </c>
      <c r="I30" s="49">
        <f>TRUNC((G30*H30-G30),8)</f>
        <v/>
      </c>
      <c r="J30" s="49">
        <f>G30+I30</f>
        <v/>
      </c>
      <c r="K30" s="256" t="n"/>
      <c r="L30" s="256" t="n"/>
      <c r="M30" s="256" t="n"/>
      <c r="N30" s="256" t="n"/>
      <c r="O30" s="256" t="n"/>
      <c r="P30" s="256" t="n"/>
      <c r="Q30" s="256" t="n"/>
    </row>
    <row r="31">
      <c r="A31">
        <f>IF(DAY(D31)=DAY($L$1+1),A30+1,A30)</f>
        <v/>
      </c>
      <c r="B31" s="46">
        <f>IF(DAY(D31)=DAY($L$1+1),1,B30+1)</f>
        <v/>
      </c>
      <c r="C31" s="46">
        <f>IF(DAY(D31)=DAY($L$1+1),1,C30+1)</f>
        <v/>
      </c>
      <c r="D31" s="2">
        <f>D30+1</f>
        <v/>
      </c>
      <c r="E31" s="8">
        <f>IF(DAY(D31)=DAY($L$1+1),TRUNC((N30),8),E30)</f>
        <v/>
      </c>
      <c r="F31" s="49">
        <f>TRUNC(((1+VLOOKUP(A31,IPCA!$A$2:$C$140,3,0)))^(C31/(EDATE(D31-C31,1)-(D31-C31))),8)</f>
        <v/>
      </c>
      <c r="G31" s="49">
        <f>TRUNC((E31*F31),8)</f>
        <v/>
      </c>
      <c r="H31" s="49">
        <f>ROUND(((1+$H$4)^(30/360))^(C31/(EDATE(D31-B31,1)-(D31-B31))),9)</f>
        <v/>
      </c>
      <c r="I31" s="49">
        <f>TRUNC((G31*H31-G31),8)</f>
        <v/>
      </c>
      <c r="J31" s="49">
        <f>G31+I31</f>
        <v/>
      </c>
      <c r="K31" s="256" t="n"/>
      <c r="L31" s="256" t="n"/>
      <c r="M31" s="256" t="n"/>
      <c r="N31" s="256" t="n"/>
      <c r="O31" s="256" t="n"/>
      <c r="P31" s="256" t="n"/>
      <c r="Q31" s="256" t="n"/>
    </row>
    <row r="32">
      <c r="A32">
        <f>IF(DAY(D32)=DAY($L$1+1),A31+1,A31)</f>
        <v/>
      </c>
      <c r="B32" s="46">
        <f>IF(DAY(D32)=DAY($L$1+1),1,B31+1)</f>
        <v/>
      </c>
      <c r="C32" s="46">
        <f>IF(DAY(D32)=DAY($L$1+1),1,C31+1)</f>
        <v/>
      </c>
      <c r="D32" s="2">
        <f>D31+1</f>
        <v/>
      </c>
      <c r="E32" s="8">
        <f>IF(DAY(D32)=DAY($L$1+1),TRUNC((N31),8),E31)</f>
        <v/>
      </c>
      <c r="F32" s="49">
        <f>TRUNC(((1+VLOOKUP(A32,IPCA!$A$2:$C$140,3,0)))^(C32/(EDATE(D32-C32,1)-(D32-C32))),8)</f>
        <v/>
      </c>
      <c r="G32" s="49">
        <f>TRUNC((E32*F32),8)</f>
        <v/>
      </c>
      <c r="H32" s="49">
        <f>ROUND(((1+$H$4)^(30/360))^(C32/(EDATE(D32-B32,1)-(D32-B32))),9)</f>
        <v/>
      </c>
      <c r="I32" s="49">
        <f>TRUNC((G32*H32-G32),8)</f>
        <v/>
      </c>
      <c r="J32" s="49">
        <f>G32+I32</f>
        <v/>
      </c>
      <c r="K32" s="256" t="n"/>
      <c r="L32" s="256" t="n"/>
      <c r="M32" s="256" t="n"/>
      <c r="N32" s="256" t="n"/>
      <c r="O32" s="256" t="n"/>
      <c r="P32" s="256" t="n"/>
      <c r="Q32" s="256" t="n"/>
    </row>
    <row r="33">
      <c r="A33">
        <f>IF(DAY(D33)=DAY($L$1+1),A32+1,A32)</f>
        <v/>
      </c>
      <c r="B33" s="46">
        <f>IF(DAY(D33)=DAY($L$1+1),1,B32+1)</f>
        <v/>
      </c>
      <c r="C33" s="46">
        <f>IF(DAY(D33)=DAY($L$1+1),1,C32+1)</f>
        <v/>
      </c>
      <c r="D33" s="2">
        <f>D32+1</f>
        <v/>
      </c>
      <c r="E33" s="8">
        <f>IF(DAY(D33)=DAY($L$1+1),TRUNC((N32),8),E32)</f>
        <v/>
      </c>
      <c r="F33" s="49">
        <f>TRUNC(((1+VLOOKUP(A33,IPCA!$A$2:$C$140,3,0)))^(C33/(EDATE(D33-C33,1)-(D33-C33))),8)</f>
        <v/>
      </c>
      <c r="G33" s="49">
        <f>TRUNC((E33*F33),8)</f>
        <v/>
      </c>
      <c r="H33" s="49">
        <f>ROUND(((1+$H$4)^(30/360))^(C33/(EDATE(D33-B33,1)-(D33-B33))),9)</f>
        <v/>
      </c>
      <c r="I33" s="49">
        <f>TRUNC((G33*H33-G33),8)</f>
        <v/>
      </c>
      <c r="J33" s="49">
        <f>G33+I33</f>
        <v/>
      </c>
      <c r="K33" s="256" t="n"/>
      <c r="L33" s="256" t="n"/>
      <c r="M33" s="256" t="n"/>
      <c r="N33" s="256" t="n"/>
      <c r="O33" s="256" t="n"/>
      <c r="P33" s="256" t="n"/>
      <c r="Q33" s="256" t="n"/>
    </row>
    <row r="34">
      <c r="A34">
        <f>IF(DAY(D34)=DAY($L$1+1),A33+1,A33)</f>
        <v/>
      </c>
      <c r="B34" s="46">
        <f>IF(DAY(D34)=DAY($L$1+1),1,B33+1)</f>
        <v/>
      </c>
      <c r="C34" s="46">
        <f>IF(DAY(D34)=DAY($L$1+1),1,C33+1)</f>
        <v/>
      </c>
      <c r="D34" s="2">
        <f>D33+1</f>
        <v/>
      </c>
      <c r="E34" s="8">
        <f>IF(DAY(D34)=DAY($L$1+1),TRUNC((N33),8),E33)</f>
        <v/>
      </c>
      <c r="F34" s="49">
        <f>TRUNC(((1+VLOOKUP(A34,IPCA!$A$2:$C$140,3,0)))^(C34/(EDATE(D34-C34,1)-(D34-C34))),8)</f>
        <v/>
      </c>
      <c r="G34" s="49">
        <f>TRUNC((E34*F34),8)</f>
        <v/>
      </c>
      <c r="H34" s="49">
        <f>ROUND(((1+$H$4)^(30/360))^(C34/(EDATE(D34-B34,1)-(D34-B34))),9)</f>
        <v/>
      </c>
      <c r="I34" s="49">
        <f>TRUNC((G34*H34-G34),8)</f>
        <v/>
      </c>
      <c r="J34" s="49">
        <f>G34+I34</f>
        <v/>
      </c>
      <c r="K34" s="256" t="n"/>
      <c r="L34" s="256" t="n"/>
      <c r="M34" s="256" t="n"/>
      <c r="N34" s="256" t="n"/>
      <c r="O34" s="256" t="n"/>
      <c r="P34" s="256" t="n"/>
      <c r="Q34" s="256" t="n"/>
    </row>
    <row r="35">
      <c r="A35">
        <f>IF(DAY(D35)=DAY($L$1+1),A34+1,A34)</f>
        <v/>
      </c>
      <c r="B35" s="46">
        <f>IF(DAY(D35)=DAY($L$1+1),1,B34+1)</f>
        <v/>
      </c>
      <c r="C35" s="46">
        <f>IF(DAY(D35)=DAY($L$1+1),1,C34+1)</f>
        <v/>
      </c>
      <c r="D35" s="2">
        <f>D34+1</f>
        <v/>
      </c>
      <c r="E35" s="8">
        <f>IF(DAY(D35)=DAY($L$1+1),TRUNC((N34),8),E34)</f>
        <v/>
      </c>
      <c r="F35" s="49">
        <f>TRUNC(((1+VLOOKUP(A35,IPCA!$A$2:$C$140,3,0)))^(C35/(EDATE(D35-C35,1)-(D35-C35))),8)</f>
        <v/>
      </c>
      <c r="G35" s="49">
        <f>TRUNC((E35*F35),8)</f>
        <v/>
      </c>
      <c r="H35" s="49">
        <f>ROUND(((1+$H$4)^(30/360))^(C35/(EDATE(D35-B35,1)-(D35-B35))),9)</f>
        <v/>
      </c>
      <c r="I35" s="49">
        <f>TRUNC((G35*H35-G35),8)</f>
        <v/>
      </c>
      <c r="J35" s="49">
        <f>G35+I35</f>
        <v/>
      </c>
      <c r="K35" s="123" t="n"/>
      <c r="L35" s="271" t="n"/>
      <c r="M35" s="256" t="n"/>
      <c r="N35" s="256" t="n"/>
      <c r="O35" s="256" t="n"/>
      <c r="P35" s="256" t="n"/>
      <c r="Q35" s="256" t="n"/>
    </row>
    <row r="36">
      <c r="A36">
        <f>IF(DAY(D36)=DAY($L$1+1),A35+1,A35)</f>
        <v/>
      </c>
      <c r="B36" s="46">
        <f>IF(DAY(D36)=DAY($L$1+1),1,B35+1)</f>
        <v/>
      </c>
      <c r="C36" s="46">
        <f>IF(DAY(D36)=DAY($L$1+1),1,C35+1)</f>
        <v/>
      </c>
      <c r="D36" s="2">
        <f>D35+1</f>
        <v/>
      </c>
      <c r="E36" s="8">
        <f>IF(DAY(D36)=DAY($L$1+1),TRUNC((N35),8),E35)</f>
        <v/>
      </c>
      <c r="F36" s="49">
        <f>TRUNC(((1+VLOOKUP(A36,IPCA!$A$2:$C$140,3,0)))^(C36/(EDATE(D36-C36,1)-(D36-C36))),8)</f>
        <v/>
      </c>
      <c r="G36" s="49">
        <f>TRUNC((E36*F36),8)</f>
        <v/>
      </c>
      <c r="H36" s="49">
        <f>ROUND(((1+$H$4)^(30/360))^(C36/(EDATE(D36-B36,1)-(D36-B36))),9)</f>
        <v/>
      </c>
      <c r="I36" s="49">
        <f>TRUNC((G36*H36-G36),8)</f>
        <v/>
      </c>
      <c r="J36" s="49">
        <f>G36+I36</f>
        <v/>
      </c>
      <c r="K36" s="129" t="n"/>
      <c r="L36" s="129" t="n"/>
      <c r="M36" s="129" t="n"/>
      <c r="N36" s="129" t="n"/>
      <c r="O36" s="256" t="n"/>
      <c r="P36" s="256" t="n"/>
      <c r="Q36" s="256" t="n"/>
    </row>
    <row r="37">
      <c r="A37">
        <f>IF(DAY(D37)=DAY($L$1+1),A36+1,A36)</f>
        <v/>
      </c>
      <c r="B37" s="46">
        <f>IF(DAY(D37)=DAY($L$1+1),1,B36+1)</f>
        <v/>
      </c>
      <c r="C37" s="46">
        <f>IF(DAY(D37)=DAY($L$1+1),1,C36+1)</f>
        <v/>
      </c>
      <c r="D37" s="2">
        <f>D36+1</f>
        <v/>
      </c>
      <c r="E37" s="8">
        <f>IF(DAY(D37)=DAY($L$1+1),TRUNC((N36),8),E36)</f>
        <v/>
      </c>
      <c r="F37" s="49">
        <f>TRUNC(((1+VLOOKUP(A37,IPCA!$A$2:$C$140,3,0)))^(C37/(EDATE(D37-C37,1)-(D37-C37))),8)</f>
        <v/>
      </c>
      <c r="G37" s="49">
        <f>TRUNC((E37*F37),8)</f>
        <v/>
      </c>
      <c r="H37" s="49">
        <f>ROUND(((1+$H$4)^(30/360))^(C37/(EDATE(D37-B37,1)-(D37-B37))),9)</f>
        <v/>
      </c>
      <c r="I37" s="49">
        <f>TRUNC((G37*H37-G37),8)</f>
        <v/>
      </c>
      <c r="J37" s="49">
        <f>G37+I37</f>
        <v/>
      </c>
      <c r="K37" s="130" t="n"/>
      <c r="L37" s="131" t="n"/>
      <c r="M37" s="131" t="n"/>
      <c r="N37" s="131" t="n"/>
      <c r="O37" s="256" t="n"/>
      <c r="P37" s="256" t="n"/>
      <c r="Q37" s="256" t="n"/>
    </row>
    <row r="38">
      <c r="A38">
        <f>IF(DAY(D38)=DAY($L$1+1),A37+1,A37)</f>
        <v/>
      </c>
      <c r="B38" s="46">
        <f>IF(DAY(D38)=DAY($L$1+1),1,B37+1)</f>
        <v/>
      </c>
      <c r="C38" s="46">
        <f>IF(DAY(D38)=DAY($L$1+1),1,C37+1)</f>
        <v/>
      </c>
      <c r="D38" s="2">
        <f>D37+1</f>
        <v/>
      </c>
      <c r="E38" s="8">
        <f>IF(DAY(D38)=DAY($L$1+1),TRUNC((N37),8),E37)</f>
        <v/>
      </c>
      <c r="F38" s="49">
        <f>TRUNC(((1+VLOOKUP(A38,IPCA!$A$2:$C$140,3,0)))^(C38/(EDATE(D38-C38,1)-(D38-C38))),8)</f>
        <v/>
      </c>
      <c r="G38" s="49">
        <f>TRUNC((E38*F38),8)</f>
        <v/>
      </c>
      <c r="H38" s="49">
        <f>ROUND(((1+$H$4)^(30/360))^(C38/(EDATE(D38-B38,1)-(D38-B38))),9)</f>
        <v/>
      </c>
      <c r="I38" s="49">
        <f>TRUNC((G38*H38-G38),8)</f>
        <v/>
      </c>
      <c r="J38" s="49">
        <f>G38+I38</f>
        <v/>
      </c>
      <c r="K38" s="132" t="n"/>
      <c r="L38" s="132" t="n"/>
      <c r="M38" s="132" t="n"/>
      <c r="N38" s="132" t="n"/>
      <c r="O38" s="256" t="n"/>
      <c r="P38" s="256" t="n"/>
      <c r="Q38" s="256" t="n"/>
    </row>
    <row r="39">
      <c r="A39">
        <f>IF(DAY(D39)=DAY($L$1+1),A38+1,A38)</f>
        <v/>
      </c>
      <c r="B39" s="46">
        <f>IF(DAY(D39)=DAY($L$1+1),1,B38+1)</f>
        <v/>
      </c>
      <c r="C39" s="46">
        <f>IF(DAY(D39)=DAY($L$1+1),1,C38+1)</f>
        <v/>
      </c>
      <c r="D39" s="2">
        <f>D38+1</f>
        <v/>
      </c>
      <c r="E39" s="8">
        <f>IF(DAY(D39)=DAY($L$1+1),TRUNC((N38),8),E38)</f>
        <v/>
      </c>
      <c r="F39" s="49">
        <f>TRUNC(((1+VLOOKUP(A39,IPCA!$A$2:$C$140,3,0)))^(C39/(EDATE(D39-C39,1)-(D39-C39))),8)</f>
        <v/>
      </c>
      <c r="G39" s="49">
        <f>TRUNC((E39*F39),8)</f>
        <v/>
      </c>
      <c r="H39" s="49">
        <f>ROUND(((1+$H$4)^(30/360))^(C39/(EDATE(D39-B39,1)-(D39-B39))),9)</f>
        <v/>
      </c>
      <c r="I39" s="49">
        <f>TRUNC((G39*H39-G39),8)</f>
        <v/>
      </c>
      <c r="J39" s="49">
        <f>G39+I39</f>
        <v/>
      </c>
      <c r="K39" s="133" t="n"/>
      <c r="L39" s="133" t="n"/>
      <c r="M39" s="134" t="n"/>
      <c r="N39" s="122" t="n"/>
      <c r="O39" s="256" t="n"/>
      <c r="P39" s="256" t="n"/>
      <c r="Q39" s="256" t="n"/>
    </row>
    <row r="40">
      <c r="A40">
        <f>IF(DAY(D40)=DAY($L$1+1),A39+1,A39)</f>
        <v/>
      </c>
      <c r="B40" s="46">
        <f>IF(DAY(D40)=DAY($L$1+1),1,B39+1)</f>
        <v/>
      </c>
      <c r="C40" s="46">
        <f>IF(DAY(D40)=DAY($L$1+1),1,C39+1)</f>
        <v/>
      </c>
      <c r="D40" s="2">
        <f>D39+1</f>
        <v/>
      </c>
      <c r="E40" s="8">
        <f>IF(DAY(D40)=DAY($L$1+1),TRUNC((N39),8),E39)</f>
        <v/>
      </c>
      <c r="F40" s="49">
        <f>TRUNC(((1+VLOOKUP(A40,IPCA!$A$2:$C$140,3,0)))^(C40/(EDATE(D40-C40,1)-(D40-C40))),8)</f>
        <v/>
      </c>
      <c r="G40" s="49">
        <f>TRUNC((E40*F40),8)</f>
        <v/>
      </c>
      <c r="H40" s="49">
        <f>ROUND(((1+$H$4)^(30/360))^(C40/(EDATE(D40-B40,1)-(D40-B40))),9)</f>
        <v/>
      </c>
      <c r="I40" s="49">
        <f>TRUNC((G40*H40-G40),8)</f>
        <v/>
      </c>
      <c r="J40" s="49">
        <f>G40+I40</f>
        <v/>
      </c>
      <c r="K40" s="135" t="n"/>
      <c r="L40" s="136" t="n"/>
      <c r="M40" s="134" t="n"/>
      <c r="N40" s="122" t="n"/>
      <c r="O40" s="256" t="n"/>
      <c r="P40" s="256" t="n"/>
      <c r="Q40" s="256" t="n"/>
    </row>
    <row r="41">
      <c r="A41">
        <f>IF(DAY(D41)=DAY($L$1+1),A40+1,A40)</f>
        <v/>
      </c>
      <c r="B41" s="46">
        <f>IF(DAY(D41)=DAY($L$1+1),1,B40+1)</f>
        <v/>
      </c>
      <c r="C41" s="46">
        <f>IF(DAY(D41)=DAY($L$1+1),1,C40+1)</f>
        <v/>
      </c>
      <c r="D41" s="2">
        <f>D40+1</f>
        <v/>
      </c>
      <c r="E41" s="8">
        <f>IF(DAY(D41)=DAY($L$1+1),TRUNC((N40),8),E40)</f>
        <v/>
      </c>
      <c r="F41" s="49">
        <f>TRUNC(((1+VLOOKUP(A41,IPCA!$A$2:$C$140,3,0)))^(C41/(EDATE(D41-C41,1)-(D41-C41))),8)</f>
        <v/>
      </c>
      <c r="G41" s="49">
        <f>TRUNC((E41*F41),8)</f>
        <v/>
      </c>
      <c r="H41" s="49">
        <f>ROUND(((1+$H$4)^(30/360))^(C41/(EDATE(D41-B41,1)-(D41-B41))),9)</f>
        <v/>
      </c>
      <c r="I41" s="49">
        <f>TRUNC((G41*H41-G41),8)</f>
        <v/>
      </c>
      <c r="J41" s="49">
        <f>G41+I41</f>
        <v/>
      </c>
      <c r="K41" s="256" t="n"/>
      <c r="L41" s="256" t="n"/>
      <c r="M41" s="256" t="n"/>
      <c r="N41" s="256" t="n"/>
      <c r="O41" s="256" t="n"/>
      <c r="P41" s="256" t="n"/>
      <c r="Q41" s="256" t="n"/>
    </row>
    <row r="42">
      <c r="A42">
        <f>IF(DAY(D42)=DAY($L$1+1),A41+1,A41)</f>
        <v/>
      </c>
      <c r="B42" s="46">
        <f>IF(DAY(D42)=DAY($L$1+1),1,B41+1)</f>
        <v/>
      </c>
      <c r="C42" s="46">
        <f>IF(DAY(D42)=DAY($L$1+1),1,C41+1)</f>
        <v/>
      </c>
      <c r="D42" s="2">
        <f>D41+1</f>
        <v/>
      </c>
      <c r="E42" s="8">
        <f>IF(DAY(D42)=DAY($L$1+1),TRUNC((N41),8),E41)</f>
        <v/>
      </c>
      <c r="F42" s="49">
        <f>TRUNC(((1+VLOOKUP(A42,IPCA!$A$2:$C$140,3,0)))^(C42/(EDATE(D42-C42,1)-(D42-C42))),8)</f>
        <v/>
      </c>
      <c r="G42" s="49">
        <f>TRUNC((E42*F42),8)</f>
        <v/>
      </c>
      <c r="H42" s="49">
        <f>ROUND(((1+$H$4)^(30/360))^(C42/(EDATE(D42-B42,1)-(D42-B42))),9)</f>
        <v/>
      </c>
      <c r="I42" s="49">
        <f>TRUNC((G42*H42-G42),8)</f>
        <v/>
      </c>
      <c r="J42" s="49">
        <f>G42+I42</f>
        <v/>
      </c>
      <c r="K42" s="256" t="n"/>
      <c r="L42" s="256" t="n"/>
      <c r="M42" s="256" t="n"/>
      <c r="N42" s="256" t="n"/>
      <c r="O42" s="256" t="n"/>
      <c r="P42" s="256" t="n"/>
      <c r="Q42" s="256" t="n"/>
    </row>
    <row r="43">
      <c r="A43">
        <f>IF(DAY(D43)=DAY($L$1+1),A42+1,A42)</f>
        <v/>
      </c>
      <c r="B43" s="46">
        <f>IF(DAY(D43)=DAY($L$1+1),1,B42+1)</f>
        <v/>
      </c>
      <c r="C43" s="46">
        <f>IF(DAY(D43)=DAY($L$1+1),1,C42+1)</f>
        <v/>
      </c>
      <c r="D43" s="2">
        <f>D42+1</f>
        <v/>
      </c>
      <c r="E43" s="8">
        <f>IF(DAY(D43)=DAY($L$1+1),TRUNC((N42),8),E42)</f>
        <v/>
      </c>
      <c r="F43" s="49">
        <f>TRUNC(((1+VLOOKUP(A43,IPCA!$A$2:$C$140,3,0)))^(C43/(EDATE(D43-C43,1)-(D43-C43))),8)</f>
        <v/>
      </c>
      <c r="G43" s="49">
        <f>TRUNC((E43*F43),8)</f>
        <v/>
      </c>
      <c r="H43" s="49">
        <f>ROUND(((1+$H$4)^(30/360))^(C43/(EDATE(D43-B43,1)-(D43-B43))),9)</f>
        <v/>
      </c>
      <c r="I43" s="49">
        <f>TRUNC((G43*H43-G43),8)</f>
        <v/>
      </c>
      <c r="J43" s="49">
        <f>G43+I43</f>
        <v/>
      </c>
      <c r="K43" s="256" t="n"/>
      <c r="L43" s="256" t="n"/>
      <c r="M43" s="256" t="n"/>
      <c r="N43" s="256" t="n"/>
      <c r="O43" s="256" t="n"/>
      <c r="P43" s="256" t="n"/>
      <c r="Q43" s="256" t="n"/>
    </row>
    <row r="44">
      <c r="A44">
        <f>IF(DAY(D44)=DAY($L$1+1),A43+1,A43)</f>
        <v/>
      </c>
      <c r="B44" s="46">
        <f>IF(DAY(D44)=DAY($L$1+1),1,B43+1)</f>
        <v/>
      </c>
      <c r="C44" s="46">
        <f>IF(DAY(D44)=DAY($L$1+1),1,C43+1)</f>
        <v/>
      </c>
      <c r="D44" s="2">
        <f>D43+1</f>
        <v/>
      </c>
      <c r="E44" s="8">
        <f>IF(DAY(D44)=DAY($L$1+1),TRUNC((N43),8),E43)</f>
        <v/>
      </c>
      <c r="F44" s="49">
        <f>TRUNC(((1+VLOOKUP(A44,IPCA!$A$2:$C$140,3,0)))^(C44/(EDATE(D44-C44,1)-(D44-C44))),8)</f>
        <v/>
      </c>
      <c r="G44" s="49">
        <f>TRUNC((E44*F44),8)</f>
        <v/>
      </c>
      <c r="H44" s="49">
        <f>ROUND(((1+$H$4)^(30/360))^(C44/(EDATE(D44-B44,1)-(D44-B44))),9)</f>
        <v/>
      </c>
      <c r="I44" s="49">
        <f>TRUNC((G44*H44-G44),8)</f>
        <v/>
      </c>
      <c r="J44" s="49">
        <f>G44+I44</f>
        <v/>
      </c>
      <c r="K44" s="256" t="n"/>
      <c r="L44" s="256" t="n"/>
      <c r="M44" s="256" t="n"/>
      <c r="N44" s="256" t="n"/>
      <c r="O44" s="256" t="n"/>
      <c r="P44" s="256" t="n"/>
      <c r="Q44" s="256" t="n"/>
    </row>
    <row r="45">
      <c r="A45">
        <f>IF(DAY(D45)=DAY($L$1+1),A44+1,A44)</f>
        <v/>
      </c>
      <c r="B45" s="46">
        <f>IF(DAY(D45)=DAY($L$1+1),1,B44+1)</f>
        <v/>
      </c>
      <c r="C45" s="46">
        <f>IF(DAY(D45)=DAY($L$1+1),1,C44+1)</f>
        <v/>
      </c>
      <c r="D45" s="2">
        <f>D44+1</f>
        <v/>
      </c>
      <c r="E45" s="8">
        <f>IF(DAY(D45)=DAY($L$1+1),TRUNC((N44),8),E44)</f>
        <v/>
      </c>
      <c r="F45" s="49">
        <f>TRUNC(((1+VLOOKUP(A45,IPCA!$A$2:$C$140,3,0)))^(C45/(EDATE(D45-C45,1)-(D45-C45))),8)</f>
        <v/>
      </c>
      <c r="G45" s="49">
        <f>TRUNC((E45*F45),8)</f>
        <v/>
      </c>
      <c r="H45" s="49">
        <f>ROUND(((1+$H$4)^(30/360))^(C45/(EDATE(D45-B45,1)-(D45-B45))),9)</f>
        <v/>
      </c>
      <c r="I45" s="49">
        <f>TRUNC((G45*H45-G45),8)</f>
        <v/>
      </c>
      <c r="J45" s="49">
        <f>G45+I45</f>
        <v/>
      </c>
      <c r="K45" s="256" t="n"/>
      <c r="L45" s="256" t="n"/>
      <c r="M45" s="256" t="n"/>
      <c r="N45" s="256" t="n"/>
      <c r="O45" s="256" t="n"/>
      <c r="P45" s="256" t="n"/>
      <c r="Q45" s="256" t="n"/>
    </row>
    <row r="46">
      <c r="A46">
        <f>IF(DAY(D46)=DAY($L$1+1),A45+1,A45)</f>
        <v/>
      </c>
      <c r="B46" s="46">
        <f>IF(DAY(D46)=DAY($L$1+1),1,B45+1)</f>
        <v/>
      </c>
      <c r="C46" s="46">
        <f>IF(DAY(D46)=DAY($L$1+1),1,C45+1)</f>
        <v/>
      </c>
      <c r="D46" s="2">
        <f>D45+1</f>
        <v/>
      </c>
      <c r="E46" s="8">
        <f>IF(DAY(D46)=DAY($L$1+1),TRUNC((N45),8),E45)</f>
        <v/>
      </c>
      <c r="F46" s="49">
        <f>TRUNC(((1+VLOOKUP(A46,IPCA!$A$2:$C$140,3,0)))^(C46/(EDATE(D46-C46,1)-(D46-C46))),8)</f>
        <v/>
      </c>
      <c r="G46" s="49">
        <f>TRUNC((E46*F46),8)</f>
        <v/>
      </c>
      <c r="H46" s="49">
        <f>ROUND(((1+$H$4)^(30/360))^(C46/(EDATE(D46-B46,1)-(D46-B46))),9)</f>
        <v/>
      </c>
      <c r="I46" s="49">
        <f>TRUNC((G46*H46-G46),8)</f>
        <v/>
      </c>
      <c r="J46" s="49">
        <f>G46+I46</f>
        <v/>
      </c>
      <c r="K46" s="256" t="n"/>
      <c r="L46" s="256" t="n"/>
      <c r="M46" s="256" t="n"/>
      <c r="N46" s="256" t="n"/>
      <c r="O46" s="256" t="n"/>
      <c r="P46" s="256" t="n"/>
      <c r="Q46" s="256" t="n"/>
    </row>
    <row r="47">
      <c r="A47">
        <f>IF(DAY(D47)=DAY($L$1+1),A46+1,A46)</f>
        <v/>
      </c>
      <c r="B47" s="46">
        <f>IF(DAY(D47)=DAY($L$1+1),1,B46+1)</f>
        <v/>
      </c>
      <c r="C47" s="46">
        <f>IF(DAY(D47)=DAY($L$1+1),1,C46+1)</f>
        <v/>
      </c>
      <c r="D47" s="2">
        <f>D46+1</f>
        <v/>
      </c>
      <c r="E47" s="8">
        <f>IF(DAY(D47)=DAY($L$1+1),TRUNC((N46),8),E46)</f>
        <v/>
      </c>
      <c r="F47" s="49">
        <f>TRUNC(((1+VLOOKUP(A47,IPCA!$A$2:$C$140,3,0)))^(C47/(EDATE(D47-C47,1)-(D47-C47))),8)</f>
        <v/>
      </c>
      <c r="G47" s="49">
        <f>TRUNC((E47*F47),8)</f>
        <v/>
      </c>
      <c r="H47" s="49">
        <f>ROUND(((1+$H$4)^(30/360))^(C47/(EDATE(D47-B47,1)-(D47-B47))),9)</f>
        <v/>
      </c>
      <c r="I47" s="49">
        <f>TRUNC((G47*H47-G47),8)</f>
        <v/>
      </c>
      <c r="J47" s="49">
        <f>G47+I47</f>
        <v/>
      </c>
      <c r="K47" s="256" t="n"/>
      <c r="L47" s="256" t="n"/>
      <c r="M47" s="256" t="n"/>
      <c r="N47" s="256" t="n"/>
      <c r="O47" s="256" t="n"/>
      <c r="P47" s="256" t="n"/>
      <c r="Q47" s="256" t="n"/>
    </row>
    <row r="48">
      <c r="A48">
        <f>IF(DAY(D48)=DAY($L$1+1),A47+1,A47)</f>
        <v/>
      </c>
      <c r="B48" s="46">
        <f>IF(DAY(D48)=DAY($L$1+1),1,B47+1)</f>
        <v/>
      </c>
      <c r="C48" s="46">
        <f>IF(DAY(D48)=DAY($L$1+1),1,C47+1)</f>
        <v/>
      </c>
      <c r="D48" s="2">
        <f>D47+1</f>
        <v/>
      </c>
      <c r="E48" s="8">
        <f>IF(DAY(D48)=DAY($L$1+1),TRUNC((N47),8),E47)</f>
        <v/>
      </c>
      <c r="F48" s="49">
        <f>TRUNC(((1+VLOOKUP(A48,IPCA!$A$2:$C$140,3,0)))^(C48/(EDATE(D48-C48,1)-(D48-C48))),8)</f>
        <v/>
      </c>
      <c r="G48" s="49">
        <f>TRUNC((E48*F48),8)</f>
        <v/>
      </c>
      <c r="H48" s="49">
        <f>ROUND(((1+$H$4)^(30/360))^(C48/(EDATE(D48-B48,1)-(D48-B48))),9)</f>
        <v/>
      </c>
      <c r="I48" s="49">
        <f>TRUNC((G48*H48-G48),8)</f>
        <v/>
      </c>
      <c r="J48" s="49">
        <f>G48+I48</f>
        <v/>
      </c>
      <c r="K48" s="256" t="inlineStr">
        <is>
          <t>Cri Integralizado</t>
        </is>
      </c>
      <c r="L48" s="270">
        <f>L17</f>
        <v/>
      </c>
      <c r="M48" s="256" t="n"/>
      <c r="N48" s="256" t="n"/>
      <c r="O48" s="256" t="n"/>
      <c r="P48" s="256" t="n"/>
      <c r="Q48" s="256" t="n"/>
    </row>
    <row r="49">
      <c r="A49">
        <f>IF(DAY(D49)=DAY($L$1+1),A48+1,A48)</f>
        <v/>
      </c>
      <c r="B49" s="46">
        <f>IF(DAY(D49)=DAY($L$1+1),1,B48+1)</f>
        <v/>
      </c>
      <c r="C49" s="46">
        <f>IF(DAY(D49)=DAY($L$1+1),1,C48+1)</f>
        <v/>
      </c>
      <c r="D49" s="2">
        <f>D48+1</f>
        <v/>
      </c>
      <c r="E49" s="8">
        <f>IF(DAY(D49)=DAY($L$1+1),TRUNC((N48),8),E48)</f>
        <v/>
      </c>
      <c r="F49" s="49">
        <f>TRUNC(((1+VLOOKUP(A49,IPCA!$A$2:$C$140,3,0)))^(C49/(EDATE(D49-C49,1)-(D49-C49))),8)</f>
        <v/>
      </c>
      <c r="G49" s="49">
        <f>TRUNC((E49*F49),8)</f>
        <v/>
      </c>
      <c r="H49" s="49">
        <f>ROUND(((1+$H$4)^(30/360))^(C49/(EDATE(D49-B49,1)-(D49-B49))),9)</f>
        <v/>
      </c>
      <c r="I49" s="49">
        <f>TRUNC((G49*H49-G49),8)</f>
        <v/>
      </c>
      <c r="J49" s="49">
        <f>G49+I49</f>
        <v/>
      </c>
      <c r="K49" s="118" t="inlineStr">
        <is>
          <t>JUROS</t>
        </is>
      </c>
      <c r="L49" s="118" t="inlineStr">
        <is>
          <t>AMORTIZAÇÃO</t>
        </is>
      </c>
      <c r="M49" s="118" t="inlineStr">
        <is>
          <t>AMEX</t>
        </is>
      </c>
      <c r="N49" s="118" t="inlineStr">
        <is>
          <t>RESIDUAL</t>
        </is>
      </c>
      <c r="O49" s="256" t="n"/>
      <c r="P49" s="256" t="n"/>
      <c r="Q49" s="256" t="n"/>
    </row>
    <row r="50">
      <c r="A50">
        <f>IF(DAY(D50)=DAY($L$1+1),A49+1,A49)</f>
        <v/>
      </c>
      <c r="B50" s="111">
        <f>IF(DAY(D50)=DAY($L$1+1),1,B49+1)</f>
        <v/>
      </c>
      <c r="C50" s="111">
        <f>IF(DAY(D50)=DAY($L$1+1),1,C49+1)</f>
        <v/>
      </c>
      <c r="D50" s="112">
        <f>D49+1</f>
        <v/>
      </c>
      <c r="E50" s="113">
        <f>IF(DAY(D50)=DAY($L$1+1),TRUNC((N49),8),E49)</f>
        <v/>
      </c>
      <c r="F50" s="114">
        <f>TRUNC(((1+VLOOKUP(A50,IPCA!$A$2:$C$140,3,0)))^(C50/(EDATE(D50-C50,1)-(D50-C50))),8)</f>
        <v/>
      </c>
      <c r="G50" s="114">
        <f>TRUNC((E50*F50),8)</f>
        <v/>
      </c>
      <c r="H50" s="114">
        <f>ROUND(((1+$H$4)^(30/360))^(C50/(EDATE(D50-B50,1)-(D50-B50))),9)</f>
        <v/>
      </c>
      <c r="I50" s="114">
        <f>TRUNC((G50*H50-G50),8)</f>
        <v/>
      </c>
      <c r="J50" s="114">
        <f>G50+I50</f>
        <v/>
      </c>
      <c r="K50" s="119" t="n">
        <v>0</v>
      </c>
      <c r="L50" s="120">
        <f>TRUNC(G50*VLOOKUP(D50,'Amort TS'!$G$3:$H$140,2,0),8)</f>
        <v/>
      </c>
      <c r="M50" s="120" t="n">
        <v>0</v>
      </c>
      <c r="N50" s="120">
        <f>J50-K50-L50-M50</f>
        <v/>
      </c>
      <c r="O50" s="256" t="n"/>
      <c r="P50" s="256" t="n"/>
      <c r="Q50" s="256" t="n"/>
    </row>
    <row r="51">
      <c r="A51">
        <f>IF(DAY(D51)=DAY($L$1+1),A50+1,A50)</f>
        <v/>
      </c>
      <c r="B51" s="46">
        <f>IF(DAY(D51)=DAY($L$1+1),1,B50+1)</f>
        <v/>
      </c>
      <c r="C51" s="46">
        <f>IF(DAY(D51)=DAY($L$1+1),1,C50+1)</f>
        <v/>
      </c>
      <c r="D51" s="2">
        <f>D50+1</f>
        <v/>
      </c>
      <c r="E51" s="8">
        <f>IF(DAY(D51)=DAY($L$1+1),TRUNC((N50),8),E50)</f>
        <v/>
      </c>
      <c r="F51" s="49">
        <f>TRUNC(((1+VLOOKUP(A51,IPCA!$A$2:$C$140,3,0)))^(C51/(EDATE(D51-C51,1)-(D51-C51))),8)</f>
        <v/>
      </c>
      <c r="G51" s="49">
        <f>TRUNC((E51*F51),8)</f>
        <v/>
      </c>
      <c r="H51" s="49">
        <f>ROUND(((1+$H$4)^(30/360))^(C51/(EDATE(D51-B51,1)-(D51-B51))),9)</f>
        <v/>
      </c>
      <c r="I51" s="49">
        <f>TRUNC((G51*H51-G51),8)</f>
        <v/>
      </c>
      <c r="J51" s="49">
        <f>G51+I51</f>
        <v/>
      </c>
      <c r="K51" s="121">
        <f>K50*L48</f>
        <v/>
      </c>
      <c r="L51" s="121">
        <f>L50*L48</f>
        <v/>
      </c>
      <c r="M51" s="121">
        <f>M50*L48</f>
        <v/>
      </c>
      <c r="N51" s="121">
        <f>N50*L48</f>
        <v/>
      </c>
      <c r="O51" s="256" t="n"/>
      <c r="P51" s="256" t="n"/>
      <c r="Q51" s="256" t="n"/>
    </row>
    <row r="52">
      <c r="A52">
        <f>IF(DAY(D52)=DAY($L$1+1),A51+1,A51)</f>
        <v/>
      </c>
      <c r="B52" s="46">
        <f>IF(DAY(D52)=DAY($L$1+1),1,B51+1)</f>
        <v/>
      </c>
      <c r="C52" s="46">
        <f>IF(DAY(D52)=DAY($L$1+1),1,C51+1)</f>
        <v/>
      </c>
      <c r="D52" s="47">
        <f>D51+1</f>
        <v/>
      </c>
      <c r="E52" s="8">
        <f>IF(DAY(D52)=DAY($L$1+1),TRUNC((N51),8),E51)</f>
        <v/>
      </c>
      <c r="F52" s="49">
        <f>TRUNC(((1+VLOOKUP(A52,IPCA!$A$2:$C$140,3,0)))^(C52/(EDATE(D52-C52,1)-(D52-C52))),8)</f>
        <v/>
      </c>
      <c r="G52" s="49">
        <f>TRUNC((E52*F52),8)</f>
        <v/>
      </c>
      <c r="H52" s="49">
        <f>ROUND(((1+$H$4)^(30/360))^(C52/(EDATE(D52-B52,1)-(D52-B52))),9)</f>
        <v/>
      </c>
      <c r="I52" s="49">
        <f>TRUNC((G52*H52-G52),8)</f>
        <v/>
      </c>
      <c r="J52" s="49">
        <f>G52+I52</f>
        <v/>
      </c>
      <c r="K52" s="256" t="n"/>
      <c r="L52" s="256" t="n"/>
      <c r="M52" s="256" t="n"/>
      <c r="N52" s="256" t="n"/>
      <c r="O52" s="256" t="n"/>
      <c r="P52" s="256" t="n"/>
      <c r="Q52" s="256" t="n"/>
    </row>
    <row r="53">
      <c r="A53">
        <f>IF(DAY(D53)=DAY($L$1+1),A52+1,A52)</f>
        <v/>
      </c>
      <c r="B53" s="46">
        <f>IF(DAY(D53)=DAY($L$1+1),1,B52+1)</f>
        <v/>
      </c>
      <c r="C53" s="46">
        <f>IF(DAY(D53)=DAY($L$1+1),1,C52+1)</f>
        <v/>
      </c>
      <c r="D53" s="2">
        <f>D52+1</f>
        <v/>
      </c>
      <c r="E53" s="8">
        <f>IF(DAY(D53)=DAY($L$1+1),TRUNC((#REF!),8),E52)</f>
        <v/>
      </c>
      <c r="F53" s="49">
        <f>TRUNC(((1+VLOOKUP(A53,IPCA!$A$2:$C$140,3,0)))^(C53/(EDATE(D53-C53,1)-(D53-C53))),8)</f>
        <v/>
      </c>
      <c r="G53" s="49">
        <f>TRUNC((E53*F53),8)</f>
        <v/>
      </c>
      <c r="H53" s="49">
        <f>ROUND(((1+$H$4)^(30/360))^(C53/(EDATE(D53-B53,1)-(D53-B53))),9)</f>
        <v/>
      </c>
      <c r="I53" s="49">
        <f>TRUNC((G53*H53-G53),8)</f>
        <v/>
      </c>
      <c r="J53" s="49">
        <f>G53+I53</f>
        <v/>
      </c>
      <c r="K53" s="256" t="n"/>
      <c r="L53" s="256" t="n"/>
      <c r="M53" s="256" t="n"/>
      <c r="N53" s="256" t="n"/>
      <c r="O53" s="256" t="n"/>
      <c r="P53" s="256" t="n"/>
      <c r="Q53" s="256" t="n"/>
    </row>
    <row r="54">
      <c r="A54">
        <f>IF(DAY(D54)=DAY($L$1+1),A53+1,A53)</f>
        <v/>
      </c>
      <c r="B54" s="46">
        <f>IF(DAY(D54)=DAY($L$1+1),1,B53+1)</f>
        <v/>
      </c>
      <c r="C54" s="46">
        <f>IF(DAY(D54)=DAY($L$1+1),1,C53+1)</f>
        <v/>
      </c>
      <c r="D54" s="2">
        <f>D53+1</f>
        <v/>
      </c>
      <c r="E54" s="8">
        <f>IF(DAY(D54)=DAY($L$1+1),TRUNC((#REF!),8),E53)</f>
        <v/>
      </c>
      <c r="F54" s="49">
        <f>TRUNC(((1+VLOOKUP(A54,IPCA!$A$2:$C$140,3,0)))^(C54/(EDATE(D54-C54,1)-(D54-C54))),8)</f>
        <v/>
      </c>
      <c r="G54" s="49">
        <f>TRUNC((E54*F54),8)</f>
        <v/>
      </c>
      <c r="H54" s="49">
        <f>ROUND(((1+$H$4)^(30/360))^(C54/(EDATE(D54-B54,1)-(D54-B54))),9)</f>
        <v/>
      </c>
      <c r="I54" s="49">
        <f>TRUNC((G54*H54-G54),8)</f>
        <v/>
      </c>
      <c r="J54" s="49">
        <f>G54+I54</f>
        <v/>
      </c>
      <c r="K54" s="196" t="n"/>
      <c r="L54" s="256" t="n"/>
      <c r="M54" s="256" t="n"/>
      <c r="N54" s="256" t="n"/>
      <c r="O54" s="256" t="n"/>
      <c r="P54" s="256" t="n"/>
      <c r="Q54" s="256" t="n"/>
    </row>
    <row r="55">
      <c r="A55">
        <f>IF(DAY(D55)=DAY($L$1+1),A54+1,A54)</f>
        <v/>
      </c>
      <c r="B55" s="46">
        <f>IF(DAY(D55)=DAY($L$1+1),1,B54+1)</f>
        <v/>
      </c>
      <c r="C55" s="46">
        <f>IF(DAY(D55)=DAY($L$1+1),1,C54+1)</f>
        <v/>
      </c>
      <c r="D55" s="2">
        <f>D54+1</f>
        <v/>
      </c>
      <c r="E55" s="8">
        <f>IF(DAY(D55)=DAY($L$1+1),TRUNC((#REF!),8),E54)</f>
        <v/>
      </c>
      <c r="F55" s="49">
        <f>TRUNC(((1+VLOOKUP(A55,IPCA!$A$2:$C$140,3,0)))^(C55/(EDATE(D55-C55,1)-(D55-C55))),8)</f>
        <v/>
      </c>
      <c r="G55" s="49">
        <f>TRUNC((E55*F55),8)</f>
        <v/>
      </c>
      <c r="H55" s="49">
        <f>ROUND(((1+$H$4)^(30/360))^(C55/(EDATE(D55-B55,1)-(D55-B55))),9)</f>
        <v/>
      </c>
      <c r="I55" s="49">
        <f>TRUNC((G55*H55-G55),8)</f>
        <v/>
      </c>
      <c r="J55" s="49">
        <f>G55+I55</f>
        <v/>
      </c>
      <c r="K55" s="256" t="n"/>
      <c r="L55" s="256" t="n"/>
      <c r="M55" s="256" t="n"/>
      <c r="N55" s="256" t="n"/>
      <c r="O55" s="256" t="n"/>
      <c r="P55" s="256" t="n"/>
      <c r="Q55" s="256" t="n"/>
    </row>
    <row r="56">
      <c r="A56">
        <f>IF(DAY(D56)=DAY($L$1+1),A55+1,A55)</f>
        <v/>
      </c>
      <c r="B56" s="46">
        <f>IF(DAY(D56)=DAY($L$1+1),1,B55+1)</f>
        <v/>
      </c>
      <c r="C56" s="46">
        <f>IF(DAY(D56)=DAY($L$1+1),1,C55+1)</f>
        <v/>
      </c>
      <c r="D56" s="2">
        <f>D55+1</f>
        <v/>
      </c>
      <c r="E56" s="8">
        <f>IF(DAY(D56)=DAY($L$1+1),TRUNC((#REF!),8),E55)</f>
        <v/>
      </c>
      <c r="F56" s="49">
        <f>TRUNC(((1+VLOOKUP(A56,IPCA!$A$2:$C$140,3,0)))^(C56/(EDATE(D56-C56,1)-(D56-C56))),8)</f>
        <v/>
      </c>
      <c r="G56" s="49">
        <f>TRUNC((E56*F56),8)</f>
        <v/>
      </c>
      <c r="H56" s="49">
        <f>ROUND(((1+$H$4)^(30/360))^(C56/(EDATE(D56-B56,1)-(D56-B56))),9)</f>
        <v/>
      </c>
      <c r="I56" s="49">
        <f>TRUNC((G56*H56-G56),8)</f>
        <v/>
      </c>
      <c r="J56" s="49">
        <f>G56+I56</f>
        <v/>
      </c>
      <c r="K56" s="256" t="n"/>
      <c r="L56" s="256" t="n"/>
      <c r="M56" s="256" t="n"/>
      <c r="N56" s="256" t="n"/>
      <c r="O56" s="256" t="n"/>
      <c r="P56" s="256" t="n"/>
      <c r="Q56" s="256" t="n"/>
    </row>
    <row r="57">
      <c r="A57">
        <f>IF(DAY(D57)=DAY($L$1+1),A56+1,A56)</f>
        <v/>
      </c>
      <c r="B57" s="46">
        <f>IF(DAY(D57)=DAY($L$1+1),1,B56+1)</f>
        <v/>
      </c>
      <c r="C57" s="46">
        <f>IF(DAY(D57)=DAY($L$1+1),1,C56+1)</f>
        <v/>
      </c>
      <c r="D57" s="2">
        <f>D56+1</f>
        <v/>
      </c>
      <c r="E57" s="8">
        <f>IF(DAY(D57)=DAY($L$1+1),TRUNC((#REF!),8),E56)</f>
        <v/>
      </c>
      <c r="F57" s="49">
        <f>TRUNC(((1+VLOOKUP(A57,IPCA!$A$2:$C$140,3,0)))^(C57/(EDATE(D57-C57,1)-(D57-C57))),8)</f>
        <v/>
      </c>
      <c r="G57" s="49">
        <f>TRUNC((E57*F57),8)</f>
        <v/>
      </c>
      <c r="H57" s="49">
        <f>ROUND(((1+$H$4)^(30/360))^(C57/(EDATE(D57-B57,1)-(D57-B57))),9)</f>
        <v/>
      </c>
      <c r="I57" s="49">
        <f>TRUNC((G57*H57-G57),8)</f>
        <v/>
      </c>
      <c r="J57" s="49">
        <f>G57+I57</f>
        <v/>
      </c>
      <c r="K57" s="256" t="n"/>
      <c r="L57" s="256" t="n"/>
      <c r="M57" s="256" t="n"/>
      <c r="N57" s="256" t="n"/>
      <c r="O57" s="256" t="n"/>
      <c r="P57" s="256" t="n"/>
      <c r="Q57" s="256" t="n"/>
    </row>
    <row r="58">
      <c r="A58">
        <f>IF(DAY(D58)=DAY($L$1+1),A57+1,A57)</f>
        <v/>
      </c>
      <c r="B58" s="46">
        <f>IF(DAY(D58)=DAY($L$1+1),1,B57+1)</f>
        <v/>
      </c>
      <c r="C58" s="46">
        <f>IF(DAY(D58)=DAY($L$1+1),1,C57+1)</f>
        <v/>
      </c>
      <c r="D58" s="2">
        <f>D57+1</f>
        <v/>
      </c>
      <c r="E58" s="8">
        <f>IF(DAY(D58)=DAY($L$1+1),TRUNC((#REF!),8),E57)</f>
        <v/>
      </c>
      <c r="F58" s="49">
        <f>TRUNC(((1+VLOOKUP(A58,IPCA!$A$2:$C$140,3,0)))^(C58/(EDATE(D58-C58,1)-(D58-C58))),8)</f>
        <v/>
      </c>
      <c r="G58" s="49">
        <f>TRUNC((E58*F58),8)</f>
        <v/>
      </c>
      <c r="H58" s="49">
        <f>ROUND(((1+$H$4)^(30/360))^(C58/(EDATE(D58-B58,1)-(D58-B58))),9)</f>
        <v/>
      </c>
      <c r="I58" s="49">
        <f>TRUNC((G58*H58-G58),8)</f>
        <v/>
      </c>
      <c r="J58" s="49">
        <f>G58+I58</f>
        <v/>
      </c>
      <c r="K58" s="256" t="n"/>
      <c r="L58" s="256" t="n"/>
      <c r="M58" s="256" t="n"/>
      <c r="N58" s="256" t="n"/>
      <c r="O58" s="256" t="n"/>
      <c r="P58" s="256" t="n"/>
      <c r="Q58" s="256" t="n"/>
    </row>
    <row r="59">
      <c r="A59">
        <f>IF(DAY(D59)=DAY($L$1+1),A58+1,A58)</f>
        <v/>
      </c>
      <c r="B59" s="46">
        <f>IF(DAY(D59)=DAY($L$1+1),1,B58+1)</f>
        <v/>
      </c>
      <c r="C59" s="46">
        <f>IF(DAY(D59)=DAY($L$1+1),1,C58+1)</f>
        <v/>
      </c>
      <c r="D59" s="2">
        <f>D58+1</f>
        <v/>
      </c>
      <c r="E59" s="8">
        <f>IF(DAY(D59)=DAY($L$1+1),TRUNC((#REF!),8),E58)</f>
        <v/>
      </c>
      <c r="F59" s="49">
        <f>TRUNC(((1+VLOOKUP(A59,IPCA!$A$2:$C$140,3,0)))^(C59/(EDATE(D59-C59,1)-(D59-C59))),8)</f>
        <v/>
      </c>
      <c r="G59" s="49">
        <f>TRUNC((E59*F59),8)</f>
        <v/>
      </c>
      <c r="H59" s="49">
        <f>ROUND(((1+$H$4)^(30/360))^(C59/(EDATE(D59-B59,1)-(D59-B59))),9)</f>
        <v/>
      </c>
      <c r="I59" s="49">
        <f>TRUNC((G59*H59-G59),8)</f>
        <v/>
      </c>
      <c r="J59" s="49">
        <f>G59+I59</f>
        <v/>
      </c>
      <c r="K59" s="256" t="n"/>
      <c r="L59" s="256" t="n"/>
      <c r="M59" s="256" t="n"/>
      <c r="N59" s="256" t="n"/>
      <c r="O59" s="256" t="n"/>
      <c r="P59" s="256" t="n"/>
      <c r="Q59" s="256" t="n"/>
    </row>
    <row r="60">
      <c r="A60">
        <f>IF(DAY(D60)=DAY($L$1+1),A59+1,A59)</f>
        <v/>
      </c>
      <c r="B60" s="46">
        <f>IF(DAY(D60)=DAY($L$1+1),1,B59+1)</f>
        <v/>
      </c>
      <c r="C60" s="46">
        <f>IF(DAY(D60)=DAY($L$1+1),1,C59+1)</f>
        <v/>
      </c>
      <c r="D60" s="2">
        <f>D59+1</f>
        <v/>
      </c>
      <c r="E60" s="8">
        <f>IF(DAY(D60)=DAY($L$1+1),TRUNC((N59),8),E59)</f>
        <v/>
      </c>
      <c r="F60" s="49">
        <f>TRUNC(((1+VLOOKUP(A60,IPCA!$A$2:$C$140,3,0)))^(C60/(EDATE(D60-C60,1)-(D60-C60))),8)</f>
        <v/>
      </c>
      <c r="G60" s="49">
        <f>TRUNC((E60*F60),8)</f>
        <v/>
      </c>
      <c r="H60" s="49">
        <f>ROUND(((1+$H$4)^(30/360))^(C60/(EDATE(D60-B60,1)-(D60-B60))),9)</f>
        <v/>
      </c>
      <c r="I60" s="49">
        <f>TRUNC((G60*H60-G60),8)</f>
        <v/>
      </c>
      <c r="J60" s="49">
        <f>G60+I60</f>
        <v/>
      </c>
      <c r="K60" s="256" t="n"/>
      <c r="L60" s="256" t="n"/>
      <c r="M60" s="256" t="n"/>
      <c r="N60" s="256" t="n"/>
      <c r="O60" s="256" t="n"/>
      <c r="P60" s="256" t="n"/>
      <c r="Q60" s="256" t="n"/>
    </row>
    <row r="61">
      <c r="A61">
        <f>IF(DAY(D61)=DAY($L$1+1),A60+1,A60)</f>
        <v/>
      </c>
      <c r="B61" s="221">
        <f>IF(DAY(D61)=DAY($L$1+1),1,B60+1)</f>
        <v/>
      </c>
      <c r="C61" s="221">
        <f>IF(DAY(D61)=DAY($L$1+1),1,C60+1)</f>
        <v/>
      </c>
      <c r="D61" s="222">
        <f>D60+1</f>
        <v/>
      </c>
      <c r="E61" s="223">
        <f>IF(DAY(D61)=DAY($L$1+1),TRUNC((N60),8),E60)</f>
        <v/>
      </c>
      <c r="F61" s="224">
        <f>TRUNC(((1+VLOOKUP(A61,IPCA!$A$2:$C$140,3,0)))^(C61/(EDATE(D61-C61,1)-(D61-C61))),8)</f>
        <v/>
      </c>
      <c r="G61" s="224">
        <f>TRUNC((E61*F61),8)</f>
        <v/>
      </c>
      <c r="H61" s="224">
        <f>ROUND(((1+$H$4)^(30/360))^(C61/(EDATE(D61-B61,1)-(D61-B61))),9)</f>
        <v/>
      </c>
      <c r="I61" s="224">
        <f>TRUNC((G61*H61-G61),8)</f>
        <v/>
      </c>
      <c r="J61" s="224">
        <f>G61+I61</f>
        <v/>
      </c>
      <c r="K61" s="225" t="n">
        <v>725187</v>
      </c>
      <c r="L61" s="256" t="n"/>
      <c r="M61" s="256" t="n"/>
      <c r="N61" s="256" t="n"/>
      <c r="O61" s="256" t="n"/>
      <c r="P61" s="256" t="n"/>
      <c r="Q61" s="256" t="n"/>
    </row>
    <row r="62">
      <c r="A62">
        <f>IF(DAY(D62)=DAY($L$1+1),A61+1,A61)</f>
        <v/>
      </c>
      <c r="B62" s="46">
        <f>IF(DAY(D62)=DAY($L$1+1),1,B61+1)</f>
        <v/>
      </c>
      <c r="C62" s="46">
        <f>IF(DAY(D62)=DAY($L$1+1),1,C61+1)</f>
        <v/>
      </c>
      <c r="D62" s="2">
        <f>D61+1</f>
        <v/>
      </c>
      <c r="E62" s="8">
        <f>IF(DAY(D62)=DAY($L$1+1),TRUNC((N61),8),E61)</f>
        <v/>
      </c>
      <c r="F62" s="49">
        <f>TRUNC(((1+VLOOKUP(A62,IPCA!$A$2:$C$140,3,0)))^(C62/(EDATE(D62-C62,1)-(D62-C62))),8)</f>
        <v/>
      </c>
      <c r="G62" s="49">
        <f>TRUNC((E62*F62),8)</f>
        <v/>
      </c>
      <c r="H62" s="49">
        <f>ROUND(((1+$H$4)^(30/360))^(C62/(EDATE(D62-B62,1)-(D62-B62))),9)</f>
        <v/>
      </c>
      <c r="I62" s="49">
        <f>TRUNC((G62*H62-G62),8)</f>
        <v/>
      </c>
      <c r="J62" s="49">
        <f>G62+I62</f>
        <v/>
      </c>
      <c r="K62" s="256" t="n"/>
      <c r="L62" s="256" t="n"/>
      <c r="M62" s="256" t="n"/>
      <c r="N62" s="256" t="n"/>
      <c r="O62" s="256" t="n"/>
      <c r="P62" s="256" t="n"/>
      <c r="Q62" s="256" t="n"/>
    </row>
    <row r="63">
      <c r="A63">
        <f>IF(DAY(D63)=DAY($L$1+1),A62+1,A62)</f>
        <v/>
      </c>
      <c r="B63" s="46">
        <f>IF(DAY(D63)=DAY($L$1+1),1,B62+1)</f>
        <v/>
      </c>
      <c r="C63" s="46">
        <f>IF(DAY(D63)=DAY($L$1+1),1,C62+1)</f>
        <v/>
      </c>
      <c r="D63" s="2">
        <f>D62+1</f>
        <v/>
      </c>
      <c r="E63" s="8">
        <f>IF(DAY(D63)=DAY($L$1+1),TRUNC((N62),8),E62)</f>
        <v/>
      </c>
      <c r="F63" s="49">
        <f>TRUNC(((1+VLOOKUP(A63,IPCA!$A$2:$C$140,3,0)))^(C63/(EDATE(D63-C63,1)-(D63-C63))),8)</f>
        <v/>
      </c>
      <c r="G63" s="49">
        <f>TRUNC((E63*F63),8)</f>
        <v/>
      </c>
      <c r="H63" s="49">
        <f>ROUND(((1+$H$4)^(30/360))^(C63/(EDATE(D63-B63,1)-(D63-B63))),9)</f>
        <v/>
      </c>
      <c r="I63" s="49">
        <f>TRUNC((G63*H63-G63),8)</f>
        <v/>
      </c>
      <c r="J63" s="49">
        <f>G63+I63</f>
        <v/>
      </c>
      <c r="K63" s="256" t="n"/>
      <c r="L63" s="256" t="n"/>
      <c r="M63" s="256" t="n"/>
      <c r="N63" s="256" t="n"/>
      <c r="O63" s="256" t="n"/>
      <c r="P63" s="256" t="n"/>
      <c r="Q63" s="256" t="n"/>
    </row>
    <row r="64">
      <c r="A64">
        <f>IF(DAY(D64)=DAY($L$1+1),A63+1,A63)</f>
        <v/>
      </c>
      <c r="B64" s="46">
        <f>IF(DAY(D64)=DAY($L$1+1),1,B63+1)</f>
        <v/>
      </c>
      <c r="C64" s="46">
        <f>IF(DAY(D64)=DAY($L$1+1),1,C63+1)</f>
        <v/>
      </c>
      <c r="D64" s="2">
        <f>D63+1</f>
        <v/>
      </c>
      <c r="E64" s="8">
        <f>IF(DAY(D64)=DAY($L$1+1),TRUNC((N63),8),E63)</f>
        <v/>
      </c>
      <c r="F64" s="49">
        <f>TRUNC(((1+VLOOKUP(A64,IPCA!$A$2:$C$140,3,0)))^(C64/(EDATE(D64-C64,1)-(D64-C64))),8)</f>
        <v/>
      </c>
      <c r="G64" s="49">
        <f>TRUNC((E64*F64),8)</f>
        <v/>
      </c>
      <c r="H64" s="49">
        <f>ROUND(((1+$H$4)^(30/360))^(C64/(EDATE(D64-B64,1)-(D64-B64))),9)</f>
        <v/>
      </c>
      <c r="I64" s="49">
        <f>TRUNC((G64*H64-G64),8)</f>
        <v/>
      </c>
      <c r="J64" s="49">
        <f>G64+I64</f>
        <v/>
      </c>
      <c r="K64" s="256" t="n"/>
      <c r="L64" s="256" t="n"/>
      <c r="M64" s="256" t="n"/>
      <c r="N64" s="256" t="n"/>
      <c r="O64" s="256" t="n"/>
      <c r="P64" s="256" t="n"/>
      <c r="Q64" s="256" t="n"/>
    </row>
    <row r="65">
      <c r="A65">
        <f>IF(DAY(D65)=DAY($L$1+1),A64+1,A64)</f>
        <v/>
      </c>
      <c r="B65" s="46">
        <f>IF(DAY(D65)=DAY($L$1+1),1,B64+1)</f>
        <v/>
      </c>
      <c r="C65" s="46">
        <f>IF(DAY(D65)=DAY($L$1+1),1,C64+1)</f>
        <v/>
      </c>
      <c r="D65" s="2">
        <f>D64+1</f>
        <v/>
      </c>
      <c r="E65" s="8">
        <f>IF(DAY(D65)=DAY($L$1+1),TRUNC((N64),8),E64)</f>
        <v/>
      </c>
      <c r="F65" s="49">
        <f>TRUNC(((1+VLOOKUP(A65,IPCA!$A$2:$C$140,3,0)))^(C65/(EDATE(D65-C65,1)-(D65-C65))),8)</f>
        <v/>
      </c>
      <c r="G65" s="49">
        <f>TRUNC((E65*F65),8)</f>
        <v/>
      </c>
      <c r="H65" s="49">
        <f>ROUND(((1+$H$4)^(30/360))^(C65/(EDATE(D65-B65,1)-(D65-B65))),9)</f>
        <v/>
      </c>
      <c r="I65" s="49">
        <f>TRUNC((G65*H65-G65),8)</f>
        <v/>
      </c>
      <c r="J65" s="49">
        <f>G65+I65</f>
        <v/>
      </c>
      <c r="K65" s="256" t="n"/>
      <c r="L65" s="256" t="n"/>
      <c r="M65" s="256" t="n"/>
      <c r="N65" s="256" t="n"/>
      <c r="O65" s="256" t="n"/>
      <c r="P65" s="256" t="n"/>
      <c r="Q65" s="256" t="n"/>
    </row>
    <row r="66">
      <c r="A66">
        <f>IF(DAY(D66)=DAY($L$1+1),A65+1,A65)</f>
        <v/>
      </c>
      <c r="B66" s="46">
        <f>IF(DAY(D66)=DAY($L$1+1),1,B65+1)</f>
        <v/>
      </c>
      <c r="C66" s="46">
        <f>IF(DAY(D66)=DAY($L$1+1),1,C65+1)</f>
        <v/>
      </c>
      <c r="D66" s="2">
        <f>D65+1</f>
        <v/>
      </c>
      <c r="E66" s="8">
        <f>IF(DAY(D66)=DAY($L$1+1),TRUNC((N65),8),E65)</f>
        <v/>
      </c>
      <c r="F66" s="49">
        <f>TRUNC(((1+VLOOKUP(A66,IPCA!$A$2:$C$140,3,0)))^(C66/(EDATE(D66-C66,1)-(D66-C66))),8)</f>
        <v/>
      </c>
      <c r="G66" s="49">
        <f>TRUNC((E66*F66),8)</f>
        <v/>
      </c>
      <c r="H66" s="49">
        <f>ROUND(((1+$H$4)^(30/360))^(C66/(EDATE(D66-B66,1)-(D66-B66))),9)</f>
        <v/>
      </c>
      <c r="I66" s="49">
        <f>TRUNC((G66*H66-G66),8)</f>
        <v/>
      </c>
      <c r="J66" s="49">
        <f>G66+I66</f>
        <v/>
      </c>
      <c r="K66" s="123" t="n"/>
      <c r="L66" s="271" t="n"/>
      <c r="M66" s="256" t="n"/>
      <c r="N66" s="256" t="n"/>
      <c r="O66" s="256" t="n"/>
      <c r="P66" s="256" t="n"/>
      <c r="Q66" s="256" t="n"/>
    </row>
    <row r="67">
      <c r="A67">
        <f>IF(DAY(D67)=DAY($L$1+1),A66+1,A66)</f>
        <v/>
      </c>
      <c r="B67" s="46">
        <f>IF(DAY(D67)=DAY($L$1+1),1,B66+1)</f>
        <v/>
      </c>
      <c r="C67" s="46">
        <f>IF(DAY(D67)=DAY($L$1+1),1,C66+1)</f>
        <v/>
      </c>
      <c r="D67" s="2">
        <f>D66+1</f>
        <v/>
      </c>
      <c r="E67" s="8">
        <f>IF(DAY(D67)=DAY($L$1+1),TRUNC((N66),8),E66)</f>
        <v/>
      </c>
      <c r="F67" s="49">
        <f>TRUNC(((1+VLOOKUP(A67,IPCA!$A$2:$C$140,3,0)))^(C67/(EDATE(D67-C67,1)-(D67-C67))),8)</f>
        <v/>
      </c>
      <c r="G67" s="49">
        <f>TRUNC((E67*F67),8)</f>
        <v/>
      </c>
      <c r="H67" s="49">
        <f>ROUND(((1+$H$4)^(30/360))^(C67/(EDATE(D67-B67,1)-(D67-B67))),9)</f>
        <v/>
      </c>
      <c r="I67" s="49">
        <f>TRUNC((G67*H67-G67),8)</f>
        <v/>
      </c>
      <c r="J67" s="49">
        <f>G67+I67</f>
        <v/>
      </c>
      <c r="K67" s="256" t="n"/>
      <c r="L67" s="256" t="n"/>
      <c r="M67" s="256" t="n"/>
      <c r="N67" s="256" t="n"/>
      <c r="O67" s="256" t="n"/>
      <c r="P67" s="256" t="n"/>
      <c r="Q67" s="256" t="n"/>
    </row>
    <row r="68">
      <c r="A68">
        <f>IF(DAY(D68)=DAY($L$1+1),A67+1,A67)</f>
        <v/>
      </c>
      <c r="B68" s="46">
        <f>IF(DAY(D68)=DAY($L$1+1),1,B67+1)</f>
        <v/>
      </c>
      <c r="C68" s="46">
        <f>IF(DAY(D68)=DAY($L$1+1),1,C67+1)</f>
        <v/>
      </c>
      <c r="D68" s="2">
        <f>D67+1</f>
        <v/>
      </c>
      <c r="E68" s="8">
        <f>IF(DAY(D68)=DAY($L$1+1),TRUNC((N67),8),E67)</f>
        <v/>
      </c>
      <c r="F68" s="49">
        <f>TRUNC(((1+VLOOKUP(A68,IPCA!$A$2:$C$140,3,0)))^(C68/(EDATE(D68-C68,1)-(D68-C68))),8)</f>
        <v/>
      </c>
      <c r="G68" s="49">
        <f>TRUNC((E68*F68),8)</f>
        <v/>
      </c>
      <c r="H68" s="49">
        <f>ROUND(((1+$H$4)^(30/360))^(C68/(EDATE(D68-B68,1)-(D68-B68))),9)</f>
        <v/>
      </c>
      <c r="I68" s="49">
        <f>TRUNC((G68*H68-G68),8)</f>
        <v/>
      </c>
      <c r="J68" s="49">
        <f>G68+I68</f>
        <v/>
      </c>
      <c r="K68" s="256" t="n"/>
      <c r="L68" s="256" t="n"/>
      <c r="M68" s="256" t="n"/>
      <c r="N68" s="256" t="n"/>
      <c r="O68" s="256" t="n"/>
      <c r="P68" s="256" t="n"/>
      <c r="Q68" s="256" t="n"/>
    </row>
    <row r="69">
      <c r="A69">
        <f>IF(DAY(D69)=DAY($L$1+1),A68+1,A68)</f>
        <v/>
      </c>
      <c r="B69" s="46">
        <f>IF(DAY(D69)=DAY($L$1+1),1,B68+1)</f>
        <v/>
      </c>
      <c r="C69" s="46">
        <f>IF(DAY(D69)=DAY($L$1+1),1,C68+1)</f>
        <v/>
      </c>
      <c r="D69" s="2">
        <f>D68+1</f>
        <v/>
      </c>
      <c r="E69" s="8">
        <f>IF(DAY(D69)=DAY($L$1+1),TRUNC((N68),8),E68)</f>
        <v/>
      </c>
      <c r="F69" s="49">
        <f>TRUNC(((1+VLOOKUP(A69,IPCA!$A$2:$C$140,3,0)))^(C69/(EDATE(D69-C69,1)-(D69-C69))),8)</f>
        <v/>
      </c>
      <c r="G69" s="49">
        <f>TRUNC((E69*F69),8)</f>
        <v/>
      </c>
      <c r="H69" s="49">
        <f>ROUND(((1+$H$4)^(30/360))^(C69/(EDATE(D69-B69,1)-(D69-B69))),9)</f>
        <v/>
      </c>
      <c r="I69" s="49">
        <f>TRUNC((G69*H69-G69),8)</f>
        <v/>
      </c>
      <c r="J69" s="49">
        <f>G69+I69</f>
        <v/>
      </c>
      <c r="K69" s="256" t="n"/>
      <c r="L69" s="256" t="n"/>
      <c r="M69" s="256" t="n"/>
      <c r="N69" s="256" t="n"/>
      <c r="O69" s="256" t="n"/>
      <c r="P69" s="256" t="n"/>
      <c r="Q69" s="256" t="n"/>
    </row>
    <row r="70">
      <c r="A70">
        <f>IF(DAY(D70)=DAY($L$1+1),A69+1,A69)</f>
        <v/>
      </c>
      <c r="B70" s="46">
        <f>IF(DAY(D70)=DAY($L$1+1),1,B69+1)</f>
        <v/>
      </c>
      <c r="C70" s="46">
        <f>IF(DAY(D70)=DAY($L$1+1),1,C69+1)</f>
        <v/>
      </c>
      <c r="D70" s="2">
        <f>D69+1</f>
        <v/>
      </c>
      <c r="E70" s="8">
        <f>IF(DAY(D70)=DAY($L$1+1),TRUNC((N69),8),E69)</f>
        <v/>
      </c>
      <c r="F70" s="49">
        <f>TRUNC(((1+VLOOKUP(A70,IPCA!$A$2:$C$140,3,0)))^(C70/(EDATE(D70-C70,1)-(D70-C70))),8)</f>
        <v/>
      </c>
      <c r="G70" s="49">
        <f>TRUNC((E70*F70),8)</f>
        <v/>
      </c>
      <c r="H70" s="49">
        <f>ROUND(((1+$H$4)^(30/360))^(C70/(EDATE(D70-B70,1)-(D70-B70))),9)</f>
        <v/>
      </c>
      <c r="I70" s="49">
        <f>TRUNC((G70*H70-G70),8)</f>
        <v/>
      </c>
      <c r="J70" s="49">
        <f>G70+I70</f>
        <v/>
      </c>
      <c r="K70" s="256" t="n"/>
      <c r="L70" s="256" t="n"/>
      <c r="M70" s="256" t="n"/>
      <c r="N70" s="256" t="n"/>
      <c r="O70" s="256" t="n"/>
      <c r="P70" s="256" t="n"/>
      <c r="Q70" s="256" t="n"/>
    </row>
    <row r="71">
      <c r="A71">
        <f>IF(DAY(D71)=DAY($L$1+1),A70+1,A70)</f>
        <v/>
      </c>
      <c r="B71" s="46">
        <f>IF(DAY(D71)=DAY($L$1+1),1,B70+1)</f>
        <v/>
      </c>
      <c r="C71" s="46">
        <f>IF(DAY(D71)=DAY($L$1+1),1,C70+1)</f>
        <v/>
      </c>
      <c r="D71" s="2">
        <f>D70+1</f>
        <v/>
      </c>
      <c r="E71" s="8">
        <f>IF(DAY(D71)=DAY($L$1+1),TRUNC((N70),8),E70)</f>
        <v/>
      </c>
      <c r="F71" s="49">
        <f>TRUNC(((1+VLOOKUP(A71,IPCA!$A$2:$C$140,3,0)))^(C71/(EDATE(D71-C71,1)-(D71-C71))),8)</f>
        <v/>
      </c>
      <c r="G71" s="49">
        <f>TRUNC((E71*F71),8)</f>
        <v/>
      </c>
      <c r="H71" s="49">
        <f>ROUND(((1+$H$4)^(30/360))^(C71/(EDATE(D71-B71,1)-(D71-B71))),9)</f>
        <v/>
      </c>
      <c r="I71" s="49">
        <f>TRUNC((G71*H71-G71),8)</f>
        <v/>
      </c>
      <c r="J71" s="49">
        <f>G71+I71</f>
        <v/>
      </c>
      <c r="K71" s="256" t="n"/>
      <c r="L71" s="256" t="n"/>
      <c r="M71" s="256" t="n"/>
      <c r="N71" s="256" t="n"/>
      <c r="O71" s="256" t="n"/>
      <c r="P71" s="256" t="n"/>
      <c r="Q71" s="256" t="n"/>
    </row>
    <row r="72">
      <c r="A72">
        <f>IF(DAY(D72)=DAY($L$1+1),A71+1,A71)</f>
        <v/>
      </c>
      <c r="B72" s="46">
        <f>IF(DAY(D72)=DAY($L$1+1),1,B71+1)</f>
        <v/>
      </c>
      <c r="C72" s="46">
        <f>IF(DAY(D72)=DAY($L$1+1),1,C71+1)</f>
        <v/>
      </c>
      <c r="D72" s="2">
        <f>D71+1</f>
        <v/>
      </c>
      <c r="E72" s="8">
        <f>IF(DAY(D72)=DAY($L$1+1),TRUNC((N71),8),E71)</f>
        <v/>
      </c>
      <c r="F72" s="49">
        <f>TRUNC(((1+VLOOKUP(A72,IPCA!$A$2:$C$140,3,0)))^(C72/(EDATE(D72-C72,1)-(D72-C72))),8)</f>
        <v/>
      </c>
      <c r="G72" s="49">
        <f>TRUNC((E72*F72),8)</f>
        <v/>
      </c>
      <c r="H72" s="49">
        <f>ROUND(((1+$H$4)^(30/360))^(C72/(EDATE(D72-B72,1)-(D72-B72))),9)</f>
        <v/>
      </c>
      <c r="I72" s="49">
        <f>TRUNC((G72*H72-G72),8)</f>
        <v/>
      </c>
      <c r="J72" s="49">
        <f>G72+I72</f>
        <v/>
      </c>
      <c r="K72" s="256" t="n"/>
      <c r="L72" s="256" t="n"/>
      <c r="M72" s="256" t="n"/>
      <c r="N72" s="256" t="n"/>
      <c r="O72" s="256" t="n"/>
      <c r="P72" s="256" t="n"/>
      <c r="Q72" s="256" t="n"/>
    </row>
    <row r="73">
      <c r="A73">
        <f>IF(DAY(D73)=DAY($L$1+1),A72+1,A72)</f>
        <v/>
      </c>
      <c r="B73" s="46">
        <f>IF(DAY(D73)=DAY($L$1+1),1,B72+1)</f>
        <v/>
      </c>
      <c r="C73" s="46">
        <f>IF(DAY(D73)=DAY($L$1+1),1,C72+1)</f>
        <v/>
      </c>
      <c r="D73" s="2">
        <f>D72+1</f>
        <v/>
      </c>
      <c r="E73" s="8">
        <f>IF(DAY(D73)=DAY($L$1+1),TRUNC((N72),8),E72)</f>
        <v/>
      </c>
      <c r="F73" s="49">
        <f>TRUNC(((1+VLOOKUP(A73,IPCA!$A$2:$C$140,3,0)))^(C73/(EDATE(D73-C73,1)-(D73-C73))),8)</f>
        <v/>
      </c>
      <c r="G73" s="49">
        <f>TRUNC((E73*F73),8)</f>
        <v/>
      </c>
      <c r="H73" s="49">
        <f>ROUND(((1+$H$4)^(30/360))^(C73/(EDATE(D73-B73,1)-(D73-B73))),9)</f>
        <v/>
      </c>
      <c r="I73" s="49">
        <f>TRUNC((G73*H73-G73),8)</f>
        <v/>
      </c>
      <c r="J73" s="49">
        <f>G73+I73</f>
        <v/>
      </c>
      <c r="K73" s="256" t="n"/>
      <c r="L73" s="256" t="n"/>
      <c r="M73" s="256" t="n"/>
      <c r="N73" s="256" t="n"/>
      <c r="O73" s="256" t="n"/>
      <c r="P73" s="256" t="n"/>
      <c r="Q73" s="256" t="n"/>
    </row>
    <row r="74">
      <c r="A74">
        <f>IF(DAY(D74)=DAY($L$1+1),A73+1,A73)</f>
        <v/>
      </c>
      <c r="B74" s="46">
        <f>IF(DAY(D74)=DAY($L$1+1),1,B73+1)</f>
        <v/>
      </c>
      <c r="C74" s="46">
        <f>IF(DAY(D74)=DAY($L$1+1),1,C73+1)</f>
        <v/>
      </c>
      <c r="D74" s="2">
        <f>D73+1</f>
        <v/>
      </c>
      <c r="E74" s="8">
        <f>IF(DAY(D74)=DAY($L$1+1),TRUNC((N73),8),E73)</f>
        <v/>
      </c>
      <c r="F74" s="49">
        <f>TRUNC(((1+VLOOKUP(A74,IPCA!$A$2:$C$140,3,0)))^(C74/(EDATE(D74-C74,1)-(D74-C74))),8)</f>
        <v/>
      </c>
      <c r="G74" s="49">
        <f>TRUNC((E74*F74),8)</f>
        <v/>
      </c>
      <c r="H74" s="49">
        <f>ROUND(((1+$H$4)^(30/360))^(C74/(EDATE(D74-B74,1)-(D74-B74))),9)</f>
        <v/>
      </c>
      <c r="I74" s="49">
        <f>TRUNC((G74*H74-G74),8)</f>
        <v/>
      </c>
      <c r="J74" s="49">
        <f>G74+I74</f>
        <v/>
      </c>
      <c r="K74" s="256" t="n"/>
      <c r="L74" s="256" t="n"/>
      <c r="M74" s="256" t="n"/>
      <c r="N74" s="256" t="n"/>
      <c r="O74" s="256" t="n"/>
      <c r="P74" s="256" t="n"/>
      <c r="Q74" s="256" t="n"/>
    </row>
    <row r="75">
      <c r="A75">
        <f>IF(DAY(D75)=DAY($L$1+1),A74+1,A74)</f>
        <v/>
      </c>
      <c r="B75" s="46">
        <f>IF(DAY(D75)=DAY($L$1+1),1,B74+1)</f>
        <v/>
      </c>
      <c r="C75" s="46">
        <f>IF(DAY(D75)=DAY($L$1+1),1,C74+1)</f>
        <v/>
      </c>
      <c r="D75" s="2">
        <f>D74+1</f>
        <v/>
      </c>
      <c r="E75" s="8">
        <f>IF(DAY(D75)=DAY($L$1+1),TRUNC((N74),8),E74)</f>
        <v/>
      </c>
      <c r="F75" s="49">
        <f>TRUNC(((1+VLOOKUP(A75,IPCA!$A$2:$C$140,3,0)))^(C75/(EDATE(D75-C75,1)-(D75-C75))),8)</f>
        <v/>
      </c>
      <c r="G75" s="49">
        <f>TRUNC((E75*F75),8)</f>
        <v/>
      </c>
      <c r="H75" s="49">
        <f>ROUND(((1+$H$4)^(30/360))^(C75/(EDATE(D75-B75,1)-(D75-B75))),9)</f>
        <v/>
      </c>
      <c r="I75" s="49">
        <f>TRUNC((G75*H75-G75),8)</f>
        <v/>
      </c>
      <c r="J75" s="49">
        <f>G75+I75</f>
        <v/>
      </c>
      <c r="K75" s="256" t="n"/>
      <c r="L75" s="256" t="n"/>
      <c r="M75" s="256" t="n"/>
      <c r="N75" s="256" t="n"/>
      <c r="O75" s="256" t="n"/>
      <c r="P75" s="256" t="n"/>
      <c r="Q75" s="256" t="n"/>
    </row>
    <row r="76">
      <c r="A76">
        <f>IF(DAY(D76)=DAY($L$1+1),A75+1,A75)</f>
        <v/>
      </c>
      <c r="B76" s="46">
        <f>IF(DAY(D76)=DAY($L$1+1),1,B75+1)</f>
        <v/>
      </c>
      <c r="C76" s="46">
        <f>IF(DAY(D76)=DAY($L$1+1),1,C75+1)</f>
        <v/>
      </c>
      <c r="D76" s="2">
        <f>D75+1</f>
        <v/>
      </c>
      <c r="E76" s="8">
        <f>IF(DAY(D76)=DAY($L$1+1),TRUNC((N75),8),E75)</f>
        <v/>
      </c>
      <c r="F76" s="49">
        <f>TRUNC(((1+VLOOKUP(A76,IPCA!$A$2:$C$140,3,0)))^(C76/(EDATE(D76-C76,1)-(D76-C76))),8)</f>
        <v/>
      </c>
      <c r="G76" s="49">
        <f>TRUNC((E76*F76),8)</f>
        <v/>
      </c>
      <c r="H76" s="49">
        <f>ROUND(((1+$H$4)^(30/360))^(C76/(EDATE(D76-B76,1)-(D76-B76))),9)</f>
        <v/>
      </c>
      <c r="I76" s="49">
        <f>TRUNC((G76*H76-G76),8)</f>
        <v/>
      </c>
      <c r="J76" s="49">
        <f>G76+I76</f>
        <v/>
      </c>
      <c r="K76" s="256" t="n"/>
      <c r="L76" s="256" t="n"/>
      <c r="M76" s="256" t="n"/>
      <c r="N76" s="256" t="n"/>
      <c r="O76" s="256" t="n"/>
      <c r="P76" s="256" t="n"/>
      <c r="Q76" s="256" t="n"/>
    </row>
    <row r="77">
      <c r="A77">
        <f>IF(DAY(D77)=DAY($L$1+1),A76+1,A76)</f>
        <v/>
      </c>
      <c r="B77" s="46">
        <f>IF(DAY(D77)=DAY($L$1+1),1,B76+1)</f>
        <v/>
      </c>
      <c r="C77" s="46">
        <f>IF(DAY(D77)=DAY($L$1+1),1,C76+1)</f>
        <v/>
      </c>
      <c r="D77" s="2">
        <f>D76+1</f>
        <v/>
      </c>
      <c r="E77" s="8">
        <f>IF(DAY(D77)=DAY($L$1+1),TRUNC((N76),8),E76)</f>
        <v/>
      </c>
      <c r="F77" s="49">
        <f>TRUNC(((1+VLOOKUP(A77,IPCA!$A$2:$C$140,3,0)))^(C77/(EDATE(D77-C77,1)-(D77-C77))),8)</f>
        <v/>
      </c>
      <c r="G77" s="49">
        <f>TRUNC((E77*F77),8)</f>
        <v/>
      </c>
      <c r="H77" s="49">
        <f>ROUND(((1+$H$4)^(30/360))^(C77/(EDATE(D77-B77,1)-(D77-B77))),9)</f>
        <v/>
      </c>
      <c r="I77" s="49">
        <f>TRUNC((G77*H77-G77),8)</f>
        <v/>
      </c>
      <c r="J77" s="49">
        <f>G77+I77</f>
        <v/>
      </c>
      <c r="K77" s="256" t="n"/>
      <c r="L77" s="256" t="n"/>
      <c r="M77" s="256" t="n"/>
      <c r="N77" s="256" t="n"/>
      <c r="O77" s="256" t="n"/>
      <c r="P77" s="256" t="n"/>
      <c r="Q77" s="256" t="n"/>
    </row>
    <row r="78">
      <c r="A78">
        <f>IF(DAY(D78)=DAY($L$1+1),A77+1,A77)</f>
        <v/>
      </c>
      <c r="B78" s="46">
        <f>IF(DAY(D78)=DAY($L$1+1),1,B77+1)</f>
        <v/>
      </c>
      <c r="C78" s="46">
        <f>IF(DAY(D78)=DAY($L$1+1),1,C77+1)</f>
        <v/>
      </c>
      <c r="D78" s="2">
        <f>D77+1</f>
        <v/>
      </c>
      <c r="E78" s="8">
        <f>IF(DAY(D78)=DAY($L$1+1),TRUNC((N77),8),E77)</f>
        <v/>
      </c>
      <c r="F78" s="49">
        <f>TRUNC(((1+VLOOKUP(A78,IPCA!$A$2:$C$140,3,0)))^(C78/(EDATE(D78-C78,1)-(D78-C78))),8)</f>
        <v/>
      </c>
      <c r="G78" s="49">
        <f>TRUNC((E78*F78),8)</f>
        <v/>
      </c>
      <c r="H78" s="49">
        <f>ROUND(((1+$H$4)^(30/360))^(C78/(EDATE(D78-B78,1)-(D78-B78))),9)</f>
        <v/>
      </c>
      <c r="I78" s="49">
        <f>TRUNC((G78*H78-G78),8)</f>
        <v/>
      </c>
      <c r="J78" s="49">
        <f>G78+I78</f>
        <v/>
      </c>
      <c r="K78" s="256" t="n"/>
      <c r="L78" s="256" t="n"/>
      <c r="M78" s="256" t="n"/>
      <c r="N78" s="256" t="n"/>
      <c r="O78" s="256" t="n"/>
      <c r="P78" s="256" t="n"/>
      <c r="Q78" s="256" t="n"/>
    </row>
    <row r="79">
      <c r="A79">
        <f>IF(DAY(D79)=DAY($L$1+1),A78+1,A78)</f>
        <v/>
      </c>
      <c r="B79" s="46">
        <f>IF(DAY(D79)=DAY($L$1+1),1,B78+1)</f>
        <v/>
      </c>
      <c r="C79" s="46">
        <f>IF(DAY(D79)=DAY($L$1+1),1,C78+1)</f>
        <v/>
      </c>
      <c r="D79" s="2">
        <f>D78+1</f>
        <v/>
      </c>
      <c r="E79" s="8">
        <f>IF(DAY(D79)=DAY($L$1+1),TRUNC((N78),8),E78)</f>
        <v/>
      </c>
      <c r="F79" s="49">
        <f>TRUNC(((1+VLOOKUP(A79,IPCA!$A$2:$C$140,3,0)))^(C79/(EDATE(D79-C79,1)-(D79-C79))),8)</f>
        <v/>
      </c>
      <c r="G79" s="49">
        <f>TRUNC((E79*F79),8)</f>
        <v/>
      </c>
      <c r="H79" s="49">
        <f>ROUND(((1+$H$4)^(30/360))^(C79/(EDATE(D79-B79,1)-(D79-B79))),9)</f>
        <v/>
      </c>
      <c r="I79" s="49">
        <f>TRUNC((G79*H79-G79),8)</f>
        <v/>
      </c>
      <c r="J79" s="49">
        <f>G79+I79</f>
        <v/>
      </c>
      <c r="K79" s="256" t="inlineStr">
        <is>
          <t>Cri Integralizado</t>
        </is>
      </c>
      <c r="L79" s="270">
        <f>L48+K61</f>
        <v/>
      </c>
      <c r="M79" s="256" t="n"/>
      <c r="N79" s="256" t="n"/>
      <c r="O79" s="256" t="n"/>
      <c r="P79" s="256" t="n"/>
      <c r="Q79" s="256" t="n"/>
    </row>
    <row r="80">
      <c r="A80">
        <f>IF(DAY(D80)=DAY($L$1+1),A79+1,A79)</f>
        <v/>
      </c>
      <c r="B80" s="46">
        <f>IF(DAY(D80)=DAY($L$1+1),1,B79+1)</f>
        <v/>
      </c>
      <c r="C80" s="46">
        <f>IF(DAY(D80)=DAY($L$1+1),1,C79+1)</f>
        <v/>
      </c>
      <c r="D80" s="47">
        <f>D79+1</f>
        <v/>
      </c>
      <c r="E80" s="8">
        <f>IF(DAY(D80)=DAY($L$1+1),TRUNC((N79),8),E79)</f>
        <v/>
      </c>
      <c r="F80" s="49">
        <f>TRUNC(((1+VLOOKUP(A80,IPCA!$A$2:$C$140,3,0)))^(C80/(EDATE(D80-C80,1)-(D80-C80))),8)</f>
        <v/>
      </c>
      <c r="G80" s="49">
        <f>TRUNC((E80*F80),8)</f>
        <v/>
      </c>
      <c r="H80" s="49">
        <f>ROUND(((1+$H$4)^(30/360))^(C80/(EDATE(D80-B80,1)-(D80-B80))),9)</f>
        <v/>
      </c>
      <c r="I80" s="49">
        <f>TRUNC((G80*H80-G80),8)</f>
        <v/>
      </c>
      <c r="J80" s="49">
        <f>G80+I80</f>
        <v/>
      </c>
      <c r="K80" s="118" t="inlineStr">
        <is>
          <t>JUROS</t>
        </is>
      </c>
      <c r="L80" s="118" t="inlineStr">
        <is>
          <t>AMORTIZAÇÃO</t>
        </is>
      </c>
      <c r="M80" s="118" t="inlineStr">
        <is>
          <t>AMEX</t>
        </is>
      </c>
      <c r="N80" s="118" t="inlineStr">
        <is>
          <t>RESIDUAL</t>
        </is>
      </c>
      <c r="O80" s="256" t="n"/>
      <c r="P80" s="256" t="n"/>
      <c r="Q80" s="256" t="n"/>
    </row>
    <row r="81">
      <c r="A81">
        <f>IF(DAY(D81)=DAY($L$1+1),A80+1,A80)</f>
        <v/>
      </c>
      <c r="B81" s="111">
        <f>IF(DAY(D81)=DAY($L$1+1),1,B80+1)</f>
        <v/>
      </c>
      <c r="C81" s="111">
        <f>IF(DAY(D81)=DAY($L$1+1),1,C80+1)</f>
        <v/>
      </c>
      <c r="D81" s="112">
        <f>D80+1</f>
        <v/>
      </c>
      <c r="E81" s="113">
        <f>IF(DAY(D81)=DAY($L$1+1),TRUNC((N80),8),E80)</f>
        <v/>
      </c>
      <c r="F81" s="114">
        <f>TRUNC(((1+VLOOKUP(A81,IPCA!$A$2:$C$140,3,0)))^(C81/(EDATE(D81-C81,1)-(D81-C81))),8)</f>
        <v/>
      </c>
      <c r="G81" s="114">
        <f>TRUNC((E81*F81),8)</f>
        <v/>
      </c>
      <c r="H81" s="114">
        <f>ROUND(((1+$H$4)^(30/360))^(C81/(EDATE(D81-B81,1)-(D81-B81))),9)</f>
        <v/>
      </c>
      <c r="I81" s="114">
        <f>TRUNC((G81*H81-G81),8)</f>
        <v/>
      </c>
      <c r="J81" s="114">
        <f>G81+I81</f>
        <v/>
      </c>
      <c r="K81" s="119" t="n">
        <v>0</v>
      </c>
      <c r="L81" s="120">
        <f>TRUNC(G81*VLOOKUP(D81,'Amort TS'!$G$3:$H$140,2,0),8)</f>
        <v/>
      </c>
      <c r="M81" s="120" t="n">
        <v>0</v>
      </c>
      <c r="N81" s="120">
        <f>J81-K81-L81-M81</f>
        <v/>
      </c>
      <c r="O81" s="256" t="n"/>
      <c r="P81" s="256" t="n"/>
      <c r="Q81" s="256" t="n"/>
    </row>
    <row r="82">
      <c r="A82">
        <f>IF(DAY(D82)=DAY($L$1+1),A81+1,A81)</f>
        <v/>
      </c>
      <c r="B82" s="46">
        <f>IF(DAY(D82)=DAY($L$1+1),1,B81+1)</f>
        <v/>
      </c>
      <c r="C82" s="46">
        <f>IF(DAY(D82)=DAY($L$1+1),1,C81+1)</f>
        <v/>
      </c>
      <c r="D82" s="2">
        <f>D81+1</f>
        <v/>
      </c>
      <c r="E82" s="8">
        <f>IF(DAY(D82)=DAY($L$1+1),TRUNC((N81),8),E81)</f>
        <v/>
      </c>
      <c r="F82" s="49">
        <f>TRUNC(((1+VLOOKUP(A82,IPCA!$A$2:$C$140,3,0)))^(C82/(EDATE(D82-C82,1)-(D82-C82))),8)</f>
        <v/>
      </c>
      <c r="G82" s="49">
        <f>TRUNC((E82*F82),8)</f>
        <v/>
      </c>
      <c r="H82" s="49">
        <f>ROUND(((1+$H$4)^(30/360))^(C82/(EDATE(D82-B82,1)-(D82-B82))),9)</f>
        <v/>
      </c>
      <c r="I82" s="49">
        <f>TRUNC((G82*H82-G82),8)</f>
        <v/>
      </c>
      <c r="J82" s="49">
        <f>G82+I82</f>
        <v/>
      </c>
      <c r="K82" s="121">
        <f>K81*L79</f>
        <v/>
      </c>
      <c r="L82" s="121">
        <f>L81*L79</f>
        <v/>
      </c>
      <c r="M82" s="121">
        <f>M81*L79</f>
        <v/>
      </c>
      <c r="N82" s="121">
        <f>N81*L79</f>
        <v/>
      </c>
      <c r="O82" s="256" t="n"/>
      <c r="P82" s="256" t="n"/>
      <c r="Q82" s="256" t="n"/>
    </row>
    <row r="83">
      <c r="A83">
        <f>IF(DAY(D83)=DAY($L$1+1),A82+1,A82)</f>
        <v/>
      </c>
      <c r="B83" s="46">
        <f>IF(DAY(D83)=DAY($L$1+1),1,B82+1)</f>
        <v/>
      </c>
      <c r="C83" s="46">
        <f>IF(DAY(D83)=DAY($L$1+1),1,C82+1)</f>
        <v/>
      </c>
      <c r="D83" s="2">
        <f>D82+1</f>
        <v/>
      </c>
      <c r="E83" s="8">
        <f>IF(DAY(D83)=DAY($L$1+1),TRUNC((N82),8),E82)</f>
        <v/>
      </c>
      <c r="F83" s="49">
        <f>TRUNC(((1+VLOOKUP(A83,IPCA!$A$2:$C$140,3,0)))^(C83/(EDATE(D83-C83,1)-(D83-C83))),8)</f>
        <v/>
      </c>
      <c r="G83" s="49">
        <f>TRUNC((E83*F83),8)</f>
        <v/>
      </c>
      <c r="H83" s="49">
        <f>ROUND(((1+$H$4)^(30/360))^(C83/(EDATE(D83-B83,1)-(D83-B83))),9)</f>
        <v/>
      </c>
      <c r="I83" s="49">
        <f>TRUNC((G83*H83-G83),8)</f>
        <v/>
      </c>
      <c r="J83" s="49">
        <f>G83+I83</f>
        <v/>
      </c>
      <c r="K83" s="256" t="n"/>
      <c r="L83" s="256" t="n"/>
      <c r="M83" s="256" t="n"/>
      <c r="N83" s="256" t="n"/>
      <c r="O83" s="256" t="n"/>
      <c r="P83" s="256" t="n"/>
      <c r="Q83" s="256" t="n"/>
    </row>
    <row r="84">
      <c r="A84">
        <f>IF(DAY(D84)=DAY($L$1+1),A83+1,A83)</f>
        <v/>
      </c>
      <c r="B84" s="46">
        <f>IF(DAY(D84)=DAY($L$1+1),1,B83+1)</f>
        <v/>
      </c>
      <c r="C84" s="46">
        <f>IF(DAY(D84)=DAY($L$1+1),1,C83+1)</f>
        <v/>
      </c>
      <c r="D84" s="2">
        <f>D83+1</f>
        <v/>
      </c>
      <c r="E84" s="8">
        <f>IF(DAY(D84)=DAY($L$1+1),TRUNC((#REF!),8),E83)</f>
        <v/>
      </c>
      <c r="F84" s="49">
        <f>TRUNC(((1+VLOOKUP(A84,IPCA!$A$2:$C$140,3,0)))^(C84/(EDATE(D84-C84,1)-(D84-C84))),8)</f>
        <v/>
      </c>
      <c r="G84" s="49">
        <f>TRUNC((E84*F84),8)</f>
        <v/>
      </c>
      <c r="H84" s="49">
        <f>ROUND(((1+$H$4)^(30/360))^(C84/(EDATE(D84-B84,1)-(D84-B84))),9)</f>
        <v/>
      </c>
      <c r="I84" s="49">
        <f>TRUNC((G84*H84-G84),8)</f>
        <v/>
      </c>
      <c r="J84" s="49">
        <f>G84+I84</f>
        <v/>
      </c>
      <c r="K84" s="256" t="n"/>
      <c r="L84" s="256" t="n"/>
      <c r="M84" s="256" t="n"/>
      <c r="N84" s="256" t="n"/>
      <c r="O84" s="256" t="n"/>
      <c r="P84" s="256" t="n"/>
      <c r="Q84" s="256" t="n"/>
    </row>
    <row r="85">
      <c r="A85">
        <f>IF(DAY(D85)=DAY($L$1+1),A84+1,A84)</f>
        <v/>
      </c>
      <c r="B85" s="46">
        <f>IF(DAY(D85)=DAY($L$1+1),1,B84+1)</f>
        <v/>
      </c>
      <c r="C85" s="46">
        <f>IF(DAY(D85)=DAY($L$1+1),1,C84+1)</f>
        <v/>
      </c>
      <c r="D85" s="2">
        <f>D84+1</f>
        <v/>
      </c>
      <c r="E85" s="8">
        <f>IF(DAY(D85)=DAY($L$1+1),TRUNC((#REF!),8),E84)</f>
        <v/>
      </c>
      <c r="F85" s="49">
        <f>TRUNC(((1+VLOOKUP(A85,IPCA!$A$2:$C$140,3,0)))^(C85/(EDATE(D85-C85,1)-(D85-C85))),8)</f>
        <v/>
      </c>
      <c r="G85" s="49">
        <f>TRUNC((E85*F85),8)</f>
        <v/>
      </c>
      <c r="H85" s="49">
        <f>ROUND(((1+$H$4)^(30/360))^(C85/(EDATE(D85-B85,1)-(D85-B85))),9)</f>
        <v/>
      </c>
      <c r="I85" s="49">
        <f>TRUNC((G85*H85-G85),8)</f>
        <v/>
      </c>
      <c r="J85" s="49">
        <f>G85+I85</f>
        <v/>
      </c>
      <c r="K85" s="256" t="n"/>
      <c r="L85" s="256" t="n"/>
      <c r="M85" s="256" t="n"/>
      <c r="N85" s="256" t="n"/>
      <c r="O85" s="256" t="n"/>
      <c r="P85" s="256" t="n"/>
      <c r="Q85" s="256" t="n"/>
    </row>
    <row r="86">
      <c r="A86">
        <f>IF(DAY(D86)=DAY($L$1+1),A85+1,A85)</f>
        <v/>
      </c>
      <c r="B86" s="46">
        <f>IF(DAY(D86)=DAY($L$1+1),1,B85+1)</f>
        <v/>
      </c>
      <c r="C86" s="46">
        <f>IF(DAY(D86)=DAY($L$1+1),1,C85+1)</f>
        <v/>
      </c>
      <c r="D86" s="2">
        <f>D85+1</f>
        <v/>
      </c>
      <c r="E86" s="8">
        <f>IF(DAY(D86)=DAY($L$1+1),TRUNC((#REF!),8),E85)</f>
        <v/>
      </c>
      <c r="F86" s="49">
        <f>TRUNC(((1+VLOOKUP(A86,IPCA!$A$2:$C$140,3,0)))^(C86/(EDATE(D86-C86,1)-(D86-C86))),8)</f>
        <v/>
      </c>
      <c r="G86" s="49">
        <f>TRUNC((E86*F86),8)</f>
        <v/>
      </c>
      <c r="H86" s="49">
        <f>ROUND(((1+$H$4)^(30/360))^(C86/(EDATE(D86-B86,1)-(D86-B86))),9)</f>
        <v/>
      </c>
      <c r="I86" s="49">
        <f>TRUNC((G86*H86-G86),8)</f>
        <v/>
      </c>
      <c r="J86" s="49">
        <f>G86+I86</f>
        <v/>
      </c>
      <c r="K86" s="256" t="n"/>
      <c r="L86" s="256" t="n"/>
      <c r="M86" s="256" t="n"/>
      <c r="N86" s="256" t="n"/>
      <c r="O86" s="256" t="n"/>
      <c r="P86" s="256" t="n"/>
      <c r="Q86" s="256" t="n"/>
    </row>
    <row r="87">
      <c r="A87">
        <f>IF(DAY(D87)=DAY($L$1+1),A86+1,A86)</f>
        <v/>
      </c>
      <c r="B87" s="46">
        <f>IF(DAY(D87)=DAY($L$1+1),1,B86+1)</f>
        <v/>
      </c>
      <c r="C87" s="46">
        <f>IF(DAY(D87)=DAY($L$1+1),1,C86+1)</f>
        <v/>
      </c>
      <c r="D87" s="2">
        <f>D86+1</f>
        <v/>
      </c>
      <c r="E87" s="8">
        <f>IF(DAY(D87)=DAY($L$1+1),TRUNC((#REF!),8),E86)</f>
        <v/>
      </c>
      <c r="F87" s="49">
        <f>TRUNC(((1+VLOOKUP(A87,IPCA!$A$2:$C$140,3,0)))^(C87/(EDATE(D87-C87,1)-(D87-C87))),8)</f>
        <v/>
      </c>
      <c r="G87" s="49">
        <f>TRUNC((E87*F87),8)</f>
        <v/>
      </c>
      <c r="H87" s="49">
        <f>ROUND(((1+$H$4)^(30/360))^(C87/(EDATE(D87-B87,1)-(D87-B87))),9)</f>
        <v/>
      </c>
      <c r="I87" s="49">
        <f>TRUNC((G87*H87-G87),8)</f>
        <v/>
      </c>
      <c r="J87" s="49">
        <f>G87+I87</f>
        <v/>
      </c>
      <c r="K87" s="256" t="n"/>
      <c r="L87" s="256" t="n"/>
      <c r="M87" s="256" t="n"/>
      <c r="N87" s="256" t="n"/>
      <c r="O87" s="256" t="n"/>
      <c r="P87" s="256" t="n"/>
      <c r="Q87" s="256" t="n"/>
    </row>
    <row r="88">
      <c r="A88">
        <f>IF(DAY(D88)=DAY($L$1+1),A87+1,A87)</f>
        <v/>
      </c>
      <c r="B88" s="46">
        <f>IF(DAY(D88)=DAY($L$1+1),1,B87+1)</f>
        <v/>
      </c>
      <c r="C88" s="46">
        <f>IF(DAY(D88)=DAY($L$1+1),1,C87+1)</f>
        <v/>
      </c>
      <c r="D88" s="2">
        <f>D87+1</f>
        <v/>
      </c>
      <c r="E88" s="8">
        <f>IF(DAY(D88)=DAY($L$1+1),TRUNC((#REF!),8),E87)</f>
        <v/>
      </c>
      <c r="F88" s="49">
        <f>TRUNC(((1+VLOOKUP(A88,IPCA!$A$2:$C$140,3,0)))^(C88/(EDATE(D88-C88,1)-(D88-C88))),8)</f>
        <v/>
      </c>
      <c r="G88" s="49">
        <f>TRUNC((E88*F88),8)</f>
        <v/>
      </c>
      <c r="H88" s="49">
        <f>ROUND(((1+$H$4)^(30/360))^(C88/(EDATE(D88-B88,1)-(D88-B88))),9)</f>
        <v/>
      </c>
      <c r="I88" s="49">
        <f>TRUNC((G88*H88-G88),8)</f>
        <v/>
      </c>
      <c r="J88" s="49">
        <f>G88+I88</f>
        <v/>
      </c>
      <c r="K88" s="256" t="n"/>
      <c r="L88" s="256" t="n"/>
      <c r="M88" s="256" t="n"/>
      <c r="N88" s="256" t="n"/>
      <c r="O88" s="256" t="n"/>
      <c r="P88" s="256" t="n"/>
      <c r="Q88" s="256" t="n"/>
    </row>
    <row r="89">
      <c r="A89">
        <f>IF(DAY(D89)=DAY($L$1+1),A88+1,A88)</f>
        <v/>
      </c>
      <c r="B89" s="46">
        <f>IF(DAY(D89)=DAY($L$1+1),1,B88+1)</f>
        <v/>
      </c>
      <c r="C89" s="46">
        <f>IF(DAY(D89)=DAY($L$1+1),1,C88+1)</f>
        <v/>
      </c>
      <c r="D89" s="2">
        <f>D88+1</f>
        <v/>
      </c>
      <c r="E89" s="8">
        <f>IF(DAY(D89)=DAY($L$1+1),TRUNC((#REF!),8),E88)</f>
        <v/>
      </c>
      <c r="F89" s="49">
        <f>TRUNC(((1+VLOOKUP(A89,IPCA!$A$2:$C$140,3,0)))^(C89/(EDATE(D89-C89,1)-(D89-C89))),8)</f>
        <v/>
      </c>
      <c r="G89" s="49">
        <f>TRUNC((E89*F89),8)</f>
        <v/>
      </c>
      <c r="H89" s="49">
        <f>ROUND(((1+$H$4)^(30/360))^(C89/(EDATE(D89-B89,1)-(D89-B89))),9)</f>
        <v/>
      </c>
      <c r="I89" s="49">
        <f>TRUNC((G89*H89-G89),8)</f>
        <v/>
      </c>
      <c r="J89" s="49">
        <f>G89+I89</f>
        <v/>
      </c>
      <c r="K89" s="256" t="n"/>
      <c r="L89" s="256" t="n"/>
      <c r="M89" s="256" t="n"/>
      <c r="N89" s="256" t="n"/>
      <c r="O89" s="256" t="n"/>
      <c r="P89" s="256" t="n"/>
      <c r="Q89" s="256" t="n"/>
    </row>
    <row r="90">
      <c r="A90">
        <f>IF(DAY(D90)=DAY($L$1+1),A89+1,A89)</f>
        <v/>
      </c>
      <c r="B90" s="46">
        <f>IF(DAY(D90)=DAY($L$1+1),1,B89+1)</f>
        <v/>
      </c>
      <c r="C90" s="46">
        <f>IF(DAY(D90)=DAY($L$1+1),1,C89+1)</f>
        <v/>
      </c>
      <c r="D90" s="2">
        <f>D89+1</f>
        <v/>
      </c>
      <c r="E90" s="8">
        <f>IF(DAY(D90)=DAY($L$1+1),TRUNC((#REF!),8),E89)</f>
        <v/>
      </c>
      <c r="F90" s="49">
        <f>TRUNC(((1+VLOOKUP(A90,IPCA!$A$2:$C$140,3,0)))^(C90/(EDATE(D90-C90,1)-(D90-C90))),8)</f>
        <v/>
      </c>
      <c r="G90" s="49">
        <f>TRUNC((E90*F90),8)</f>
        <v/>
      </c>
      <c r="H90" s="49">
        <f>ROUND(((1+$H$4)^(30/360))^(C90/(EDATE(D90-B90,1)-(D90-B90))),9)</f>
        <v/>
      </c>
      <c r="I90" s="49">
        <f>TRUNC((G90*H90-G90),8)</f>
        <v/>
      </c>
      <c r="J90" s="49">
        <f>G90+I90</f>
        <v/>
      </c>
      <c r="K90" s="256" t="n"/>
      <c r="L90" s="256" t="n"/>
      <c r="M90" s="256" t="n"/>
      <c r="N90" s="256" t="n"/>
      <c r="O90" s="256" t="n"/>
      <c r="P90" s="256" t="n"/>
      <c r="Q90" s="256" t="n"/>
    </row>
    <row r="91">
      <c r="A91">
        <f>IF(DAY(D91)=DAY($L$1+1),A90+1,A90)</f>
        <v/>
      </c>
      <c r="B91" s="46">
        <f>IF(DAY(D91)=DAY($L$1+1),1,B90+1)</f>
        <v/>
      </c>
      <c r="C91" s="46">
        <f>IF(DAY(D91)=DAY($L$1+1),1,C90+1)</f>
        <v/>
      </c>
      <c r="D91" s="2">
        <f>D90+1</f>
        <v/>
      </c>
      <c r="E91" s="8">
        <f>IF(DAY(D91)=DAY($L$1+1),TRUNC((#REF!),8),E90)</f>
        <v/>
      </c>
      <c r="F91" s="49">
        <f>TRUNC(((1+VLOOKUP(A91,IPCA!$A$2:$C$140,3,0)))^(C91/(EDATE(D91-C91,1)-(D91-C91))),8)</f>
        <v/>
      </c>
      <c r="G91" s="49">
        <f>TRUNC((E91*F91),8)</f>
        <v/>
      </c>
      <c r="H91" s="49">
        <f>ROUND(((1+$H$4)^(30/360))^(C91/(EDATE(D91-B91,1)-(D91-B91))),9)</f>
        <v/>
      </c>
      <c r="I91" s="49">
        <f>TRUNC((G91*H91-G91),8)</f>
        <v/>
      </c>
      <c r="J91" s="49">
        <f>G91+I91</f>
        <v/>
      </c>
      <c r="K91" s="256" t="n"/>
      <c r="L91" s="256" t="n"/>
      <c r="M91" s="256" t="n"/>
      <c r="N91" s="256" t="n"/>
      <c r="O91" s="256" t="n"/>
      <c r="P91" s="256" t="n"/>
      <c r="Q91" s="256" t="n"/>
    </row>
    <row r="92">
      <c r="A92">
        <f>IF(DAY(D92)=DAY($L$1+1),A91+1,A91)</f>
        <v/>
      </c>
      <c r="B92" s="46">
        <f>IF(DAY(D92)=DAY($L$1+1),1,B91+1)</f>
        <v/>
      </c>
      <c r="C92" s="46">
        <f>IF(DAY(D92)=DAY($L$1+1),1,C91+1)</f>
        <v/>
      </c>
      <c r="D92" s="2">
        <f>D91+1</f>
        <v/>
      </c>
      <c r="E92" s="8">
        <f>IF(DAY(D92)=DAY($L$1+1),TRUNC((#REF!),8),E91)</f>
        <v/>
      </c>
      <c r="F92" s="49">
        <f>TRUNC(((1+VLOOKUP(A92,IPCA!$A$2:$C$140,3,0)))^(C92/(EDATE(D92-C92,1)-(D92-C92))),8)</f>
        <v/>
      </c>
      <c r="G92" s="49">
        <f>TRUNC((E92*F92),8)</f>
        <v/>
      </c>
      <c r="H92" s="49">
        <f>ROUND(((1+$H$4)^(30/360))^(C92/(EDATE(D92-B92,1)-(D92-B92))),9)</f>
        <v/>
      </c>
      <c r="I92" s="49">
        <f>TRUNC((G92*H92-G92),8)</f>
        <v/>
      </c>
      <c r="J92" s="49">
        <f>G92+I92</f>
        <v/>
      </c>
      <c r="K92" s="256" t="n"/>
      <c r="L92" s="256" t="n"/>
      <c r="M92" s="256" t="n"/>
      <c r="N92" s="256" t="n"/>
      <c r="O92" s="256" t="n"/>
      <c r="P92" s="256" t="n"/>
      <c r="Q92" s="256" t="n"/>
    </row>
    <row r="93">
      <c r="A93">
        <f>IF(DAY(D93)=DAY($L$1+1),A92+1,A92)</f>
        <v/>
      </c>
      <c r="B93" s="46">
        <f>IF(DAY(D93)=DAY($L$1+1),1,B92+1)</f>
        <v/>
      </c>
      <c r="C93" s="46">
        <f>IF(DAY(D93)=DAY($L$1+1),1,C92+1)</f>
        <v/>
      </c>
      <c r="D93" s="2">
        <f>D92+1</f>
        <v/>
      </c>
      <c r="E93" s="8">
        <f>IF(DAY(D93)=DAY($L$1+1),TRUNC((N92),8),E92)</f>
        <v/>
      </c>
      <c r="F93" s="49">
        <f>TRUNC(((1+VLOOKUP(A93,IPCA!$A$2:$C$140,3,0)))^(C93/(EDATE(D93-C93,1)-(D93-C93))),8)</f>
        <v/>
      </c>
      <c r="G93" s="49">
        <f>TRUNC((E93*F93),8)</f>
        <v/>
      </c>
      <c r="H93" s="49">
        <f>ROUND(((1+$H$4)^(30/360))^(C93/(EDATE(D93-B93,1)-(D93-B93))),9)</f>
        <v/>
      </c>
      <c r="I93" s="49">
        <f>TRUNC((G93*H93-G93),8)</f>
        <v/>
      </c>
      <c r="J93" s="49">
        <f>G93+I93</f>
        <v/>
      </c>
      <c r="K93" s="256" t="n"/>
      <c r="L93" s="256" t="n"/>
      <c r="M93" s="256" t="n"/>
      <c r="N93" s="256" t="n"/>
      <c r="O93" s="256" t="n"/>
      <c r="P93" s="256" t="n"/>
      <c r="Q93" s="256" t="n"/>
    </row>
    <row r="94">
      <c r="A94">
        <f>IF(DAY(D94)=DAY($L$1+1),A93+1,A93)</f>
        <v/>
      </c>
      <c r="B94" s="46">
        <f>IF(DAY(D94)=DAY($L$1+1),1,B93+1)</f>
        <v/>
      </c>
      <c r="C94" s="46">
        <f>IF(DAY(D94)=DAY($L$1+1),1,C93+1)</f>
        <v/>
      </c>
      <c r="D94" s="2">
        <f>D93+1</f>
        <v/>
      </c>
      <c r="E94" s="8">
        <f>IF(DAY(D94)=DAY($L$1+1),TRUNC((N93),8),E93)</f>
        <v/>
      </c>
      <c r="F94" s="49">
        <f>TRUNC(((1+VLOOKUP(A94,IPCA!$A$2:$C$140,3,0)))^(C94/(EDATE(D94-C94,1)-(D94-C94))),8)</f>
        <v/>
      </c>
      <c r="G94" s="49">
        <f>TRUNC((E94*F94),8)</f>
        <v/>
      </c>
      <c r="H94" s="49">
        <f>ROUND(((1+$H$4)^(30/360))^(C94/(EDATE(D94-B94,1)-(D94-B94))),9)</f>
        <v/>
      </c>
      <c r="I94" s="49">
        <f>TRUNC((G94*H94-G94),8)</f>
        <v/>
      </c>
      <c r="J94" s="49">
        <f>G94+I94</f>
        <v/>
      </c>
      <c r="K94" s="256" t="n"/>
      <c r="L94" s="256" t="n"/>
      <c r="M94" s="256" t="n"/>
      <c r="N94" s="256" t="n"/>
      <c r="O94" s="256" t="n"/>
      <c r="P94" s="256" t="n"/>
      <c r="Q94" s="256" t="n"/>
    </row>
    <row r="95">
      <c r="A95">
        <f>IF(DAY(D95)=DAY($L$1+1),A94+1,A94)</f>
        <v/>
      </c>
      <c r="B95" s="46">
        <f>IF(DAY(D95)=DAY($L$1+1),1,B94+1)</f>
        <v/>
      </c>
      <c r="C95" s="46">
        <f>IF(DAY(D95)=DAY($L$1+1),1,C94+1)</f>
        <v/>
      </c>
      <c r="D95" s="2">
        <f>D94+1</f>
        <v/>
      </c>
      <c r="E95" s="8">
        <f>IF(DAY(D95)=DAY($L$1+1),TRUNC((N94),8),E94)</f>
        <v/>
      </c>
      <c r="F95" s="49">
        <f>TRUNC(((1+VLOOKUP(A95,IPCA!$A$2:$C$140,3,0)))^(C95/(EDATE(D95-C95,1)-(D95-C95))),8)</f>
        <v/>
      </c>
      <c r="G95" s="49">
        <f>TRUNC((E95*F95),8)</f>
        <v/>
      </c>
      <c r="H95" s="49">
        <f>ROUND(((1+$H$4)^(30/360))^(C95/(EDATE(D95-B95,1)-(D95-B95))),9)</f>
        <v/>
      </c>
      <c r="I95" s="49">
        <f>TRUNC((G95*H95-G95),8)</f>
        <v/>
      </c>
      <c r="J95" s="49">
        <f>G95+I95</f>
        <v/>
      </c>
      <c r="K95" s="256" t="n"/>
      <c r="L95" s="256" t="n"/>
      <c r="M95" s="256" t="n"/>
      <c r="N95" s="256" t="n"/>
      <c r="O95" s="256" t="n"/>
      <c r="P95" s="256" t="n"/>
      <c r="Q95" s="256" t="n"/>
    </row>
    <row r="96">
      <c r="A96">
        <f>IF(DAY(D96)=DAY($L$1+1),A95+1,A95)</f>
        <v/>
      </c>
      <c r="B96" s="46">
        <f>IF(DAY(D96)=DAY($L$1+1),1,B95+1)</f>
        <v/>
      </c>
      <c r="C96" s="46">
        <f>IF(DAY(D96)=DAY($L$1+1),1,C95+1)</f>
        <v/>
      </c>
      <c r="D96" s="2">
        <f>D95+1</f>
        <v/>
      </c>
      <c r="E96" s="8">
        <f>IF(DAY(D96)=DAY($L$1+1),TRUNC((N95),8),E95)</f>
        <v/>
      </c>
      <c r="F96" s="49">
        <f>TRUNC(((1+VLOOKUP(A96,IPCA!$A$2:$C$140,3,0)))^(C96/(EDATE(D96-C96,1)-(D96-C96))),8)</f>
        <v/>
      </c>
      <c r="G96" s="49">
        <f>TRUNC((E96*F96),8)</f>
        <v/>
      </c>
      <c r="H96" s="49">
        <f>ROUND(((1+$H$4)^(30/360))^(C96/(EDATE(D96-B96,1)-(D96-B96))),9)</f>
        <v/>
      </c>
      <c r="I96" s="49">
        <f>TRUNC((G96*H96-G96),8)</f>
        <v/>
      </c>
      <c r="J96" s="49">
        <f>G96+I96</f>
        <v/>
      </c>
      <c r="K96" s="123" t="n"/>
      <c r="L96" s="271" t="n"/>
      <c r="M96" s="256" t="n"/>
      <c r="N96" s="256" t="n"/>
      <c r="O96" s="256" t="n"/>
      <c r="P96" s="256" t="n"/>
      <c r="Q96" s="256" t="n"/>
    </row>
    <row r="97">
      <c r="A97">
        <f>IF(DAY(D97)=DAY($L$1+1),A96+1,A96)</f>
        <v/>
      </c>
      <c r="B97" s="46">
        <f>IF(DAY(D97)=DAY($L$1+1),1,B96+1)</f>
        <v/>
      </c>
      <c r="C97" s="46">
        <f>IF(DAY(D97)=DAY($L$1+1),1,C96+1)</f>
        <v/>
      </c>
      <c r="D97" s="2">
        <f>D96+1</f>
        <v/>
      </c>
      <c r="E97" s="8">
        <f>IF(DAY(D97)=DAY($L$1+1),TRUNC((N96),8),E96)</f>
        <v/>
      </c>
      <c r="F97" s="49">
        <f>TRUNC(((1+VLOOKUP(A97,IPCA!$A$2:$C$140,3,0)))^(C97/(EDATE(D97-C97,1)-(D97-C97))),8)</f>
        <v/>
      </c>
      <c r="G97" s="49">
        <f>TRUNC((E97*F97),8)</f>
        <v/>
      </c>
      <c r="H97" s="49">
        <f>ROUND(((1+$H$4)^(30/360))^(C97/(EDATE(D97-B97,1)-(D97-B97))),9)</f>
        <v/>
      </c>
      <c r="I97" s="49">
        <f>TRUNC((G97*H97-G97),8)</f>
        <v/>
      </c>
      <c r="J97" s="49">
        <f>G97+I97</f>
        <v/>
      </c>
      <c r="K97" s="256" t="n"/>
      <c r="L97" s="256" t="n"/>
      <c r="M97" s="256" t="n"/>
      <c r="N97" s="256" t="n"/>
      <c r="O97" s="256" t="n"/>
      <c r="P97" s="256" t="n"/>
      <c r="Q97" s="256" t="n"/>
    </row>
    <row r="98">
      <c r="A98">
        <f>IF(DAY(D98)=DAY($L$1+1),A97+1,A97)</f>
        <v/>
      </c>
      <c r="B98" s="46">
        <f>IF(DAY(D98)=DAY($L$1+1),1,B97+1)</f>
        <v/>
      </c>
      <c r="C98" s="46">
        <f>IF(DAY(D98)=DAY($L$1+1),1,C97+1)</f>
        <v/>
      </c>
      <c r="D98" s="2">
        <f>D97+1</f>
        <v/>
      </c>
      <c r="E98" s="8">
        <f>IF(DAY(D98)=DAY($L$1+1),TRUNC((N97),8),E97)</f>
        <v/>
      </c>
      <c r="F98" s="49">
        <f>TRUNC(((1+VLOOKUP(A98,IPCA!$A$2:$C$140,3,0)))^(C98/(EDATE(D98-C98,1)-(D98-C98))),8)</f>
        <v/>
      </c>
      <c r="G98" s="49">
        <f>TRUNC((E98*F98),8)</f>
        <v/>
      </c>
      <c r="H98" s="49">
        <f>ROUND(((1+$H$4)^(30/360))^(C98/(EDATE(D98-B98,1)-(D98-B98))),9)</f>
        <v/>
      </c>
      <c r="I98" s="49">
        <f>TRUNC((G98*H98-G98),8)</f>
        <v/>
      </c>
      <c r="J98" s="49">
        <f>G98+I98</f>
        <v/>
      </c>
      <c r="K98" s="256" t="n"/>
      <c r="L98" s="256" t="n"/>
      <c r="M98" s="256" t="n"/>
      <c r="N98" s="256" t="n"/>
      <c r="O98" s="256" t="n"/>
      <c r="P98" s="256" t="n"/>
      <c r="Q98" s="256" t="n"/>
    </row>
    <row r="99">
      <c r="A99">
        <f>IF(DAY(D99)=DAY($L$1+1),A98+1,A98)</f>
        <v/>
      </c>
      <c r="B99" s="46">
        <f>IF(DAY(D99)=DAY($L$1+1),1,B98+1)</f>
        <v/>
      </c>
      <c r="C99" s="46">
        <f>IF(DAY(D99)=DAY($L$1+1),1,C98+1)</f>
        <v/>
      </c>
      <c r="D99" s="2">
        <f>D98+1</f>
        <v/>
      </c>
      <c r="E99" s="8">
        <f>IF(DAY(D99)=DAY($L$1+1),TRUNC((N98),8),E98)</f>
        <v/>
      </c>
      <c r="F99" s="49">
        <f>TRUNC(((1+VLOOKUP(A99,IPCA!$A$2:$C$140,3,0)))^(C99/(EDATE(D99-C99,1)-(D99-C99))),8)</f>
        <v/>
      </c>
      <c r="G99" s="49">
        <f>TRUNC((E99*F99),8)</f>
        <v/>
      </c>
      <c r="H99" s="49">
        <f>ROUND(((1+$H$4)^(30/360))^(C99/(EDATE(D99-B99,1)-(D99-B99))),9)</f>
        <v/>
      </c>
      <c r="I99" s="49">
        <f>TRUNC((G99*H99-G99),8)</f>
        <v/>
      </c>
      <c r="J99" s="49">
        <f>G99+I99</f>
        <v/>
      </c>
      <c r="K99" s="256" t="n"/>
      <c r="L99" s="256" t="n"/>
      <c r="M99" s="256" t="n"/>
      <c r="N99" s="256" t="n"/>
      <c r="O99" s="256" t="n"/>
      <c r="P99" s="256" t="n"/>
      <c r="Q99" s="256" t="n"/>
    </row>
    <row r="100">
      <c r="A100">
        <f>IF(DAY(D100)=DAY($L$1+1),A99+1,A99)</f>
        <v/>
      </c>
      <c r="B100" s="46">
        <f>IF(DAY(D100)=DAY($L$1+1),1,B99+1)</f>
        <v/>
      </c>
      <c r="C100" s="46">
        <f>IF(DAY(D100)=DAY($L$1+1),1,C99+1)</f>
        <v/>
      </c>
      <c r="D100" s="2">
        <f>D99+1</f>
        <v/>
      </c>
      <c r="E100" s="8">
        <f>IF(DAY(D100)=DAY($L$1+1),TRUNC((N99),8),E99)</f>
        <v/>
      </c>
      <c r="F100" s="49">
        <f>TRUNC(((1+VLOOKUP(A100,IPCA!$A$2:$C$140,3,0)))^(C100/(EDATE(D100-C100,1)-(D100-C100))),8)</f>
        <v/>
      </c>
      <c r="G100" s="49">
        <f>TRUNC((E100*F100),8)</f>
        <v/>
      </c>
      <c r="H100" s="49">
        <f>ROUND(((1+$H$4)^(30/360))^(C100/(EDATE(D100-B100,1)-(D100-B100))),9)</f>
        <v/>
      </c>
      <c r="I100" s="49">
        <f>TRUNC((G100*H100-G100),8)</f>
        <v/>
      </c>
      <c r="J100" s="49">
        <f>G100+I100</f>
        <v/>
      </c>
      <c r="K100" s="256" t="n"/>
      <c r="L100" s="256" t="n"/>
      <c r="M100" s="256" t="n"/>
      <c r="N100" s="256" t="n"/>
      <c r="O100" s="256" t="n"/>
      <c r="P100" s="256" t="n"/>
      <c r="Q100" s="256" t="n"/>
    </row>
    <row r="101">
      <c r="A101">
        <f>IF(DAY(D101)=DAY($L$1+1),A100+1,A100)</f>
        <v/>
      </c>
      <c r="B101" s="46">
        <f>IF(DAY(D101)=DAY($L$1+1),1,B100+1)</f>
        <v/>
      </c>
      <c r="C101" s="46">
        <f>IF(DAY(D101)=DAY($L$1+1),1,C100+1)</f>
        <v/>
      </c>
      <c r="D101" s="2">
        <f>D100+1</f>
        <v/>
      </c>
      <c r="E101" s="8">
        <f>IF(DAY(D101)=DAY($L$1+1),TRUNC((N100),8),E100)</f>
        <v/>
      </c>
      <c r="F101" s="49">
        <f>TRUNC(((1+VLOOKUP(A101,IPCA!$A$2:$C$140,3,0)))^(C101/(EDATE(D101-C101,1)-(D101-C101))),8)</f>
        <v/>
      </c>
      <c r="G101" s="49">
        <f>TRUNC((E101*F101),8)</f>
        <v/>
      </c>
      <c r="H101" s="49">
        <f>ROUND(((1+$H$4)^(30/360))^(C101/(EDATE(D101-B101,1)-(D101-B101))),9)</f>
        <v/>
      </c>
      <c r="I101" s="49">
        <f>TRUNC((G101*H101-G101),8)</f>
        <v/>
      </c>
      <c r="J101" s="49">
        <f>G101+I101</f>
        <v/>
      </c>
      <c r="K101" s="256" t="n"/>
      <c r="L101" s="256" t="n"/>
      <c r="M101" s="256" t="n"/>
      <c r="N101" s="256" t="n"/>
      <c r="O101" s="256" t="n"/>
      <c r="P101" s="256" t="n"/>
      <c r="Q101" s="256" t="n"/>
    </row>
    <row r="102">
      <c r="A102">
        <f>IF(DAY(D102)=DAY($L$1+1),A101+1,A101)</f>
        <v/>
      </c>
      <c r="B102" s="46">
        <f>IF(DAY(D102)=DAY($L$1+1),1,B101+1)</f>
        <v/>
      </c>
      <c r="C102" s="46">
        <f>IF(DAY(D102)=DAY($L$1+1),1,C101+1)</f>
        <v/>
      </c>
      <c r="D102" s="2">
        <f>D101+1</f>
        <v/>
      </c>
      <c r="E102" s="8">
        <f>IF(DAY(D102)=DAY($L$1+1),TRUNC((N101),8),E101)</f>
        <v/>
      </c>
      <c r="F102" s="49">
        <f>TRUNC(((1+VLOOKUP(A102,IPCA!$A$2:$C$140,3,0)))^(C102/(EDATE(D102-C102,1)-(D102-C102))),8)</f>
        <v/>
      </c>
      <c r="G102" s="49">
        <f>TRUNC((E102*F102),8)</f>
        <v/>
      </c>
      <c r="H102" s="49">
        <f>ROUND(((1+$H$4)^(30/360))^(C102/(EDATE(D102-B102,1)-(D102-B102))),9)</f>
        <v/>
      </c>
      <c r="I102" s="49">
        <f>TRUNC((G102*H102-G102),8)</f>
        <v/>
      </c>
      <c r="J102" s="49">
        <f>G102+I102</f>
        <v/>
      </c>
      <c r="K102" s="256" t="n"/>
      <c r="L102" s="256" t="n"/>
      <c r="M102" s="256" t="n"/>
      <c r="N102" s="256" t="n"/>
      <c r="O102" s="256" t="n"/>
      <c r="P102" s="256" t="n"/>
      <c r="Q102" s="256" t="n"/>
    </row>
    <row r="103">
      <c r="A103">
        <f>IF(DAY(D103)=DAY($L$1+1),A102+1,A102)</f>
        <v/>
      </c>
      <c r="B103" s="46">
        <f>IF(DAY(D103)=DAY($L$1+1),1,B102+1)</f>
        <v/>
      </c>
      <c r="C103" s="46">
        <f>IF(DAY(D103)=DAY($L$1+1),1,C102+1)</f>
        <v/>
      </c>
      <c r="D103" s="2">
        <f>D102+1</f>
        <v/>
      </c>
      <c r="E103" s="8">
        <f>IF(DAY(D103)=DAY($L$1+1),TRUNC((N102),8),E102)</f>
        <v/>
      </c>
      <c r="F103" s="49">
        <f>TRUNC(((1+VLOOKUP(A103,IPCA!$A$2:$C$140,3,0)))^(C103/(EDATE(D103-C103,1)-(D103-C103))),8)</f>
        <v/>
      </c>
      <c r="G103" s="49">
        <f>TRUNC((E103*F103),8)</f>
        <v/>
      </c>
      <c r="H103" s="49">
        <f>ROUND(((1+$H$4)^(30/360))^(C103/(EDATE(D103-B103,1)-(D103-B103))),9)</f>
        <v/>
      </c>
      <c r="I103" s="49">
        <f>TRUNC((G103*H103-G103),8)</f>
        <v/>
      </c>
      <c r="J103" s="49">
        <f>G103+I103</f>
        <v/>
      </c>
      <c r="K103" s="256" t="n"/>
      <c r="L103" s="256" t="n"/>
      <c r="M103" s="256" t="n"/>
      <c r="N103" s="256" t="n"/>
      <c r="O103" s="256" t="n"/>
      <c r="P103" s="256" t="n"/>
      <c r="Q103" s="256" t="n"/>
    </row>
    <row r="104">
      <c r="A104">
        <f>IF(DAY(D104)=DAY($L$1+1),A103+1,A103)</f>
        <v/>
      </c>
      <c r="B104" s="46">
        <f>IF(DAY(D104)=DAY($L$1+1),1,B103+1)</f>
        <v/>
      </c>
      <c r="C104" s="46">
        <f>IF(DAY(D104)=DAY($L$1+1),1,C103+1)</f>
        <v/>
      </c>
      <c r="D104" s="2">
        <f>D103+1</f>
        <v/>
      </c>
      <c r="E104" s="8">
        <f>IF(DAY(D104)=DAY($L$1+1),TRUNC((N103),8),E103)</f>
        <v/>
      </c>
      <c r="F104" s="49">
        <f>TRUNC(((1+VLOOKUP(A104,IPCA!$A$2:$C$140,3,0)))^(C104/(EDATE(D104-C104,1)-(D104-C104))),8)</f>
        <v/>
      </c>
      <c r="G104" s="49">
        <f>TRUNC((E104*F104),8)</f>
        <v/>
      </c>
      <c r="H104" s="49">
        <f>ROUND(((1+$H$4)^(30/360))^(C104/(EDATE(D104-B104,1)-(D104-B104))),9)</f>
        <v/>
      </c>
      <c r="I104" s="49">
        <f>TRUNC((G104*H104-G104),8)</f>
        <v/>
      </c>
      <c r="J104" s="49">
        <f>G104+I104</f>
        <v/>
      </c>
      <c r="K104" s="256" t="n"/>
      <c r="L104" s="256" t="n"/>
      <c r="M104" s="256" t="n"/>
      <c r="N104" s="256" t="n"/>
      <c r="O104" s="256" t="n"/>
      <c r="P104" s="256" t="n"/>
      <c r="Q104" s="256" t="n"/>
    </row>
    <row r="105">
      <c r="A105">
        <f>IF(DAY(D105)=DAY($L$1+1),A104+1,A104)</f>
        <v/>
      </c>
      <c r="B105" s="46">
        <f>IF(DAY(D105)=DAY($L$1+1),1,B104+1)</f>
        <v/>
      </c>
      <c r="C105" s="46">
        <f>IF(DAY(D105)=DAY($L$1+1),1,C104+1)</f>
        <v/>
      </c>
      <c r="D105" s="2">
        <f>D104+1</f>
        <v/>
      </c>
      <c r="E105" s="8">
        <f>IF(DAY(D105)=DAY($L$1+1),TRUNC((N104),8),E104)</f>
        <v/>
      </c>
      <c r="F105" s="49">
        <f>TRUNC(((1+VLOOKUP(A105,IPCA!$A$2:$C$140,3,0)))^(C105/(EDATE(D105-C105,1)-(D105-C105))),8)</f>
        <v/>
      </c>
      <c r="G105" s="49">
        <f>TRUNC((E105*F105),8)</f>
        <v/>
      </c>
      <c r="H105" s="49">
        <f>ROUND(((1+$H$4)^(30/360))^(C105/(EDATE(D105-B105,1)-(D105-B105))),9)</f>
        <v/>
      </c>
      <c r="I105" s="49">
        <f>TRUNC((G105*H105-G105),8)</f>
        <v/>
      </c>
      <c r="J105" s="49">
        <f>G105+I105</f>
        <v/>
      </c>
      <c r="K105" s="256" t="n"/>
      <c r="L105" s="256" t="n"/>
      <c r="M105" s="256" t="n"/>
      <c r="N105" s="256" t="n"/>
      <c r="O105" s="256" t="n"/>
      <c r="P105" s="256" t="n"/>
      <c r="Q105" s="256" t="n"/>
    </row>
    <row r="106">
      <c r="A106">
        <f>IF(DAY(D106)=DAY($L$1+1),A105+1,A105)</f>
        <v/>
      </c>
      <c r="B106" s="46">
        <f>IF(DAY(D106)=DAY($L$1+1),1,B105+1)</f>
        <v/>
      </c>
      <c r="C106" s="46">
        <f>IF(DAY(D106)=DAY($L$1+1),1,C105+1)</f>
        <v/>
      </c>
      <c r="D106" s="2">
        <f>D105+1</f>
        <v/>
      </c>
      <c r="E106" s="8">
        <f>IF(DAY(D106)=DAY($L$1+1),TRUNC((N105),8),E105)</f>
        <v/>
      </c>
      <c r="F106" s="49">
        <f>TRUNC(((1+VLOOKUP(A106,IPCA!$A$2:$C$140,3,0)))^(C106/(EDATE(D106-C106,1)-(D106-C106))),8)</f>
        <v/>
      </c>
      <c r="G106" s="49">
        <f>TRUNC((E106*F106),8)</f>
        <v/>
      </c>
      <c r="H106" s="49">
        <f>ROUND(((1+$H$4)^(30/360))^(C106/(EDATE(D106-B106,1)-(D106-B106))),9)</f>
        <v/>
      </c>
      <c r="I106" s="49">
        <f>TRUNC((G106*H106-G106),8)</f>
        <v/>
      </c>
      <c r="J106" s="49">
        <f>G106+I106</f>
        <v/>
      </c>
      <c r="K106" s="256" t="n"/>
      <c r="L106" s="256" t="n"/>
      <c r="M106" s="256" t="n"/>
      <c r="N106" s="256" t="n"/>
      <c r="O106" s="256" t="n"/>
      <c r="P106" s="256" t="n"/>
      <c r="Q106" s="256" t="n"/>
    </row>
    <row r="107">
      <c r="A107">
        <f>IF(DAY(D107)=DAY($L$1+1),A106+1,A106)</f>
        <v/>
      </c>
      <c r="B107" s="46">
        <f>IF(DAY(D107)=DAY($L$1+1),1,B106+1)</f>
        <v/>
      </c>
      <c r="C107" s="46">
        <f>IF(DAY(D107)=DAY($L$1+1),1,C106+1)</f>
        <v/>
      </c>
      <c r="D107" s="2">
        <f>D106+1</f>
        <v/>
      </c>
      <c r="E107" s="8">
        <f>IF(DAY(D107)=DAY($L$1+1),TRUNC((N106),8),E106)</f>
        <v/>
      </c>
      <c r="F107" s="49">
        <f>TRUNC(((1+VLOOKUP(A107,IPCA!$A$2:$C$140,3,0)))^(C107/(EDATE(D107-C107,1)-(D107-C107))),8)</f>
        <v/>
      </c>
      <c r="G107" s="49">
        <f>TRUNC((E107*F107),8)</f>
        <v/>
      </c>
      <c r="H107" s="49">
        <f>ROUND(((1+$H$4)^(30/360))^(C107/(EDATE(D107-B107,1)-(D107-B107))),9)</f>
        <v/>
      </c>
      <c r="I107" s="49">
        <f>TRUNC((G107*H107-G107),8)</f>
        <v/>
      </c>
      <c r="J107" s="49">
        <f>G107+I107</f>
        <v/>
      </c>
      <c r="K107" s="256" t="n"/>
      <c r="L107" s="256" t="n"/>
      <c r="M107" s="256" t="n"/>
      <c r="N107" s="256" t="n"/>
      <c r="O107" s="256" t="n"/>
      <c r="P107" s="256" t="n"/>
      <c r="Q107" s="256" t="n"/>
    </row>
    <row r="108">
      <c r="A108">
        <f>IF(DAY(D108)=DAY($L$1+1),A107+1,A107)</f>
        <v/>
      </c>
      <c r="B108" s="46">
        <f>IF(DAY(D108)=DAY($L$1+1),1,B107+1)</f>
        <v/>
      </c>
      <c r="C108" s="46">
        <f>IF(DAY(D108)=DAY($L$1+1),1,C107+1)</f>
        <v/>
      </c>
      <c r="D108" s="2">
        <f>D107+1</f>
        <v/>
      </c>
      <c r="E108" s="8">
        <f>IF(DAY(D108)=DAY($L$1+1),TRUNC((N107),8),E107)</f>
        <v/>
      </c>
      <c r="F108" s="49">
        <f>TRUNC(((1+VLOOKUP(A108,IPCA!$A$2:$C$140,3,0)))^(C108/(EDATE(D108-C108,1)-(D108-C108))),8)</f>
        <v/>
      </c>
      <c r="G108" s="49">
        <f>TRUNC((E108*F108),8)</f>
        <v/>
      </c>
      <c r="H108" s="49">
        <f>ROUND(((1+$H$4)^(30/360))^(C108/(EDATE(D108-B108,1)-(D108-B108))),9)</f>
        <v/>
      </c>
      <c r="I108" s="49">
        <f>TRUNC((G108*H108-G108),8)</f>
        <v/>
      </c>
      <c r="J108" s="49">
        <f>G108+I108</f>
        <v/>
      </c>
      <c r="K108" s="256" t="n"/>
      <c r="L108" s="256" t="n"/>
      <c r="M108" s="256" t="n"/>
      <c r="N108" s="256" t="n"/>
      <c r="O108" s="256" t="n"/>
      <c r="P108" s="256" t="n"/>
      <c r="Q108" s="256" t="n"/>
    </row>
    <row r="109">
      <c r="A109">
        <f>IF(DAY(D109)=DAY($L$1+1),A108+1,A108)</f>
        <v/>
      </c>
      <c r="B109" s="46">
        <f>IF(DAY(D109)=DAY($L$1+1),1,B108+1)</f>
        <v/>
      </c>
      <c r="C109" s="46">
        <f>IF(DAY(D109)=DAY($L$1+1),1,C108+1)</f>
        <v/>
      </c>
      <c r="D109" s="2">
        <f>D108+1</f>
        <v/>
      </c>
      <c r="E109" s="8">
        <f>IF(DAY(D109)=DAY($L$1+1),TRUNC((N108),8),E108)</f>
        <v/>
      </c>
      <c r="F109" s="49">
        <f>TRUNC(((1+VLOOKUP(A109,IPCA!$A$2:$C$140,3,0)))^(C109/(EDATE(D109-C109,1)-(D109-C109))),8)</f>
        <v/>
      </c>
      <c r="G109" s="49">
        <f>TRUNC((E109*F109),8)</f>
        <v/>
      </c>
      <c r="H109" s="49">
        <f>ROUND(((1+$H$4)^(30/360))^(C109/(EDATE(D109-B109,1)-(D109-B109))),9)</f>
        <v/>
      </c>
      <c r="I109" s="49">
        <f>TRUNC((G109*H109-G109),8)</f>
        <v/>
      </c>
      <c r="J109" s="49">
        <f>G109+I109</f>
        <v/>
      </c>
      <c r="K109" s="256" t="inlineStr">
        <is>
          <t>Cri Integralizado</t>
        </is>
      </c>
      <c r="L109" s="270">
        <f>L79</f>
        <v/>
      </c>
      <c r="M109" s="256" t="n"/>
      <c r="N109" s="256" t="n"/>
      <c r="O109" s="256" t="n"/>
      <c r="P109" s="256" t="n"/>
      <c r="Q109" s="256" t="n"/>
    </row>
    <row r="110">
      <c r="A110">
        <f>IF(DAY(D110)=DAY($L$1+1),A109+1,A109)</f>
        <v/>
      </c>
      <c r="B110" s="46">
        <f>IF(DAY(D110)=DAY($L$1+1),1,B109+1)</f>
        <v/>
      </c>
      <c r="C110" s="46">
        <f>IF(DAY(D110)=DAY($L$1+1),1,C109+1)</f>
        <v/>
      </c>
      <c r="D110" s="2">
        <f>D109+1</f>
        <v/>
      </c>
      <c r="E110" s="8">
        <f>IF(DAY(D110)=DAY($L$1+1),TRUNC((N109),8),E109)</f>
        <v/>
      </c>
      <c r="F110" s="49">
        <f>TRUNC(((1+VLOOKUP(A110,IPCA!$A$2:$C$140,3,0)))^(C110/(EDATE(D110-C110,1)-(D110-C110))),8)</f>
        <v/>
      </c>
      <c r="G110" s="49">
        <f>TRUNC((E110*F110),8)</f>
        <v/>
      </c>
      <c r="H110" s="49">
        <f>ROUND(((1+$H$4)^(30/360))^(C110/(EDATE(D110-B110,1)-(D110-B110))),9)</f>
        <v/>
      </c>
      <c r="I110" s="49">
        <f>TRUNC((G110*H110-G110),8)</f>
        <v/>
      </c>
      <c r="J110" s="49">
        <f>G110+I110</f>
        <v/>
      </c>
      <c r="K110" s="118" t="inlineStr">
        <is>
          <t>JUROS</t>
        </is>
      </c>
      <c r="L110" s="118" t="inlineStr">
        <is>
          <t>AMORTIZAÇÃO</t>
        </is>
      </c>
      <c r="M110" s="118" t="inlineStr">
        <is>
          <t>AMEX</t>
        </is>
      </c>
      <c r="N110" s="118" t="inlineStr">
        <is>
          <t>RESIDUAL</t>
        </is>
      </c>
      <c r="O110" s="256" t="n"/>
      <c r="P110" s="256" t="n"/>
      <c r="Q110" s="256" t="n"/>
    </row>
    <row r="111">
      <c r="A111">
        <f>IF(DAY(D111)=DAY($L$1+1),A110+1,A110)</f>
        <v/>
      </c>
      <c r="B111" s="111">
        <f>IF(DAY(D111)=DAY($L$1+1),1,B110+1)</f>
        <v/>
      </c>
      <c r="C111" s="111">
        <f>IF(DAY(D111)=DAY($L$1+1),1,C110+1)</f>
        <v/>
      </c>
      <c r="D111" s="112">
        <f>D110+1</f>
        <v/>
      </c>
      <c r="E111" s="113">
        <f>IF(DAY(D111)=DAY($L$1+1),TRUNC((N110),8),E110)</f>
        <v/>
      </c>
      <c r="F111" s="114">
        <f>TRUNC(((1+VLOOKUP(A111,IPCA!$A$2:$C$140,3,0)))^(C111/(EDATE(D111-C111,1)-(D111-C111))),8)</f>
        <v/>
      </c>
      <c r="G111" s="114">
        <f>TRUNC((E111*F111),8)</f>
        <v/>
      </c>
      <c r="H111" s="114">
        <f>ROUND(((1+$H$4)^(30/360))^(C111/(EDATE(D111-B111,1)-(D111-B111))),9)</f>
        <v/>
      </c>
      <c r="I111" s="114">
        <f>TRUNC((G111*H111-G111),8)</f>
        <v/>
      </c>
      <c r="J111" s="114">
        <f>G111+I111</f>
        <v/>
      </c>
      <c r="K111" s="119" t="n">
        <v>0</v>
      </c>
      <c r="L111" s="120">
        <f>TRUNC(G111*VLOOKUP(D111,'Amort TS'!$G$3:$H$140,2,0),8)</f>
        <v/>
      </c>
      <c r="M111" s="120" t="n">
        <v>0</v>
      </c>
      <c r="N111" s="120">
        <f>J111-K111-L111-M111</f>
        <v/>
      </c>
      <c r="O111" s="256" t="n"/>
      <c r="P111" s="256" t="n"/>
      <c r="Q111" s="256" t="n"/>
    </row>
    <row r="112">
      <c r="A112">
        <f>IF(DAY(D112)=DAY($L$1+1),A111+1,A111)</f>
        <v/>
      </c>
      <c r="B112" s="46">
        <f>IF(DAY(D112)=DAY($L$1+1),1,B111+1)</f>
        <v/>
      </c>
      <c r="C112" s="46">
        <f>IF(DAY(D112)=DAY($L$1+1),1,C111+1)</f>
        <v/>
      </c>
      <c r="D112" s="2">
        <f>D111+1</f>
        <v/>
      </c>
      <c r="E112" s="8">
        <f>IF(DAY(D112)=DAY($L$1+1),TRUNC((N111),8),E111)</f>
        <v/>
      </c>
      <c r="F112" s="49">
        <f>TRUNC(((1+VLOOKUP(A112,IPCA!$A$2:$C$140,3,0)))^(C112/(EDATE(D112-C112,1)-(D112-C112))),8)</f>
        <v/>
      </c>
      <c r="G112" s="49">
        <f>TRUNC((E112*F112),8)</f>
        <v/>
      </c>
      <c r="H112" s="49">
        <f>ROUND(((1+$H$4)^(30/360))^(C112/(EDATE(D112-B112,1)-(D112-B112))),9)</f>
        <v/>
      </c>
      <c r="I112" s="49">
        <f>TRUNC((G112*H112-G112),8)</f>
        <v/>
      </c>
      <c r="J112" s="49">
        <f>G112+I112</f>
        <v/>
      </c>
      <c r="K112" s="121">
        <f>K111*L109</f>
        <v/>
      </c>
      <c r="L112" s="121">
        <f>L111*L109</f>
        <v/>
      </c>
      <c r="M112" s="121">
        <f>M111*L109</f>
        <v/>
      </c>
      <c r="N112" s="121">
        <f>N111*L109</f>
        <v/>
      </c>
      <c r="O112" s="256" t="n"/>
      <c r="P112" s="256" t="n"/>
      <c r="Q112" s="256" t="n"/>
    </row>
    <row r="113">
      <c r="A113">
        <f>IF(DAY(D113)=DAY($L$1+1),A112+1,A112)</f>
        <v/>
      </c>
      <c r="B113" s="46">
        <f>IF(DAY(D113)=DAY($L$1+1),1,B112+1)</f>
        <v/>
      </c>
      <c r="C113" s="46">
        <f>IF(DAY(D113)=DAY($L$1+1),1,C112+1)</f>
        <v/>
      </c>
      <c r="D113" s="2">
        <f>D112+1</f>
        <v/>
      </c>
      <c r="E113" s="8">
        <f>IF(DAY(D113)=DAY($L$1+1),TRUNC((N112),8),E112)</f>
        <v/>
      </c>
      <c r="F113" s="49">
        <f>TRUNC(((1+VLOOKUP(A113,IPCA!$A$2:$C$140,3,0)))^(C113/(EDATE(D113-C113,1)-(D113-C113))),8)</f>
        <v/>
      </c>
      <c r="G113" s="49">
        <f>TRUNC((E113*F113),8)</f>
        <v/>
      </c>
      <c r="H113" s="49">
        <f>ROUND(((1+$H$4)^(30/360))^(C113/(EDATE(D113-B113,1)-(D113-B113))),9)</f>
        <v/>
      </c>
      <c r="I113" s="49">
        <f>TRUNC((G113*H113-G113),8)</f>
        <v/>
      </c>
      <c r="J113" s="49">
        <f>G113+I113</f>
        <v/>
      </c>
      <c r="K113" s="256" t="n"/>
      <c r="L113" s="256" t="n"/>
      <c r="M113" s="256" t="n"/>
      <c r="N113" s="256" t="n"/>
      <c r="O113" s="256" t="n"/>
      <c r="P113" s="256" t="n"/>
      <c r="Q113" s="256" t="n"/>
    </row>
    <row r="114">
      <c r="A114">
        <f>IF(DAY(D114)=DAY($L$1+1),A113+1,A113)</f>
        <v/>
      </c>
      <c r="B114" s="46">
        <f>IF(DAY(D114)=DAY($L$1+1),1,B113+1)</f>
        <v/>
      </c>
      <c r="C114" s="46">
        <f>IF(DAY(D114)=DAY($L$1+1),1,C113+1)</f>
        <v/>
      </c>
      <c r="D114" s="2">
        <f>D113+1</f>
        <v/>
      </c>
      <c r="E114" s="8">
        <f>IF(DAY(D114)=DAY($L$1+1),TRUNC((#REF!),8),E113)</f>
        <v/>
      </c>
      <c r="F114" s="49">
        <f>TRUNC(((1+VLOOKUP(A114,IPCA!$A$2:$C$140,3,0)))^(C114/(EDATE(D114-C114,1)-(D114-C114))),8)</f>
        <v/>
      </c>
      <c r="G114" s="49">
        <f>TRUNC((E114*F114),8)</f>
        <v/>
      </c>
      <c r="H114" s="49">
        <f>ROUND(((1+$H$4)^(30/360))^(C114/(EDATE(D114-B114,1)-(D114-B114))),9)</f>
        <v/>
      </c>
      <c r="I114" s="49">
        <f>TRUNC((G114*H114-G114),8)</f>
        <v/>
      </c>
      <c r="J114" s="49">
        <f>G114+I114</f>
        <v/>
      </c>
      <c r="K114" s="256" t="n"/>
      <c r="L114" s="256" t="n"/>
      <c r="M114" s="256" t="n"/>
      <c r="N114" s="256" t="n"/>
      <c r="O114" s="256" t="n"/>
      <c r="P114" s="256" t="n"/>
      <c r="Q114" s="256" t="n"/>
    </row>
    <row r="115">
      <c r="A115">
        <f>IF(DAY(D115)=DAY($L$1+1),A114+1,A114)</f>
        <v/>
      </c>
      <c r="B115" s="46">
        <f>IF(DAY(D115)=DAY($L$1+1),1,B114+1)</f>
        <v/>
      </c>
      <c r="C115" s="46">
        <f>IF(DAY(D115)=DAY($L$1+1),1,C114+1)</f>
        <v/>
      </c>
      <c r="D115" s="2">
        <f>D114+1</f>
        <v/>
      </c>
      <c r="E115" s="8">
        <f>IF(DAY(D115)=DAY($L$1+1),TRUNC((#REF!),8),E114)</f>
        <v/>
      </c>
      <c r="F115" s="49">
        <f>TRUNC(((1+VLOOKUP(A115,IPCA!$A$2:$C$140,3,0)))^(C115/(EDATE(D115-C115,1)-(D115-C115))),8)</f>
        <v/>
      </c>
      <c r="G115" s="49">
        <f>TRUNC((E115*F115),8)</f>
        <v/>
      </c>
      <c r="H115" s="49">
        <f>ROUND(((1+$H$4)^(30/360))^(C115/(EDATE(D115-B115,1)-(D115-B115))),9)</f>
        <v/>
      </c>
      <c r="I115" s="49">
        <f>TRUNC((G115*H115-G115),8)</f>
        <v/>
      </c>
      <c r="J115" s="49">
        <f>G115+I115</f>
        <v/>
      </c>
      <c r="K115" s="256" t="n"/>
      <c r="L115" s="256" t="n"/>
      <c r="M115" s="256" t="n"/>
      <c r="N115" s="256" t="n"/>
      <c r="O115" s="256" t="n"/>
      <c r="P115" s="256" t="n"/>
      <c r="Q115" s="256" t="n"/>
    </row>
    <row r="116">
      <c r="A116">
        <f>IF(DAY(D116)=DAY($L$1+1),A115+1,A115)</f>
        <v/>
      </c>
      <c r="B116" s="46">
        <f>IF(DAY(D116)=DAY($L$1+1),1,B115+1)</f>
        <v/>
      </c>
      <c r="C116" s="46">
        <f>IF(DAY(D116)=DAY($L$1+1),1,C115+1)</f>
        <v/>
      </c>
      <c r="D116" s="2">
        <f>D115+1</f>
        <v/>
      </c>
      <c r="E116" s="8">
        <f>IF(DAY(D116)=DAY($L$1+1),TRUNC((#REF!),8),E115)</f>
        <v/>
      </c>
      <c r="F116" s="49">
        <f>TRUNC(((1+VLOOKUP(A116,IPCA!$A$2:$C$140,3,0)))^(C116/(EDATE(D116-C116,1)-(D116-C116))),8)</f>
        <v/>
      </c>
      <c r="G116" s="49">
        <f>TRUNC((E116*F116),8)</f>
        <v/>
      </c>
      <c r="H116" s="49">
        <f>ROUND(((1+$H$4)^(30/360))^(C116/(EDATE(D116-B116,1)-(D116-B116))),9)</f>
        <v/>
      </c>
      <c r="I116" s="49">
        <f>TRUNC((G116*H116-G116),8)</f>
        <v/>
      </c>
      <c r="J116" s="49">
        <f>G116+I116</f>
        <v/>
      </c>
      <c r="K116" s="256" t="n"/>
      <c r="L116" s="256" t="n"/>
      <c r="M116" s="256" t="n"/>
      <c r="N116" s="256" t="n"/>
      <c r="O116" s="256" t="n"/>
      <c r="P116" s="256" t="n"/>
      <c r="Q116" s="256" t="n"/>
    </row>
    <row r="117">
      <c r="A117">
        <f>IF(DAY(D117)=DAY($L$1+1),A116+1,A116)</f>
        <v/>
      </c>
      <c r="B117" s="46">
        <f>IF(DAY(D117)=DAY($L$1+1),1,B116+1)</f>
        <v/>
      </c>
      <c r="C117" s="46">
        <f>IF(DAY(D117)=DAY($L$1+1),1,C116+1)</f>
        <v/>
      </c>
      <c r="D117" s="2">
        <f>D116+1</f>
        <v/>
      </c>
      <c r="E117" s="8">
        <f>IF(DAY(D117)=DAY($L$1+1),TRUNC((#REF!),8),E116)</f>
        <v/>
      </c>
      <c r="F117" s="49">
        <f>TRUNC(((1+VLOOKUP(A117,IPCA!$A$2:$C$140,3,0)))^(C117/(EDATE(D117-C117,1)-(D117-C117))),8)</f>
        <v/>
      </c>
      <c r="G117" s="49">
        <f>TRUNC((E117*F117),8)</f>
        <v/>
      </c>
      <c r="H117" s="49">
        <f>ROUND(((1+$H$4)^(30/360))^(C117/(EDATE(D117-B117,1)-(D117-B117))),9)</f>
        <v/>
      </c>
      <c r="I117" s="49">
        <f>TRUNC((G117*H117-G117),8)</f>
        <v/>
      </c>
      <c r="J117" s="49">
        <f>G117+I117</f>
        <v/>
      </c>
      <c r="K117" s="256" t="n"/>
      <c r="L117" s="256" t="n"/>
      <c r="M117" s="256" t="n"/>
      <c r="N117" s="256" t="n"/>
      <c r="O117" s="256" t="n"/>
      <c r="P117" s="256" t="n"/>
      <c r="Q117" s="256" t="n"/>
    </row>
    <row r="118">
      <c r="A118">
        <f>IF(DAY(D118)=DAY($L$1+1),A117+1,A117)</f>
        <v/>
      </c>
      <c r="B118" s="46">
        <f>IF(DAY(D118)=DAY($L$1+1),1,B117+1)</f>
        <v/>
      </c>
      <c r="C118" s="46">
        <f>IF(DAY(D118)=DAY($L$1+1),1,C117+1)</f>
        <v/>
      </c>
      <c r="D118" s="2">
        <f>D117+1</f>
        <v/>
      </c>
      <c r="E118" s="8">
        <f>IF(DAY(D118)=DAY($L$1+1),TRUNC((#REF!),8),E117)</f>
        <v/>
      </c>
      <c r="F118" s="49">
        <f>TRUNC(((1+VLOOKUP(A118,IPCA!$A$2:$C$140,3,0)))^(C118/(EDATE(D118-C118,1)-(D118-C118))),8)</f>
        <v/>
      </c>
      <c r="G118" s="49">
        <f>TRUNC((E118*F118),8)</f>
        <v/>
      </c>
      <c r="H118" s="49">
        <f>ROUND(((1+$H$4)^(30/360))^(C118/(EDATE(D118-B118,1)-(D118-B118))),9)</f>
        <v/>
      </c>
      <c r="I118" s="49">
        <f>TRUNC((G118*H118-G118),8)</f>
        <v/>
      </c>
      <c r="J118" s="49">
        <f>G118+I118</f>
        <v/>
      </c>
      <c r="K118" s="256" t="n"/>
      <c r="L118" s="256" t="n"/>
      <c r="M118" s="256" t="n"/>
      <c r="N118" s="256" t="n"/>
      <c r="O118" s="256" t="n"/>
      <c r="P118" s="256" t="n"/>
      <c r="Q118" s="256" t="n"/>
    </row>
    <row r="119">
      <c r="A119">
        <f>IF(DAY(D119)=DAY($L$1+1),A118+1,A118)</f>
        <v/>
      </c>
      <c r="B119" s="46">
        <f>IF(DAY(D119)=DAY($L$1+1),1,B118+1)</f>
        <v/>
      </c>
      <c r="C119" s="46">
        <f>IF(DAY(D119)=DAY($L$1+1),1,C118+1)</f>
        <v/>
      </c>
      <c r="D119" s="2">
        <f>D118+1</f>
        <v/>
      </c>
      <c r="E119" s="8">
        <f>IF(DAY(D119)=DAY($L$1+1),TRUNC((#REF!),8),E118)</f>
        <v/>
      </c>
      <c r="F119" s="49">
        <f>TRUNC(((1+VLOOKUP(A119,IPCA!$A$2:$C$140,3,0)))^(C119/(EDATE(D119-C119,1)-(D119-C119))),8)</f>
        <v/>
      </c>
      <c r="G119" s="49">
        <f>TRUNC((E119*F119),8)</f>
        <v/>
      </c>
      <c r="H119" s="49">
        <f>ROUND(((1+$H$4)^(30/360))^(C119/(EDATE(D119-B119,1)-(D119-B119))),9)</f>
        <v/>
      </c>
      <c r="I119" s="49">
        <f>TRUNC((G119*H119-G119),8)</f>
        <v/>
      </c>
      <c r="J119" s="49">
        <f>G119+I119</f>
        <v/>
      </c>
      <c r="K119" s="256" t="n"/>
      <c r="L119" s="256" t="n"/>
      <c r="M119" s="256" t="n"/>
      <c r="N119" s="256" t="n"/>
      <c r="O119" s="256" t="n"/>
      <c r="P119" s="256" t="n"/>
      <c r="Q119" s="256" t="n"/>
    </row>
    <row r="120">
      <c r="A120">
        <f>IF(DAY(D120)=DAY($L$1+1),A119+1,A119)</f>
        <v/>
      </c>
      <c r="B120" s="46">
        <f>IF(DAY(D120)=DAY($L$1+1),1,B119+1)</f>
        <v/>
      </c>
      <c r="C120" s="46">
        <f>IF(DAY(D120)=DAY($L$1+1),1,C119+1)</f>
        <v/>
      </c>
      <c r="D120" s="2">
        <f>D119+1</f>
        <v/>
      </c>
      <c r="E120" s="8">
        <f>IF(DAY(D120)=DAY($L$1+1),TRUNC((#REF!),8),E119)</f>
        <v/>
      </c>
      <c r="F120" s="49">
        <f>TRUNC(((1+VLOOKUP(A120,IPCA!$A$2:$C$140,3,0)))^(C120/(EDATE(D120-C120,1)-(D120-C120))),8)</f>
        <v/>
      </c>
      <c r="G120" s="49">
        <f>TRUNC((E120*F120),8)</f>
        <v/>
      </c>
      <c r="H120" s="49">
        <f>ROUND(((1+$H$4)^(30/360))^(C120/(EDATE(D120-B120,1)-(D120-B120))),9)</f>
        <v/>
      </c>
      <c r="I120" s="49">
        <f>TRUNC((G120*H120-G120),8)</f>
        <v/>
      </c>
      <c r="J120" s="49">
        <f>G120+I120</f>
        <v/>
      </c>
      <c r="K120" s="256" t="n"/>
      <c r="L120" s="256" t="n"/>
      <c r="M120" s="256" t="n"/>
      <c r="N120" s="256" t="n"/>
      <c r="O120" s="256" t="n"/>
      <c r="P120" s="256" t="n"/>
      <c r="Q120" s="256" t="n"/>
    </row>
    <row r="121">
      <c r="A121">
        <f>IF(DAY(D121)=DAY($L$1+1),A120+1,A120)</f>
        <v/>
      </c>
      <c r="B121" s="46">
        <f>IF(DAY(D121)=DAY($L$1+1),1,B120+1)</f>
        <v/>
      </c>
      <c r="C121" s="46">
        <f>IF(DAY(D121)=DAY($L$1+1),1,C120+1)</f>
        <v/>
      </c>
      <c r="D121" s="2">
        <f>D120+1</f>
        <v/>
      </c>
      <c r="E121" s="8">
        <f>IF(DAY(D121)=DAY($L$1+1),TRUNC((#REF!),8),E120)</f>
        <v/>
      </c>
      <c r="F121" s="49">
        <f>TRUNC(((1+VLOOKUP(A121,IPCA!$A$2:$C$140,3,0)))^(C121/(EDATE(D121-C121,1)-(D121-C121))),8)</f>
        <v/>
      </c>
      <c r="G121" s="49">
        <f>TRUNC((E121*F121),8)</f>
        <v/>
      </c>
      <c r="H121" s="49">
        <f>ROUND(((1+$H$4)^(30/360))^(C121/(EDATE(D121-B121,1)-(D121-B121))),9)</f>
        <v/>
      </c>
      <c r="I121" s="49">
        <f>TRUNC((G121*H121-G121),8)</f>
        <v/>
      </c>
      <c r="J121" s="49">
        <f>G121+I121</f>
        <v/>
      </c>
      <c r="K121" s="256" t="n"/>
      <c r="L121" s="256" t="n"/>
      <c r="M121" s="256" t="n"/>
      <c r="N121" s="256" t="n"/>
      <c r="O121" s="256" t="n"/>
      <c r="P121" s="256" t="n"/>
      <c r="Q121" s="256" t="n"/>
    </row>
    <row r="122">
      <c r="A122">
        <f>IF(DAY(D122)=DAY($L$1+1),A121+1,A121)</f>
        <v/>
      </c>
      <c r="B122" s="46">
        <f>IF(DAY(D122)=DAY($L$1+1),1,B121+1)</f>
        <v/>
      </c>
      <c r="C122" s="46">
        <f>IF(DAY(D122)=DAY($L$1+1),1,C121+1)</f>
        <v/>
      </c>
      <c r="D122" s="2">
        <f>D121+1</f>
        <v/>
      </c>
      <c r="E122" s="8">
        <f>IF(DAY(D122)=DAY($L$1+1),TRUNC((#REF!),8),E121)</f>
        <v/>
      </c>
      <c r="F122" s="49">
        <f>TRUNC(((1+VLOOKUP(A122,IPCA!$A$2:$C$140,3,0)))^(C122/(EDATE(D122-C122,1)-(D122-C122))),8)</f>
        <v/>
      </c>
      <c r="G122" s="49">
        <f>TRUNC((E122*F122),8)</f>
        <v/>
      </c>
      <c r="H122" s="49">
        <f>ROUND(((1+$H$4)^(30/360))^(C122/(EDATE(D122-B122,1)-(D122-B122))),9)</f>
        <v/>
      </c>
      <c r="I122" s="49">
        <f>TRUNC((G122*H122-G122),8)</f>
        <v/>
      </c>
      <c r="J122" s="49">
        <f>G122+I122</f>
        <v/>
      </c>
      <c r="K122" s="256" t="n"/>
      <c r="L122" s="256" t="n"/>
      <c r="M122" s="256" t="n"/>
      <c r="N122" s="256" t="n"/>
      <c r="O122" s="256" t="n"/>
      <c r="P122" s="256" t="n"/>
      <c r="Q122" s="256" t="n"/>
    </row>
    <row r="123">
      <c r="A123">
        <f>IF(DAY(D123)=DAY($L$1+1),A122+1,A122)</f>
        <v/>
      </c>
      <c r="B123" s="46">
        <f>IF(DAY(D123)=DAY($L$1+1),1,B122+1)</f>
        <v/>
      </c>
      <c r="C123" s="46">
        <f>IF(DAY(D123)=DAY($L$1+1),1,C122+1)</f>
        <v/>
      </c>
      <c r="D123" s="2">
        <f>D122+1</f>
        <v/>
      </c>
      <c r="E123" s="8">
        <f>IF(DAY(D123)=DAY($L$1+1),TRUNC((#REF!),8),E122)</f>
        <v/>
      </c>
      <c r="F123" s="49">
        <f>TRUNC(((1+VLOOKUP(A123,IPCA!$A$2:$C$140,3,0)))^(C123/(EDATE(D123-C123,1)-(D123-C123))),8)</f>
        <v/>
      </c>
      <c r="G123" s="49">
        <f>TRUNC((E123*F123),8)</f>
        <v/>
      </c>
      <c r="H123" s="49">
        <f>ROUND(((1+$H$4)^(30/360))^(C123/(EDATE(D123-B123,1)-(D123-B123))),9)</f>
        <v/>
      </c>
      <c r="I123" s="49">
        <f>TRUNC((G123*H123-G123),8)</f>
        <v/>
      </c>
      <c r="J123" s="49">
        <f>G123+I123</f>
        <v/>
      </c>
      <c r="K123" s="256" t="n"/>
      <c r="L123" s="256" t="n"/>
      <c r="M123" s="256" t="n"/>
      <c r="N123" s="256" t="n"/>
      <c r="O123" s="256" t="n"/>
      <c r="P123" s="256" t="n"/>
      <c r="Q123" s="256" t="n"/>
    </row>
    <row r="124">
      <c r="A124">
        <f>IF(DAY(D124)=DAY($L$1+1),A123+1,A123)</f>
        <v/>
      </c>
      <c r="B124" s="46">
        <f>IF(DAY(D124)=DAY($L$1+1),1,B123+1)</f>
        <v/>
      </c>
      <c r="C124" s="46">
        <f>IF(DAY(D124)=DAY($L$1+1),1,C123+1)</f>
        <v/>
      </c>
      <c r="D124" s="2">
        <f>D123+1</f>
        <v/>
      </c>
      <c r="E124" s="8">
        <f>IF(DAY(D124)=DAY($L$1+1),TRUNC((#REF!),8),E123)</f>
        <v/>
      </c>
      <c r="F124" s="49">
        <f>TRUNC(((1+VLOOKUP(A124,IPCA!$A$2:$C$140,3,0)))^(C124/(EDATE(D124-C124,1)-(D124-C124))),8)</f>
        <v/>
      </c>
      <c r="G124" s="49">
        <f>TRUNC((E124*F124),8)</f>
        <v/>
      </c>
      <c r="H124" s="49">
        <f>ROUND(((1+$H$4)^(30/360))^(C124/(EDATE(D124-B124,1)-(D124-B124))),9)</f>
        <v/>
      </c>
      <c r="I124" s="49">
        <f>TRUNC((G124*H124-G124),8)</f>
        <v/>
      </c>
      <c r="J124" s="49">
        <f>G124+I124</f>
        <v/>
      </c>
      <c r="K124" s="256" t="n"/>
      <c r="L124" s="256" t="n"/>
      <c r="M124" s="256" t="n"/>
      <c r="N124" s="256" t="n"/>
      <c r="O124" s="256" t="n"/>
      <c r="P124" s="256" t="n"/>
      <c r="Q124" s="256" t="n"/>
    </row>
    <row r="125">
      <c r="A125">
        <f>IF(DAY(D125)=DAY($L$1+1),A124+1,A124)</f>
        <v/>
      </c>
      <c r="B125" s="46">
        <f>IF(DAY(D125)=DAY($L$1+1),1,B124+1)</f>
        <v/>
      </c>
      <c r="C125" s="46">
        <f>IF(DAY(D125)=DAY($L$1+1),1,C124+1)</f>
        <v/>
      </c>
      <c r="D125" s="2">
        <f>D124+1</f>
        <v/>
      </c>
      <c r="E125" s="8">
        <f>IF(DAY(D125)=DAY($L$1+1),TRUNC((N124),8),E124)</f>
        <v/>
      </c>
      <c r="F125" s="49">
        <f>TRUNC(((1+VLOOKUP(A125,IPCA!$A$2:$C$140,3,0)))^(C125/(EDATE(D125-C125,1)-(D125-C125))),8)</f>
        <v/>
      </c>
      <c r="G125" s="49">
        <f>TRUNC((E125*F125),8)</f>
        <v/>
      </c>
      <c r="H125" s="49">
        <f>ROUND(((1+$H$4)^(30/360))^(C125/(EDATE(D125-B125,1)-(D125-B125))),9)</f>
        <v/>
      </c>
      <c r="I125" s="49">
        <f>TRUNC((G125*H125-G125),8)</f>
        <v/>
      </c>
      <c r="J125" s="49">
        <f>G125+I125</f>
        <v/>
      </c>
      <c r="K125" s="256" t="n"/>
      <c r="L125" s="256" t="n"/>
      <c r="M125" s="256" t="n"/>
      <c r="N125" s="256" t="n"/>
      <c r="O125" s="256" t="n"/>
      <c r="P125" s="256" t="n"/>
      <c r="Q125" s="256" t="n"/>
    </row>
    <row r="126">
      <c r="A126">
        <f>IF(DAY(D126)=DAY($L$1+1),A125+1,A125)</f>
        <v/>
      </c>
      <c r="B126" s="46">
        <f>IF(DAY(D126)=DAY($L$1+1),1,B125+1)</f>
        <v/>
      </c>
      <c r="C126" s="46">
        <f>IF(DAY(D126)=DAY($L$1+1),1,C125+1)</f>
        <v/>
      </c>
      <c r="D126" s="2">
        <f>D125+1</f>
        <v/>
      </c>
      <c r="E126" s="8">
        <f>IF(DAY(D126)=DAY($L$1+1),TRUNC((N125),8),E125)</f>
        <v/>
      </c>
      <c r="F126" s="49">
        <f>TRUNC(((1+VLOOKUP(A126,IPCA!$A$2:$C$140,3,0)))^(C126/(EDATE(D126-C126,1)-(D126-C126))),8)</f>
        <v/>
      </c>
      <c r="G126" s="49">
        <f>TRUNC((E126*F126),8)</f>
        <v/>
      </c>
      <c r="H126" s="49">
        <f>ROUND(((1+$H$4)^(30/360))^(C126/(EDATE(D126-B126,1)-(D126-B126))),9)</f>
        <v/>
      </c>
      <c r="I126" s="49">
        <f>TRUNC((G126*H126-G126),8)</f>
        <v/>
      </c>
      <c r="J126" s="49">
        <f>G126+I126</f>
        <v/>
      </c>
      <c r="K126" s="256" t="n"/>
      <c r="L126" s="256" t="n"/>
      <c r="M126" s="256" t="n"/>
      <c r="N126" s="256" t="n"/>
      <c r="O126" s="256" t="n"/>
      <c r="P126" s="256" t="n"/>
      <c r="Q126" s="256" t="n"/>
    </row>
    <row r="127">
      <c r="A127">
        <f>IF(DAY(D127)=DAY($L$1+1),A126+1,A126)</f>
        <v/>
      </c>
      <c r="B127" s="46">
        <f>IF(DAY(D127)=DAY($L$1+1),1,B126+1)</f>
        <v/>
      </c>
      <c r="C127" s="46">
        <f>IF(DAY(D127)=DAY($L$1+1),1,C126+1)</f>
        <v/>
      </c>
      <c r="D127" s="2">
        <f>D126+1</f>
        <v/>
      </c>
      <c r="E127" s="8">
        <f>IF(DAY(D127)=DAY($L$1+1),TRUNC((N126),8),E126)</f>
        <v/>
      </c>
      <c r="F127" s="49">
        <f>TRUNC(((1+VLOOKUP(A127,IPCA!$A$2:$C$140,3,0)))^(C127/(EDATE(D127-C127,1)-(D127-C127))),8)</f>
        <v/>
      </c>
      <c r="G127" s="49">
        <f>TRUNC((E127*F127),8)</f>
        <v/>
      </c>
      <c r="H127" s="49">
        <f>ROUND(((1+$H$4)^(30/360))^(C127/(EDATE(D127-B127,1)-(D127-B127))),9)</f>
        <v/>
      </c>
      <c r="I127" s="49">
        <f>TRUNC((G127*H127-G127),8)</f>
        <v/>
      </c>
      <c r="J127" s="49">
        <f>G127+I127</f>
        <v/>
      </c>
      <c r="K127" s="123" t="n"/>
      <c r="L127" s="271" t="n"/>
      <c r="M127" s="256" t="n"/>
      <c r="N127" s="256" t="n"/>
      <c r="O127" s="256" t="n"/>
      <c r="P127" s="256" t="n"/>
      <c r="Q127" s="256" t="n"/>
    </row>
    <row r="128">
      <c r="A128">
        <f>IF(DAY(D128)=DAY($L$1+1),A127+1,A127)</f>
        <v/>
      </c>
      <c r="B128" s="46">
        <f>IF(DAY(D128)=DAY($L$1+1),1,B127+1)</f>
        <v/>
      </c>
      <c r="C128" s="46">
        <f>IF(DAY(D128)=DAY($L$1+1),1,C127+1)</f>
        <v/>
      </c>
      <c r="D128" s="2">
        <f>D127+1</f>
        <v/>
      </c>
      <c r="E128" s="8">
        <f>IF(DAY(D128)=DAY($L$1+1),TRUNC((N127),8),E127)</f>
        <v/>
      </c>
      <c r="F128" s="49">
        <f>TRUNC(((1+VLOOKUP(A128,IPCA!$A$2:$C$140,3,0)))^(C128/(EDATE(D128-C128,1)-(D128-C128))),8)</f>
        <v/>
      </c>
      <c r="G128" s="49">
        <f>TRUNC((E128*F128),8)</f>
        <v/>
      </c>
      <c r="H128" s="49">
        <f>ROUND(((1+$H$4)^(30/360))^(C128/(EDATE(D128-B128,1)-(D128-B128))),9)</f>
        <v/>
      </c>
      <c r="I128" s="49">
        <f>TRUNC((G128*H128-G128),8)</f>
        <v/>
      </c>
      <c r="J128" s="49">
        <f>G128+I128</f>
        <v/>
      </c>
      <c r="K128" s="256" t="n"/>
      <c r="L128" s="256" t="n"/>
      <c r="M128" s="256" t="n"/>
      <c r="N128" s="256" t="n"/>
      <c r="O128" s="256" t="n"/>
      <c r="P128" s="256" t="n"/>
      <c r="Q128" s="256" t="n"/>
    </row>
    <row r="129">
      <c r="A129">
        <f>IF(DAY(D129)=DAY($L$1+1),A128+1,A128)</f>
        <v/>
      </c>
      <c r="B129" s="46">
        <f>IF(DAY(D129)=DAY($L$1+1),1,B128+1)</f>
        <v/>
      </c>
      <c r="C129" s="46">
        <f>IF(DAY(D129)=DAY($L$1+1),1,C128+1)</f>
        <v/>
      </c>
      <c r="D129" s="2">
        <f>D128+1</f>
        <v/>
      </c>
      <c r="E129" s="8">
        <f>IF(DAY(D129)=DAY($L$1+1),TRUNC((N128),8),E128)</f>
        <v/>
      </c>
      <c r="F129" s="49">
        <f>TRUNC(((1+VLOOKUP(A129,IPCA!$A$2:$C$140,3,0)))^(C129/(EDATE(D129-C129,1)-(D129-C129))),8)</f>
        <v/>
      </c>
      <c r="G129" s="49">
        <f>TRUNC((E129*F129),8)</f>
        <v/>
      </c>
      <c r="H129" s="49">
        <f>ROUND(((1+$H$4)^(30/360))^(C129/(EDATE(D129-B129,1)-(D129-B129))),9)</f>
        <v/>
      </c>
      <c r="I129" s="49">
        <f>TRUNC((G129*H129-G129),8)</f>
        <v/>
      </c>
      <c r="J129" s="49">
        <f>G129+I129</f>
        <v/>
      </c>
      <c r="K129" s="256" t="n"/>
      <c r="L129" s="256" t="n"/>
      <c r="M129" s="256" t="n"/>
      <c r="N129" s="256" t="n"/>
      <c r="O129" s="256" t="n"/>
      <c r="P129" s="256" t="n"/>
      <c r="Q129" s="256" t="n"/>
    </row>
    <row r="130">
      <c r="A130">
        <f>IF(DAY(D130)=DAY($L$1+1),A129+1,A129)</f>
        <v/>
      </c>
      <c r="B130" s="46">
        <f>IF(DAY(D130)=DAY($L$1+1),1,B129+1)</f>
        <v/>
      </c>
      <c r="C130" s="46">
        <f>IF(DAY(D130)=DAY($L$1+1),1,C129+1)</f>
        <v/>
      </c>
      <c r="D130" s="2">
        <f>D129+1</f>
        <v/>
      </c>
      <c r="E130" s="8">
        <f>IF(DAY(D130)=DAY($L$1+1),TRUNC((N129),8),E129)</f>
        <v/>
      </c>
      <c r="F130" s="49">
        <f>TRUNC(((1+VLOOKUP(A130,IPCA!$A$2:$C$140,3,0)))^(C130/(EDATE(D130-C130,1)-(D130-C130))),8)</f>
        <v/>
      </c>
      <c r="G130" s="49">
        <f>TRUNC((E130*F130),8)</f>
        <v/>
      </c>
      <c r="H130" s="49">
        <f>ROUND(((1+$H$4)^(30/360))^(C130/(EDATE(D130-B130,1)-(D130-B130))),9)</f>
        <v/>
      </c>
      <c r="I130" s="49">
        <f>TRUNC((G130*H130-G130),8)</f>
        <v/>
      </c>
      <c r="J130" s="49">
        <f>G130+I130</f>
        <v/>
      </c>
      <c r="K130" s="256" t="n"/>
      <c r="L130" s="256" t="n"/>
      <c r="M130" s="256" t="n"/>
      <c r="N130" s="256" t="n"/>
      <c r="O130" s="256" t="n"/>
      <c r="P130" s="256" t="n"/>
      <c r="Q130" s="256" t="n"/>
    </row>
    <row r="131">
      <c r="A131">
        <f>IF(DAY(D131)=DAY($L$1+1),A130+1,A130)</f>
        <v/>
      </c>
      <c r="B131" s="46">
        <f>IF(DAY(D131)=DAY($L$1+1),1,B130+1)</f>
        <v/>
      </c>
      <c r="C131" s="46">
        <f>IF(DAY(D131)=DAY($L$1+1),1,C130+1)</f>
        <v/>
      </c>
      <c r="D131" s="2">
        <f>D130+1</f>
        <v/>
      </c>
      <c r="E131" s="8">
        <f>IF(DAY(D131)=DAY($L$1+1),TRUNC((N130),8),E130)</f>
        <v/>
      </c>
      <c r="F131" s="49">
        <f>TRUNC(((1+VLOOKUP(A131,IPCA!$A$2:$C$140,3,0)))^(C131/(EDATE(D131-C131,1)-(D131-C131))),8)</f>
        <v/>
      </c>
      <c r="G131" s="49">
        <f>TRUNC((E131*F131),8)</f>
        <v/>
      </c>
      <c r="H131" s="49">
        <f>ROUND(((1+$H$4)^(30/360))^(C131/(EDATE(D131-B131,1)-(D131-B131))),9)</f>
        <v/>
      </c>
      <c r="I131" s="49">
        <f>TRUNC((G131*H131-G131),8)</f>
        <v/>
      </c>
      <c r="J131" s="49">
        <f>G131+I131</f>
        <v/>
      </c>
      <c r="K131" s="256" t="n"/>
      <c r="L131" s="256" t="n"/>
      <c r="M131" s="256" t="n"/>
      <c r="N131" s="256" t="n"/>
      <c r="O131" s="256" t="n"/>
      <c r="P131" s="256" t="n"/>
      <c r="Q131" s="256" t="n"/>
    </row>
    <row r="132">
      <c r="A132">
        <f>IF(DAY(D132)=DAY($L$1+1),A131+1,A131)</f>
        <v/>
      </c>
      <c r="B132" s="46">
        <f>IF(DAY(D132)=DAY($L$1+1),1,B131+1)</f>
        <v/>
      </c>
      <c r="C132" s="46">
        <f>IF(DAY(D132)=DAY($L$1+1),1,C131+1)</f>
        <v/>
      </c>
      <c r="D132" s="2">
        <f>D131+1</f>
        <v/>
      </c>
      <c r="E132" s="8">
        <f>IF(DAY(D132)=DAY($L$1+1),TRUNC((N131),8),E131)</f>
        <v/>
      </c>
      <c r="F132" s="49">
        <f>TRUNC(((1+VLOOKUP(A132,IPCA!$A$2:$C$140,3,0)))^(C132/(EDATE(D132-C132,1)-(D132-C132))),8)</f>
        <v/>
      </c>
      <c r="G132" s="49">
        <f>TRUNC((E132*F132),8)</f>
        <v/>
      </c>
      <c r="H132" s="49">
        <f>ROUND(((1+$H$4)^(30/360))^(C132/(EDATE(D132-B132,1)-(D132-B132))),9)</f>
        <v/>
      </c>
      <c r="I132" s="49">
        <f>TRUNC((G132*H132-G132),8)</f>
        <v/>
      </c>
      <c r="J132" s="49">
        <f>G132+I132</f>
        <v/>
      </c>
      <c r="K132" s="256" t="n"/>
      <c r="L132" s="256" t="n"/>
      <c r="M132" s="256" t="n"/>
      <c r="N132" s="256" t="n"/>
      <c r="O132" s="256" t="n"/>
      <c r="P132" s="256" t="n"/>
      <c r="Q132" s="256" t="n"/>
    </row>
    <row r="133">
      <c r="A133">
        <f>IF(DAY(D133)=DAY($L$1+1),A132+1,A132)</f>
        <v/>
      </c>
      <c r="B133" s="46">
        <f>IF(DAY(D133)=DAY($L$1+1),1,B132+1)</f>
        <v/>
      </c>
      <c r="C133" s="46">
        <f>IF(DAY(D133)=DAY($L$1+1),1,C132+1)</f>
        <v/>
      </c>
      <c r="D133" s="2">
        <f>D132+1</f>
        <v/>
      </c>
      <c r="E133" s="8">
        <f>IF(DAY(D133)=DAY($L$1+1),TRUNC((N132),8),E132)</f>
        <v/>
      </c>
      <c r="F133" s="49">
        <f>TRUNC(((1+VLOOKUP(A133,IPCA!$A$2:$C$140,3,0)))^(C133/(EDATE(D133-C133,1)-(D133-C133))),8)</f>
        <v/>
      </c>
      <c r="G133" s="49">
        <f>TRUNC((E133*F133),8)</f>
        <v/>
      </c>
      <c r="H133" s="49">
        <f>ROUND(((1+$H$4)^(30/360))^(C133/(EDATE(D133-B133,1)-(D133-B133))),9)</f>
        <v/>
      </c>
      <c r="I133" s="49">
        <f>TRUNC((G133*H133-G133),8)</f>
        <v/>
      </c>
      <c r="J133" s="49">
        <f>G133+I133</f>
        <v/>
      </c>
      <c r="K133" s="256" t="n"/>
      <c r="L133" s="256" t="n"/>
      <c r="M133" s="256" t="n"/>
      <c r="N133" s="256" t="n"/>
      <c r="O133" s="256" t="n"/>
      <c r="P133" s="256" t="n"/>
      <c r="Q133" s="256" t="n"/>
    </row>
    <row r="134">
      <c r="A134">
        <f>IF(DAY(D134)=DAY($L$1+1),A133+1,A133)</f>
        <v/>
      </c>
      <c r="B134" s="46">
        <f>IF(DAY(D134)=DAY($L$1+1),1,B133+1)</f>
        <v/>
      </c>
      <c r="C134" s="46">
        <f>IF(DAY(D134)=DAY($L$1+1),1,C133+1)</f>
        <v/>
      </c>
      <c r="D134" s="2">
        <f>D133+1</f>
        <v/>
      </c>
      <c r="E134" s="8">
        <f>IF(DAY(D134)=DAY($L$1+1),TRUNC((N133),8),E133)</f>
        <v/>
      </c>
      <c r="F134" s="49">
        <f>TRUNC(((1+VLOOKUP(A134,IPCA!$A$2:$C$140,3,0)))^(C134/(EDATE(D134-C134,1)-(D134-C134))),8)</f>
        <v/>
      </c>
      <c r="G134" s="49">
        <f>TRUNC((E134*F134),8)</f>
        <v/>
      </c>
      <c r="H134" s="49">
        <f>ROUND(((1+$H$4)^(30/360))^(C134/(EDATE(D134-B134,1)-(D134-B134))),9)</f>
        <v/>
      </c>
      <c r="I134" s="49">
        <f>TRUNC((G134*H134-G134),8)</f>
        <v/>
      </c>
      <c r="J134" s="49">
        <f>G134+I134</f>
        <v/>
      </c>
      <c r="K134" s="256" t="n"/>
      <c r="L134" s="256" t="n"/>
      <c r="M134" s="256" t="n"/>
      <c r="N134" s="256" t="n"/>
      <c r="O134" s="256" t="n"/>
      <c r="P134" s="256" t="n"/>
      <c r="Q134" s="256" t="n"/>
    </row>
    <row r="135">
      <c r="A135">
        <f>IF(DAY(D135)=DAY($L$1+1),A134+1,A134)</f>
        <v/>
      </c>
      <c r="B135" s="46">
        <f>IF(DAY(D135)=DAY($L$1+1),1,B134+1)</f>
        <v/>
      </c>
      <c r="C135" s="46">
        <f>IF(DAY(D135)=DAY($L$1+1),1,C134+1)</f>
        <v/>
      </c>
      <c r="D135" s="2">
        <f>D134+1</f>
        <v/>
      </c>
      <c r="E135" s="8">
        <f>IF(DAY(D135)=DAY($L$1+1),TRUNC((N134),8),E134)</f>
        <v/>
      </c>
      <c r="F135" s="49">
        <f>TRUNC(((1+VLOOKUP(A135,IPCA!$A$2:$C$140,3,0)))^(C135/(EDATE(D135-C135,1)-(D135-C135))),8)</f>
        <v/>
      </c>
      <c r="G135" s="49">
        <f>TRUNC((E135*F135),8)</f>
        <v/>
      </c>
      <c r="H135" s="49">
        <f>ROUND(((1+$H$4)^(30/360))^(C135/(EDATE(D135-B135,1)-(D135-B135))),9)</f>
        <v/>
      </c>
      <c r="I135" s="49">
        <f>TRUNC((G135*H135-G135),8)</f>
        <v/>
      </c>
      <c r="J135" s="49">
        <f>G135+I135</f>
        <v/>
      </c>
      <c r="K135" s="256" t="n"/>
      <c r="L135" s="256" t="n"/>
      <c r="M135" s="256" t="n"/>
      <c r="N135" s="256" t="n"/>
      <c r="O135" s="256" t="n"/>
      <c r="P135" s="256" t="n"/>
      <c r="Q135" s="256" t="n"/>
    </row>
    <row r="136">
      <c r="A136">
        <f>IF(DAY(D136)=DAY($L$1+1),A135+1,A135)</f>
        <v/>
      </c>
      <c r="B136" s="46">
        <f>IF(DAY(D136)=DAY($L$1+1),1,B135+1)</f>
        <v/>
      </c>
      <c r="C136" s="46">
        <f>IF(DAY(D136)=DAY($L$1+1),1,C135+1)</f>
        <v/>
      </c>
      <c r="D136" s="2">
        <f>D135+1</f>
        <v/>
      </c>
      <c r="E136" s="8">
        <f>IF(DAY(D136)=DAY($L$1+1),TRUNC((N135),8),E135)</f>
        <v/>
      </c>
      <c r="F136" s="49">
        <f>TRUNC(((1+VLOOKUP(A136,IPCA!$A$2:$C$140,3,0)))^(C136/(EDATE(D136-C136,1)-(D136-C136))),8)</f>
        <v/>
      </c>
      <c r="G136" s="49">
        <f>TRUNC((E136*F136),8)</f>
        <v/>
      </c>
      <c r="H136" s="49">
        <f>ROUND(((1+$H$4)^(30/360))^(C136/(EDATE(D136-B136,1)-(D136-B136))),9)</f>
        <v/>
      </c>
      <c r="I136" s="49">
        <f>TRUNC((G136*H136-G136),8)</f>
        <v/>
      </c>
      <c r="J136" s="49">
        <f>G136+I136</f>
        <v/>
      </c>
      <c r="K136" s="256" t="n"/>
      <c r="L136" s="256" t="n"/>
      <c r="M136" s="256" t="n"/>
      <c r="N136" s="256" t="n"/>
      <c r="O136" s="256" t="n"/>
      <c r="P136" s="256" t="n"/>
      <c r="Q136" s="256" t="n"/>
    </row>
    <row r="137">
      <c r="A137">
        <f>IF(DAY(D137)=DAY($L$1+1),A136+1,A136)</f>
        <v/>
      </c>
      <c r="B137" s="46">
        <f>IF(DAY(D137)=DAY($L$1+1),1,B136+1)</f>
        <v/>
      </c>
      <c r="C137" s="46">
        <f>IF(DAY(D137)=DAY($L$1+1),1,C136+1)</f>
        <v/>
      </c>
      <c r="D137" s="2">
        <f>D136+1</f>
        <v/>
      </c>
      <c r="E137" s="8">
        <f>IF(DAY(D137)=DAY($L$1+1),TRUNC((N136),8),E136)</f>
        <v/>
      </c>
      <c r="F137" s="49">
        <f>TRUNC(((1+VLOOKUP(A137,IPCA!$A$2:$C$140,3,0)))^(C137/(EDATE(D137-C137,1)-(D137-C137))),8)</f>
        <v/>
      </c>
      <c r="G137" s="49">
        <f>TRUNC((E137*F137),8)</f>
        <v/>
      </c>
      <c r="H137" s="49">
        <f>ROUND(((1+$H$4)^(30/360))^(C137/(EDATE(D137-B137,1)-(D137-B137))),9)</f>
        <v/>
      </c>
      <c r="I137" s="49">
        <f>TRUNC((G137*H137-G137),8)</f>
        <v/>
      </c>
      <c r="J137" s="49">
        <f>G137+I137</f>
        <v/>
      </c>
      <c r="K137" s="256" t="n"/>
      <c r="L137" s="256" t="n"/>
      <c r="M137" s="256" t="n"/>
      <c r="N137" s="256" t="n"/>
      <c r="O137" s="256" t="n"/>
      <c r="P137" s="256" t="n"/>
      <c r="Q137" s="256" t="n"/>
    </row>
    <row r="138">
      <c r="A138">
        <f>IF(DAY(D138)=DAY($L$1+1),A137+1,A137)</f>
        <v/>
      </c>
      <c r="B138" s="46">
        <f>IF(DAY(D138)=DAY($L$1+1),1,B137+1)</f>
        <v/>
      </c>
      <c r="C138" s="46">
        <f>IF(DAY(D138)=DAY($L$1+1),1,C137+1)</f>
        <v/>
      </c>
      <c r="D138" s="2">
        <f>D137+1</f>
        <v/>
      </c>
      <c r="E138" s="8">
        <f>IF(DAY(D138)=DAY($L$1+1),TRUNC((N137),8),E137)</f>
        <v/>
      </c>
      <c r="F138" s="49">
        <f>TRUNC(((1+VLOOKUP(A138,IPCA!$A$2:$C$140,3,0)))^(C138/(EDATE(D138-C138,1)-(D138-C138))),8)</f>
        <v/>
      </c>
      <c r="G138" s="49">
        <f>TRUNC((E138*F138),8)</f>
        <v/>
      </c>
      <c r="H138" s="49">
        <f>ROUND(((1+$H$4)^(30/360))^(C138/(EDATE(D138-B138,1)-(D138-B138))),9)</f>
        <v/>
      </c>
      <c r="I138" s="49">
        <f>TRUNC((G138*H138-G138),8)</f>
        <v/>
      </c>
      <c r="J138" s="49">
        <f>G138+I138</f>
        <v/>
      </c>
      <c r="K138" s="256" t="n"/>
      <c r="L138" s="256" t="n"/>
      <c r="M138" s="256" t="n"/>
      <c r="N138" s="256" t="n"/>
      <c r="O138" s="256" t="n"/>
      <c r="P138" s="256" t="n"/>
      <c r="Q138" s="256" t="n"/>
    </row>
    <row r="139">
      <c r="A139">
        <f>IF(DAY(D139)=DAY($L$1+1),A138+1,A138)</f>
        <v/>
      </c>
      <c r="B139" s="46">
        <f>IF(DAY(D139)=DAY($L$1+1),1,B138+1)</f>
        <v/>
      </c>
      <c r="C139" s="46">
        <f>IF(DAY(D139)=DAY($L$1+1),1,C138+1)</f>
        <v/>
      </c>
      <c r="D139" s="2">
        <f>D138+1</f>
        <v/>
      </c>
      <c r="E139" s="8">
        <f>IF(DAY(D139)=DAY($L$1+1),TRUNC((N138),8),E138)</f>
        <v/>
      </c>
      <c r="F139" s="49">
        <f>TRUNC(((1+VLOOKUP(A139,IPCA!$A$2:$C$140,3,0)))^(C139/(EDATE(D139-C139,1)-(D139-C139))),8)</f>
        <v/>
      </c>
      <c r="G139" s="49">
        <f>TRUNC((E139*F139),8)</f>
        <v/>
      </c>
      <c r="H139" s="49">
        <f>ROUND(((1+$H$4)^(30/360))^(C139/(EDATE(D139-B139,1)-(D139-B139))),9)</f>
        <v/>
      </c>
      <c r="I139" s="49">
        <f>TRUNC((G139*H139-G139),8)</f>
        <v/>
      </c>
      <c r="J139" s="49">
        <f>G139+I139</f>
        <v/>
      </c>
      <c r="K139" s="256" t="n"/>
      <c r="L139" s="256" t="n"/>
      <c r="M139" s="256" t="n"/>
      <c r="N139" s="256" t="n"/>
      <c r="O139" s="256" t="n"/>
      <c r="P139" s="256" t="n"/>
      <c r="Q139" s="256" t="n"/>
    </row>
    <row r="140">
      <c r="A140">
        <f>IF(DAY(D140)=DAY($L$1+1),A139+1,A139)</f>
        <v/>
      </c>
      <c r="B140" s="46">
        <f>IF(DAY(D140)=DAY($L$1+1),1,B139+1)</f>
        <v/>
      </c>
      <c r="C140" s="46">
        <f>IF(DAY(D140)=DAY($L$1+1),1,C139+1)</f>
        <v/>
      </c>
      <c r="D140" s="2">
        <f>D139+1</f>
        <v/>
      </c>
      <c r="E140" s="8">
        <f>IF(DAY(D140)=DAY($L$1+1),TRUNC((N139),8),E139)</f>
        <v/>
      </c>
      <c r="F140" s="49">
        <f>TRUNC(((1+VLOOKUP(A140,IPCA!$A$2:$C$140,3,0)))^(C140/(EDATE(D140-C140,1)-(D140-C140))),8)</f>
        <v/>
      </c>
      <c r="G140" s="49">
        <f>TRUNC((E140*F140),8)</f>
        <v/>
      </c>
      <c r="H140" s="49">
        <f>ROUND(((1+$H$4)^(30/360))^(C140/(EDATE(D140-B140,1)-(D140-B140))),9)</f>
        <v/>
      </c>
      <c r="I140" s="49">
        <f>TRUNC((G140*H140-G140),8)</f>
        <v/>
      </c>
      <c r="J140" s="49">
        <f>G140+I140</f>
        <v/>
      </c>
      <c r="K140" s="256" t="inlineStr">
        <is>
          <t>Cri Integralizado</t>
        </is>
      </c>
      <c r="L140" s="270">
        <f>L109</f>
        <v/>
      </c>
      <c r="M140" s="256" t="n"/>
      <c r="N140" s="256" t="n"/>
      <c r="O140" s="256" t="n"/>
      <c r="P140" s="256" t="n"/>
      <c r="Q140" s="256" t="n"/>
    </row>
    <row r="141">
      <c r="A141">
        <f>IF(DAY(D141)=DAY($L$1+1),A140+1,A140)</f>
        <v/>
      </c>
      <c r="B141" s="46">
        <f>IF(DAY(D141)=DAY($L$1+1),1,B140+1)</f>
        <v/>
      </c>
      <c r="C141" s="46">
        <f>IF(DAY(D141)=DAY($L$1+1),1,C140+1)</f>
        <v/>
      </c>
      <c r="D141" s="47">
        <f>D140+1</f>
        <v/>
      </c>
      <c r="E141" s="8">
        <f>IF(DAY(D141)=DAY($L$1+1),TRUNC((N140),8),E140)</f>
        <v/>
      </c>
      <c r="F141" s="49">
        <f>TRUNC(((1+VLOOKUP(A141,IPCA!$A$2:$C$140,3,0)))^(C141/(EDATE(D141-C141,1)-(D141-C141))),8)</f>
        <v/>
      </c>
      <c r="G141" s="49">
        <f>TRUNC((E141*F141),8)</f>
        <v/>
      </c>
      <c r="H141" s="49">
        <f>ROUND(((1+$H$4)^(30/360))^(C141/(EDATE(D141-B141,1)-(D141-B141))),9)</f>
        <v/>
      </c>
      <c r="I141" s="49">
        <f>TRUNC((G141*H141-G141),8)</f>
        <v/>
      </c>
      <c r="J141" s="49">
        <f>G141+I141</f>
        <v/>
      </c>
      <c r="K141" s="118" t="inlineStr">
        <is>
          <t>JUROS</t>
        </is>
      </c>
      <c r="L141" s="118" t="inlineStr">
        <is>
          <t>AMORTIZAÇÃO</t>
        </is>
      </c>
      <c r="M141" s="118" t="inlineStr">
        <is>
          <t>AMEX</t>
        </is>
      </c>
      <c r="N141" s="118" t="inlineStr">
        <is>
          <t>RESIDUAL</t>
        </is>
      </c>
      <c r="O141" s="256" t="n"/>
      <c r="P141" s="256" t="n"/>
      <c r="Q141" s="256" t="n"/>
    </row>
    <row r="142">
      <c r="A142">
        <f>IF(DAY(D142)=DAY($L$1+1),A141+1,A141)</f>
        <v/>
      </c>
      <c r="B142" s="111">
        <f>IF(DAY(D142)=DAY($L$1+1),1,B141+1)</f>
        <v/>
      </c>
      <c r="C142" s="111">
        <f>IF(DAY(D142)=DAY($L$1+1),1,C141+1)</f>
        <v/>
      </c>
      <c r="D142" s="112">
        <f>D141+1</f>
        <v/>
      </c>
      <c r="E142" s="113">
        <f>IF(DAY(D142)=DAY($L$1+1),TRUNC((N141),8),E141)</f>
        <v/>
      </c>
      <c r="F142" s="114">
        <f>TRUNC(((1+VLOOKUP(A142,IPCA!$A$2:$C$140,3,0)))^(C142/(EDATE(D142-C142,1)-(D142-C142))),8)</f>
        <v/>
      </c>
      <c r="G142" s="114">
        <f>TRUNC((E142*F142),8)</f>
        <v/>
      </c>
      <c r="H142" s="114">
        <f>ROUND(((1+$H$4)^(30/360))^(C142/(EDATE(D142-B142,1)-(D142-B142))),9)</f>
        <v/>
      </c>
      <c r="I142" s="114">
        <f>TRUNC((G142*H142-G142),8)</f>
        <v/>
      </c>
      <c r="J142" s="114">
        <f>G142+I142</f>
        <v/>
      </c>
      <c r="K142" s="119" t="n">
        <v>0</v>
      </c>
      <c r="L142" s="120">
        <f>TRUNC(G142*VLOOKUP(D142,'Amort TS'!$G$3:$H$140,2,0),8)</f>
        <v/>
      </c>
      <c r="M142" s="120" t="n">
        <v>0</v>
      </c>
      <c r="N142" s="120">
        <f>J142-K142-L142-M142</f>
        <v/>
      </c>
      <c r="O142" s="256" t="n"/>
      <c r="P142" s="256" t="n"/>
      <c r="Q142" s="256" t="n"/>
    </row>
    <row r="143">
      <c r="A143">
        <f>IF(DAY(D143)=DAY($L$1+1),A142+1,A142)</f>
        <v/>
      </c>
      <c r="B143" s="46">
        <f>IF(DAY(D143)=DAY($L$1+1),1,B142+1)</f>
        <v/>
      </c>
      <c r="C143" s="46">
        <f>IF(DAY(D143)=DAY($L$1+1),1,C142+1)</f>
        <v/>
      </c>
      <c r="D143" s="2">
        <f>D142+1</f>
        <v/>
      </c>
      <c r="E143" s="8">
        <f>IF(DAY(D143)=DAY($L$1+1),TRUNC((N142),8),E142)</f>
        <v/>
      </c>
      <c r="F143" s="49">
        <f>TRUNC(((1+VLOOKUP(A143,IPCA!$A$2:$C$140,3,0)))^(C143/(EDATE(D143-C143,1)-(D143-C143))),8)</f>
        <v/>
      </c>
      <c r="G143" s="49">
        <f>TRUNC((E143*F143),8)</f>
        <v/>
      </c>
      <c r="H143" s="49">
        <f>ROUND(((1+$H$4)^(30/360))^(C143/(EDATE(D143-B143,1)-(D143-B143))),9)</f>
        <v/>
      </c>
      <c r="I143" s="49">
        <f>TRUNC((G143*H143-G143),8)</f>
        <v/>
      </c>
      <c r="J143" s="49">
        <f>G143+I143</f>
        <v/>
      </c>
      <c r="K143" s="121">
        <f>K142*L140</f>
        <v/>
      </c>
      <c r="L143" s="121">
        <f>L142*L140</f>
        <v/>
      </c>
      <c r="M143" s="121">
        <f>M142*L140</f>
        <v/>
      </c>
      <c r="N143" s="121">
        <f>N142*L140</f>
        <v/>
      </c>
      <c r="O143" s="256" t="n"/>
      <c r="P143" s="256" t="n"/>
      <c r="Q143" s="256" t="n"/>
    </row>
    <row r="144">
      <c r="A144">
        <f>IF(DAY(D144)=DAY($L$1+1),A143+1,A143)</f>
        <v/>
      </c>
      <c r="B144" s="46">
        <f>IF(DAY(D144)=DAY($L$1+1),1,B143+1)</f>
        <v/>
      </c>
      <c r="C144" s="46">
        <f>IF(DAY(D144)=DAY($L$1+1),1,C143+1)</f>
        <v/>
      </c>
      <c r="D144" s="2">
        <f>D143+1</f>
        <v/>
      </c>
      <c r="E144" s="8">
        <f>IF(DAY(D144)=DAY($L$1+1),TRUNC((N143),8),E143)</f>
        <v/>
      </c>
      <c r="F144" s="49">
        <f>TRUNC(((1+VLOOKUP(A144,IPCA!$A$2:$C$140,3,0)))^(C144/(EDATE(D144-C144,1)-(D144-C144))),8)</f>
        <v/>
      </c>
      <c r="G144" s="49">
        <f>TRUNC((E144*F144),8)</f>
        <v/>
      </c>
      <c r="H144" s="49">
        <f>ROUND(((1+$H$4)^(30/360))^(C144/(EDATE(D144-B144,1)-(D144-B144))),9)</f>
        <v/>
      </c>
      <c r="I144" s="49">
        <f>TRUNC((G144*H144-G144),8)</f>
        <v/>
      </c>
      <c r="J144" s="49">
        <f>G144+I144</f>
        <v/>
      </c>
      <c r="K144" s="256" t="n"/>
      <c r="L144" s="256" t="n"/>
      <c r="M144" s="256" t="n"/>
      <c r="N144" s="256" t="n"/>
      <c r="O144" s="256" t="n"/>
      <c r="P144" s="256" t="n"/>
      <c r="Q144" s="256" t="n"/>
    </row>
    <row r="145">
      <c r="A145">
        <f>IF(DAY(D145)=DAY($L$1+1),A144+1,A144)</f>
        <v/>
      </c>
      <c r="B145" s="46">
        <f>IF(DAY(D145)=DAY($L$1+1),1,B144+1)</f>
        <v/>
      </c>
      <c r="C145" s="46">
        <f>IF(DAY(D145)=DAY($L$1+1),1,C144+1)</f>
        <v/>
      </c>
      <c r="D145" s="2">
        <f>D144+1</f>
        <v/>
      </c>
      <c r="E145" s="8">
        <f>IF(DAY(D145)=DAY($L$1+1),TRUNC((#REF!),8),E144)</f>
        <v/>
      </c>
      <c r="F145" s="49">
        <f>TRUNC(((1+VLOOKUP(A145,IPCA!$A$2:$C$140,3,0)))^(C145/(EDATE(D145-C145,1)-(D145-C145))),8)</f>
        <v/>
      </c>
      <c r="G145" s="49">
        <f>TRUNC((E145*F145),8)</f>
        <v/>
      </c>
      <c r="H145" s="49">
        <f>ROUND(((1+$H$4)^(30/360))^(C145/(EDATE(D145-B145,1)-(D145-B145))),9)</f>
        <v/>
      </c>
      <c r="I145" s="49">
        <f>TRUNC((G145*H145-G145),8)</f>
        <v/>
      </c>
      <c r="J145" s="49">
        <f>G145+I145</f>
        <v/>
      </c>
      <c r="K145" s="256" t="n"/>
      <c r="L145" s="256" t="n"/>
      <c r="M145" s="256" t="n"/>
      <c r="N145" s="256" t="n"/>
      <c r="O145" s="256" t="n"/>
      <c r="P145" s="256" t="n"/>
      <c r="Q145" s="256" t="n"/>
    </row>
    <row r="146">
      <c r="A146">
        <f>IF(DAY(D146)=DAY($L$1+1),A145+1,A145)</f>
        <v/>
      </c>
      <c r="B146" s="46">
        <f>IF(DAY(D146)=DAY($L$1+1),1,B145+1)</f>
        <v/>
      </c>
      <c r="C146" s="46">
        <f>IF(DAY(D146)=DAY($L$1+1),1,C145+1)</f>
        <v/>
      </c>
      <c r="D146" s="2">
        <f>D145+1</f>
        <v/>
      </c>
      <c r="E146" s="8">
        <f>IF(DAY(D146)=DAY($L$1+1),TRUNC((#REF!),8),E145)</f>
        <v/>
      </c>
      <c r="F146" s="49">
        <f>TRUNC(((1+VLOOKUP(A146,IPCA!$A$2:$C$140,3,0)))^(C146/(EDATE(D146-C146,1)-(D146-C146))),8)</f>
        <v/>
      </c>
      <c r="G146" s="49">
        <f>TRUNC((E146*F146),8)</f>
        <v/>
      </c>
      <c r="H146" s="49">
        <f>ROUND(((1+$H$4)^(30/360))^(C146/(EDATE(D146-B146,1)-(D146-B146))),9)</f>
        <v/>
      </c>
      <c r="I146" s="49">
        <f>TRUNC((G146*H146-G146),8)</f>
        <v/>
      </c>
      <c r="J146" s="49">
        <f>G146+I146</f>
        <v/>
      </c>
      <c r="K146" s="256" t="n"/>
      <c r="L146" s="256" t="n"/>
      <c r="M146" s="256" t="n"/>
      <c r="N146" s="256" t="n"/>
      <c r="O146" s="256" t="n"/>
      <c r="P146" s="256" t="n"/>
      <c r="Q146" s="256" t="n"/>
    </row>
    <row r="147">
      <c r="A147">
        <f>IF(DAY(D147)=DAY($L$1+1),A146+1,A146)</f>
        <v/>
      </c>
      <c r="B147" s="46">
        <f>IF(DAY(D147)=DAY($L$1+1),1,B146+1)</f>
        <v/>
      </c>
      <c r="C147" s="46">
        <f>IF(DAY(D147)=DAY($L$1+1),1,C146+1)</f>
        <v/>
      </c>
      <c r="D147" s="2">
        <f>D146+1</f>
        <v/>
      </c>
      <c r="E147" s="8">
        <f>IF(DAY(D147)=DAY($L$1+1),TRUNC((#REF!),8),E146)</f>
        <v/>
      </c>
      <c r="F147" s="49">
        <f>TRUNC(((1+VLOOKUP(A147,IPCA!$A$2:$C$140,3,0)))^(C147/(EDATE(D147-C147,1)-(D147-C147))),8)</f>
        <v/>
      </c>
      <c r="G147" s="49">
        <f>TRUNC((E147*F147),8)</f>
        <v/>
      </c>
      <c r="H147" s="49">
        <f>ROUND(((1+$H$4)^(30/360))^(C147/(EDATE(D147-B147,1)-(D147-B147))),9)</f>
        <v/>
      </c>
      <c r="I147" s="49">
        <f>TRUNC((G147*H147-G147),8)</f>
        <v/>
      </c>
      <c r="J147" s="49">
        <f>G147+I147</f>
        <v/>
      </c>
      <c r="K147" s="256" t="n"/>
      <c r="L147" s="256" t="n"/>
      <c r="M147" s="256" t="n"/>
      <c r="N147" s="256" t="n"/>
      <c r="O147" s="256" t="n"/>
      <c r="P147" s="256" t="n"/>
      <c r="Q147" s="256" t="n"/>
    </row>
    <row r="148">
      <c r="A148">
        <f>IF(DAY(D148)=DAY($L$1+1),A147+1,A147)</f>
        <v/>
      </c>
      <c r="B148" s="46">
        <f>IF(DAY(D148)=DAY($L$1+1),1,B147+1)</f>
        <v/>
      </c>
      <c r="C148" s="46">
        <f>IF(DAY(D148)=DAY($L$1+1),1,C147+1)</f>
        <v/>
      </c>
      <c r="D148" s="2">
        <f>D147+1</f>
        <v/>
      </c>
      <c r="E148" s="8">
        <f>IF(DAY(D148)=DAY($L$1+1),TRUNC((#REF!),8),E147)</f>
        <v/>
      </c>
      <c r="F148" s="49">
        <f>TRUNC(((1+VLOOKUP(A148,IPCA!$A$2:$C$140,3,0)))^(C148/(EDATE(D148-C148,1)-(D148-C148))),8)</f>
        <v/>
      </c>
      <c r="G148" s="49">
        <f>TRUNC((E148*F148),8)</f>
        <v/>
      </c>
      <c r="H148" s="49">
        <f>ROUND(((1+$H$4)^(30/360))^(C148/(EDATE(D148-B148,1)-(D148-B148))),9)</f>
        <v/>
      </c>
      <c r="I148" s="49">
        <f>TRUNC((G148*H148-G148),8)</f>
        <v/>
      </c>
      <c r="J148" s="49">
        <f>G148+I148</f>
        <v/>
      </c>
      <c r="K148" s="256" t="n"/>
      <c r="L148" s="256" t="n"/>
      <c r="M148" s="256" t="n"/>
      <c r="N148" s="256" t="n"/>
      <c r="O148" s="256" t="n"/>
      <c r="P148" s="256" t="n"/>
      <c r="Q148" s="256" t="n"/>
    </row>
    <row r="149">
      <c r="A149">
        <f>IF(DAY(D149)=DAY($L$1+1),A148+1,A148)</f>
        <v/>
      </c>
      <c r="B149" s="46">
        <f>IF(DAY(D149)=DAY($L$1+1),1,B148+1)</f>
        <v/>
      </c>
      <c r="C149" s="46">
        <f>IF(DAY(D149)=DAY($L$1+1),1,C148+1)</f>
        <v/>
      </c>
      <c r="D149" s="2">
        <f>D148+1</f>
        <v/>
      </c>
      <c r="E149" s="8">
        <f>IF(DAY(D149)=DAY($L$1+1),TRUNC((#REF!),8),E148)</f>
        <v/>
      </c>
      <c r="F149" s="49">
        <f>TRUNC(((1+VLOOKUP(A149,IPCA!$A$2:$C$140,3,0)))^(C149/(EDATE(D149-C149,1)-(D149-C149))),8)</f>
        <v/>
      </c>
      <c r="G149" s="49">
        <f>TRUNC((E149*F149),8)</f>
        <v/>
      </c>
      <c r="H149" s="49">
        <f>ROUND(((1+$H$4)^(30/360))^(C149/(EDATE(D149-B149,1)-(D149-B149))),9)</f>
        <v/>
      </c>
      <c r="I149" s="49">
        <f>TRUNC((G149*H149-G149),8)</f>
        <v/>
      </c>
      <c r="J149" s="49">
        <f>G149+I149</f>
        <v/>
      </c>
      <c r="K149" s="256" t="n"/>
      <c r="L149" s="256" t="n"/>
      <c r="M149" s="256" t="n"/>
      <c r="N149" s="256" t="n"/>
      <c r="O149" s="256" t="n"/>
      <c r="P149" s="256" t="n"/>
      <c r="Q149" s="256" t="n"/>
    </row>
    <row r="150">
      <c r="A150">
        <f>IF(DAY(D150)=DAY($L$1+1),A149+1,A149)</f>
        <v/>
      </c>
      <c r="B150" s="46">
        <f>IF(DAY(D150)=DAY($L$1+1),1,B149+1)</f>
        <v/>
      </c>
      <c r="C150" s="46">
        <f>IF(DAY(D150)=DAY($L$1+1),1,C149+1)</f>
        <v/>
      </c>
      <c r="D150" s="2">
        <f>D149+1</f>
        <v/>
      </c>
      <c r="E150" s="8">
        <f>IF(DAY(D150)=DAY($L$1+1),TRUNC((#REF!),8),E149)</f>
        <v/>
      </c>
      <c r="F150" s="49">
        <f>TRUNC(((1+VLOOKUP(A150,IPCA!$A$2:$C$140,3,0)))^(C150/(EDATE(D150-C150,1)-(D150-C150))),8)</f>
        <v/>
      </c>
      <c r="G150" s="49">
        <f>TRUNC((E150*F150),8)</f>
        <v/>
      </c>
      <c r="H150" s="49">
        <f>ROUND(((1+$H$4)^(30/360))^(C150/(EDATE(D150-B150,1)-(D150-B150))),9)</f>
        <v/>
      </c>
      <c r="I150" s="49">
        <f>TRUNC((G150*H150-G150),8)</f>
        <v/>
      </c>
      <c r="J150" s="49">
        <f>G150+I150</f>
        <v/>
      </c>
      <c r="K150" s="256" t="n"/>
      <c r="L150" s="256" t="n"/>
      <c r="M150" s="256" t="n"/>
      <c r="N150" s="256" t="n"/>
      <c r="O150" s="256" t="n"/>
      <c r="P150" s="256" t="n"/>
      <c r="Q150" s="256" t="n"/>
    </row>
    <row r="151">
      <c r="A151">
        <f>IF(DAY(D151)=DAY($L$1+1),A150+1,A150)</f>
        <v/>
      </c>
      <c r="B151" s="46">
        <f>IF(DAY(D151)=DAY($L$1+1),1,B150+1)</f>
        <v/>
      </c>
      <c r="C151" s="46">
        <f>IF(DAY(D151)=DAY($L$1+1),1,C150+1)</f>
        <v/>
      </c>
      <c r="D151" s="2">
        <f>D150+1</f>
        <v/>
      </c>
      <c r="E151" s="8">
        <f>IF(DAY(D151)=DAY($L$1+1),TRUNC((#REF!),8),E150)</f>
        <v/>
      </c>
      <c r="F151" s="49">
        <f>TRUNC(((1+VLOOKUP(A151,IPCA!$A$2:$C$140,3,0)))^(C151/(EDATE(D151-C151,1)-(D151-C151))),8)</f>
        <v/>
      </c>
      <c r="G151" s="49">
        <f>TRUNC((E151*F151),8)</f>
        <v/>
      </c>
      <c r="H151" s="49">
        <f>ROUND(((1+$H$4)^(30/360))^(C151/(EDATE(D151-B151,1)-(D151-B151))),9)</f>
        <v/>
      </c>
      <c r="I151" s="49">
        <f>TRUNC((G151*H151-G151),8)</f>
        <v/>
      </c>
      <c r="J151" s="49">
        <f>G151+I151</f>
        <v/>
      </c>
      <c r="K151" s="256" t="n"/>
      <c r="L151" s="256" t="n"/>
      <c r="M151" s="256" t="n"/>
      <c r="N151" s="256" t="n"/>
      <c r="O151" s="256" t="n"/>
      <c r="P151" s="256" t="n"/>
      <c r="Q151" s="256" t="n"/>
    </row>
    <row r="152">
      <c r="A152">
        <f>IF(DAY(D152)=DAY($L$1+1),A151+1,A151)</f>
        <v/>
      </c>
      <c r="B152" s="46">
        <f>IF(DAY(D152)=DAY($L$1+1),1,B151+1)</f>
        <v/>
      </c>
      <c r="C152" s="46">
        <f>IF(DAY(D152)=DAY($L$1+1),1,C151+1)</f>
        <v/>
      </c>
      <c r="D152" s="2">
        <f>D151+1</f>
        <v/>
      </c>
      <c r="E152" s="8">
        <f>IF(DAY(D152)=DAY($L$1+1),TRUNC((#REF!),8),E151)</f>
        <v/>
      </c>
      <c r="F152" s="49">
        <f>TRUNC(((1+VLOOKUP(A152,IPCA!$A$2:$C$140,3,0)))^(C152/(EDATE(D152-C152,1)-(D152-C152))),8)</f>
        <v/>
      </c>
      <c r="G152" s="49">
        <f>TRUNC((E152*F152),8)</f>
        <v/>
      </c>
      <c r="H152" s="49">
        <f>ROUND(((1+$H$4)^(30/360))^(C152/(EDATE(D152-B152,1)-(D152-B152))),9)</f>
        <v/>
      </c>
      <c r="I152" s="49">
        <f>TRUNC((G152*H152-G152),8)</f>
        <v/>
      </c>
      <c r="J152" s="49">
        <f>G152+I152</f>
        <v/>
      </c>
      <c r="K152" s="256" t="n"/>
      <c r="L152" s="256" t="n"/>
      <c r="M152" s="256" t="n"/>
      <c r="N152" s="256" t="n"/>
      <c r="O152" s="256" t="n"/>
      <c r="P152" s="256" t="n"/>
      <c r="Q152" s="256" t="n"/>
    </row>
    <row r="153">
      <c r="A153">
        <f>IF(DAY(D153)=DAY($L$1+1),A152+1,A152)</f>
        <v/>
      </c>
      <c r="B153" s="46">
        <f>IF(DAY(D153)=DAY($L$1+1),1,B152+1)</f>
        <v/>
      </c>
      <c r="C153" s="46">
        <f>IF(DAY(D153)=DAY($L$1+1),1,C152+1)</f>
        <v/>
      </c>
      <c r="D153" s="2">
        <f>D152+1</f>
        <v/>
      </c>
      <c r="E153" s="8">
        <f>IF(DAY(D153)=DAY($L$1+1),TRUNC((N152),8),E152)</f>
        <v/>
      </c>
      <c r="F153" s="49">
        <f>TRUNC(((1+VLOOKUP(A153,IPCA!$A$2:$C$140,3,0)))^(C153/(EDATE(D153-C153,1)-(D153-C153))),8)</f>
        <v/>
      </c>
      <c r="G153" s="49">
        <f>TRUNC((E153*F153),8)</f>
        <v/>
      </c>
      <c r="H153" s="49">
        <f>ROUND(((1+$H$4)^(30/360))^(C153/(EDATE(D153-B153,1)-(D153-B153))),9)</f>
        <v/>
      </c>
      <c r="I153" s="49">
        <f>TRUNC((G153*H153-G153),8)</f>
        <v/>
      </c>
      <c r="J153" s="49">
        <f>G153+I153</f>
        <v/>
      </c>
      <c r="K153" s="256" t="n"/>
      <c r="L153" s="256" t="n"/>
      <c r="M153" s="256" t="n"/>
      <c r="N153" s="256" t="n"/>
      <c r="O153" s="256" t="n"/>
      <c r="P153" s="256" t="n"/>
      <c r="Q153" s="256" t="n"/>
    </row>
    <row r="154">
      <c r="A154">
        <f>IF(DAY(D154)=DAY($L$1+1),A153+1,A153)</f>
        <v/>
      </c>
      <c r="B154" s="46">
        <f>IF(DAY(D154)=DAY($L$1+1),1,B153+1)</f>
        <v/>
      </c>
      <c r="C154" s="46">
        <f>IF(DAY(D154)=DAY($L$1+1),1,C153+1)</f>
        <v/>
      </c>
      <c r="D154" s="2">
        <f>D153+1</f>
        <v/>
      </c>
      <c r="E154" s="8">
        <f>IF(DAY(D154)=DAY($L$1+1),TRUNC((N153),8),E153)</f>
        <v/>
      </c>
      <c r="F154" s="49">
        <f>TRUNC(((1+VLOOKUP(A154,IPCA!$A$2:$C$140,3,0)))^(C154/(EDATE(D154-C154,1)-(D154-C154))),8)</f>
        <v/>
      </c>
      <c r="G154" s="49">
        <f>TRUNC((E154*F154),8)</f>
        <v/>
      </c>
      <c r="H154" s="49">
        <f>ROUND(((1+$H$4)^(30/360))^(C154/(EDATE(D154-B154,1)-(D154-B154))),9)</f>
        <v/>
      </c>
      <c r="I154" s="49">
        <f>TRUNC((G154*H154-G154),8)</f>
        <v/>
      </c>
      <c r="J154" s="49">
        <f>G154+I154</f>
        <v/>
      </c>
      <c r="K154" s="256" t="n"/>
      <c r="L154" s="256" t="n"/>
      <c r="M154" s="256" t="n"/>
      <c r="N154" s="256" t="n"/>
      <c r="O154" s="256" t="n"/>
      <c r="P154" s="256" t="n"/>
      <c r="Q154" s="256" t="n"/>
    </row>
    <row r="155">
      <c r="A155">
        <f>IF(DAY(D155)=DAY($L$1+1),A154+1,A154)</f>
        <v/>
      </c>
      <c r="B155" s="46">
        <f>IF(DAY(D155)=DAY($L$1+1),1,B154+1)</f>
        <v/>
      </c>
      <c r="C155" s="46">
        <f>IF(DAY(D155)=DAY($L$1+1),1,C154+1)</f>
        <v/>
      </c>
      <c r="D155" s="2">
        <f>D154+1</f>
        <v/>
      </c>
      <c r="E155" s="8">
        <f>IF(DAY(D155)=DAY($L$1+1),TRUNC((N154),8),E154)</f>
        <v/>
      </c>
      <c r="F155" s="49">
        <f>TRUNC(((1+VLOOKUP(A155,IPCA!$A$2:$C$140,3,0)))^(C155/(EDATE(D155-C155,1)-(D155-C155))),8)</f>
        <v/>
      </c>
      <c r="G155" s="49">
        <f>TRUNC((E155*F155),8)</f>
        <v/>
      </c>
      <c r="H155" s="49">
        <f>ROUND(((1+$H$4)^(30/360))^(C155/(EDATE(D155-B155,1)-(D155-B155))),9)</f>
        <v/>
      </c>
      <c r="I155" s="49">
        <f>TRUNC((G155*H155-G155),8)</f>
        <v/>
      </c>
      <c r="J155" s="49">
        <f>G155+I155</f>
        <v/>
      </c>
      <c r="K155" s="256" t="n"/>
      <c r="L155" s="256" t="n"/>
      <c r="M155" s="256" t="n"/>
      <c r="N155" s="256" t="n"/>
      <c r="O155" s="256" t="n"/>
      <c r="P155" s="256" t="n"/>
      <c r="Q155" s="256" t="n"/>
    </row>
    <row r="156">
      <c r="A156">
        <f>IF(DAY(D156)=DAY($L$1+1),A155+1,A155)</f>
        <v/>
      </c>
      <c r="B156" s="46">
        <f>IF(DAY(D156)=DAY($L$1+1),1,B155+1)</f>
        <v/>
      </c>
      <c r="C156" s="46">
        <f>IF(DAY(D156)=DAY($L$1+1),1,C155+1)</f>
        <v/>
      </c>
      <c r="D156" s="2">
        <f>D155+1</f>
        <v/>
      </c>
      <c r="E156" s="8">
        <f>IF(DAY(D156)=DAY($L$1+1),TRUNC((N155),8),E155)</f>
        <v/>
      </c>
      <c r="F156" s="49">
        <f>TRUNC(((1+VLOOKUP(A156,IPCA!$A$2:$C$140,3,0)))^(C156/(EDATE(D156-C156,1)-(D156-C156))),8)</f>
        <v/>
      </c>
      <c r="G156" s="49">
        <f>TRUNC((E156*F156),8)</f>
        <v/>
      </c>
      <c r="H156" s="49">
        <f>ROUND(((1+$H$4)^(30/360))^(C156/(EDATE(D156-B156,1)-(D156-B156))),9)</f>
        <v/>
      </c>
      <c r="I156" s="49">
        <f>TRUNC((G156*H156-G156),8)</f>
        <v/>
      </c>
      <c r="J156" s="49">
        <f>G156+I156</f>
        <v/>
      </c>
      <c r="K156" s="256" t="n"/>
      <c r="L156" s="256" t="n"/>
      <c r="M156" s="256" t="n"/>
      <c r="N156" s="256" t="n"/>
      <c r="O156" s="256" t="n"/>
      <c r="P156" s="256" t="n"/>
      <c r="Q156" s="256" t="n"/>
    </row>
    <row r="157">
      <c r="A157">
        <f>IF(DAY(D157)=DAY($L$1+1),A156+1,A156)</f>
        <v/>
      </c>
      <c r="B157" s="46">
        <f>IF(DAY(D157)=DAY($L$1+1),1,B156+1)</f>
        <v/>
      </c>
      <c r="C157" s="46">
        <f>IF(DAY(D157)=DAY($L$1+1),1,C156+1)</f>
        <v/>
      </c>
      <c r="D157" s="2">
        <f>D156+1</f>
        <v/>
      </c>
      <c r="E157" s="8">
        <f>IF(DAY(D157)=DAY($L$1+1),TRUNC((N156),8),E156)</f>
        <v/>
      </c>
      <c r="F157" s="49">
        <f>TRUNC(((1+VLOOKUP(A157,IPCA!$A$2:$C$140,3,0)))^(C157/(EDATE(D157-C157,1)-(D157-C157))),8)</f>
        <v/>
      </c>
      <c r="G157" s="49">
        <f>TRUNC((E157*F157),8)</f>
        <v/>
      </c>
      <c r="H157" s="49">
        <f>ROUND(((1+$H$4)^(30/360))^(C157/(EDATE(D157-B157,1)-(D157-B157))),9)</f>
        <v/>
      </c>
      <c r="I157" s="49">
        <f>TRUNC((G157*H157-G157),8)</f>
        <v/>
      </c>
      <c r="J157" s="49">
        <f>G157+I157</f>
        <v/>
      </c>
      <c r="K157" s="123" t="n"/>
      <c r="L157" s="271" t="n"/>
      <c r="M157" s="256" t="n"/>
      <c r="N157" s="256" t="n"/>
      <c r="O157" s="256" t="n"/>
      <c r="P157" s="256" t="n"/>
      <c r="Q157" s="256" t="n"/>
    </row>
    <row r="158">
      <c r="A158">
        <f>IF(DAY(D158)=DAY($L$1+1),A157+1,A157)</f>
        <v/>
      </c>
      <c r="B158" s="46">
        <f>IF(DAY(D158)=DAY($L$1+1),1,B157+1)</f>
        <v/>
      </c>
      <c r="C158" s="46">
        <f>IF(DAY(D158)=DAY($L$1+1),1,C157+1)</f>
        <v/>
      </c>
      <c r="D158" s="2">
        <f>D157+1</f>
        <v/>
      </c>
      <c r="E158" s="8">
        <f>IF(DAY(D158)=DAY($L$1+1),TRUNC((N157),8),E157)</f>
        <v/>
      </c>
      <c r="F158" s="49">
        <f>TRUNC(((1+VLOOKUP(A158,IPCA!$A$2:$C$140,3,0)))^(C158/(EDATE(D158-C158,1)-(D158-C158))),8)</f>
        <v/>
      </c>
      <c r="G158" s="49">
        <f>TRUNC((E158*F158),8)</f>
        <v/>
      </c>
      <c r="H158" s="49">
        <f>ROUND(((1+$H$4)^(30/360))^(C158/(EDATE(D158-B158,1)-(D158-B158))),9)</f>
        <v/>
      </c>
      <c r="I158" s="49">
        <f>TRUNC((G158*H158-G158),8)</f>
        <v/>
      </c>
      <c r="J158" s="49">
        <f>G158+I158</f>
        <v/>
      </c>
      <c r="K158" s="256" t="n"/>
      <c r="L158" s="256" t="n"/>
      <c r="M158" s="256" t="n"/>
      <c r="N158" s="256" t="n"/>
      <c r="O158" s="256" t="n"/>
      <c r="P158" s="256" t="n"/>
      <c r="Q158" s="256" t="n"/>
    </row>
    <row r="159">
      <c r="A159">
        <f>IF(DAY(D159)=DAY($L$1+1),A158+1,A158)</f>
        <v/>
      </c>
      <c r="B159" s="46">
        <f>IF(DAY(D159)=DAY($L$1+1),1,B158+1)</f>
        <v/>
      </c>
      <c r="C159" s="46">
        <f>IF(DAY(D159)=DAY($L$1+1),1,C158+1)</f>
        <v/>
      </c>
      <c r="D159" s="2">
        <f>D158+1</f>
        <v/>
      </c>
      <c r="E159" s="8">
        <f>IF(DAY(D159)=DAY($L$1+1),TRUNC((N158),8),E158)</f>
        <v/>
      </c>
      <c r="F159" s="49">
        <f>TRUNC(((1+VLOOKUP(A159,IPCA!$A$2:$C$140,3,0)))^(C159/(EDATE(D159-C159,1)-(D159-C159))),8)</f>
        <v/>
      </c>
      <c r="G159" s="49">
        <f>TRUNC((E159*F159),8)</f>
        <v/>
      </c>
      <c r="H159" s="49">
        <f>ROUND(((1+$H$4)^(30/360))^(C159/(EDATE(D159-B159,1)-(D159-B159))),9)</f>
        <v/>
      </c>
      <c r="I159" s="49">
        <f>TRUNC((G159*H159-G159),8)</f>
        <v/>
      </c>
      <c r="J159" s="49">
        <f>G159+I159</f>
        <v/>
      </c>
      <c r="K159" s="256" t="n"/>
      <c r="L159" s="256" t="n"/>
      <c r="M159" s="256" t="n"/>
      <c r="N159" s="256" t="n"/>
      <c r="O159" s="256" t="n"/>
      <c r="P159" s="256" t="n"/>
      <c r="Q159" s="256" t="n"/>
    </row>
    <row r="160">
      <c r="A160">
        <f>IF(DAY(D160)=DAY($L$1+1),A159+1,A159)</f>
        <v/>
      </c>
      <c r="B160" s="46">
        <f>IF(DAY(D160)=DAY($L$1+1),1,B159+1)</f>
        <v/>
      </c>
      <c r="C160" s="46">
        <f>IF(DAY(D160)=DAY($L$1+1),1,C159+1)</f>
        <v/>
      </c>
      <c r="D160" s="2">
        <f>D159+1</f>
        <v/>
      </c>
      <c r="E160" s="8">
        <f>IF(DAY(D160)=DAY($L$1+1),TRUNC((N159),8),E159)</f>
        <v/>
      </c>
      <c r="F160" s="49">
        <f>TRUNC(((1+VLOOKUP(A160,IPCA!$A$2:$C$140,3,0)))^(C160/(EDATE(D160-C160,1)-(D160-C160))),8)</f>
        <v/>
      </c>
      <c r="G160" s="49">
        <f>TRUNC((E160*F160),8)</f>
        <v/>
      </c>
      <c r="H160" s="49">
        <f>ROUND(((1+$H$4)^(30/360))^(C160/(EDATE(D160-B160,1)-(D160-B160))),9)</f>
        <v/>
      </c>
      <c r="I160" s="49">
        <f>TRUNC((G160*H160-G160),8)</f>
        <v/>
      </c>
      <c r="J160" s="49">
        <f>G160+I160</f>
        <v/>
      </c>
      <c r="K160" s="256" t="n"/>
      <c r="L160" s="256" t="n"/>
      <c r="M160" s="256" t="n"/>
      <c r="N160" s="256" t="n"/>
      <c r="O160" s="256" t="n"/>
      <c r="P160" s="256" t="n"/>
      <c r="Q160" s="256" t="n"/>
    </row>
    <row r="161">
      <c r="A161">
        <f>IF(DAY(D161)=DAY($L$1+1),A160+1,A160)</f>
        <v/>
      </c>
      <c r="B161" s="46">
        <f>IF(DAY(D161)=DAY($L$1+1),1,B160+1)</f>
        <v/>
      </c>
      <c r="C161" s="46">
        <f>IF(DAY(D161)=DAY($L$1+1),1,C160+1)</f>
        <v/>
      </c>
      <c r="D161" s="2">
        <f>D160+1</f>
        <v/>
      </c>
      <c r="E161" s="8">
        <f>IF(DAY(D161)=DAY($L$1+1),TRUNC((N160),8),E160)</f>
        <v/>
      </c>
      <c r="F161" s="49">
        <f>TRUNC(((1+VLOOKUP(A161,IPCA!$A$2:$C$140,3,0)))^(C161/(EDATE(D161-C161,1)-(D161-C161))),8)</f>
        <v/>
      </c>
      <c r="G161" s="49">
        <f>TRUNC((E161*F161),8)</f>
        <v/>
      </c>
      <c r="H161" s="49">
        <f>ROUND(((1+$H$4)^(30/360))^(C161/(EDATE(D161-B161,1)-(D161-B161))),9)</f>
        <v/>
      </c>
      <c r="I161" s="49">
        <f>TRUNC((G161*H161-G161),8)</f>
        <v/>
      </c>
      <c r="J161" s="49">
        <f>G161+I161</f>
        <v/>
      </c>
      <c r="K161" s="256" t="n"/>
      <c r="L161" s="256" t="n"/>
      <c r="M161" s="256" t="n"/>
      <c r="N161" s="256" t="n"/>
      <c r="O161" s="256" t="n"/>
      <c r="P161" s="256" t="n"/>
      <c r="Q161" s="256" t="n"/>
    </row>
    <row r="162">
      <c r="A162">
        <f>IF(DAY(D162)=DAY($L$1+1),A161+1,A161)</f>
        <v/>
      </c>
      <c r="B162" s="46">
        <f>IF(DAY(D162)=DAY($L$1+1),1,B161+1)</f>
        <v/>
      </c>
      <c r="C162" s="46">
        <f>IF(DAY(D162)=DAY($L$1+1),1,C161+1)</f>
        <v/>
      </c>
      <c r="D162" s="2">
        <f>D161+1</f>
        <v/>
      </c>
      <c r="E162" s="8">
        <f>IF(DAY(D162)=DAY($L$1+1),TRUNC((N161),8),E161)</f>
        <v/>
      </c>
      <c r="F162" s="49">
        <f>TRUNC(((1+VLOOKUP(A162,IPCA!$A$2:$C$140,3,0)))^(C162/(EDATE(D162-C162,1)-(D162-C162))),8)</f>
        <v/>
      </c>
      <c r="G162" s="49">
        <f>TRUNC((E162*F162),8)</f>
        <v/>
      </c>
      <c r="H162" s="49">
        <f>ROUND(((1+$H$4)^(30/360))^(C162/(EDATE(D162-B162,1)-(D162-B162))),9)</f>
        <v/>
      </c>
      <c r="I162" s="49">
        <f>TRUNC((G162*H162-G162),8)</f>
        <v/>
      </c>
      <c r="J162" s="49">
        <f>G162+I162</f>
        <v/>
      </c>
      <c r="K162" s="256" t="n"/>
      <c r="L162" s="256" t="n"/>
      <c r="M162" s="256" t="n"/>
      <c r="N162" s="256" t="n"/>
      <c r="O162" s="256" t="n"/>
      <c r="P162" s="256" t="n"/>
      <c r="Q162" s="256" t="n"/>
    </row>
    <row r="163">
      <c r="A163">
        <f>IF(DAY(D163)=DAY($L$1+1),A162+1,A162)</f>
        <v/>
      </c>
      <c r="B163" s="46">
        <f>IF(DAY(D163)=DAY($L$1+1),1,B162+1)</f>
        <v/>
      </c>
      <c r="C163" s="46">
        <f>IF(DAY(D163)=DAY($L$1+1),1,C162+1)</f>
        <v/>
      </c>
      <c r="D163" s="2">
        <f>D162+1</f>
        <v/>
      </c>
      <c r="E163" s="8">
        <f>IF(DAY(D163)=DAY($L$1+1),TRUNC((N162),8),E162)</f>
        <v/>
      </c>
      <c r="F163" s="49">
        <f>TRUNC(((1+VLOOKUP(A163,IPCA!$A$2:$C$140,3,0)))^(C163/(EDATE(D163-C163,1)-(D163-C163))),8)</f>
        <v/>
      </c>
      <c r="G163" s="49">
        <f>TRUNC((E163*F163),8)</f>
        <v/>
      </c>
      <c r="H163" s="49">
        <f>ROUND(((1+$H$4)^(30/360))^(C163/(EDATE(D163-B163,1)-(D163-B163))),9)</f>
        <v/>
      </c>
      <c r="I163" s="49">
        <f>TRUNC((G163*H163-G163),8)</f>
        <v/>
      </c>
      <c r="J163" s="49">
        <f>G163+I163</f>
        <v/>
      </c>
      <c r="K163" s="256" t="n"/>
      <c r="L163" s="256" t="n"/>
      <c r="M163" s="256" t="n"/>
      <c r="N163" s="256" t="n"/>
      <c r="O163" s="256" t="n"/>
      <c r="P163" s="256" t="n"/>
      <c r="Q163" s="256" t="n"/>
    </row>
    <row r="164">
      <c r="A164">
        <f>IF(DAY(D164)=DAY($L$1+1),A163+1,A163)</f>
        <v/>
      </c>
      <c r="B164" s="46">
        <f>IF(DAY(D164)=DAY($L$1+1),1,B163+1)</f>
        <v/>
      </c>
      <c r="C164" s="46">
        <f>IF(DAY(D164)=DAY($L$1+1),1,C163+1)</f>
        <v/>
      </c>
      <c r="D164" s="2">
        <f>D163+1</f>
        <v/>
      </c>
      <c r="E164" s="8">
        <f>IF(DAY(D164)=DAY($L$1+1),TRUNC((N163),8),E163)</f>
        <v/>
      </c>
      <c r="F164" s="49">
        <f>TRUNC(((1+VLOOKUP(A164,IPCA!$A$2:$C$140,3,0)))^(C164/(EDATE(D164-C164,1)-(D164-C164))),8)</f>
        <v/>
      </c>
      <c r="G164" s="49">
        <f>TRUNC((E164*F164),8)</f>
        <v/>
      </c>
      <c r="H164" s="49">
        <f>ROUND(((1+$H$4)^(30/360))^(C164/(EDATE(D164-B164,1)-(D164-B164))),9)</f>
        <v/>
      </c>
      <c r="I164" s="49">
        <f>TRUNC((G164*H164-G164),8)</f>
        <v/>
      </c>
      <c r="J164" s="49">
        <f>G164+I164</f>
        <v/>
      </c>
      <c r="K164" s="256" t="n"/>
      <c r="L164" s="256" t="n"/>
      <c r="M164" s="256" t="n"/>
      <c r="N164" s="256" t="n"/>
      <c r="O164" s="256" t="n"/>
      <c r="P164" s="256" t="n"/>
      <c r="Q164" s="256" t="n"/>
    </row>
    <row r="165">
      <c r="A165">
        <f>IF(DAY(D165)=DAY($L$1+1),A164+1,A164)</f>
        <v/>
      </c>
      <c r="B165" s="46">
        <f>IF(DAY(D165)=DAY($L$1+1),1,B164+1)</f>
        <v/>
      </c>
      <c r="C165" s="46">
        <f>IF(DAY(D165)=DAY($L$1+1),1,C164+1)</f>
        <v/>
      </c>
      <c r="D165" s="2">
        <f>D164+1</f>
        <v/>
      </c>
      <c r="E165" s="8">
        <f>IF(DAY(D165)=DAY($L$1+1),TRUNC((N164),8),E164)</f>
        <v/>
      </c>
      <c r="F165" s="49">
        <f>TRUNC(((1+VLOOKUP(A165,IPCA!$A$2:$C$140,3,0)))^(C165/(EDATE(D165-C165,1)-(D165-C165))),8)</f>
        <v/>
      </c>
      <c r="G165" s="49">
        <f>TRUNC((E165*F165),8)</f>
        <v/>
      </c>
      <c r="H165" s="49">
        <f>ROUND(((1+$H$4)^(30/360))^(C165/(EDATE(D165-B165,1)-(D165-B165))),9)</f>
        <v/>
      </c>
      <c r="I165" s="49">
        <f>TRUNC((G165*H165-G165),8)</f>
        <v/>
      </c>
      <c r="J165" s="49">
        <f>G165+I165</f>
        <v/>
      </c>
      <c r="K165" s="256" t="n"/>
      <c r="L165" s="256" t="n"/>
      <c r="M165" s="256" t="n"/>
      <c r="N165" s="256" t="n"/>
      <c r="O165" s="256" t="n"/>
      <c r="P165" s="256" t="n"/>
      <c r="Q165" s="256" t="n"/>
    </row>
    <row r="166">
      <c r="A166">
        <f>IF(DAY(D166)=DAY($L$1+1),A165+1,A165)</f>
        <v/>
      </c>
      <c r="B166" s="46">
        <f>IF(DAY(D166)=DAY($L$1+1),1,B165+1)</f>
        <v/>
      </c>
      <c r="C166" s="46">
        <f>IF(DAY(D166)=DAY($L$1+1),1,C165+1)</f>
        <v/>
      </c>
      <c r="D166" s="2">
        <f>D165+1</f>
        <v/>
      </c>
      <c r="E166" s="8">
        <f>IF(DAY(D166)=DAY($L$1+1),TRUNC((N165),8),E165)</f>
        <v/>
      </c>
      <c r="F166" s="49">
        <f>TRUNC(((1+VLOOKUP(A166,IPCA!$A$2:$C$140,3,0)))^(C166/(EDATE(D166-C166,1)-(D166-C166))),8)</f>
        <v/>
      </c>
      <c r="G166" s="49">
        <f>TRUNC((E166*F166),8)</f>
        <v/>
      </c>
      <c r="H166" s="49">
        <f>ROUND(((1+$H$4)^(30/360))^(C166/(EDATE(D166-B166,1)-(D166-B166))),9)</f>
        <v/>
      </c>
      <c r="I166" s="49">
        <f>TRUNC((G166*H166-G166),8)</f>
        <v/>
      </c>
      <c r="J166" s="49">
        <f>G166+I166</f>
        <v/>
      </c>
      <c r="K166" s="256" t="n"/>
      <c r="L166" s="256" t="n"/>
      <c r="M166" s="256" t="n"/>
      <c r="N166" s="256" t="n"/>
      <c r="O166" s="256" t="n"/>
      <c r="P166" s="256" t="n"/>
      <c r="Q166" s="256" t="n"/>
    </row>
    <row r="167">
      <c r="A167">
        <f>IF(DAY(D167)=DAY($L$1+1),A166+1,A166)</f>
        <v/>
      </c>
      <c r="B167" s="46">
        <f>IF(DAY(D167)=DAY($L$1+1),1,B166+1)</f>
        <v/>
      </c>
      <c r="C167" s="46">
        <f>IF(DAY(D167)=DAY($L$1+1),1,C166+1)</f>
        <v/>
      </c>
      <c r="D167" s="2">
        <f>D166+1</f>
        <v/>
      </c>
      <c r="E167" s="8">
        <f>IF(DAY(D167)=DAY($L$1+1),TRUNC((N166),8),E166)</f>
        <v/>
      </c>
      <c r="F167" s="49">
        <f>TRUNC(((1+VLOOKUP(A167,IPCA!$A$2:$C$140,3,0)))^(C167/(EDATE(D167-C167,1)-(D167-C167))),8)</f>
        <v/>
      </c>
      <c r="G167" s="49">
        <f>TRUNC((E167*F167),8)</f>
        <v/>
      </c>
      <c r="H167" s="49">
        <f>ROUND(((1+$H$4)^(30/360))^(C167/(EDATE(D167-B167,1)-(D167-B167))),9)</f>
        <v/>
      </c>
      <c r="I167" s="49">
        <f>TRUNC((G167*H167-G167),8)</f>
        <v/>
      </c>
      <c r="J167" s="49">
        <f>G167+I167</f>
        <v/>
      </c>
      <c r="K167" s="256" t="n"/>
      <c r="L167" s="256" t="n"/>
      <c r="M167" s="256" t="n"/>
      <c r="N167" s="256" t="n"/>
      <c r="O167" s="256" t="n"/>
      <c r="P167" s="256" t="n"/>
      <c r="Q167" s="256" t="n"/>
    </row>
    <row r="168">
      <c r="A168">
        <f>IF(DAY(D168)=DAY($L$1+1),A167+1,A167)</f>
        <v/>
      </c>
      <c r="B168" s="221">
        <f>IF(DAY(D168)=DAY($L$1+1),1,B167+1)</f>
        <v/>
      </c>
      <c r="C168" s="221">
        <f>IF(DAY(D168)=DAY($L$1+1),1,C167+1)</f>
        <v/>
      </c>
      <c r="D168" s="222">
        <f>D167+1</f>
        <v/>
      </c>
      <c r="E168" s="223">
        <f>IF(DAY(D168)=DAY($L$1+1),TRUNC((N167),8),E167)</f>
        <v/>
      </c>
      <c r="F168" s="224">
        <f>TRUNC(((1+VLOOKUP(A168,IPCA!$A$2:$C$140,3,0)))^(C168/(EDATE(D168-C168,1)-(D168-C168))),8)</f>
        <v/>
      </c>
      <c r="G168" s="224">
        <f>TRUNC((E168*F168),8)</f>
        <v/>
      </c>
      <c r="H168" s="224">
        <f>ROUND(((1+$H$4)^(30/360))^(C168/(EDATE(D168-B168,1)-(D168-B168))),9)</f>
        <v/>
      </c>
      <c r="I168" s="224">
        <f>TRUNC((G168*H168-G168),8)</f>
        <v/>
      </c>
      <c r="J168" s="224">
        <f>G168+I168</f>
        <v/>
      </c>
      <c r="K168" s="226" t="n">
        <v>479931</v>
      </c>
      <c r="L168" s="256" t="n"/>
      <c r="M168" s="256" t="n"/>
      <c r="N168" s="256" t="n"/>
      <c r="O168" s="256" t="n"/>
      <c r="P168" s="256" t="n"/>
      <c r="Q168" s="256" t="n"/>
    </row>
    <row r="169">
      <c r="A169">
        <f>IF(DAY(D169)=DAY($L$1+1),A168+1,A168)</f>
        <v/>
      </c>
      <c r="B169" s="46">
        <f>IF(DAY(D169)=DAY($L$1+1),1,B168+1)</f>
        <v/>
      </c>
      <c r="C169" s="46">
        <f>IF(DAY(D169)=DAY($L$1+1),1,C168+1)</f>
        <v/>
      </c>
      <c r="D169" s="2">
        <f>D168+1</f>
        <v/>
      </c>
      <c r="E169" s="8">
        <f>IF(DAY(D169)=DAY($L$1+1),TRUNC((N168),8),E168)</f>
        <v/>
      </c>
      <c r="F169" s="49">
        <f>TRUNC(((1+VLOOKUP(A169,IPCA!$A$2:$C$140,3,0)))^(C169/(EDATE(D169-C169,1)-(D169-C169))),8)</f>
        <v/>
      </c>
      <c r="G169" s="49">
        <f>TRUNC((E169*F169),8)</f>
        <v/>
      </c>
      <c r="H169" s="49">
        <f>ROUND(((1+$H$4)^(30/360))^(C169/(EDATE(D169-B169,1)-(D169-B169))),9)</f>
        <v/>
      </c>
      <c r="I169" s="49">
        <f>TRUNC((G169*H169-G169),8)</f>
        <v/>
      </c>
      <c r="J169" s="49">
        <f>G169+I169</f>
        <v/>
      </c>
      <c r="K169" s="256" t="n"/>
      <c r="L169" s="256" t="n"/>
      <c r="M169" s="256" t="n"/>
      <c r="N169" s="256" t="n"/>
      <c r="O169" s="256" t="n"/>
      <c r="P169" s="256" t="n"/>
      <c r="Q169" s="256" t="n"/>
    </row>
    <row r="170">
      <c r="A170">
        <f>IF(DAY(D170)=DAY($L$1+1),A169+1,A169)</f>
        <v/>
      </c>
      <c r="B170" s="46">
        <f>IF(DAY(D170)=DAY($L$1+1),1,B169+1)</f>
        <v/>
      </c>
      <c r="C170" s="46">
        <f>IF(DAY(D170)=DAY($L$1+1),1,C169+1)</f>
        <v/>
      </c>
      <c r="D170" s="2">
        <f>D169+1</f>
        <v/>
      </c>
      <c r="E170" s="8">
        <f>IF(DAY(D170)=DAY($L$1+1),TRUNC((N169),8),E169)</f>
        <v/>
      </c>
      <c r="F170" s="49">
        <f>TRUNC(((1+VLOOKUP(A170,IPCA!$A$2:$C$140,3,0)))^(C170/(EDATE(D170-C170,1)-(D170-C170))),8)</f>
        <v/>
      </c>
      <c r="G170" s="49">
        <f>TRUNC((E170*F170),8)</f>
        <v/>
      </c>
      <c r="H170" s="49">
        <f>ROUND(((1+$H$4)^(30/360))^(C170/(EDATE(D170-B170,1)-(D170-B170))),9)</f>
        <v/>
      </c>
      <c r="I170" s="49">
        <f>TRUNC((G170*H170-G170),8)</f>
        <v/>
      </c>
      <c r="J170" s="49">
        <f>G170+I170</f>
        <v/>
      </c>
      <c r="K170" s="256" t="inlineStr">
        <is>
          <t>Cri Integralizado</t>
        </is>
      </c>
      <c r="L170" s="270">
        <f>L140+K168</f>
        <v/>
      </c>
      <c r="M170" s="256" t="n"/>
      <c r="N170" s="256" t="n"/>
      <c r="O170" s="256" t="n"/>
      <c r="P170" s="256" t="n"/>
      <c r="Q170" s="256" t="n"/>
    </row>
    <row r="171">
      <c r="A171">
        <f>IF(DAY(D171)=DAY($L$1+1),A170+1,A170)</f>
        <v/>
      </c>
      <c r="B171" s="46">
        <f>IF(DAY(D171)=DAY($L$1+1),1,B170+1)</f>
        <v/>
      </c>
      <c r="C171" s="46">
        <f>IF(DAY(D171)=DAY($L$1+1),1,C170+1)</f>
        <v/>
      </c>
      <c r="D171" s="2">
        <f>D170+1</f>
        <v/>
      </c>
      <c r="E171" s="8">
        <f>IF(DAY(D171)=DAY($L$1+1),TRUNC((N170),8),E170)</f>
        <v/>
      </c>
      <c r="F171" s="49">
        <f>TRUNC(((1+VLOOKUP(A171,IPCA!$A$2:$C$140,3,0)))^(C171/(EDATE(D171-C171,1)-(D171-C171))),8)</f>
        <v/>
      </c>
      <c r="G171" s="49">
        <f>TRUNC((E171*F171),8)</f>
        <v/>
      </c>
      <c r="H171" s="49">
        <f>ROUND(((1+$H$4)^(30/360))^(C171/(EDATE(D171-B171,1)-(D171-B171))),9)</f>
        <v/>
      </c>
      <c r="I171" s="49">
        <f>TRUNC((G171*H171-G171),8)</f>
        <v/>
      </c>
      <c r="J171" s="49">
        <f>G171+I171</f>
        <v/>
      </c>
      <c r="K171" s="118" t="inlineStr">
        <is>
          <t>JUROS</t>
        </is>
      </c>
      <c r="L171" s="118" t="inlineStr">
        <is>
          <t>AMORTIZAÇÃO</t>
        </is>
      </c>
      <c r="M171" s="118" t="inlineStr">
        <is>
          <t>AMEX</t>
        </is>
      </c>
      <c r="N171" s="118" t="inlineStr">
        <is>
          <t>RESIDUAL</t>
        </is>
      </c>
      <c r="O171" s="256" t="n"/>
      <c r="P171" s="256" t="n"/>
      <c r="Q171" s="256" t="n"/>
    </row>
    <row r="172">
      <c r="A172">
        <f>IF(DAY(D172)=DAY($L$1+1),A171+1,A171)</f>
        <v/>
      </c>
      <c r="B172" s="111">
        <f>IF(DAY(D172)=DAY($L$1+1),1,B171+1)</f>
        <v/>
      </c>
      <c r="C172" s="111">
        <f>IF(DAY(D172)=DAY($L$1+1),1,C171+1)</f>
        <v/>
      </c>
      <c r="D172" s="112">
        <f>D171+1</f>
        <v/>
      </c>
      <c r="E172" s="113">
        <f>IF(DAY(D172)=DAY($L$1+1),TRUNC((N171),8),E171)</f>
        <v/>
      </c>
      <c r="F172" s="114">
        <f>TRUNC(((1+VLOOKUP(A172,IPCA!$A$2:$C$140,3,0)))^(C172/(EDATE(D172-C172,1)-(D172-C172))),8)</f>
        <v/>
      </c>
      <c r="G172" s="114">
        <f>TRUNC((E172*F172),8)</f>
        <v/>
      </c>
      <c r="H172" s="114">
        <f>ROUND(((1+$H$4)^(30/360))^(C172/(EDATE(D172-B172,1)-(D172-B172))),9)</f>
        <v/>
      </c>
      <c r="I172" s="114">
        <f>TRUNC((G172*H172-G172),8)</f>
        <v/>
      </c>
      <c r="J172" s="114">
        <f>G172+I172</f>
        <v/>
      </c>
      <c r="K172" s="119" t="n">
        <v>0</v>
      </c>
      <c r="L172" s="120">
        <f>TRUNC(G172*VLOOKUP(D172,'Amort TS'!$G$3:$H$140,2,0),8)</f>
        <v/>
      </c>
      <c r="M172" s="120" t="n">
        <v>0</v>
      </c>
      <c r="N172" s="120">
        <f>J172-K172-L172-M172</f>
        <v/>
      </c>
      <c r="O172" s="256" t="n"/>
      <c r="P172" s="256" t="n"/>
      <c r="Q172" s="256" t="n"/>
    </row>
    <row r="173">
      <c r="A173">
        <f>IF(DAY(D173)=DAY($L$1+1),A172+1,A172)</f>
        <v/>
      </c>
      <c r="B173" s="46">
        <f>IF(DAY(D173)=DAY($L$1+1),1,B172+1)</f>
        <v/>
      </c>
      <c r="C173" s="46">
        <f>IF(DAY(D173)=DAY($L$1+1),1,C172+1)</f>
        <v/>
      </c>
      <c r="D173" s="2">
        <f>D172+1</f>
        <v/>
      </c>
      <c r="E173" s="8">
        <f>IF(DAY(D173)=DAY($L$1+1),TRUNC((N172),8),E172)</f>
        <v/>
      </c>
      <c r="F173" s="49">
        <f>TRUNC(((1+VLOOKUP(A173,IPCA!$A$2:$C$140,3,0)))^(C173/(EDATE(D173-C173,1)-(D173-C173))),8)</f>
        <v/>
      </c>
      <c r="G173" s="49">
        <f>TRUNC((E173*F173),8)</f>
        <v/>
      </c>
      <c r="H173" s="49">
        <f>ROUND(((1+$H$4)^(30/360))^(C173/(EDATE(D173-B173,1)-(D173-B173))),9)</f>
        <v/>
      </c>
      <c r="I173" s="49">
        <f>TRUNC((G173*H173-G173),8)</f>
        <v/>
      </c>
      <c r="J173" s="49">
        <f>G173+I173</f>
        <v/>
      </c>
      <c r="K173" s="121">
        <f>K172*L170</f>
        <v/>
      </c>
      <c r="L173" s="121">
        <f>L172*L170</f>
        <v/>
      </c>
      <c r="M173" s="121">
        <f>M172*L170</f>
        <v/>
      </c>
      <c r="N173" s="121">
        <f>N172*L170</f>
        <v/>
      </c>
      <c r="O173" s="256" t="n"/>
      <c r="P173" s="256" t="n"/>
      <c r="Q173" s="256" t="n"/>
    </row>
    <row r="174">
      <c r="A174">
        <f>IF(DAY(D174)=DAY($L$1+1),A173+1,A173)</f>
        <v/>
      </c>
      <c r="B174" s="46">
        <f>IF(DAY(D174)=DAY($L$1+1),1,B173+1)</f>
        <v/>
      </c>
      <c r="C174" s="46">
        <f>IF(DAY(D174)=DAY($L$1+1),1,C173+1)</f>
        <v/>
      </c>
      <c r="D174" s="2">
        <f>D173+1</f>
        <v/>
      </c>
      <c r="E174" s="8">
        <f>IF(DAY(D174)=DAY($L$1+1),TRUNC((N173),8),E173)</f>
        <v/>
      </c>
      <c r="F174" s="49">
        <f>TRUNC(((1+VLOOKUP(A174,IPCA!$A$2:$C$140,3,0)))^(C174/(EDATE(D174-C174,1)-(D174-C174))),8)</f>
        <v/>
      </c>
      <c r="G174" s="49">
        <f>TRUNC((E174*F174),8)</f>
        <v/>
      </c>
      <c r="H174" s="49">
        <f>ROUND(((1+$H$4)^(30/360))^(C174/(EDATE(D174-B174,1)-(D174-B174))),9)</f>
        <v/>
      </c>
      <c r="I174" s="49">
        <f>TRUNC((G174*H174-G174),8)</f>
        <v/>
      </c>
      <c r="J174" s="49">
        <f>G174+I174</f>
        <v/>
      </c>
      <c r="K174" s="256" t="n"/>
      <c r="L174" s="256" t="n"/>
      <c r="M174" s="256" t="n"/>
      <c r="N174" s="256" t="n"/>
      <c r="O174" s="256" t="n"/>
      <c r="P174" s="256" t="n"/>
      <c r="Q174" s="256" t="n"/>
    </row>
    <row r="175">
      <c r="A175">
        <f>IF(DAY(D175)=DAY($L$1+1),A174+1,A174)</f>
        <v/>
      </c>
      <c r="B175" s="46">
        <f>IF(DAY(D175)=DAY($L$1+1),1,B174+1)</f>
        <v/>
      </c>
      <c r="C175" s="46">
        <f>IF(DAY(D175)=DAY($L$1+1),1,C174+1)</f>
        <v/>
      </c>
      <c r="D175" s="2">
        <f>D174+1</f>
        <v/>
      </c>
      <c r="E175" s="8">
        <f>IF(DAY(D175)=DAY($L$1+1),TRUNC((#REF!),8),E174)</f>
        <v/>
      </c>
      <c r="F175" s="49">
        <f>TRUNC(((1+VLOOKUP(A175,IPCA!$A$2:$C$140,3,0)))^(C175/(EDATE(D175-C175,1)-(D175-C175))),8)</f>
        <v/>
      </c>
      <c r="G175" s="49">
        <f>TRUNC((E175*F175),8)</f>
        <v/>
      </c>
      <c r="H175" s="49">
        <f>ROUND(((1+$H$4)^(30/360))^(C175/(EDATE(D175-B175,1)-(D175-B175))),9)</f>
        <v/>
      </c>
      <c r="I175" s="49">
        <f>TRUNC((G175*H175-G175),8)</f>
        <v/>
      </c>
      <c r="J175" s="49">
        <f>G175+I175</f>
        <v/>
      </c>
      <c r="K175" s="256" t="n"/>
      <c r="L175" s="256" t="n"/>
      <c r="M175" s="256" t="n"/>
      <c r="N175" s="256" t="n"/>
      <c r="O175" s="256" t="n"/>
      <c r="P175" s="256" t="n"/>
      <c r="Q175" s="256" t="n"/>
    </row>
    <row r="176">
      <c r="A176">
        <f>IF(DAY(D176)=DAY($L$1+1),A175+1,A175)</f>
        <v/>
      </c>
      <c r="B176" s="46">
        <f>IF(DAY(D176)=DAY($L$1+1),1,B175+1)</f>
        <v/>
      </c>
      <c r="C176" s="46">
        <f>IF(DAY(D176)=DAY($L$1+1),1,C175+1)</f>
        <v/>
      </c>
      <c r="D176" s="2">
        <f>D175+1</f>
        <v/>
      </c>
      <c r="E176" s="8">
        <f>IF(DAY(D176)=DAY($L$1+1),TRUNC((#REF!),8),E175)</f>
        <v/>
      </c>
      <c r="F176" s="49">
        <f>TRUNC(((1+VLOOKUP(A176,IPCA!$A$2:$C$140,3,0)))^(C176/(EDATE(D176-C176,1)-(D176-C176))),8)</f>
        <v/>
      </c>
      <c r="G176" s="49">
        <f>TRUNC((E176*F176),8)</f>
        <v/>
      </c>
      <c r="H176" s="49">
        <f>ROUND(((1+$H$4)^(30/360))^(C176/(EDATE(D176-B176,1)-(D176-B176))),9)</f>
        <v/>
      </c>
      <c r="I176" s="49">
        <f>TRUNC((G176*H176-G176),8)</f>
        <v/>
      </c>
      <c r="J176" s="49">
        <f>G176+I176</f>
        <v/>
      </c>
      <c r="K176" s="256" t="n"/>
      <c r="L176" s="256" t="n"/>
      <c r="M176" s="256" t="n"/>
      <c r="N176" s="256" t="n"/>
      <c r="O176" s="256" t="n"/>
      <c r="P176" s="256" t="n"/>
      <c r="Q176" s="256" t="n"/>
    </row>
    <row r="177">
      <c r="A177">
        <f>IF(DAY(D177)=DAY($L$1+1),A176+1,A176)</f>
        <v/>
      </c>
      <c r="B177" s="46">
        <f>IF(DAY(D177)=DAY($L$1+1),1,B176+1)</f>
        <v/>
      </c>
      <c r="C177" s="46">
        <f>IF(DAY(D177)=DAY($L$1+1),1,C176+1)</f>
        <v/>
      </c>
      <c r="D177" s="2">
        <f>D176+1</f>
        <v/>
      </c>
      <c r="E177" s="8">
        <f>IF(DAY(D177)=DAY($L$1+1),TRUNC((#REF!),8),E176)</f>
        <v/>
      </c>
      <c r="F177" s="49">
        <f>TRUNC(((1+VLOOKUP(A177,IPCA!$A$2:$C$140,3,0)))^(C177/(EDATE(D177-C177,1)-(D177-C177))),8)</f>
        <v/>
      </c>
      <c r="G177" s="49">
        <f>TRUNC((E177*F177),8)</f>
        <v/>
      </c>
      <c r="H177" s="49">
        <f>ROUND(((1+$H$4)^(30/360))^(C177/(EDATE(D177-B177,1)-(D177-B177))),9)</f>
        <v/>
      </c>
      <c r="I177" s="49">
        <f>TRUNC((G177*H177-G177),8)</f>
        <v/>
      </c>
      <c r="J177" s="49">
        <f>G177+I177</f>
        <v/>
      </c>
      <c r="K177" s="256" t="n"/>
      <c r="L177" s="256" t="n"/>
      <c r="M177" s="256" t="n"/>
      <c r="N177" s="256" t="n"/>
      <c r="O177" s="256" t="n"/>
      <c r="P177" s="256" t="n"/>
      <c r="Q177" s="256" t="n"/>
    </row>
    <row r="178">
      <c r="A178">
        <f>IF(DAY(D178)=DAY($L$1+1),A177+1,A177)</f>
        <v/>
      </c>
      <c r="B178" s="46">
        <f>IF(DAY(D178)=DAY($L$1+1),1,B177+1)</f>
        <v/>
      </c>
      <c r="C178" s="46">
        <f>IF(DAY(D178)=DAY($L$1+1),1,C177+1)</f>
        <v/>
      </c>
      <c r="D178" s="2">
        <f>D177+1</f>
        <v/>
      </c>
      <c r="E178" s="8">
        <f>IF(DAY(D178)=DAY($L$1+1),TRUNC((#REF!),8),E177)</f>
        <v/>
      </c>
      <c r="F178" s="49">
        <f>TRUNC(((1+VLOOKUP(A178,IPCA!$A$2:$C$140,3,0)))^(C178/(EDATE(D178-C178,1)-(D178-C178))),8)</f>
        <v/>
      </c>
      <c r="G178" s="49">
        <f>TRUNC((E178*F178),8)</f>
        <v/>
      </c>
      <c r="H178" s="49">
        <f>ROUND(((1+$H$4)^(30/360))^(C178/(EDATE(D178-B178,1)-(D178-B178))),9)</f>
        <v/>
      </c>
      <c r="I178" s="49">
        <f>TRUNC((G178*H178-G178),8)</f>
        <v/>
      </c>
      <c r="J178" s="49">
        <f>G178+I178</f>
        <v/>
      </c>
      <c r="K178" s="256" t="n"/>
      <c r="L178" s="256" t="n"/>
      <c r="M178" s="256" t="n"/>
      <c r="N178" s="256" t="n"/>
      <c r="O178" s="256" t="n"/>
      <c r="P178" s="256" t="n"/>
      <c r="Q178" s="256" t="n"/>
    </row>
    <row r="179">
      <c r="A179">
        <f>IF(DAY(D179)=DAY($L$1+1),A178+1,A178)</f>
        <v/>
      </c>
      <c r="B179" s="46">
        <f>IF(DAY(D179)=DAY($L$1+1),1,B178+1)</f>
        <v/>
      </c>
      <c r="C179" s="46">
        <f>IF(DAY(D179)=DAY($L$1+1),1,C178+1)</f>
        <v/>
      </c>
      <c r="D179" s="2">
        <f>D178+1</f>
        <v/>
      </c>
      <c r="E179" s="8">
        <f>IF(DAY(D179)=DAY($L$1+1),TRUNC((#REF!),8),E178)</f>
        <v/>
      </c>
      <c r="F179" s="49">
        <f>TRUNC(((1+VLOOKUP(A179,IPCA!$A$2:$C$140,3,0)))^(C179/(EDATE(D179-C179,1)-(D179-C179))),8)</f>
        <v/>
      </c>
      <c r="G179" s="49">
        <f>TRUNC((E179*F179),8)</f>
        <v/>
      </c>
      <c r="H179" s="49">
        <f>ROUND(((1+$H$4)^(30/360))^(C179/(EDATE(D179-B179,1)-(D179-B179))),9)</f>
        <v/>
      </c>
      <c r="I179" s="49">
        <f>TRUNC((G179*H179-G179),8)</f>
        <v/>
      </c>
      <c r="J179" s="49">
        <f>G179+I179</f>
        <v/>
      </c>
      <c r="K179" s="256" t="n"/>
      <c r="L179" s="256" t="n"/>
      <c r="M179" s="256" t="n"/>
      <c r="N179" s="256" t="n"/>
      <c r="O179" s="256" t="n"/>
      <c r="P179" s="256" t="n"/>
      <c r="Q179" s="256" t="n"/>
    </row>
    <row r="180">
      <c r="A180">
        <f>IF(DAY(D180)=DAY($L$1+1),A179+1,A179)</f>
        <v/>
      </c>
      <c r="B180" s="46">
        <f>IF(DAY(D180)=DAY($L$1+1),1,B179+1)</f>
        <v/>
      </c>
      <c r="C180" s="46">
        <f>IF(DAY(D180)=DAY($L$1+1),1,C179+1)</f>
        <v/>
      </c>
      <c r="D180" s="2">
        <f>D179+1</f>
        <v/>
      </c>
      <c r="E180" s="8">
        <f>IF(DAY(D180)=DAY($L$1+1),TRUNC((#REF!),8),E179)</f>
        <v/>
      </c>
      <c r="F180" s="49">
        <f>TRUNC(((1+VLOOKUP(A180,IPCA!$A$2:$C$140,3,0)))^(C180/(EDATE(D180-C180,1)-(D180-C180))),8)</f>
        <v/>
      </c>
      <c r="G180" s="49">
        <f>TRUNC((E180*F180),8)</f>
        <v/>
      </c>
      <c r="H180" s="49">
        <f>ROUND(((1+$H$4)^(30/360))^(C180/(EDATE(D180-B180,1)-(D180-B180))),9)</f>
        <v/>
      </c>
      <c r="I180" s="49">
        <f>TRUNC((G180*H180-G180),8)</f>
        <v/>
      </c>
      <c r="J180" s="49">
        <f>G180+I180</f>
        <v/>
      </c>
      <c r="K180" s="256" t="n"/>
      <c r="L180" s="256" t="n"/>
      <c r="M180" s="256" t="n"/>
      <c r="N180" s="256" t="n"/>
      <c r="O180" s="256" t="n"/>
      <c r="P180" s="256" t="n"/>
      <c r="Q180" s="256" t="n"/>
    </row>
    <row r="181">
      <c r="A181">
        <f>IF(DAY(D181)=DAY($L$1+1),A180+1,A180)</f>
        <v/>
      </c>
      <c r="B181" s="46">
        <f>IF(DAY(D181)=DAY($L$1+1),1,B180+1)</f>
        <v/>
      </c>
      <c r="C181" s="46">
        <f>IF(DAY(D181)=DAY($L$1+1),1,C180+1)</f>
        <v/>
      </c>
      <c r="D181" s="2">
        <f>D180+1</f>
        <v/>
      </c>
      <c r="E181" s="8">
        <f>IF(DAY(D181)=DAY($L$1+1),TRUNC((#REF!),8),E180)</f>
        <v/>
      </c>
      <c r="F181" s="49">
        <f>TRUNC(((1+VLOOKUP(A181,IPCA!$A$2:$C$140,3,0)))^(C181/(EDATE(D181-C181,1)-(D181-C181))),8)</f>
        <v/>
      </c>
      <c r="G181" s="49">
        <f>TRUNC((E181*F181),8)</f>
        <v/>
      </c>
      <c r="H181" s="49">
        <f>ROUND(((1+$H$4)^(30/360))^(C181/(EDATE(D181-B181,1)-(D181-B181))),9)</f>
        <v/>
      </c>
      <c r="I181" s="49">
        <f>TRUNC((G181*H181-G181),8)</f>
        <v/>
      </c>
      <c r="J181" s="49">
        <f>G181+I181</f>
        <v/>
      </c>
      <c r="K181" s="256" t="n"/>
      <c r="L181" s="256" t="n"/>
      <c r="M181" s="256" t="n"/>
      <c r="N181" s="256" t="n"/>
      <c r="O181" s="256" t="n"/>
      <c r="P181" s="256" t="n"/>
      <c r="Q181" s="256" t="n"/>
    </row>
    <row r="182">
      <c r="A182">
        <f>IF(DAY(D182)=DAY($L$1+1),A181+1,A181)</f>
        <v/>
      </c>
      <c r="B182" s="46">
        <f>IF(DAY(D182)=DAY($L$1+1),1,B181+1)</f>
        <v/>
      </c>
      <c r="C182" s="46">
        <f>IF(DAY(D182)=DAY($L$1+1),1,C181+1)</f>
        <v/>
      </c>
      <c r="D182" s="2">
        <f>D181+1</f>
        <v/>
      </c>
      <c r="E182" s="8">
        <f>IF(DAY(D182)=DAY($L$1+1),TRUNC((#REF!),8),E181)</f>
        <v/>
      </c>
      <c r="F182" s="49">
        <f>TRUNC(((1+VLOOKUP(A182,IPCA!$A$2:$C$140,3,0)))^(C182/(EDATE(D182-C182,1)-(D182-C182))),8)</f>
        <v/>
      </c>
      <c r="G182" s="49">
        <f>TRUNC((E182*F182),8)</f>
        <v/>
      </c>
      <c r="H182" s="49">
        <f>ROUND(((1+$H$4)^(30/360))^(C182/(EDATE(D182-B182,1)-(D182-B182))),9)</f>
        <v/>
      </c>
      <c r="I182" s="49">
        <f>TRUNC((G182*H182-G182),8)</f>
        <v/>
      </c>
      <c r="J182" s="49">
        <f>G182+I182</f>
        <v/>
      </c>
      <c r="K182" s="256" t="n"/>
      <c r="L182" s="256" t="n"/>
      <c r="M182" s="256" t="n"/>
      <c r="N182" s="256" t="n"/>
      <c r="O182" s="256" t="n"/>
      <c r="P182" s="256" t="n"/>
      <c r="Q182" s="256" t="n"/>
    </row>
    <row r="183">
      <c r="A183">
        <f>IF(DAY(D183)=DAY($L$1+1),A182+1,A182)</f>
        <v/>
      </c>
      <c r="B183" s="46">
        <f>IF(DAY(D183)=DAY($L$1+1),1,B182+1)</f>
        <v/>
      </c>
      <c r="C183" s="46">
        <f>IF(DAY(D183)=DAY($L$1+1),1,C182+1)</f>
        <v/>
      </c>
      <c r="D183" s="2">
        <f>D182+1</f>
        <v/>
      </c>
      <c r="E183" s="8">
        <f>IF(DAY(D183)=DAY($L$1+1),TRUNC((#REF!),8),E182)</f>
        <v/>
      </c>
      <c r="F183" s="49">
        <f>TRUNC(((1+VLOOKUP(A183,IPCA!$A$2:$C$140,3,0)))^(C183/(EDATE(D183-C183,1)-(D183-C183))),8)</f>
        <v/>
      </c>
      <c r="G183" s="49">
        <f>TRUNC((E183*F183),8)</f>
        <v/>
      </c>
      <c r="H183" s="49">
        <f>ROUND(((1+$H$4)^(30/360))^(C183/(EDATE(D183-B183,1)-(D183-B183))),9)</f>
        <v/>
      </c>
      <c r="I183" s="49">
        <f>TRUNC((G183*H183-G183),8)</f>
        <v/>
      </c>
      <c r="J183" s="49">
        <f>G183+I183</f>
        <v/>
      </c>
      <c r="K183" s="256" t="n"/>
      <c r="L183" s="256" t="n"/>
      <c r="M183" s="256" t="n"/>
      <c r="N183" s="256" t="n"/>
      <c r="O183" s="256" t="n"/>
      <c r="P183" s="256" t="n"/>
      <c r="Q183" s="256" t="n"/>
    </row>
    <row r="184">
      <c r="A184">
        <f>IF(DAY(D184)=DAY($L$1+1),A183+1,A183)</f>
        <v/>
      </c>
      <c r="B184" s="46">
        <f>IF(DAY(D184)=DAY($L$1+1),1,B183+1)</f>
        <v/>
      </c>
      <c r="C184" s="46">
        <f>IF(DAY(D184)=DAY($L$1+1),1,C183+1)</f>
        <v/>
      </c>
      <c r="D184" s="2">
        <f>D183+1</f>
        <v/>
      </c>
      <c r="E184" s="8">
        <f>IF(DAY(D184)=DAY($L$1+1),TRUNC((#REF!),8),E183)</f>
        <v/>
      </c>
      <c r="F184" s="49">
        <f>TRUNC(((1+VLOOKUP(A184,IPCA!$A$2:$C$140,3,0)))^(C184/(EDATE(D184-C184,1)-(D184-C184))),8)</f>
        <v/>
      </c>
      <c r="G184" s="49">
        <f>TRUNC((E184*F184),8)</f>
        <v/>
      </c>
      <c r="H184" s="49">
        <f>ROUND(((1+$H$4)^(30/360))^(C184/(EDATE(D184-B184,1)-(D184-B184))),9)</f>
        <v/>
      </c>
      <c r="I184" s="49">
        <f>TRUNC((G184*H184-G184),8)</f>
        <v/>
      </c>
      <c r="J184" s="49">
        <f>G184+I184</f>
        <v/>
      </c>
      <c r="K184" s="256" t="n"/>
      <c r="L184" s="256" t="n"/>
      <c r="M184" s="256" t="n"/>
      <c r="N184" s="256" t="n"/>
      <c r="O184" s="256" t="n"/>
      <c r="P184" s="256" t="n"/>
      <c r="Q184" s="256" t="n"/>
    </row>
    <row r="185">
      <c r="A185">
        <f>IF(DAY(D185)=DAY($L$1+1),A184+1,A184)</f>
        <v/>
      </c>
      <c r="B185" s="46">
        <f>IF(DAY(D185)=DAY($L$1+1),1,B184+1)</f>
        <v/>
      </c>
      <c r="C185" s="46">
        <f>IF(DAY(D185)=DAY($L$1+1),1,C184+1)</f>
        <v/>
      </c>
      <c r="D185" s="2">
        <f>D184+1</f>
        <v/>
      </c>
      <c r="E185" s="8">
        <f>IF(DAY(D185)=DAY($L$1+1),TRUNC((N184),8),E184)</f>
        <v/>
      </c>
      <c r="F185" s="49">
        <f>TRUNC(((1+VLOOKUP(A185,IPCA!$A$2:$C$140,3,0)))^(C185/(EDATE(D185-C185,1)-(D185-C185))),8)</f>
        <v/>
      </c>
      <c r="G185" s="49">
        <f>TRUNC((E185*F185),8)</f>
        <v/>
      </c>
      <c r="H185" s="49">
        <f>ROUND(((1+$H$4)^(30/360))^(C185/(EDATE(D185-B185,1)-(D185-B185))),9)</f>
        <v/>
      </c>
      <c r="I185" s="49">
        <f>TRUNC((G185*H185-G185),8)</f>
        <v/>
      </c>
      <c r="J185" s="49">
        <f>G185+I185</f>
        <v/>
      </c>
      <c r="K185" s="256" t="n"/>
      <c r="L185" s="256" t="n"/>
      <c r="M185" s="256" t="n"/>
      <c r="N185" s="256" t="n"/>
      <c r="O185" s="256" t="n"/>
      <c r="P185" s="256" t="n"/>
      <c r="Q185" s="256" t="n"/>
    </row>
    <row r="186">
      <c r="A186">
        <f>IF(DAY(D186)=DAY($L$1+1),A185+1,A185)</f>
        <v/>
      </c>
      <c r="B186" s="46">
        <f>IF(DAY(D186)=DAY($L$1+1),1,B185+1)</f>
        <v/>
      </c>
      <c r="C186" s="46">
        <f>IF(DAY(D186)=DAY($L$1+1),1,C185+1)</f>
        <v/>
      </c>
      <c r="D186" s="2">
        <f>D185+1</f>
        <v/>
      </c>
      <c r="E186" s="8">
        <f>IF(DAY(D186)=DAY($L$1+1),TRUNC((N185),8),E185)</f>
        <v/>
      </c>
      <c r="F186" s="49">
        <f>TRUNC(((1+VLOOKUP(A186,IPCA!$A$2:$C$140,3,0)))^(C186/(EDATE(D186-C186,1)-(D186-C186))),8)</f>
        <v/>
      </c>
      <c r="G186" s="49">
        <f>TRUNC((E186*F186),8)</f>
        <v/>
      </c>
      <c r="H186" s="49">
        <f>ROUND(((1+$H$4)^(30/360))^(C186/(EDATE(D186-B186,1)-(D186-B186))),9)</f>
        <v/>
      </c>
      <c r="I186" s="49">
        <f>TRUNC((G186*H186-G186),8)</f>
        <v/>
      </c>
      <c r="J186" s="49">
        <f>G186+I186</f>
        <v/>
      </c>
      <c r="K186" s="256" t="n"/>
      <c r="L186" s="256" t="n"/>
      <c r="M186" s="256" t="n"/>
      <c r="N186" s="256" t="n"/>
      <c r="O186" s="256" t="n"/>
      <c r="P186" s="256" t="n"/>
      <c r="Q186" s="256" t="n"/>
    </row>
    <row r="187">
      <c r="A187">
        <f>IF(DAY(D187)=DAY($L$1+1),A186+1,A186)</f>
        <v/>
      </c>
      <c r="B187" s="46">
        <f>IF(DAY(D187)=DAY($L$1+1),1,B186+1)</f>
        <v/>
      </c>
      <c r="C187" s="46">
        <f>IF(DAY(D187)=DAY($L$1+1),1,C186+1)</f>
        <v/>
      </c>
      <c r="D187" s="2">
        <f>D186+1</f>
        <v/>
      </c>
      <c r="E187" s="8">
        <f>IF(DAY(D187)=DAY($L$1+1),TRUNC((N186),8),E186)</f>
        <v/>
      </c>
      <c r="F187" s="49">
        <f>TRUNC(((1+VLOOKUP(A187,IPCA!$A$2:$C$140,3,0)))^(C187/(EDATE(D187-C187,1)-(D187-C187))),8)</f>
        <v/>
      </c>
      <c r="G187" s="49">
        <f>TRUNC((E187*F187),8)</f>
        <v/>
      </c>
      <c r="H187" s="49">
        <f>ROUND(((1+$H$4)^(30/360))^(C187/(EDATE(D187-B187,1)-(D187-B187))),9)</f>
        <v/>
      </c>
      <c r="I187" s="49">
        <f>TRUNC((G187*H187-G187),8)</f>
        <v/>
      </c>
      <c r="J187" s="49">
        <f>G187+I187</f>
        <v/>
      </c>
      <c r="K187" s="256" t="n"/>
      <c r="L187" s="256" t="n"/>
      <c r="M187" s="256" t="n"/>
      <c r="N187" s="256" t="n"/>
      <c r="O187" s="256" t="n"/>
      <c r="P187" s="256" t="n"/>
      <c r="Q187" s="256" t="n"/>
    </row>
    <row r="188">
      <c r="A188">
        <f>IF(DAY(D188)=DAY($L$1+1),A187+1,A187)</f>
        <v/>
      </c>
      <c r="B188" s="46">
        <f>IF(DAY(D188)=DAY($L$1+1),1,B187+1)</f>
        <v/>
      </c>
      <c r="C188" s="46">
        <f>IF(DAY(D188)=DAY($L$1+1),1,C187+1)</f>
        <v/>
      </c>
      <c r="D188" s="2">
        <f>D187+1</f>
        <v/>
      </c>
      <c r="E188" s="8">
        <f>IF(DAY(D188)=DAY($L$1+1),TRUNC((N187),8),E187)</f>
        <v/>
      </c>
      <c r="F188" s="49">
        <f>TRUNC(((1+VLOOKUP(A188,IPCA!$A$2:$C$140,3,0)))^(C188/(EDATE(D188-C188,1)-(D188-C188))),8)</f>
        <v/>
      </c>
      <c r="G188" s="49">
        <f>TRUNC((E188*F188),8)</f>
        <v/>
      </c>
      <c r="H188" s="49">
        <f>ROUND(((1+$H$4)^(30/360))^(C188/(EDATE(D188-B188,1)-(D188-B188))),9)</f>
        <v/>
      </c>
      <c r="I188" s="49">
        <f>TRUNC((G188*H188-G188),8)</f>
        <v/>
      </c>
      <c r="J188" s="49">
        <f>G188+I188</f>
        <v/>
      </c>
      <c r="K188" s="123" t="n"/>
      <c r="L188" s="271" t="n"/>
      <c r="M188" s="256" t="n"/>
      <c r="N188" s="256" t="n"/>
      <c r="O188" s="256" t="n"/>
      <c r="P188" s="256" t="n"/>
      <c r="Q188" s="256" t="n"/>
    </row>
    <row r="189">
      <c r="A189">
        <f>IF(DAY(D189)=DAY($L$1+1),A188+1,A188)</f>
        <v/>
      </c>
      <c r="B189" s="46">
        <f>IF(DAY(D189)=DAY($L$1+1),1,B188+1)</f>
        <v/>
      </c>
      <c r="C189" s="46">
        <f>IF(DAY(D189)=DAY($L$1+1),1,C188+1)</f>
        <v/>
      </c>
      <c r="D189" s="2">
        <f>D188+1</f>
        <v/>
      </c>
      <c r="E189" s="8">
        <f>IF(DAY(D189)=DAY($L$1+1),TRUNC((N188),8),E188)</f>
        <v/>
      </c>
      <c r="F189" s="49">
        <f>TRUNC(((1+VLOOKUP(A189,IPCA!$A$2:$C$140,3,0)))^(C189/(EDATE(D189-C189,1)-(D189-C189))),8)</f>
        <v/>
      </c>
      <c r="G189" s="49">
        <f>TRUNC((E189*F189),8)</f>
        <v/>
      </c>
      <c r="H189" s="49">
        <f>ROUND(((1+$H$4)^(30/360))^(C189/(EDATE(D189-B189,1)-(D189-B189))),9)</f>
        <v/>
      </c>
      <c r="I189" s="49">
        <f>TRUNC((G189*H189-G189),8)</f>
        <v/>
      </c>
      <c r="J189" s="49">
        <f>G189+I189</f>
        <v/>
      </c>
      <c r="K189" s="256" t="n"/>
      <c r="L189" s="256" t="n"/>
      <c r="M189" s="256" t="n"/>
      <c r="N189" s="256" t="n"/>
      <c r="O189" s="256" t="n"/>
      <c r="P189" s="256" t="n"/>
      <c r="Q189" s="256" t="n"/>
    </row>
    <row r="190">
      <c r="A190">
        <f>IF(DAY(D190)=DAY($L$1+1),A189+1,A189)</f>
        <v/>
      </c>
      <c r="B190" s="46">
        <f>IF(DAY(D190)=DAY($L$1+1),1,B189+1)</f>
        <v/>
      </c>
      <c r="C190" s="46">
        <f>IF(DAY(D190)=DAY($L$1+1),1,C189+1)</f>
        <v/>
      </c>
      <c r="D190" s="2">
        <f>D189+1</f>
        <v/>
      </c>
      <c r="E190" s="8">
        <f>IF(DAY(D190)=DAY($L$1+1),TRUNC((N189),8),E189)</f>
        <v/>
      </c>
      <c r="F190" s="49">
        <f>TRUNC(((1+VLOOKUP(A190,IPCA!$A$2:$C$140,3,0)))^(C190/(EDATE(D190-C190,1)-(D190-C190))),8)</f>
        <v/>
      </c>
      <c r="G190" s="49">
        <f>TRUNC((E190*F190),8)</f>
        <v/>
      </c>
      <c r="H190" s="49">
        <f>ROUND(((1+$H$4)^(30/360))^(C190/(EDATE(D190-B190,1)-(D190-B190))),9)</f>
        <v/>
      </c>
      <c r="I190" s="49">
        <f>TRUNC((G190*H190-G190),8)</f>
        <v/>
      </c>
      <c r="J190" s="49">
        <f>G190+I190</f>
        <v/>
      </c>
      <c r="K190" s="256" t="n"/>
      <c r="L190" s="256" t="n"/>
      <c r="M190" s="256" t="n"/>
      <c r="N190" s="256" t="n"/>
      <c r="O190" s="256" t="n"/>
      <c r="P190" s="256" t="n"/>
      <c r="Q190" s="256" t="n"/>
    </row>
    <row r="191">
      <c r="A191">
        <f>IF(DAY(D191)=DAY($L$1+1),A190+1,A190)</f>
        <v/>
      </c>
      <c r="B191" s="46">
        <f>IF(DAY(D191)=DAY($L$1+1),1,B190+1)</f>
        <v/>
      </c>
      <c r="C191" s="46">
        <f>IF(DAY(D191)=DAY($L$1+1),1,C190+1)</f>
        <v/>
      </c>
      <c r="D191" s="2">
        <f>D190+1</f>
        <v/>
      </c>
      <c r="E191" s="8">
        <f>IF(DAY(D191)=DAY($L$1+1),TRUNC((N190),8),E190)</f>
        <v/>
      </c>
      <c r="F191" s="49">
        <f>TRUNC(((1+VLOOKUP(A191,IPCA!$A$2:$C$140,3,0)))^(C191/(EDATE(D191-C191,1)-(D191-C191))),8)</f>
        <v/>
      </c>
      <c r="G191" s="49">
        <f>TRUNC((E191*F191),8)</f>
        <v/>
      </c>
      <c r="H191" s="49">
        <f>ROUND(((1+$H$4)^(30/360))^(C191/(EDATE(D191-B191,1)-(D191-B191))),9)</f>
        <v/>
      </c>
      <c r="I191" s="49">
        <f>TRUNC((G191*H191-G191),8)</f>
        <v/>
      </c>
      <c r="J191" s="49">
        <f>G191+I191</f>
        <v/>
      </c>
      <c r="K191" s="256" t="n"/>
      <c r="L191" s="256" t="n"/>
      <c r="M191" s="256" t="n"/>
      <c r="N191" s="256" t="n"/>
      <c r="O191" s="256" t="n"/>
      <c r="P191" s="256" t="n"/>
      <c r="Q191" s="256" t="n"/>
    </row>
    <row r="192">
      <c r="A192">
        <f>IF(DAY(D192)=DAY($L$1+1),A191+1,A191)</f>
        <v/>
      </c>
      <c r="B192" s="46">
        <f>IF(DAY(D192)=DAY($L$1+1),1,B191+1)</f>
        <v/>
      </c>
      <c r="C192" s="46">
        <f>IF(DAY(D192)=DAY($L$1+1),1,C191+1)</f>
        <v/>
      </c>
      <c r="D192" s="2">
        <f>D191+1</f>
        <v/>
      </c>
      <c r="E192" s="8">
        <f>IF(DAY(D192)=DAY($L$1+1),TRUNC((N191),8),E191)</f>
        <v/>
      </c>
      <c r="F192" s="49">
        <f>TRUNC(((1+VLOOKUP(A192,IPCA!$A$2:$C$140,3,0)))^(C192/(EDATE(D192-C192,1)-(D192-C192))),8)</f>
        <v/>
      </c>
      <c r="G192" s="49">
        <f>TRUNC((E192*F192),8)</f>
        <v/>
      </c>
      <c r="H192" s="49">
        <f>ROUND(((1+$H$4)^(30/360))^(C192/(EDATE(D192-B192,1)-(D192-B192))),9)</f>
        <v/>
      </c>
      <c r="I192" s="49">
        <f>TRUNC((G192*H192-G192),8)</f>
        <v/>
      </c>
      <c r="J192" s="49">
        <f>G192+I192</f>
        <v/>
      </c>
      <c r="K192" s="256" t="n"/>
      <c r="L192" s="256" t="n"/>
      <c r="M192" s="256" t="n"/>
      <c r="N192" s="256" t="n"/>
      <c r="O192" s="256" t="n"/>
      <c r="P192" s="256" t="n"/>
      <c r="Q192" s="256" t="n"/>
    </row>
    <row r="193">
      <c r="A193">
        <f>IF(DAY(D193)=DAY($L$1+1),A192+1,A192)</f>
        <v/>
      </c>
      <c r="B193" s="46">
        <f>IF(DAY(D193)=DAY($L$1+1),1,B192+1)</f>
        <v/>
      </c>
      <c r="C193" s="46">
        <f>IF(DAY(D193)=DAY($L$1+1),1,C192+1)</f>
        <v/>
      </c>
      <c r="D193" s="2">
        <f>D192+1</f>
        <v/>
      </c>
      <c r="E193" s="8">
        <f>IF(DAY(D193)=DAY($L$1+1),TRUNC((N192),8),E192)</f>
        <v/>
      </c>
      <c r="F193" s="49">
        <f>TRUNC(((1+VLOOKUP(A193,IPCA!$A$2:$C$140,3,0)))^(C193/(EDATE(D193-C193,1)-(D193-C193))),8)</f>
        <v/>
      </c>
      <c r="G193" s="49">
        <f>TRUNC((E193*F193),8)</f>
        <v/>
      </c>
      <c r="H193" s="49">
        <f>ROUND(((1+$H$4)^(30/360))^(C193/(EDATE(D193-B193,1)-(D193-B193))),9)</f>
        <v/>
      </c>
      <c r="I193" s="49">
        <f>TRUNC((G193*H193-G193),8)</f>
        <v/>
      </c>
      <c r="J193" s="49">
        <f>G193+I193</f>
        <v/>
      </c>
      <c r="K193" s="256" t="n"/>
      <c r="L193" s="256" t="n"/>
      <c r="M193" s="256" t="n"/>
      <c r="N193" s="256" t="n"/>
      <c r="O193" s="256" t="n"/>
      <c r="P193" s="256" t="n"/>
      <c r="Q193" s="256" t="n"/>
    </row>
    <row r="194">
      <c r="A194">
        <f>IF(DAY(D194)=DAY($L$1+1),A193+1,A193)</f>
        <v/>
      </c>
      <c r="B194" s="46">
        <f>IF(DAY(D194)=DAY($L$1+1),1,B193+1)</f>
        <v/>
      </c>
      <c r="C194" s="46">
        <f>IF(DAY(D194)=DAY($L$1+1),1,C193+1)</f>
        <v/>
      </c>
      <c r="D194" s="2">
        <f>D193+1</f>
        <v/>
      </c>
      <c r="E194" s="8">
        <f>IF(DAY(D194)=DAY($L$1+1),TRUNC((N193),8),E193)</f>
        <v/>
      </c>
      <c r="F194" s="49">
        <f>TRUNC(((1+VLOOKUP(A194,IPCA!$A$2:$C$140,3,0)))^(C194/(EDATE(D194-C194,1)-(D194-C194))),8)</f>
        <v/>
      </c>
      <c r="G194" s="49">
        <f>TRUNC((E194*F194),8)</f>
        <v/>
      </c>
      <c r="H194" s="49">
        <f>ROUND(((1+$H$4)^(30/360))^(C194/(EDATE(D194-B194,1)-(D194-B194))),9)</f>
        <v/>
      </c>
      <c r="I194" s="49">
        <f>TRUNC((G194*H194-G194),8)</f>
        <v/>
      </c>
      <c r="J194" s="49">
        <f>G194+I194</f>
        <v/>
      </c>
      <c r="K194" s="256" t="n"/>
      <c r="L194" s="256" t="n"/>
      <c r="M194" s="256" t="n"/>
      <c r="N194" s="256" t="n"/>
      <c r="O194" s="256" t="n"/>
      <c r="P194" s="256" t="n"/>
      <c r="Q194" s="256" t="n"/>
    </row>
    <row r="195">
      <c r="A195">
        <f>IF(DAY(D195)=DAY($L$1+1),A194+1,A194)</f>
        <v/>
      </c>
      <c r="B195" s="46">
        <f>IF(DAY(D195)=DAY($L$1+1),1,B194+1)</f>
        <v/>
      </c>
      <c r="C195" s="46">
        <f>IF(DAY(D195)=DAY($L$1+1),1,C194+1)</f>
        <v/>
      </c>
      <c r="D195" s="2">
        <f>D194+1</f>
        <v/>
      </c>
      <c r="E195" s="8">
        <f>IF(DAY(D195)=DAY($L$1+1),TRUNC((N194),8),E194)</f>
        <v/>
      </c>
      <c r="F195" s="49">
        <f>TRUNC(((1+VLOOKUP(A195,IPCA!$A$2:$C$140,3,0)))^(C195/(EDATE(D195-C195,1)-(D195-C195))),8)</f>
        <v/>
      </c>
      <c r="G195" s="49">
        <f>TRUNC((E195*F195),8)</f>
        <v/>
      </c>
      <c r="H195" s="49">
        <f>ROUND(((1+$H$4)^(30/360))^(C195/(EDATE(D195-B195,1)-(D195-B195))),9)</f>
        <v/>
      </c>
      <c r="I195" s="49">
        <f>TRUNC((G195*H195-G195),8)</f>
        <v/>
      </c>
      <c r="J195" s="49">
        <f>G195+I195</f>
        <v/>
      </c>
      <c r="K195" s="256" t="n"/>
      <c r="L195" s="256" t="n"/>
      <c r="M195" s="256" t="n"/>
      <c r="N195" s="256" t="n"/>
      <c r="O195" s="256" t="n"/>
      <c r="P195" s="256" t="n"/>
      <c r="Q195" s="256" t="n"/>
    </row>
    <row r="196">
      <c r="A196">
        <f>IF(DAY(D196)=DAY($L$1+1),A195+1,A195)</f>
        <v/>
      </c>
      <c r="B196" s="46">
        <f>IF(DAY(D196)=DAY($L$1+1),1,B195+1)</f>
        <v/>
      </c>
      <c r="C196" s="46">
        <f>IF(DAY(D196)=DAY($L$1+1),1,C195+1)</f>
        <v/>
      </c>
      <c r="D196" s="2">
        <f>D195+1</f>
        <v/>
      </c>
      <c r="E196" s="8">
        <f>IF(DAY(D196)=DAY($L$1+1),TRUNC((N195),8),E195)</f>
        <v/>
      </c>
      <c r="F196" s="49">
        <f>TRUNC(((1+VLOOKUP(A196,IPCA!$A$2:$C$140,3,0)))^(C196/(EDATE(D196-C196,1)-(D196-C196))),8)</f>
        <v/>
      </c>
      <c r="G196" s="49">
        <f>TRUNC((E196*F196),8)</f>
        <v/>
      </c>
      <c r="H196" s="49">
        <f>ROUND(((1+$H$4)^(30/360))^(C196/(EDATE(D196-B196,1)-(D196-B196))),9)</f>
        <v/>
      </c>
      <c r="I196" s="49">
        <f>TRUNC((G196*H196-G196),8)</f>
        <v/>
      </c>
      <c r="J196" s="49">
        <f>G196+I196</f>
        <v/>
      </c>
      <c r="K196" s="256" t="n"/>
      <c r="L196" s="256" t="n"/>
      <c r="M196" s="256" t="n"/>
      <c r="N196" s="256" t="n"/>
      <c r="O196" s="256" t="n"/>
      <c r="P196" s="256" t="n"/>
      <c r="Q196" s="256" t="n"/>
    </row>
    <row r="197">
      <c r="A197">
        <f>IF(DAY(D197)=DAY($L$1+1),A196+1,A196)</f>
        <v/>
      </c>
      <c r="B197" s="46">
        <f>IF(DAY(D197)=DAY($L$1+1),1,B196+1)</f>
        <v/>
      </c>
      <c r="C197" s="46">
        <f>IF(DAY(D197)=DAY($L$1+1),1,C196+1)</f>
        <v/>
      </c>
      <c r="D197" s="2">
        <f>D196+1</f>
        <v/>
      </c>
      <c r="E197" s="8">
        <f>IF(DAY(D197)=DAY($L$1+1),TRUNC((N196),8),E196)</f>
        <v/>
      </c>
      <c r="F197" s="49">
        <f>TRUNC(((1+VLOOKUP(A197,IPCA!$A$2:$C$140,3,0)))^(C197/(EDATE(D197-C197,1)-(D197-C197))),8)</f>
        <v/>
      </c>
      <c r="G197" s="49">
        <f>TRUNC((E197*F197),8)</f>
        <v/>
      </c>
      <c r="H197" s="49">
        <f>ROUND(((1+$H$4)^(30/360))^(C197/(EDATE(D197-B197,1)-(D197-B197))),9)</f>
        <v/>
      </c>
      <c r="I197" s="49">
        <f>TRUNC((G197*H197-G197),8)</f>
        <v/>
      </c>
      <c r="J197" s="49">
        <f>G197+I197</f>
        <v/>
      </c>
      <c r="K197" s="256" t="n"/>
      <c r="L197" s="256" t="n"/>
      <c r="M197" s="256" t="n"/>
      <c r="N197" s="256" t="n"/>
      <c r="O197" s="256" t="n"/>
      <c r="P197" s="256" t="n"/>
      <c r="Q197" s="256" t="n"/>
    </row>
    <row r="198">
      <c r="A198">
        <f>IF(DAY(D198)=DAY($L$1+1),A197+1,A197)</f>
        <v/>
      </c>
      <c r="B198" s="46">
        <f>IF(DAY(D198)=DAY($L$1+1),1,B197+1)</f>
        <v/>
      </c>
      <c r="C198" s="46">
        <f>IF(DAY(D198)=DAY($L$1+1),1,C197+1)</f>
        <v/>
      </c>
      <c r="D198" s="2">
        <f>D197+1</f>
        <v/>
      </c>
      <c r="E198" s="8">
        <f>IF(DAY(D198)=DAY($L$1+1),TRUNC((N197),8),E197)</f>
        <v/>
      </c>
      <c r="F198" s="49">
        <f>TRUNC(((1+VLOOKUP(A198,IPCA!$A$2:$C$140,3,0)))^(C198/(EDATE(D198-C198,1)-(D198-C198))),8)</f>
        <v/>
      </c>
      <c r="G198" s="49">
        <f>TRUNC((E198*F198),8)</f>
        <v/>
      </c>
      <c r="H198" s="49">
        <f>ROUND(((1+$H$4)^(30/360))^(C198/(EDATE(D198-B198,1)-(D198-B198))),9)</f>
        <v/>
      </c>
      <c r="I198" s="49">
        <f>TRUNC((G198*H198-G198),8)</f>
        <v/>
      </c>
      <c r="J198" s="49">
        <f>G198+I198</f>
        <v/>
      </c>
      <c r="K198" s="256" t="n"/>
      <c r="L198" s="256" t="n"/>
      <c r="M198" s="256" t="n"/>
      <c r="N198" s="256" t="n"/>
      <c r="O198" s="256" t="n"/>
      <c r="P198" s="256" t="n"/>
      <c r="Q198" s="256" t="n"/>
    </row>
    <row r="199">
      <c r="A199">
        <f>IF(DAY(D199)=DAY($L$1+1),A198+1,A198)</f>
        <v/>
      </c>
      <c r="B199" s="46">
        <f>IF(DAY(D199)=DAY($L$1+1),1,B198+1)</f>
        <v/>
      </c>
      <c r="C199" s="46">
        <f>IF(DAY(D199)=DAY($L$1+1),1,C198+1)</f>
        <v/>
      </c>
      <c r="D199" s="2">
        <f>D198+1</f>
        <v/>
      </c>
      <c r="E199" s="8">
        <f>IF(DAY(D199)=DAY($L$1+1),TRUNC((N198),8),E198)</f>
        <v/>
      </c>
      <c r="F199" s="49">
        <f>TRUNC(((1+VLOOKUP(A199,IPCA!$A$2:$C$140,3,0)))^(C199/(EDATE(D199-C199,1)-(D199-C199))),8)</f>
        <v/>
      </c>
      <c r="G199" s="49">
        <f>TRUNC((E199*F199),8)</f>
        <v/>
      </c>
      <c r="H199" s="49">
        <f>ROUND(((1+$H$4)^(30/360))^(C199/(EDATE(D199-B199,1)-(D199-B199))),9)</f>
        <v/>
      </c>
      <c r="I199" s="49">
        <f>TRUNC((G199*H199-G199),8)</f>
        <v/>
      </c>
      <c r="J199" s="49">
        <f>G199+I199</f>
        <v/>
      </c>
      <c r="K199" s="256" t="n"/>
      <c r="L199" s="256" t="n"/>
      <c r="M199" s="256" t="n"/>
      <c r="N199" s="256" t="n"/>
      <c r="O199" s="256" t="n"/>
      <c r="P199" s="256" t="n"/>
      <c r="Q199" s="256" t="n"/>
    </row>
    <row r="200">
      <c r="A200">
        <f>IF(DAY(D200)=DAY($L$1+1),A199+1,A199)</f>
        <v/>
      </c>
      <c r="B200" s="46">
        <f>IF(DAY(D200)=DAY($L$1+1),1,B199+1)</f>
        <v/>
      </c>
      <c r="C200" s="46">
        <f>IF(DAY(D200)=DAY($L$1+1),1,C199+1)</f>
        <v/>
      </c>
      <c r="D200" s="2">
        <f>D199+1</f>
        <v/>
      </c>
      <c r="E200" s="8">
        <f>IF(DAY(D200)=DAY($L$1+1),TRUNC((N199),8),E199)</f>
        <v/>
      </c>
      <c r="F200" s="49">
        <f>TRUNC(((1+VLOOKUP(A200,IPCA!$A$2:$C$140,3,0)))^(C200/(EDATE(D200-C200,1)-(D200-C200))),8)</f>
        <v/>
      </c>
      <c r="G200" s="49">
        <f>TRUNC((E200*F200),8)</f>
        <v/>
      </c>
      <c r="H200" s="49">
        <f>ROUND(((1+$H$4)^(30/360))^(C200/(EDATE(D200-B200,1)-(D200-B200))),9)</f>
        <v/>
      </c>
      <c r="I200" s="49">
        <f>TRUNC((G200*H200-G200),8)</f>
        <v/>
      </c>
      <c r="J200" s="49">
        <f>G200+I200</f>
        <v/>
      </c>
      <c r="K200" s="256" t="n"/>
      <c r="L200" s="256" t="n"/>
      <c r="M200" s="256" t="n"/>
      <c r="N200" s="256" t="n"/>
      <c r="O200" s="256" t="n"/>
      <c r="P200" s="256" t="n"/>
      <c r="Q200" s="256" t="n"/>
    </row>
    <row r="201">
      <c r="A201">
        <f>IF(DAY(D201)=DAY($L$1+1),A200+1,A200)</f>
        <v/>
      </c>
      <c r="B201" s="46">
        <f>IF(DAY(D201)=DAY($L$1+1),1,B200+1)</f>
        <v/>
      </c>
      <c r="C201" s="46">
        <f>IF(DAY(D201)=DAY($L$1+1),1,C200+1)</f>
        <v/>
      </c>
      <c r="D201" s="2">
        <f>D200+1</f>
        <v/>
      </c>
      <c r="E201" s="8">
        <f>IF(DAY(D201)=DAY($L$1+1),TRUNC((N200),8),E200)</f>
        <v/>
      </c>
      <c r="F201" s="49">
        <f>TRUNC(((1+VLOOKUP(A201,IPCA!$A$2:$C$140,3,0)))^(C201/(EDATE(D201-C201,1)-(D201-C201))),8)</f>
        <v/>
      </c>
      <c r="G201" s="49">
        <f>TRUNC((E201*F201),8)</f>
        <v/>
      </c>
      <c r="H201" s="49">
        <f>ROUND(((1+$H$4)^(30/360))^(C201/(EDATE(D201-B201,1)-(D201-B201))),9)</f>
        <v/>
      </c>
      <c r="I201" s="49">
        <f>TRUNC((G201*H201-G201),8)</f>
        <v/>
      </c>
      <c r="J201" s="49">
        <f>G201+I201</f>
        <v/>
      </c>
      <c r="K201" s="256" t="inlineStr">
        <is>
          <t>Cri Integralizado</t>
        </is>
      </c>
      <c r="L201" s="270">
        <f>L170</f>
        <v/>
      </c>
      <c r="M201" s="256" t="n"/>
      <c r="N201" s="256" t="n"/>
      <c r="O201" s="256" t="n"/>
      <c r="P201" s="256" t="n"/>
      <c r="Q201" s="256" t="n"/>
    </row>
    <row r="202">
      <c r="A202">
        <f>IF(DAY(D202)=DAY($L$1+1),A201+1,A201)</f>
        <v/>
      </c>
      <c r="B202" s="46">
        <f>IF(DAY(D202)=DAY($L$1+1),1,B201+1)</f>
        <v/>
      </c>
      <c r="C202" s="46">
        <f>IF(DAY(D202)=DAY($L$1+1),1,C201+1)</f>
        <v/>
      </c>
      <c r="D202" s="47">
        <f>D201+1</f>
        <v/>
      </c>
      <c r="E202" s="8">
        <f>IF(DAY(D202)=DAY($L$1+1),TRUNC((N201),8),E201)</f>
        <v/>
      </c>
      <c r="F202" s="49">
        <f>TRUNC(((1+VLOOKUP(A202,IPCA!$A$2:$C$140,3,0)))^(C202/(EDATE(D202-C202,1)-(D202-C202))),8)</f>
        <v/>
      </c>
      <c r="G202" s="49">
        <f>TRUNC((E202*F202),8)</f>
        <v/>
      </c>
      <c r="H202" s="49">
        <f>ROUND(((1+$H$4)^(30/360))^(C202/(EDATE(D202-B202,1)-(D202-B202))),9)</f>
        <v/>
      </c>
      <c r="I202" s="49">
        <f>TRUNC((G202*H202-G202),8)</f>
        <v/>
      </c>
      <c r="J202" s="49">
        <f>G202+I202</f>
        <v/>
      </c>
      <c r="K202" s="118" t="inlineStr">
        <is>
          <t>JUROS</t>
        </is>
      </c>
      <c r="L202" s="118" t="inlineStr">
        <is>
          <t>AMORTIZAÇÃO</t>
        </is>
      </c>
      <c r="M202" s="118" t="inlineStr">
        <is>
          <t>AMEX</t>
        </is>
      </c>
      <c r="N202" s="118" t="inlineStr">
        <is>
          <t>RESIDUAL</t>
        </is>
      </c>
      <c r="O202" s="256" t="n"/>
      <c r="P202" s="256" t="n"/>
      <c r="Q202" s="256" t="n"/>
    </row>
    <row r="203">
      <c r="A203">
        <f>IF(DAY(D203)=DAY($L$1+1),A202+1,A202)</f>
        <v/>
      </c>
      <c r="B203" s="111">
        <f>IF(DAY(D203)=DAY($L$1+1),1,B202+1)</f>
        <v/>
      </c>
      <c r="C203" s="111">
        <f>IF(DAY(D203)=DAY($L$1+1),1,C202+1)</f>
        <v/>
      </c>
      <c r="D203" s="112">
        <f>D202+1</f>
        <v/>
      </c>
      <c r="E203" s="113">
        <f>IF(DAY(D203)=DAY($L$1+1),TRUNC((N202),8),E202)</f>
        <v/>
      </c>
      <c r="F203" s="114">
        <f>TRUNC(((1+VLOOKUP(A203,IPCA!$A$2:$C$140,3,0)))^(C203/(EDATE(D203-C203,1)-(D203-C203))),8)</f>
        <v/>
      </c>
      <c r="G203" s="114">
        <f>TRUNC((E203*F203),8)</f>
        <v/>
      </c>
      <c r="H203" s="114">
        <f>ROUND(((1+$H$4)^(30/360))^(C203/(EDATE(D203-B203,1)-(D203-B203))),9)</f>
        <v/>
      </c>
      <c r="I203" s="114">
        <f>TRUNC((G203*H203-G203),8)</f>
        <v/>
      </c>
      <c r="J203" s="114">
        <f>G203+I203</f>
        <v/>
      </c>
      <c r="K203" s="119" t="n">
        <v>0</v>
      </c>
      <c r="L203" s="120">
        <f>TRUNC(G203*VLOOKUP(D203,'Amort TS'!$G$3:$H$140,2,0),8)</f>
        <v/>
      </c>
      <c r="M203" s="120" t="n">
        <v>0</v>
      </c>
      <c r="N203" s="120">
        <f>J203-K203-L203-M203</f>
        <v/>
      </c>
      <c r="O203" s="256" t="n"/>
      <c r="P203" s="256" t="n"/>
      <c r="Q203" s="256" t="n"/>
    </row>
    <row r="204">
      <c r="A204">
        <f>IF(DAY(D204)=DAY($L$1+1),A203+1,A203)</f>
        <v/>
      </c>
      <c r="B204" s="46">
        <f>IF(DAY(D204)=DAY($L$1+1),1,B203+1)</f>
        <v/>
      </c>
      <c r="C204" s="46">
        <f>IF(DAY(D204)=DAY($L$1+1),1,C203+1)</f>
        <v/>
      </c>
      <c r="D204" s="2">
        <f>D203+1</f>
        <v/>
      </c>
      <c r="E204" s="8">
        <f>IF(DAY(D204)=DAY($L$1+1),TRUNC((N203),8),E203)</f>
        <v/>
      </c>
      <c r="F204" s="49">
        <f>TRUNC(((1+VLOOKUP(A204,IPCA!$A$2:$C$140,3,0)))^(C204/(EDATE(D204-C204,1)-(D204-C204))),8)</f>
        <v/>
      </c>
      <c r="G204" s="49">
        <f>TRUNC((E204*F204),8)</f>
        <v/>
      </c>
      <c r="H204" s="49">
        <f>ROUND(((1+$H$4)^(30/360))^(C204/(EDATE(D204-B204,1)-(D204-B204))),9)</f>
        <v/>
      </c>
      <c r="I204" s="49">
        <f>TRUNC((G204*H204-G204),8)</f>
        <v/>
      </c>
      <c r="J204" s="49">
        <f>G204+I204</f>
        <v/>
      </c>
      <c r="K204" s="121">
        <f>K203*L201</f>
        <v/>
      </c>
      <c r="L204" s="121">
        <f>L203*L201</f>
        <v/>
      </c>
      <c r="M204" s="121">
        <f>M203*L201</f>
        <v/>
      </c>
      <c r="N204" s="121">
        <f>N203*L201</f>
        <v/>
      </c>
      <c r="O204" s="256" t="n"/>
      <c r="P204" s="256" t="n"/>
      <c r="Q204" s="256" t="n"/>
    </row>
    <row r="205">
      <c r="A205">
        <f>IF(DAY(D205)=DAY($L$1+1),A204+1,A204)</f>
        <v/>
      </c>
      <c r="B205" s="46">
        <f>IF(DAY(D205)=DAY($L$1+1),1,B204+1)</f>
        <v/>
      </c>
      <c r="C205" s="46">
        <f>IF(DAY(D205)=DAY($L$1+1),1,C204+1)</f>
        <v/>
      </c>
      <c r="D205" s="2">
        <f>D204+1</f>
        <v/>
      </c>
      <c r="E205" s="8">
        <f>IF(DAY(D205)=DAY($L$1+1),TRUNC((N204),8),E204)</f>
        <v/>
      </c>
      <c r="F205" s="49">
        <f>TRUNC(((1+VLOOKUP(A205,IPCA!$A$2:$C$140,3,0)))^(C205/(EDATE(D205-C205,1)-(D205-C205))),8)</f>
        <v/>
      </c>
      <c r="G205" s="49">
        <f>TRUNC((E205*F205),8)</f>
        <v/>
      </c>
      <c r="H205" s="49">
        <f>ROUND(((1+$H$4)^(30/360))^(C205/(EDATE(D205-B205,1)-(D205-B205))),9)</f>
        <v/>
      </c>
      <c r="I205" s="49">
        <f>TRUNC((G205*H205-G205),8)</f>
        <v/>
      </c>
      <c r="J205" s="49">
        <f>G205+I205</f>
        <v/>
      </c>
      <c r="K205" s="256" t="n"/>
      <c r="L205" s="256" t="n"/>
      <c r="M205" s="256" t="n"/>
      <c r="N205" s="256" t="n"/>
      <c r="O205" s="256" t="n"/>
      <c r="P205" s="256" t="n"/>
      <c r="Q205" s="256" t="n"/>
    </row>
    <row r="206">
      <c r="A206">
        <f>IF(DAY(D206)=DAY($L$1+1),A205+1,A205)</f>
        <v/>
      </c>
      <c r="B206" s="46">
        <f>IF(DAY(D206)=DAY($L$1+1),1,B205+1)</f>
        <v/>
      </c>
      <c r="C206" s="46">
        <f>IF(DAY(D206)=DAY($L$1+1),1,C205+1)</f>
        <v/>
      </c>
      <c r="D206" s="2">
        <f>D205+1</f>
        <v/>
      </c>
      <c r="E206" s="8">
        <f>IF(DAY(D206)=DAY($L$1+1),TRUNC((#REF!),8),E205)</f>
        <v/>
      </c>
      <c r="F206" s="49">
        <f>TRUNC(((1+VLOOKUP(A206,IPCA!$A$2:$C$140,3,0)))^(C206/(EDATE(D206-C206,1)-(D206-C206))),8)</f>
        <v/>
      </c>
      <c r="G206" s="49">
        <f>TRUNC((E206*F206),8)</f>
        <v/>
      </c>
      <c r="H206" s="49">
        <f>ROUND(((1+$H$4)^(30/360))^(C206/(EDATE(D206-B206,1)-(D206-B206))),9)</f>
        <v/>
      </c>
      <c r="I206" s="49">
        <f>TRUNC((G206*H206-G206),8)</f>
        <v/>
      </c>
      <c r="J206" s="49">
        <f>G206+I206</f>
        <v/>
      </c>
      <c r="K206" s="256" t="n"/>
      <c r="L206" s="256" t="n"/>
      <c r="M206" s="256" t="n"/>
      <c r="N206" s="256" t="n"/>
      <c r="O206" s="256" t="n"/>
      <c r="P206" s="256" t="n"/>
      <c r="Q206" s="256" t="n"/>
    </row>
    <row r="207">
      <c r="A207">
        <f>IF(DAY(D207)=DAY($L$1+1),A206+1,A206)</f>
        <v/>
      </c>
      <c r="B207" s="46">
        <f>IF(DAY(D207)=DAY($L$1+1),1,B206+1)</f>
        <v/>
      </c>
      <c r="C207" s="46">
        <f>IF(DAY(D207)=DAY($L$1+1),1,C206+1)</f>
        <v/>
      </c>
      <c r="D207" s="2">
        <f>D206+1</f>
        <v/>
      </c>
      <c r="E207" s="8">
        <f>IF(DAY(D207)=DAY($L$1+1),TRUNC((#REF!),8),E206)</f>
        <v/>
      </c>
      <c r="F207" s="49">
        <f>TRUNC(((1+VLOOKUP(A207,IPCA!$A$2:$C$140,3,0)))^(C207/(EDATE(D207-C207,1)-(D207-C207))),8)</f>
        <v/>
      </c>
      <c r="G207" s="49">
        <f>TRUNC((E207*F207),8)</f>
        <v/>
      </c>
      <c r="H207" s="49">
        <f>ROUND(((1+$H$4)^(30/360))^(C207/(EDATE(D207-B207,1)-(D207-B207))),9)</f>
        <v/>
      </c>
      <c r="I207" s="49">
        <f>TRUNC((G207*H207-G207),8)</f>
        <v/>
      </c>
      <c r="J207" s="49">
        <f>G207+I207</f>
        <v/>
      </c>
      <c r="K207" s="256" t="inlineStr">
        <is>
          <t>R$ 1,05826455</t>
        </is>
      </c>
      <c r="L207" s="256" t="n"/>
      <c r="M207" s="256" t="n"/>
      <c r="N207" s="256" t="n"/>
      <c r="O207" s="256" t="n"/>
      <c r="P207" s="256" t="n"/>
      <c r="Q207" s="256" t="n"/>
    </row>
    <row r="208">
      <c r="A208">
        <f>IF(DAY(D208)=DAY($L$1+1),A207+1,A207)</f>
        <v/>
      </c>
      <c r="B208" s="46">
        <f>IF(DAY(D208)=DAY($L$1+1),1,B207+1)</f>
        <v/>
      </c>
      <c r="C208" s="46">
        <f>IF(DAY(D208)=DAY($L$1+1),1,C207+1)</f>
        <v/>
      </c>
      <c r="D208" s="2">
        <f>D207+1</f>
        <v/>
      </c>
      <c r="E208" s="8">
        <f>IF(DAY(D208)=DAY($L$1+1),TRUNC((#REF!),8),E207)</f>
        <v/>
      </c>
      <c r="F208" s="49">
        <f>TRUNC(((1+VLOOKUP(A208,IPCA!$A$2:$C$140,3,0)))^(C208/(EDATE(D208-C208,1)-(D208-C208))),8)</f>
        <v/>
      </c>
      <c r="G208" s="49">
        <f>TRUNC((E208*F208),8)</f>
        <v/>
      </c>
      <c r="H208" s="49">
        <f>ROUND(((1+$H$4)^(30/360))^(C208/(EDATE(D208-B208,1)-(D208-B208))),9)</f>
        <v/>
      </c>
      <c r="I208" s="49">
        <f>TRUNC((G208*H208-G208),8)</f>
        <v/>
      </c>
      <c r="J208" s="49">
        <f>G208+I208</f>
        <v/>
      </c>
      <c r="K208" s="256">
        <f>J208-K207</f>
        <v/>
      </c>
      <c r="L208" s="256" t="n"/>
      <c r="M208" s="256" t="n"/>
      <c r="N208" s="256" t="n"/>
      <c r="O208" s="256" t="n"/>
      <c r="P208" s="256" t="n"/>
      <c r="Q208" s="256" t="n"/>
    </row>
    <row r="209">
      <c r="A209">
        <f>IF(DAY(D209)=DAY($L$1+1),A208+1,A208)</f>
        <v/>
      </c>
      <c r="B209" s="46">
        <f>IF(DAY(D209)=DAY($L$1+1),1,B208+1)</f>
        <v/>
      </c>
      <c r="C209" s="46">
        <f>IF(DAY(D209)=DAY($L$1+1),1,C208+1)</f>
        <v/>
      </c>
      <c r="D209" s="2">
        <f>D208+1</f>
        <v/>
      </c>
      <c r="E209" s="8">
        <f>IF(DAY(D209)=DAY($L$1+1),TRUNC((#REF!),8),E208)</f>
        <v/>
      </c>
      <c r="F209" s="49">
        <f>TRUNC(((1+VLOOKUP(A209,IPCA!$A$2:$C$140,3,0)))^(C209/(EDATE(D209-C209,1)-(D209-C209))),8)</f>
        <v/>
      </c>
      <c r="G209" s="49">
        <f>TRUNC((E209*F209),8)</f>
        <v/>
      </c>
      <c r="H209" s="49">
        <f>ROUND(((1+$H$4)^(30/360))^(C209/(EDATE(D209-B209,1)-(D209-B209))),9)</f>
        <v/>
      </c>
      <c r="I209" s="49">
        <f>TRUNC((G209*H209-G209),8)</f>
        <v/>
      </c>
      <c r="J209" s="49">
        <f>G209+I209</f>
        <v/>
      </c>
      <c r="K209" s="256" t="n"/>
      <c r="L209" s="256" t="n"/>
      <c r="M209" s="256" t="n"/>
      <c r="N209" s="256" t="n"/>
      <c r="O209" s="256" t="n"/>
      <c r="P209" s="256" t="n"/>
      <c r="Q209" s="256" t="n"/>
    </row>
    <row r="210">
      <c r="A210">
        <f>IF(DAY(D210)=DAY($L$1+1),A209+1,A209)</f>
        <v/>
      </c>
      <c r="B210" s="46">
        <f>IF(DAY(D210)=DAY($L$1+1),1,B209+1)</f>
        <v/>
      </c>
      <c r="C210" s="46">
        <f>IF(DAY(D210)=DAY($L$1+1),1,C209+1)</f>
        <v/>
      </c>
      <c r="D210" s="2">
        <f>D209+1</f>
        <v/>
      </c>
      <c r="E210" s="8">
        <f>IF(DAY(D210)=DAY($L$1+1),TRUNC((#REF!),8),E209)</f>
        <v/>
      </c>
      <c r="F210" s="49">
        <f>TRUNC(((1+VLOOKUP(A210,IPCA!$A$2:$C$140,3,0)))^(C210/(EDATE(D210-C210,1)-(D210-C210))),8)</f>
        <v/>
      </c>
      <c r="G210" s="49">
        <f>TRUNC((E210*F210),8)</f>
        <v/>
      </c>
      <c r="H210" s="49">
        <f>ROUND(((1+$H$4)^(30/360))^(C210/(EDATE(D210-B210,1)-(D210-B210))),9)</f>
        <v/>
      </c>
      <c r="I210" s="49">
        <f>TRUNC((G210*H210-G210),8)</f>
        <v/>
      </c>
      <c r="J210" s="49">
        <f>G210+I210</f>
        <v/>
      </c>
      <c r="K210" s="256" t="n"/>
      <c r="L210" s="256" t="n"/>
      <c r="M210" s="256" t="n"/>
      <c r="N210" s="256" t="n"/>
      <c r="O210" s="256" t="n"/>
      <c r="P210" s="256" t="n"/>
      <c r="Q210" s="256" t="n"/>
    </row>
    <row r="211">
      <c r="A211">
        <f>IF(DAY(D211)=DAY($L$1+1),A210+1,A210)</f>
        <v/>
      </c>
      <c r="B211" s="46">
        <f>IF(DAY(D211)=DAY($L$1+1),1,B210+1)</f>
        <v/>
      </c>
      <c r="C211" s="46">
        <f>IF(DAY(D211)=DAY($L$1+1),1,C210+1)</f>
        <v/>
      </c>
      <c r="D211" s="2">
        <f>D210+1</f>
        <v/>
      </c>
      <c r="E211" s="8">
        <f>IF(DAY(D211)=DAY($L$1+1),TRUNC((#REF!),8),E210)</f>
        <v/>
      </c>
      <c r="F211" s="49">
        <f>TRUNC(((1+VLOOKUP(A211,IPCA!$A$2:$C$140,3,0)))^(C211/(EDATE(D211-C211,1)-(D211-C211))),8)</f>
        <v/>
      </c>
      <c r="G211" s="49">
        <f>TRUNC((E211*F211),8)</f>
        <v/>
      </c>
      <c r="H211" s="49">
        <f>ROUND(((1+$H$4)^(30/360))^(C211/(EDATE(D211-B211,1)-(D211-B211))),9)</f>
        <v/>
      </c>
      <c r="I211" s="49">
        <f>TRUNC((G211*H211-G211),8)</f>
        <v/>
      </c>
      <c r="J211" s="49">
        <f>G211+I211</f>
        <v/>
      </c>
      <c r="K211" s="256" t="n"/>
      <c r="L211" s="256" t="n"/>
      <c r="M211" s="256" t="n"/>
      <c r="N211" s="256" t="n"/>
      <c r="O211" s="256" t="n"/>
      <c r="P211" s="256" t="n"/>
      <c r="Q211" s="256" t="n"/>
    </row>
    <row r="212">
      <c r="A212">
        <f>IF(DAY(D212)=DAY($L$1+1),A211+1,A211)</f>
        <v/>
      </c>
      <c r="B212" s="46">
        <f>IF(DAY(D212)=DAY($L$1+1),1,B211+1)</f>
        <v/>
      </c>
      <c r="C212" s="46">
        <f>IF(DAY(D212)=DAY($L$1+1),1,C211+1)</f>
        <v/>
      </c>
      <c r="D212" s="2">
        <f>D211+1</f>
        <v/>
      </c>
      <c r="E212" s="8">
        <f>IF(DAY(D212)=DAY($L$1+1),TRUNC((#REF!),8),E211)</f>
        <v/>
      </c>
      <c r="F212" s="49">
        <f>TRUNC(((1+VLOOKUP(A212,IPCA!$A$2:$C$140,3,0)))^(C212/(EDATE(D212-C212,1)-(D212-C212))),8)</f>
        <v/>
      </c>
      <c r="G212" s="49">
        <f>TRUNC((E212*F212),8)</f>
        <v/>
      </c>
      <c r="H212" s="49">
        <f>ROUND(((1+$H$4)^(30/360))^(C212/(EDATE(D212-B212,1)-(D212-B212))),9)</f>
        <v/>
      </c>
      <c r="I212" s="49">
        <f>TRUNC((G212*H212-G212),8)</f>
        <v/>
      </c>
      <c r="J212" s="49">
        <f>G212+I212</f>
        <v/>
      </c>
      <c r="K212" s="256" t="n"/>
      <c r="L212" s="256" t="n"/>
      <c r="M212" s="256" t="n"/>
      <c r="N212" s="256" t="n"/>
      <c r="O212" s="256" t="n"/>
      <c r="P212" s="256" t="n"/>
      <c r="Q212" s="256" t="n"/>
    </row>
    <row r="213">
      <c r="A213">
        <f>IF(DAY(D213)=DAY($L$1+1),A212+1,A212)</f>
        <v/>
      </c>
      <c r="B213" s="46">
        <f>IF(DAY(D213)=DAY($L$1+1),1,B212+1)</f>
        <v/>
      </c>
      <c r="C213" s="46">
        <f>IF(DAY(D213)=DAY($L$1+1),1,C212+1)</f>
        <v/>
      </c>
      <c r="D213" s="2">
        <f>D212+1</f>
        <v/>
      </c>
      <c r="E213" s="8">
        <f>IF(DAY(D213)=DAY($L$1+1),TRUNC((#REF!),8),E212)</f>
        <v/>
      </c>
      <c r="F213" s="49">
        <f>TRUNC(((1+VLOOKUP(A213,IPCA!$A$2:$C$140,3,0)))^(C213/(EDATE(D213-C213,1)-(D213-C213))),8)</f>
        <v/>
      </c>
      <c r="G213" s="49">
        <f>TRUNC((E213*F213),8)</f>
        <v/>
      </c>
      <c r="H213" s="49">
        <f>ROUND(((1+$H$4)^(30/360))^(C213/(EDATE(D213-B213,1)-(D213-B213))),9)</f>
        <v/>
      </c>
      <c r="I213" s="49">
        <f>TRUNC((G213*H213-G213),8)</f>
        <v/>
      </c>
      <c r="J213" s="49">
        <f>G213+I213</f>
        <v/>
      </c>
      <c r="K213" s="256" t="n"/>
      <c r="L213" s="256" t="n"/>
      <c r="M213" s="256" t="n"/>
      <c r="N213" s="256" t="n"/>
      <c r="O213" s="256" t="n"/>
      <c r="P213" s="256" t="n"/>
      <c r="Q213" s="256" t="n"/>
    </row>
    <row r="214">
      <c r="A214">
        <f>IF(DAY(D214)=DAY($L$1+1),A213+1,A213)</f>
        <v/>
      </c>
      <c r="B214" s="46">
        <f>IF(DAY(D214)=DAY($L$1+1),1,B213+1)</f>
        <v/>
      </c>
      <c r="C214" s="46">
        <f>IF(DAY(D214)=DAY($L$1+1),1,C213+1)</f>
        <v/>
      </c>
      <c r="D214" s="2">
        <f>D213+1</f>
        <v/>
      </c>
      <c r="E214" s="8">
        <f>IF(DAY(D214)=DAY($L$1+1),TRUNC((#REF!),8),E213)</f>
        <v/>
      </c>
      <c r="F214" s="49">
        <f>TRUNC(((1+VLOOKUP(A214,IPCA!$A$2:$C$140,3,0)))^(C214/(EDATE(D214-C214,1)-(D214-C214))),8)</f>
        <v/>
      </c>
      <c r="G214" s="49">
        <f>TRUNC((E214*F214),8)</f>
        <v/>
      </c>
      <c r="H214" s="49">
        <f>ROUND(((1+$H$4)^(30/360))^(C214/(EDATE(D214-B214,1)-(D214-B214))),9)</f>
        <v/>
      </c>
      <c r="I214" s="49">
        <f>TRUNC((G214*H214-G214),8)</f>
        <v/>
      </c>
      <c r="J214" s="49">
        <f>G214+I214</f>
        <v/>
      </c>
      <c r="K214" s="256" t="n"/>
      <c r="L214" s="256" t="n"/>
      <c r="M214" s="256" t="n"/>
      <c r="N214" s="256" t="n"/>
      <c r="O214" s="256" t="n"/>
      <c r="P214" s="256" t="n"/>
      <c r="Q214" s="256" t="n"/>
    </row>
    <row r="215">
      <c r="A215">
        <f>IF(DAY(D215)=DAY($L$1+1),A214+1,A214)</f>
        <v/>
      </c>
      <c r="B215" s="46">
        <f>IF(DAY(D215)=DAY($L$1+1),1,B214+1)</f>
        <v/>
      </c>
      <c r="C215" s="46">
        <f>IF(DAY(D215)=DAY($L$1+1),1,C214+1)</f>
        <v/>
      </c>
      <c r="D215" s="2">
        <f>D214+1</f>
        <v/>
      </c>
      <c r="E215" s="8">
        <f>IF(DAY(D215)=DAY($L$1+1),TRUNC((#REF!),8),E214)</f>
        <v/>
      </c>
      <c r="F215" s="49">
        <f>TRUNC(((1+VLOOKUP(A215,IPCA!$A$2:$C$140,3,0)))^(C215/(EDATE(D215-C215,1)-(D215-C215))),8)</f>
        <v/>
      </c>
      <c r="G215" s="49">
        <f>TRUNC((E215*F215),8)</f>
        <v/>
      </c>
      <c r="H215" s="49">
        <f>ROUND(((1+$H$4)^(30/360))^(C215/(EDATE(D215-B215,1)-(D215-B215))),9)</f>
        <v/>
      </c>
      <c r="I215" s="49">
        <f>TRUNC((G215*H215-G215),8)</f>
        <v/>
      </c>
      <c r="J215" s="49">
        <f>G215+I215</f>
        <v/>
      </c>
      <c r="K215" s="256" t="n"/>
      <c r="L215" s="256" t="n"/>
      <c r="M215" s="256" t="n"/>
      <c r="N215" s="256" t="n"/>
      <c r="O215" s="256" t="n"/>
      <c r="P215" s="256" t="n"/>
      <c r="Q215" s="256" t="n"/>
    </row>
    <row r="216">
      <c r="A216">
        <f>IF(DAY(D216)=DAY($L$1+1),A215+1,A215)</f>
        <v/>
      </c>
      <c r="B216" s="46">
        <f>IF(DAY(D216)=DAY($L$1+1),1,B215+1)</f>
        <v/>
      </c>
      <c r="C216" s="46">
        <f>IF(DAY(D216)=DAY($L$1+1),1,C215+1)</f>
        <v/>
      </c>
      <c r="D216" s="2">
        <f>D215+1</f>
        <v/>
      </c>
      <c r="E216" s="8">
        <f>IF(DAY(D216)=DAY($L$1+1),TRUNC((N215),8),E215)</f>
        <v/>
      </c>
      <c r="F216" s="49">
        <f>TRUNC(((1+VLOOKUP(A216,IPCA!$A$2:$C$140,3,0)))^(C216/(EDATE(D216-C216,1)-(D216-C216))),8)</f>
        <v/>
      </c>
      <c r="G216" s="49">
        <f>TRUNC((E216*F216),8)</f>
        <v/>
      </c>
      <c r="H216" s="49">
        <f>ROUND(((1+$H$4)^(30/360))^(C216/(EDATE(D216-B216,1)-(D216-B216))),9)</f>
        <v/>
      </c>
      <c r="I216" s="49">
        <f>TRUNC((G216*H216-G216),8)</f>
        <v/>
      </c>
      <c r="J216" s="49">
        <f>G216+I216</f>
        <v/>
      </c>
      <c r="K216" s="256" t="n"/>
      <c r="L216" s="256" t="n"/>
      <c r="M216" s="256" t="n"/>
      <c r="N216" s="256" t="n"/>
      <c r="O216" s="256" t="n"/>
      <c r="P216" s="256" t="n"/>
      <c r="Q216" s="256" t="n"/>
    </row>
    <row r="217">
      <c r="A217">
        <f>IF(DAY(D217)=DAY($L$1+1),A216+1,A216)</f>
        <v/>
      </c>
      <c r="B217" s="46">
        <f>IF(DAY(D217)=DAY($L$1+1),1,B216+1)</f>
        <v/>
      </c>
      <c r="C217" s="46">
        <f>IF(DAY(D217)=DAY($L$1+1),1,C216+1)</f>
        <v/>
      </c>
      <c r="D217" s="2">
        <f>D216+1</f>
        <v/>
      </c>
      <c r="E217" s="8">
        <f>IF(DAY(D217)=DAY($L$1+1),TRUNC((N216),8),E216)</f>
        <v/>
      </c>
      <c r="F217" s="49">
        <f>TRUNC(((1+VLOOKUP(A217,IPCA!$A$2:$C$140,3,0)))^(C217/(EDATE(D217-C217,1)-(D217-C217))),8)</f>
        <v/>
      </c>
      <c r="G217" s="49">
        <f>TRUNC((E217*F217),8)</f>
        <v/>
      </c>
      <c r="H217" s="49">
        <f>ROUND(((1+$H$4)^(30/360))^(C217/(EDATE(D217-B217,1)-(D217-B217))),9)</f>
        <v/>
      </c>
      <c r="I217" s="49">
        <f>TRUNC((G217*H217-G217),8)</f>
        <v/>
      </c>
      <c r="J217" s="49">
        <f>G217+I217</f>
        <v/>
      </c>
      <c r="K217" s="256" t="n"/>
      <c r="L217" s="256" t="n"/>
      <c r="M217" s="256" t="n"/>
      <c r="N217" s="256" t="n"/>
      <c r="O217" s="256" t="n"/>
      <c r="P217" s="256" t="n"/>
      <c r="Q217" s="256" t="n"/>
    </row>
    <row r="218">
      <c r="A218">
        <f>IF(DAY(D218)=DAY($L$1+1),A217+1,A217)</f>
        <v/>
      </c>
      <c r="B218" s="46">
        <f>IF(DAY(D218)=DAY($L$1+1),1,B217+1)</f>
        <v/>
      </c>
      <c r="C218" s="46">
        <f>IF(DAY(D218)=DAY($L$1+1),1,C217+1)</f>
        <v/>
      </c>
      <c r="D218" s="2">
        <f>D217+1</f>
        <v/>
      </c>
      <c r="E218" s="8">
        <f>IF(DAY(D218)=DAY($L$1+1),TRUNC((N217),8),E217)</f>
        <v/>
      </c>
      <c r="F218" s="49">
        <f>TRUNC(((1+VLOOKUP(A218,IPCA!$A$2:$C$140,3,0)))^(C218/(EDATE(D218-C218,1)-(D218-C218))),8)</f>
        <v/>
      </c>
      <c r="G218" s="49">
        <f>TRUNC((E218*F218),8)</f>
        <v/>
      </c>
      <c r="H218" s="49">
        <f>ROUND(((1+$H$4)^(30/360))^(C218/(EDATE(D218-B218,1)-(D218-B218))),9)</f>
        <v/>
      </c>
      <c r="I218" s="49">
        <f>TRUNC((G218*H218-G218),8)</f>
        <v/>
      </c>
      <c r="J218" s="49">
        <f>G218+I218</f>
        <v/>
      </c>
      <c r="K218" s="256" t="n"/>
      <c r="L218" s="256" t="n"/>
      <c r="M218" s="256" t="n"/>
      <c r="N218" s="256" t="n"/>
      <c r="O218" s="256" t="n"/>
      <c r="P218" s="256" t="n"/>
      <c r="Q218" s="256" t="n"/>
    </row>
    <row r="219">
      <c r="A219">
        <f>IF(DAY(D219)=DAY($L$1+1),A218+1,A218)</f>
        <v/>
      </c>
      <c r="B219" s="46">
        <f>IF(DAY(D219)=DAY($L$1+1),1,B218+1)</f>
        <v/>
      </c>
      <c r="C219" s="46">
        <f>IF(DAY(D219)=DAY($L$1+1),1,C218+1)</f>
        <v/>
      </c>
      <c r="D219" s="2">
        <f>D218+1</f>
        <v/>
      </c>
      <c r="E219" s="8">
        <f>IF(DAY(D219)=DAY($L$1+1),TRUNC((N218),8),E218)</f>
        <v/>
      </c>
      <c r="F219" s="49">
        <f>TRUNC(((1+VLOOKUP(A219,IPCA!$A$2:$C$140,3,0)))^(C219/(EDATE(D219-C219,1)-(D219-C219))),8)</f>
        <v/>
      </c>
      <c r="G219" s="49">
        <f>TRUNC((E219*F219),8)</f>
        <v/>
      </c>
      <c r="H219" s="49">
        <f>ROUND(((1+$H$4)^(30/360))^(C219/(EDATE(D219-B219,1)-(D219-B219))),9)</f>
        <v/>
      </c>
      <c r="I219" s="49">
        <f>TRUNC((G219*H219-G219),8)</f>
        <v/>
      </c>
      <c r="J219" s="49">
        <f>G219+I219</f>
        <v/>
      </c>
      <c r="K219" s="123" t="n"/>
      <c r="L219" s="271" t="n"/>
      <c r="M219" s="256" t="n"/>
      <c r="N219" s="256" t="n"/>
      <c r="O219" s="256" t="n"/>
      <c r="P219" s="256" t="n"/>
      <c r="Q219" s="256" t="n"/>
    </row>
    <row r="220">
      <c r="A220">
        <f>IF(DAY(D220)=DAY($L$1+1),A219+1,A219)</f>
        <v/>
      </c>
      <c r="B220" s="46">
        <f>IF(DAY(D220)=DAY($L$1+1),1,B219+1)</f>
        <v/>
      </c>
      <c r="C220" s="46">
        <f>IF(DAY(D220)=DAY($L$1+1),1,C219+1)</f>
        <v/>
      </c>
      <c r="D220" s="2">
        <f>D219+1</f>
        <v/>
      </c>
      <c r="E220" s="8">
        <f>IF(DAY(D220)=DAY($L$1+1),TRUNC((N219),8),E219)</f>
        <v/>
      </c>
      <c r="F220" s="49">
        <f>TRUNC(((1+VLOOKUP(A220,IPCA!$A$2:$C$140,3,0)))^(C220/(EDATE(D220-C220,1)-(D220-C220))),8)</f>
        <v/>
      </c>
      <c r="G220" s="49">
        <f>TRUNC((E220*F220),8)</f>
        <v/>
      </c>
      <c r="H220" s="49">
        <f>ROUND(((1+$H$4)^(30/360))^(C220/(EDATE(D220-B220,1)-(D220-B220))),9)</f>
        <v/>
      </c>
      <c r="I220" s="49">
        <f>TRUNC((G220*H220-G220),8)</f>
        <v/>
      </c>
      <c r="J220" s="49">
        <f>G220+I220</f>
        <v/>
      </c>
      <c r="K220" s="256" t="n"/>
      <c r="L220" s="256" t="n"/>
      <c r="M220" s="256" t="n"/>
      <c r="N220" s="256" t="n"/>
      <c r="O220" s="256" t="n"/>
      <c r="P220" s="256" t="n"/>
      <c r="Q220" s="256" t="n"/>
    </row>
    <row r="221">
      <c r="A221">
        <f>IF(DAY(D221)=DAY($L$1+1),A220+1,A220)</f>
        <v/>
      </c>
      <c r="B221" s="46">
        <f>IF(DAY(D221)=DAY($L$1+1),1,B220+1)</f>
        <v/>
      </c>
      <c r="C221" s="46">
        <f>IF(DAY(D221)=DAY($L$1+1),1,C220+1)</f>
        <v/>
      </c>
      <c r="D221" s="2">
        <f>D220+1</f>
        <v/>
      </c>
      <c r="E221" s="8">
        <f>IF(DAY(D221)=DAY($L$1+1),TRUNC((N220),8),E220)</f>
        <v/>
      </c>
      <c r="F221" s="49">
        <f>TRUNC(((1+VLOOKUP(A221,IPCA!$A$2:$C$140,3,0)))^(C221/(EDATE(D221-C221,1)-(D221-C221))),8)</f>
        <v/>
      </c>
      <c r="G221" s="49">
        <f>TRUNC((E221*F221),8)</f>
        <v/>
      </c>
      <c r="H221" s="49">
        <f>ROUND(((1+$H$4)^(30/360))^(C221/(EDATE(D221-B221,1)-(D221-B221))),9)</f>
        <v/>
      </c>
      <c r="I221" s="49">
        <f>TRUNC((G221*H221-G221),8)</f>
        <v/>
      </c>
      <c r="J221" s="49">
        <f>G221+I221</f>
        <v/>
      </c>
      <c r="K221" s="256" t="n"/>
      <c r="L221" s="256" t="n"/>
      <c r="M221" s="256" t="n"/>
      <c r="N221" s="256" t="n"/>
      <c r="O221" s="256" t="n"/>
      <c r="P221" s="256" t="n"/>
      <c r="Q221" s="256" t="n"/>
    </row>
    <row r="222">
      <c r="A222">
        <f>IF(DAY(D222)=DAY($L$1+1),A221+1,A221)</f>
        <v/>
      </c>
      <c r="B222" s="46">
        <f>IF(DAY(D222)=DAY($L$1+1),1,B221+1)</f>
        <v/>
      </c>
      <c r="C222" s="46">
        <f>IF(DAY(D222)=DAY($L$1+1),1,C221+1)</f>
        <v/>
      </c>
      <c r="D222" s="2">
        <f>D221+1</f>
        <v/>
      </c>
      <c r="E222" s="8">
        <f>IF(DAY(D222)=DAY($L$1+1),TRUNC((N221),8),E221)</f>
        <v/>
      </c>
      <c r="F222" s="49">
        <f>TRUNC(((1+VLOOKUP(A222,IPCA!$A$2:$C$140,3,0)))^(C222/(EDATE(D222-C222,1)-(D222-C222))),8)</f>
        <v/>
      </c>
      <c r="G222" s="49">
        <f>TRUNC((E222*F222),8)</f>
        <v/>
      </c>
      <c r="H222" s="49">
        <f>ROUND(((1+$H$4)^(30/360))^(C222/(EDATE(D222-B222,1)-(D222-B222))),9)</f>
        <v/>
      </c>
      <c r="I222" s="49">
        <f>TRUNC((G222*H222-G222),8)</f>
        <v/>
      </c>
      <c r="J222" s="49">
        <f>G222+I222</f>
        <v/>
      </c>
      <c r="K222" s="256" t="n"/>
      <c r="L222" s="256" t="n"/>
      <c r="M222" s="256" t="n"/>
      <c r="N222" s="256" t="n"/>
      <c r="O222" s="256" t="n"/>
      <c r="P222" s="256" t="n"/>
      <c r="Q222" s="256" t="n"/>
    </row>
    <row r="223">
      <c r="A223">
        <f>IF(DAY(D223)=DAY($L$1+1),A222+1,A222)</f>
        <v/>
      </c>
      <c r="B223" s="46">
        <f>IF(DAY(D223)=DAY($L$1+1),1,B222+1)</f>
        <v/>
      </c>
      <c r="C223" s="46">
        <f>IF(DAY(D223)=DAY($L$1+1),1,C222+1)</f>
        <v/>
      </c>
      <c r="D223" s="2">
        <f>D222+1</f>
        <v/>
      </c>
      <c r="E223" s="8">
        <f>IF(DAY(D223)=DAY($L$1+1),TRUNC((N222),8),E222)</f>
        <v/>
      </c>
      <c r="F223" s="49">
        <f>TRUNC(((1+VLOOKUP(A223,IPCA!$A$2:$C$140,3,0)))^(C223/(EDATE(D223-C223,1)-(D223-C223))),8)</f>
        <v/>
      </c>
      <c r="G223" s="49">
        <f>TRUNC((E223*F223),8)</f>
        <v/>
      </c>
      <c r="H223" s="49">
        <f>ROUND(((1+$H$4)^(30/360))^(C223/(EDATE(D223-B223,1)-(D223-B223))),9)</f>
        <v/>
      </c>
      <c r="I223" s="49">
        <f>TRUNC((G223*H223-G223),8)</f>
        <v/>
      </c>
      <c r="J223" s="49">
        <f>G223+I223</f>
        <v/>
      </c>
      <c r="K223" s="256" t="n"/>
      <c r="L223" s="256" t="n"/>
      <c r="M223" s="256" t="n"/>
      <c r="N223" s="256" t="n"/>
      <c r="O223" s="256" t="n"/>
      <c r="P223" s="256" t="n"/>
      <c r="Q223" s="256" t="n"/>
    </row>
    <row r="224">
      <c r="A224">
        <f>IF(DAY(D224)=DAY($L$1+1),A223+1,A223)</f>
        <v/>
      </c>
      <c r="B224" s="46">
        <f>IF(DAY(D224)=DAY($L$1+1),1,B223+1)</f>
        <v/>
      </c>
      <c r="C224" s="46">
        <f>IF(DAY(D224)=DAY($L$1+1),1,C223+1)</f>
        <v/>
      </c>
      <c r="D224" s="2">
        <f>D223+1</f>
        <v/>
      </c>
      <c r="E224" s="8">
        <f>IF(DAY(D224)=DAY($L$1+1),TRUNC((N223),8),E223)</f>
        <v/>
      </c>
      <c r="F224" s="49">
        <f>TRUNC(((1+VLOOKUP(A224,IPCA!$A$2:$C$140,3,0)))^(C224/(EDATE(D224-C224,1)-(D224-C224))),8)</f>
        <v/>
      </c>
      <c r="G224" s="49">
        <f>TRUNC((E224*F224),8)</f>
        <v/>
      </c>
      <c r="H224" s="49">
        <f>ROUND(((1+$H$4)^(30/360))^(C224/(EDATE(D224-B224,1)-(D224-B224))),9)</f>
        <v/>
      </c>
      <c r="I224" s="49">
        <f>TRUNC((G224*H224-G224),8)</f>
        <v/>
      </c>
      <c r="J224" s="49">
        <f>G224+I224</f>
        <v/>
      </c>
      <c r="K224" s="256" t="n"/>
      <c r="L224" s="256" t="n"/>
      <c r="M224" s="256" t="n"/>
      <c r="N224" s="256" t="n"/>
      <c r="O224" s="256" t="n"/>
      <c r="P224" s="256" t="n"/>
      <c r="Q224" s="256" t="n"/>
    </row>
    <row r="225">
      <c r="A225">
        <f>IF(DAY(D225)=DAY($L$1+1),A224+1,A224)</f>
        <v/>
      </c>
      <c r="B225" s="46">
        <f>IF(DAY(D225)=DAY($L$1+1),1,B224+1)</f>
        <v/>
      </c>
      <c r="C225" s="46">
        <f>IF(DAY(D225)=DAY($L$1+1),1,C224+1)</f>
        <v/>
      </c>
      <c r="D225" s="2">
        <f>D224+1</f>
        <v/>
      </c>
      <c r="E225" s="8">
        <f>IF(DAY(D225)=DAY($L$1+1),TRUNC((N224),8),E224)</f>
        <v/>
      </c>
      <c r="F225" s="49">
        <f>TRUNC(((1+VLOOKUP(A225,IPCA!$A$2:$C$140,3,0)))^(C225/(EDATE(D225-C225,1)-(D225-C225))),8)</f>
        <v/>
      </c>
      <c r="G225" s="49">
        <f>TRUNC((E225*F225),8)</f>
        <v/>
      </c>
      <c r="H225" s="49">
        <f>ROUND(((1+$H$4)^(30/360))^(C225/(EDATE(D225-B225,1)-(D225-B225))),9)</f>
        <v/>
      </c>
      <c r="I225" s="49">
        <f>TRUNC((G225*H225-G225),8)</f>
        <v/>
      </c>
      <c r="J225" s="49">
        <f>G225+I225</f>
        <v/>
      </c>
      <c r="K225" s="256" t="n"/>
      <c r="L225" s="256" t="n"/>
      <c r="M225" s="256" t="n"/>
      <c r="N225" s="256" t="n"/>
      <c r="O225" s="256" t="n"/>
      <c r="P225" s="256" t="n"/>
      <c r="Q225" s="256" t="n"/>
    </row>
    <row r="226">
      <c r="A226">
        <f>IF(DAY(D226)=DAY($L$1+1),A225+1,A225)</f>
        <v/>
      </c>
      <c r="B226" s="46">
        <f>IF(DAY(D226)=DAY($L$1+1),1,B225+1)</f>
        <v/>
      </c>
      <c r="C226" s="46">
        <f>IF(DAY(D226)=DAY($L$1+1),1,C225+1)</f>
        <v/>
      </c>
      <c r="D226" s="2">
        <f>D225+1</f>
        <v/>
      </c>
      <c r="E226" s="8">
        <f>IF(DAY(D226)=DAY($L$1+1),TRUNC((N225),8),E225)</f>
        <v/>
      </c>
      <c r="F226" s="49">
        <f>TRUNC(((1+VLOOKUP(A226,IPCA!$A$2:$C$140,3,0)))^(C226/(EDATE(D226-C226,1)-(D226-C226))),8)</f>
        <v/>
      </c>
      <c r="G226" s="49">
        <f>TRUNC((E226*F226),8)</f>
        <v/>
      </c>
      <c r="H226" s="49">
        <f>ROUND(((1+$H$4)^(30/360))^(C226/(EDATE(D226-B226,1)-(D226-B226))),9)</f>
        <v/>
      </c>
      <c r="I226" s="49">
        <f>TRUNC((G226*H226-G226),8)</f>
        <v/>
      </c>
      <c r="J226" s="49">
        <f>G226+I226</f>
        <v/>
      </c>
      <c r="K226" s="256" t="n"/>
      <c r="L226" s="256" t="n"/>
      <c r="M226" s="256" t="n"/>
      <c r="N226" s="256" t="n"/>
      <c r="O226" s="256" t="n"/>
      <c r="P226" s="256" t="n"/>
      <c r="Q226" s="256" t="n"/>
    </row>
    <row r="227">
      <c r="A227">
        <f>IF(DAY(D227)=DAY($L$1+1),A226+1,A226)</f>
        <v/>
      </c>
      <c r="B227" s="46">
        <f>IF(DAY(D227)=DAY($L$1+1),1,B226+1)</f>
        <v/>
      </c>
      <c r="C227" s="46">
        <f>IF(DAY(D227)=DAY($L$1+1),1,C226+1)</f>
        <v/>
      </c>
      <c r="D227" s="2">
        <f>D226+1</f>
        <v/>
      </c>
      <c r="E227" s="8">
        <f>IF(DAY(D227)=DAY($L$1+1),TRUNC((N226),8),E226)</f>
        <v/>
      </c>
      <c r="F227" s="49">
        <f>TRUNC(((1+VLOOKUP(A227,IPCA!$A$2:$C$140,3,0)))^(C227/(EDATE(D227-C227,1)-(D227-C227))),8)</f>
        <v/>
      </c>
      <c r="G227" s="49">
        <f>TRUNC((E227*F227),8)</f>
        <v/>
      </c>
      <c r="H227" s="49">
        <f>ROUND(((1+$H$4)^(30/360))^(C227/(EDATE(D227-B227,1)-(D227-B227))),9)</f>
        <v/>
      </c>
      <c r="I227" s="49">
        <f>TRUNC((G227*H227-G227),8)</f>
        <v/>
      </c>
      <c r="J227" s="49">
        <f>G227+I227</f>
        <v/>
      </c>
      <c r="K227" s="256" t="n"/>
      <c r="L227" s="256" t="n"/>
      <c r="M227" s="256" t="n"/>
      <c r="N227" s="256" t="n"/>
      <c r="O227" s="256" t="n"/>
      <c r="P227" s="256" t="n"/>
      <c r="Q227" s="256" t="n"/>
    </row>
    <row r="228">
      <c r="A228">
        <f>IF(DAY(D228)=DAY($L$1+1),A227+1,A227)</f>
        <v/>
      </c>
      <c r="B228" s="46">
        <f>IF(DAY(D228)=DAY($L$1+1),1,B227+1)</f>
        <v/>
      </c>
      <c r="C228" s="46">
        <f>IF(DAY(D228)=DAY($L$1+1),1,C227+1)</f>
        <v/>
      </c>
      <c r="D228" s="2">
        <f>D227+1</f>
        <v/>
      </c>
      <c r="E228" s="8">
        <f>IF(DAY(D228)=DAY($L$1+1),TRUNC((N227),8),E227)</f>
        <v/>
      </c>
      <c r="F228" s="49">
        <f>TRUNC(((1+VLOOKUP(A228,IPCA!$A$2:$C$140,3,0)))^(C228/(EDATE(D228-C228,1)-(D228-C228))),8)</f>
        <v/>
      </c>
      <c r="G228" s="49">
        <f>TRUNC((E228*F228),8)</f>
        <v/>
      </c>
      <c r="H228" s="49">
        <f>ROUND(((1+$H$4)^(30/360))^(C228/(EDATE(D228-B228,1)-(D228-B228))),9)</f>
        <v/>
      </c>
      <c r="I228" s="49">
        <f>TRUNC((G228*H228-G228),8)</f>
        <v/>
      </c>
      <c r="J228" s="49">
        <f>G228+I228</f>
        <v/>
      </c>
      <c r="L228" s="256" t="n"/>
      <c r="M228" s="256" t="n"/>
      <c r="N228" s="256" t="n"/>
      <c r="O228" s="256" t="n"/>
      <c r="P228" s="256" t="n"/>
      <c r="Q228" s="256" t="n"/>
    </row>
    <row r="229">
      <c r="A229">
        <f>IF(DAY(D229)=DAY($L$1+1),A228+1,A228)</f>
        <v/>
      </c>
      <c r="B229" s="46">
        <f>IF(DAY(D229)=DAY($L$1+1),1,B228+1)</f>
        <v/>
      </c>
      <c r="C229" s="46">
        <f>IF(DAY(D229)=DAY($L$1+1),1,C228+1)</f>
        <v/>
      </c>
      <c r="D229" s="2">
        <f>D228+1</f>
        <v/>
      </c>
      <c r="E229" s="8">
        <f>IF(DAY(D229)=DAY($L$1+1),TRUNC((N228),8),E228)</f>
        <v/>
      </c>
      <c r="F229" s="49">
        <f>TRUNC(((1+VLOOKUP(A229,IPCA!$A$2:$C$140,3,0)))^(C229/(EDATE(D229-C229,1)-(D229-C229))),8)</f>
        <v/>
      </c>
      <c r="G229" s="49">
        <f>TRUNC((E229*F229),8)</f>
        <v/>
      </c>
      <c r="H229" s="49">
        <f>ROUND(((1+$H$4)^(30/360))^(C229/(EDATE(D229-B229,1)-(D229-B229))),9)</f>
        <v/>
      </c>
      <c r="I229" s="49">
        <f>TRUNC((G229*H229-G229),8)</f>
        <v/>
      </c>
      <c r="J229" s="49">
        <f>G229+I229</f>
        <v/>
      </c>
      <c r="K229" s="256" t="n"/>
      <c r="L229" s="256" t="n"/>
      <c r="M229" s="256" t="n"/>
      <c r="N229" s="256" t="n"/>
      <c r="O229" s="256" t="n"/>
      <c r="P229" s="256" t="n"/>
      <c r="Q229" s="256" t="n"/>
    </row>
    <row r="230">
      <c r="A230">
        <f>IF(DAY(D230)=DAY($L$1+1),A229+1,A229)</f>
        <v/>
      </c>
      <c r="B230" s="46">
        <f>IF(DAY(D230)=DAY($L$1+1),1,B229+1)</f>
        <v/>
      </c>
      <c r="C230" s="46">
        <f>IF(DAY(D230)=DAY($L$1+1),1,C229+1)</f>
        <v/>
      </c>
      <c r="D230" s="2">
        <f>D229+1</f>
        <v/>
      </c>
      <c r="E230" s="8">
        <f>IF(DAY(D230)=DAY($L$1+1),TRUNC((N229),8),E229)</f>
        <v/>
      </c>
      <c r="F230" s="49">
        <f>TRUNC(((1+VLOOKUP(A230,IPCA!$A$2:$C$140,3,0)))^(C230/(EDATE(D230-C230,1)-(D230-C230))),8)</f>
        <v/>
      </c>
      <c r="G230" s="49">
        <f>TRUNC((E230*F230),8)</f>
        <v/>
      </c>
      <c r="H230" s="49">
        <f>ROUND(((1+$H$4)^(30/360))^(C230/(EDATE(D230-B230,1)-(D230-B230))),9)</f>
        <v/>
      </c>
      <c r="I230" s="49">
        <f>TRUNC((G230*H230-G230),8)</f>
        <v/>
      </c>
      <c r="J230" s="49">
        <f>G230+I230</f>
        <v/>
      </c>
      <c r="K230" s="256" t="n"/>
      <c r="L230" s="256" t="n"/>
      <c r="M230" s="256" t="n"/>
      <c r="N230" s="256" t="n"/>
      <c r="O230" s="256" t="n"/>
      <c r="P230" s="256" t="n"/>
      <c r="Q230" s="256" t="n"/>
    </row>
    <row r="231">
      <c r="A231">
        <f>IF(DAY(D231)=DAY($L$1+1),A230+1,A230)</f>
        <v/>
      </c>
      <c r="B231" s="46">
        <f>IF(DAY(D231)=DAY($L$1+1),1,B230+1)</f>
        <v/>
      </c>
      <c r="C231" s="46">
        <f>IF(DAY(D231)=DAY($L$1+1),1,C230+1)</f>
        <v/>
      </c>
      <c r="D231" s="2">
        <f>D230+1</f>
        <v/>
      </c>
      <c r="E231" s="8">
        <f>IF(DAY(D231)=DAY($L$1+1),TRUNC((N230),8),E230)</f>
        <v/>
      </c>
      <c r="F231" s="49">
        <f>TRUNC(((1+VLOOKUP(A231,IPCA!$A$2:$C$140,3,0)))^(C231/(EDATE(D231-C231,1)-(D231-C231))),8)</f>
        <v/>
      </c>
      <c r="G231" s="49">
        <f>TRUNC((E231*F231),8)</f>
        <v/>
      </c>
      <c r="H231" s="49">
        <f>ROUND(((1+$H$4)^(30/360))^(C231/(EDATE(D231-B231,1)-(D231-B231))),9)</f>
        <v/>
      </c>
      <c r="I231" s="49">
        <f>TRUNC((G231*H231-G231),8)</f>
        <v/>
      </c>
      <c r="J231" s="49">
        <f>G231+I231</f>
        <v/>
      </c>
      <c r="K231" s="256" t="n"/>
      <c r="L231" s="256" t="n"/>
      <c r="M231" s="256" t="n"/>
      <c r="N231" s="256" t="n"/>
      <c r="O231" s="256" t="n"/>
      <c r="P231" s="256" t="n"/>
      <c r="Q231" s="256" t="n"/>
    </row>
    <row r="232">
      <c r="A232">
        <f>IF(DAY(D232)=DAY($L$1+1),A231+1,A231)</f>
        <v/>
      </c>
      <c r="B232" s="46">
        <f>IF(DAY(D232)=DAY($L$1+1),1,B231+1)</f>
        <v/>
      </c>
      <c r="C232" s="46">
        <f>IF(DAY(D232)=DAY($L$1+1),1,C231+1)</f>
        <v/>
      </c>
      <c r="D232" s="2">
        <f>D231+1</f>
        <v/>
      </c>
      <c r="E232" s="8">
        <f>IF(DAY(D232)=DAY($L$1+1),TRUNC((N231),8),E231)</f>
        <v/>
      </c>
      <c r="F232" s="49">
        <f>TRUNC(((1+VLOOKUP(A232,IPCA!$A$2:$C$140,3,0)))^(C232/(EDATE(D232-C232,1)-(D232-C232))),8)</f>
        <v/>
      </c>
      <c r="G232" s="49">
        <f>TRUNC((E232*F232),8)</f>
        <v/>
      </c>
      <c r="H232" s="49">
        <f>ROUND(((1+$H$4)^(30/360))^(C232/(EDATE(D232-B232,1)-(D232-B232))),9)</f>
        <v/>
      </c>
      <c r="I232" s="49">
        <f>TRUNC((G232*H232-G232),8)</f>
        <v/>
      </c>
      <c r="J232" s="49">
        <f>G232+I232</f>
        <v/>
      </c>
      <c r="K232" s="256" t="inlineStr">
        <is>
          <t>Cri Integralizado</t>
        </is>
      </c>
      <c r="L232" s="270">
        <f>L201</f>
        <v/>
      </c>
      <c r="M232" s="256" t="n"/>
      <c r="N232" s="256" t="n"/>
      <c r="O232" s="256" t="n"/>
      <c r="P232" s="256" t="n"/>
      <c r="Q232" s="256" t="n"/>
    </row>
    <row r="233">
      <c r="A233">
        <f>IF(DAY(D233)=DAY($L$1+1),A232+1,A232)</f>
        <v/>
      </c>
      <c r="B233" s="46">
        <f>IF(DAY(D233)=DAY($L$1+1),1,B232+1)</f>
        <v/>
      </c>
      <c r="C233" s="46">
        <f>IF(DAY(D233)=DAY($L$1+1),1,C232+1)</f>
        <v/>
      </c>
      <c r="D233" s="47">
        <f>D232+1</f>
        <v/>
      </c>
      <c r="E233" s="8">
        <f>IF(DAY(D233)=DAY($L$1+1),TRUNC((N232),8),E232)</f>
        <v/>
      </c>
      <c r="F233" s="49">
        <f>TRUNC(((1+VLOOKUP(A233,IPCA!$A$2:$C$140,3,0)))^(C233/(EDATE(D233-C233,1)-(D233-C233))),8)</f>
        <v/>
      </c>
      <c r="G233" s="49">
        <f>TRUNC((E233*F233),8)</f>
        <v/>
      </c>
      <c r="H233" s="49">
        <f>ROUND(((1+$H$4)^(30/360))^(C233/(EDATE(D233-B233,1)-(D233-B233))),9)</f>
        <v/>
      </c>
      <c r="I233" s="49">
        <f>TRUNC((G233*H233-G233),8)</f>
        <v/>
      </c>
      <c r="J233" s="49">
        <f>G233+I233</f>
        <v/>
      </c>
      <c r="K233" s="118" t="inlineStr">
        <is>
          <t>JUROS</t>
        </is>
      </c>
      <c r="L233" s="118" t="inlineStr">
        <is>
          <t>AMORTIZAÇÃO</t>
        </is>
      </c>
      <c r="M233" s="118" t="inlineStr">
        <is>
          <t>AMEX</t>
        </is>
      </c>
      <c r="N233" s="118" t="inlineStr">
        <is>
          <t>RESIDUAL</t>
        </is>
      </c>
      <c r="O233" s="256" t="n"/>
      <c r="P233" s="256" t="n"/>
      <c r="Q233" s="256" t="n"/>
    </row>
    <row r="234">
      <c r="A234">
        <f>IF(DAY(D234)=DAY($L$1+1),A233+1,A233)</f>
        <v/>
      </c>
      <c r="B234" s="111">
        <f>IF(DAY(D234)=DAY($L$1+1),1,B233+1)</f>
        <v/>
      </c>
      <c r="C234" s="111">
        <f>IF(DAY(D234)=DAY($L$1+1),1,C233+1)</f>
        <v/>
      </c>
      <c r="D234" s="112">
        <f>D233+1</f>
        <v/>
      </c>
      <c r="E234" s="113">
        <f>IF(DAY(D234)=DAY($L$1+1),TRUNC((N233),8),E233)</f>
        <v/>
      </c>
      <c r="F234" s="114">
        <f>TRUNC(((1+VLOOKUP(A234,IPCA!$A$2:$C$140,3,0)))^(C234/(EDATE(D234-C234,1)-(D234-C234))),8)</f>
        <v/>
      </c>
      <c r="G234" s="114">
        <f>TRUNC((E234*F234),8)</f>
        <v/>
      </c>
      <c r="H234" s="114">
        <f>ROUND(((1+$H$4)^(30/360))^(C234/(EDATE(D234-B234,1)-(D234-B234))),9)</f>
        <v/>
      </c>
      <c r="I234" s="114">
        <f>TRUNC((G234*H234-G234),8)</f>
        <v/>
      </c>
      <c r="J234" s="114">
        <f>G234+I234</f>
        <v/>
      </c>
      <c r="K234" s="119" t="n">
        <v>0</v>
      </c>
      <c r="L234" s="120">
        <f>TRUNC(G234*VLOOKUP(D234,'Amort TS'!$G$3:$H$140,2,0),8)</f>
        <v/>
      </c>
      <c r="M234" s="120" t="n">
        <v>0</v>
      </c>
      <c r="N234" s="120">
        <f>J234-K234-L234-M234</f>
        <v/>
      </c>
      <c r="O234" s="256" t="n"/>
      <c r="P234" s="256" t="n"/>
      <c r="Q234" s="256" t="n"/>
    </row>
    <row r="235">
      <c r="A235">
        <f>IF(DAY(D235)=DAY($L$1+1),A234+1,A234)</f>
        <v/>
      </c>
      <c r="B235" s="46">
        <f>IF(DAY(D235)=DAY($L$1+1),1,B234+1)</f>
        <v/>
      </c>
      <c r="C235" s="46">
        <f>IF(DAY(D235)=DAY($L$1+1),1,C234+1)</f>
        <v/>
      </c>
      <c r="D235" s="2">
        <f>D234+1</f>
        <v/>
      </c>
      <c r="E235" s="8">
        <f>IF(DAY(D235)=DAY($L$1+1),TRUNC((N234),8),E234)</f>
        <v/>
      </c>
      <c r="F235" s="49">
        <f>TRUNC(((1+VLOOKUP(A235,IPCA!$A$2:$C$140,3,0)))^(C235/(EDATE(D235-C235,1)-(D235-C235))),8)</f>
        <v/>
      </c>
      <c r="G235" s="49">
        <f>TRUNC((E235*F235),8)</f>
        <v/>
      </c>
      <c r="H235" s="49">
        <f>ROUND(((1+$H$4)^(30/360))^(C235/(EDATE(D235-B235,1)-(D235-B235))),9)</f>
        <v/>
      </c>
      <c r="I235" s="49">
        <f>TRUNC((G235*H235-G235),8)</f>
        <v/>
      </c>
      <c r="J235" s="49">
        <f>G235+I235</f>
        <v/>
      </c>
      <c r="K235" s="121">
        <f>K234*L232</f>
        <v/>
      </c>
      <c r="L235" s="121">
        <f>L234*L232</f>
        <v/>
      </c>
      <c r="M235" s="121">
        <f>M234*L232</f>
        <v/>
      </c>
      <c r="N235" s="121">
        <f>N234*L232</f>
        <v/>
      </c>
      <c r="O235" s="256" t="n"/>
      <c r="P235" s="256" t="n"/>
      <c r="Q235" s="256" t="n"/>
    </row>
    <row r="236">
      <c r="A236">
        <f>IF(DAY(D236)=DAY($L$1+1),A235+1,A235)</f>
        <v/>
      </c>
      <c r="B236" s="46">
        <f>IF(DAY(D236)=DAY($L$1+1),1,B235+1)</f>
        <v/>
      </c>
      <c r="C236" s="46">
        <f>IF(DAY(D236)=DAY($L$1+1),1,C235+1)</f>
        <v/>
      </c>
      <c r="D236" s="2">
        <f>D235+1</f>
        <v/>
      </c>
      <c r="E236" s="8">
        <f>IF(DAY(D236)=DAY($L$1+1),TRUNC((N235),8),E235)</f>
        <v/>
      </c>
      <c r="F236" s="49">
        <f>TRUNC(((1+VLOOKUP(A236,IPCA!$A$2:$C$140,3,0)))^(C236/(EDATE(D236-C236,1)-(D236-C236))),8)</f>
        <v/>
      </c>
      <c r="G236" s="49">
        <f>TRUNC((E236*F236),8)</f>
        <v/>
      </c>
      <c r="H236" s="49">
        <f>ROUND(((1+$H$4)^(30/360))^(C236/(EDATE(D236-B236,1)-(D236-B236))),9)</f>
        <v/>
      </c>
      <c r="I236" s="49">
        <f>TRUNC((G236*H236-G236),8)</f>
        <v/>
      </c>
      <c r="J236" s="49">
        <f>G236+I236</f>
        <v/>
      </c>
      <c r="K236" s="256" t="n"/>
      <c r="L236" s="256" t="n"/>
      <c r="M236" s="256" t="n"/>
      <c r="N236" s="256" t="n"/>
      <c r="O236" s="256" t="n"/>
      <c r="P236" s="256" t="n"/>
      <c r="Q236" s="256" t="n"/>
    </row>
    <row r="237">
      <c r="A237">
        <f>IF(DAY(D237)=DAY($L$1+1),A236+1,A236)</f>
        <v/>
      </c>
      <c r="B237" s="46">
        <f>IF(DAY(D237)=DAY($L$1+1),1,B236+1)</f>
        <v/>
      </c>
      <c r="C237" s="46">
        <f>IF(DAY(D237)=DAY($L$1+1),1,C236+1)</f>
        <v/>
      </c>
      <c r="D237" s="2">
        <f>D236+1</f>
        <v/>
      </c>
      <c r="E237" s="8">
        <f>IF(DAY(D237)=DAY($L$1+1),TRUNC((#REF!),8),E236)</f>
        <v/>
      </c>
      <c r="F237" s="49">
        <f>TRUNC(((1+VLOOKUP(A237,IPCA!$A$2:$C$140,3,0)))^(C237/(EDATE(D237-C237,1)-(D237-C237))),8)</f>
        <v/>
      </c>
      <c r="G237" s="49">
        <f>TRUNC((E237*F237),8)</f>
        <v/>
      </c>
      <c r="H237" s="49">
        <f>ROUND(((1+$H$4)^(30/360))^(C237/(EDATE(D237-B237,1)-(D237-B237))),9)</f>
        <v/>
      </c>
      <c r="I237" s="49">
        <f>TRUNC((G237*H237-G237),8)</f>
        <v/>
      </c>
      <c r="J237" s="49">
        <f>G237+I237</f>
        <v/>
      </c>
      <c r="K237" s="256" t="n"/>
      <c r="L237" s="256" t="n"/>
      <c r="M237" s="256" t="n"/>
      <c r="N237" s="256" t="n"/>
      <c r="O237" s="256" t="n"/>
      <c r="P237" s="256" t="n"/>
      <c r="Q237" s="256" t="n"/>
    </row>
    <row r="238">
      <c r="A238">
        <f>IF(DAY(D238)=DAY($L$1+1),A237+1,A237)</f>
        <v/>
      </c>
      <c r="B238" s="46">
        <f>IF(DAY(D238)=DAY($L$1+1),1,B237+1)</f>
        <v/>
      </c>
      <c r="C238" s="46">
        <f>IF(DAY(D238)=DAY($L$1+1),1,C237+1)</f>
        <v/>
      </c>
      <c r="D238" s="2">
        <f>D237+1</f>
        <v/>
      </c>
      <c r="E238" s="8">
        <f>IF(DAY(D238)=DAY($L$1+1),TRUNC((#REF!),8),E237)</f>
        <v/>
      </c>
      <c r="F238" s="49">
        <f>TRUNC(((1+VLOOKUP(A238,IPCA!$A$2:$C$140,3,0)))^(C238/(EDATE(D238-C238,1)-(D238-C238))),8)</f>
        <v/>
      </c>
      <c r="G238" s="49">
        <f>TRUNC((E238*F238),8)</f>
        <v/>
      </c>
      <c r="H238" s="49">
        <f>ROUND(((1+$H$4)^(30/360))^(C238/(EDATE(D238-B238,1)-(D238-B238))),9)</f>
        <v/>
      </c>
      <c r="I238" s="49">
        <f>TRUNC((G238*H238-G238),8)</f>
        <v/>
      </c>
      <c r="J238" s="49">
        <f>G238+I238</f>
        <v/>
      </c>
      <c r="K238" s="256" t="n"/>
      <c r="L238" s="256" t="n"/>
      <c r="M238" s="256" t="n"/>
      <c r="N238" s="256" t="n"/>
      <c r="O238" s="256" t="n"/>
      <c r="P238" s="256" t="n"/>
      <c r="Q238" s="256" t="n"/>
    </row>
    <row r="239">
      <c r="A239">
        <f>IF(DAY(D239)=DAY($L$1+1),A238+1,A238)</f>
        <v/>
      </c>
      <c r="B239" s="46">
        <f>IF(DAY(D239)=DAY($L$1+1),1,B238+1)</f>
        <v/>
      </c>
      <c r="C239" s="46">
        <f>IF(DAY(D239)=DAY($L$1+1),1,C238+1)</f>
        <v/>
      </c>
      <c r="D239" s="2">
        <f>D238+1</f>
        <v/>
      </c>
      <c r="E239" s="8">
        <f>IF(DAY(D239)=DAY($L$1+1),TRUNC((#REF!),8),E238)</f>
        <v/>
      </c>
      <c r="F239" s="49">
        <f>TRUNC(((1+VLOOKUP(A239,IPCA!$A$2:$C$140,3,0)))^(C239/(EDATE(D239-C239,1)-(D239-C239))),8)</f>
        <v/>
      </c>
      <c r="G239" s="49">
        <f>TRUNC((E239*F239),8)</f>
        <v/>
      </c>
      <c r="H239" s="49">
        <f>ROUND(((1+$H$4)^(30/360))^(C239/(EDATE(D239-B239,1)-(D239-B239))),9)</f>
        <v/>
      </c>
      <c r="I239" s="49">
        <f>TRUNC((G239*H239-G239),8)</f>
        <v/>
      </c>
      <c r="J239" s="49">
        <f>G239+I239</f>
        <v/>
      </c>
      <c r="K239" s="256" t="n"/>
      <c r="L239" s="256" t="n"/>
      <c r="M239" s="256" t="n"/>
      <c r="N239" s="256" t="n"/>
      <c r="O239" s="256" t="n"/>
      <c r="P239" s="256" t="n"/>
      <c r="Q239" s="256" t="n"/>
    </row>
    <row r="240">
      <c r="A240">
        <f>IF(DAY(D240)=DAY($L$1+1),A239+1,A239)</f>
        <v/>
      </c>
      <c r="B240" s="46">
        <f>IF(DAY(D240)=DAY($L$1+1),1,B239+1)</f>
        <v/>
      </c>
      <c r="C240" s="46">
        <f>IF(DAY(D240)=DAY($L$1+1),1,C239+1)</f>
        <v/>
      </c>
      <c r="D240" s="2">
        <f>D239+1</f>
        <v/>
      </c>
      <c r="E240" s="8">
        <f>IF(DAY(D240)=DAY($L$1+1),TRUNC((#REF!),8),E239)</f>
        <v/>
      </c>
      <c r="F240" s="49">
        <f>TRUNC(((1+VLOOKUP(A240,IPCA!$A$2:$C$140,3,0)))^(C240/(EDATE(D240-C240,1)-(D240-C240))),8)</f>
        <v/>
      </c>
      <c r="G240" s="49">
        <f>TRUNC((E240*F240),8)</f>
        <v/>
      </c>
      <c r="H240" s="49">
        <f>ROUND(((1+$H$4)^(30/360))^(C240/(EDATE(D240-B240,1)-(D240-B240))),9)</f>
        <v/>
      </c>
      <c r="I240" s="49">
        <f>TRUNC((G240*H240-G240),8)</f>
        <v/>
      </c>
      <c r="J240" s="49">
        <f>G240+I240</f>
        <v/>
      </c>
      <c r="K240" s="256" t="n"/>
      <c r="L240" s="256" t="n"/>
      <c r="M240" s="256" t="n"/>
      <c r="N240" s="256" t="n"/>
      <c r="O240" s="256" t="n"/>
      <c r="P240" s="256" t="n"/>
      <c r="Q240" s="256" t="n"/>
    </row>
    <row r="241">
      <c r="A241">
        <f>IF(DAY(D241)=DAY($L$1+1),A240+1,A240)</f>
        <v/>
      </c>
      <c r="B241" s="46">
        <f>IF(DAY(D241)=DAY($L$1+1),1,B240+1)</f>
        <v/>
      </c>
      <c r="C241" s="46">
        <f>IF(DAY(D241)=DAY($L$1+1),1,C240+1)</f>
        <v/>
      </c>
      <c r="D241" s="2">
        <f>D240+1</f>
        <v/>
      </c>
      <c r="E241" s="8">
        <f>IF(DAY(D241)=DAY($L$1+1),TRUNC((#REF!),8),E240)</f>
        <v/>
      </c>
      <c r="F241" s="49">
        <f>TRUNC(((1+VLOOKUP(A241,IPCA!$A$2:$C$140,3,0)))^(C241/(EDATE(D241-C241,1)-(D241-C241))),8)</f>
        <v/>
      </c>
      <c r="G241" s="49">
        <f>TRUNC((E241*F241),8)</f>
        <v/>
      </c>
      <c r="H241" s="49">
        <f>ROUND(((1+$H$4)^(30/360))^(C241/(EDATE(D241-B241,1)-(D241-B241))),9)</f>
        <v/>
      </c>
      <c r="I241" s="49">
        <f>TRUNC((G241*H241-G241),8)</f>
        <v/>
      </c>
      <c r="J241" s="49">
        <f>G241+I241</f>
        <v/>
      </c>
      <c r="K241" s="256" t="n"/>
      <c r="L241" s="256" t="n"/>
      <c r="M241" s="256" t="n"/>
      <c r="N241" s="256" t="n"/>
      <c r="O241" s="256" t="n"/>
      <c r="P241" s="256" t="n"/>
      <c r="Q241" s="256" t="n"/>
    </row>
    <row r="242">
      <c r="A242">
        <f>IF(DAY(D242)=DAY($L$1+1),A241+1,A241)</f>
        <v/>
      </c>
      <c r="B242" s="46">
        <f>IF(DAY(D242)=DAY($L$1+1),1,B241+1)</f>
        <v/>
      </c>
      <c r="C242" s="46">
        <f>IF(DAY(D242)=DAY($L$1+1),1,C241+1)</f>
        <v/>
      </c>
      <c r="D242" s="2">
        <f>D241+1</f>
        <v/>
      </c>
      <c r="E242" s="8">
        <f>IF(DAY(D242)=DAY($L$1+1),TRUNC((#REF!),8),E241)</f>
        <v/>
      </c>
      <c r="F242" s="49">
        <f>TRUNC(((1+VLOOKUP(A242,IPCA!$A$2:$C$140,3,0)))^(C242/(EDATE(D242-C242,1)-(D242-C242))),8)</f>
        <v/>
      </c>
      <c r="G242" s="49">
        <f>TRUNC((E242*F242),8)</f>
        <v/>
      </c>
      <c r="H242" s="49">
        <f>ROUND(((1+$H$4)^(30/360))^(C242/(EDATE(D242-B242,1)-(D242-B242))),9)</f>
        <v/>
      </c>
      <c r="I242" s="49">
        <f>TRUNC((G242*H242-G242),8)</f>
        <v/>
      </c>
      <c r="J242" s="49">
        <f>G242+I242</f>
        <v/>
      </c>
      <c r="K242" s="256" t="n"/>
      <c r="L242" s="256" t="n"/>
      <c r="M242" s="256" t="n"/>
      <c r="N242" s="256" t="n"/>
      <c r="O242" s="256" t="n"/>
      <c r="P242" s="256" t="n"/>
      <c r="Q242" s="256" t="n"/>
    </row>
    <row r="243">
      <c r="A243">
        <f>IF(DAY(D243)=DAY($L$1+1),A242+1,A242)</f>
        <v/>
      </c>
      <c r="B243" s="221">
        <f>IF(DAY(D243)=DAY($L$1+1),1,B242+1)</f>
        <v/>
      </c>
      <c r="C243" s="221">
        <f>IF(DAY(D243)=DAY($L$1+1),1,C242+1)</f>
        <v/>
      </c>
      <c r="D243" s="222">
        <f>D242+1</f>
        <v/>
      </c>
      <c r="E243" s="223">
        <f>IF(DAY(D243)=DAY($L$1+1),TRUNC((#REF!),8),E242)</f>
        <v/>
      </c>
      <c r="F243" s="224">
        <f>TRUNC(((1+VLOOKUP(A243,IPCA!$A$2:$C$140,3,0)))^(C243/(EDATE(D243-C243,1)-(D243-C243))),8)</f>
        <v/>
      </c>
      <c r="G243" s="224">
        <f>TRUNC((E243*F243),8)</f>
        <v/>
      </c>
      <c r="H243" s="224">
        <f>ROUND(((1+$H$4)^(30/360))^(C243/(EDATE(D243-B243,1)-(D243-B243))),9)</f>
        <v/>
      </c>
      <c r="I243" s="224">
        <f>TRUNC((G243*H243-G243),8)</f>
        <v/>
      </c>
      <c r="J243" s="224">
        <f>G243+I243</f>
        <v/>
      </c>
      <c r="K243" s="272" t="n">
        <v>1395396</v>
      </c>
      <c r="L243" s="256" t="n"/>
      <c r="M243" s="256" t="n"/>
      <c r="N243" s="256" t="n"/>
      <c r="O243" s="256" t="n"/>
      <c r="P243" s="256" t="n"/>
      <c r="Q243" s="256" t="n"/>
    </row>
    <row r="244">
      <c r="A244">
        <f>IF(DAY(D244)=DAY($L$1+1),A243+1,A243)</f>
        <v/>
      </c>
      <c r="B244" s="46">
        <f>IF(DAY(D244)=DAY($L$1+1),1,B243+1)</f>
        <v/>
      </c>
      <c r="C244" s="46">
        <f>IF(DAY(D244)=DAY($L$1+1),1,C243+1)</f>
        <v/>
      </c>
      <c r="D244" s="2">
        <f>D243+1</f>
        <v/>
      </c>
      <c r="E244" s="8">
        <f>IF(DAY(D244)=DAY($L$1+1),TRUNC((N243),8),E243)</f>
        <v/>
      </c>
      <c r="F244" s="49">
        <f>TRUNC(((1+VLOOKUP(A244,IPCA!$A$2:$C$140,3,0)))^(C244/(EDATE(D244-C244,1)-(D244-C244))),8)</f>
        <v/>
      </c>
      <c r="G244" s="49">
        <f>TRUNC((E244*F244),8)</f>
        <v/>
      </c>
      <c r="H244" s="49">
        <f>ROUND(((1+$H$4)^(30/360))^(C244/(EDATE(D244-B244,1)-(D244-B244))),9)</f>
        <v/>
      </c>
      <c r="I244" s="49">
        <f>TRUNC((G244*H244-G244),8)</f>
        <v/>
      </c>
      <c r="J244" s="49">
        <f>G244+I244</f>
        <v/>
      </c>
      <c r="K244" s="256" t="n"/>
      <c r="L244" s="256" t="n"/>
      <c r="M244" s="256" t="n"/>
      <c r="N244" s="256" t="n"/>
      <c r="O244" s="256" t="n"/>
      <c r="P244" s="256" t="n"/>
      <c r="Q244" s="256" t="n"/>
    </row>
    <row r="245">
      <c r="A245">
        <f>IF(DAY(D245)=DAY($L$1+1),A244+1,A244)</f>
        <v/>
      </c>
      <c r="B245" s="46">
        <f>IF(DAY(D245)=DAY($L$1+1),1,B244+1)</f>
        <v/>
      </c>
      <c r="C245" s="46">
        <f>IF(DAY(D245)=DAY($L$1+1),1,C244+1)</f>
        <v/>
      </c>
      <c r="D245" s="2">
        <f>D244+1</f>
        <v/>
      </c>
      <c r="E245" s="8">
        <f>IF(DAY(D245)=DAY($L$1+1),TRUNC((N244),8),E244)</f>
        <v/>
      </c>
      <c r="F245" s="49">
        <f>TRUNC(((1+VLOOKUP(A245,IPCA!$A$2:$C$140,3,0)))^(C245/(EDATE(D245-C245,1)-(D245-C245))),8)</f>
        <v/>
      </c>
      <c r="G245" s="49">
        <f>TRUNC((E245*F245),8)</f>
        <v/>
      </c>
      <c r="H245" s="49">
        <f>ROUND(((1+$H$4)^(30/360))^(C245/(EDATE(D245-B245,1)-(D245-B245))),9)</f>
        <v/>
      </c>
      <c r="I245" s="49">
        <f>TRUNC((G245*H245-G245),8)</f>
        <v/>
      </c>
      <c r="J245" s="49">
        <f>G245+I245</f>
        <v/>
      </c>
      <c r="K245" s="256" t="n"/>
      <c r="L245" s="256" t="n"/>
      <c r="M245" s="256" t="n"/>
      <c r="N245" s="256" t="n"/>
      <c r="O245" s="256" t="n"/>
      <c r="P245" s="256" t="n"/>
      <c r="Q245" s="256" t="n"/>
    </row>
    <row r="246">
      <c r="A246">
        <f>IF(DAY(D246)=DAY($L$1+1),A245+1,A245)</f>
        <v/>
      </c>
      <c r="B246" s="46">
        <f>IF(DAY(D246)=DAY($L$1+1),1,B245+1)</f>
        <v/>
      </c>
      <c r="C246" s="46">
        <f>IF(DAY(D246)=DAY($L$1+1),1,C245+1)</f>
        <v/>
      </c>
      <c r="D246" s="2">
        <f>D245+1</f>
        <v/>
      </c>
      <c r="E246" s="8">
        <f>IF(DAY(D246)=DAY($L$1+1),TRUNC((N245),8),E245)</f>
        <v/>
      </c>
      <c r="F246" s="49">
        <f>TRUNC(((1+VLOOKUP(A246,IPCA!$A$2:$C$140,3,0)))^(C246/(EDATE(D246-C246,1)-(D246-C246))),8)</f>
        <v/>
      </c>
      <c r="G246" s="49">
        <f>TRUNC((E246*F246),8)</f>
        <v/>
      </c>
      <c r="H246" s="49">
        <f>ROUND(((1+$H$4)^(30/360))^(C246/(EDATE(D246-B246,1)-(D246-B246))),9)</f>
        <v/>
      </c>
      <c r="I246" s="49">
        <f>TRUNC((G246*H246-G246),8)</f>
        <v/>
      </c>
      <c r="J246" s="49">
        <f>G246+I246</f>
        <v/>
      </c>
      <c r="K246" s="256" t="n"/>
      <c r="L246" s="256" t="n"/>
      <c r="M246" s="256" t="n"/>
      <c r="N246" s="256" t="n"/>
      <c r="O246" s="256" t="n"/>
      <c r="P246" s="256" t="n"/>
      <c r="Q246" s="256" t="n"/>
    </row>
    <row r="247">
      <c r="A247">
        <f>IF(DAY(D247)=DAY($L$1+1),A246+1,A246)</f>
        <v/>
      </c>
      <c r="B247" s="46">
        <f>IF(DAY(D247)=DAY($L$1+1),1,B246+1)</f>
        <v/>
      </c>
      <c r="C247" s="46">
        <f>IF(DAY(D247)=DAY($L$1+1),1,C246+1)</f>
        <v/>
      </c>
      <c r="D247" s="2">
        <f>D246+1</f>
        <v/>
      </c>
      <c r="E247" s="8">
        <f>IF(DAY(D247)=DAY($L$1+1),TRUNC((N246),8),E246)</f>
        <v/>
      </c>
      <c r="F247" s="49">
        <f>TRUNC(((1+VLOOKUP(A247,IPCA!$A$2:$C$140,3,0)))^(C247/(EDATE(D247-C247,1)-(D247-C247))),8)</f>
        <v/>
      </c>
      <c r="G247" s="49">
        <f>TRUNC((E247*F247),8)</f>
        <v/>
      </c>
      <c r="H247" s="49">
        <f>ROUND(((1+$H$4)^(30/360))^(C247/(EDATE(D247-B247,1)-(D247-B247))),9)</f>
        <v/>
      </c>
      <c r="I247" s="49">
        <f>TRUNC((G247*H247-G247),8)</f>
        <v/>
      </c>
      <c r="J247" s="49">
        <f>G247+I247</f>
        <v/>
      </c>
      <c r="K247" s="123" t="n"/>
      <c r="L247" s="271" t="n"/>
      <c r="M247" s="256" t="n"/>
      <c r="N247" s="256" t="n"/>
      <c r="O247" s="256" t="n"/>
      <c r="P247" s="256" t="n"/>
      <c r="Q247" s="256" t="n"/>
    </row>
    <row r="248">
      <c r="A248">
        <f>IF(DAY(D248)=DAY($L$1+1),A247+1,A247)</f>
        <v/>
      </c>
      <c r="B248" s="46">
        <f>IF(DAY(D248)=DAY($L$1+1),1,B247+1)</f>
        <v/>
      </c>
      <c r="C248" s="46">
        <f>IF(DAY(D248)=DAY($L$1+1),1,C247+1)</f>
        <v/>
      </c>
      <c r="D248" s="2">
        <f>D247+1</f>
        <v/>
      </c>
      <c r="E248" s="8">
        <f>IF(DAY(D248)=DAY($L$1+1),TRUNC((N247),8),E247)</f>
        <v/>
      </c>
      <c r="F248" s="49">
        <f>TRUNC(((1+VLOOKUP(A248,IPCA!$A$2:$C$140,3,0)))^(C248/(EDATE(D248-C248,1)-(D248-C248))),8)</f>
        <v/>
      </c>
      <c r="G248" s="49">
        <f>TRUNC((E248*F248),8)</f>
        <v/>
      </c>
      <c r="H248" s="49">
        <f>ROUND(((1+$H$4)^(30/360))^(C248/(EDATE(D248-B248,1)-(D248-B248))),9)</f>
        <v/>
      </c>
      <c r="I248" s="49">
        <f>TRUNC((G248*H248-G248),8)</f>
        <v/>
      </c>
      <c r="J248" s="49">
        <f>G248+I248</f>
        <v/>
      </c>
      <c r="K248" s="256" t="n"/>
      <c r="L248" s="256" t="n"/>
      <c r="M248" s="256" t="n"/>
      <c r="N248" s="256" t="n"/>
      <c r="O248" s="256" t="n"/>
      <c r="P248" s="256" t="n"/>
      <c r="Q248" s="256" t="n"/>
    </row>
    <row r="249">
      <c r="A249">
        <f>IF(DAY(D249)=DAY($L$1+1),A248+1,A248)</f>
        <v/>
      </c>
      <c r="B249" s="46">
        <f>IF(DAY(D249)=DAY($L$1+1),1,B248+1)</f>
        <v/>
      </c>
      <c r="C249" s="46">
        <f>IF(DAY(D249)=DAY($L$1+1),1,C248+1)</f>
        <v/>
      </c>
      <c r="D249" s="2">
        <f>D248+1</f>
        <v/>
      </c>
      <c r="E249" s="8">
        <f>IF(DAY(D249)=DAY($L$1+1),TRUNC((N248),8),E248)</f>
        <v/>
      </c>
      <c r="F249" s="49">
        <f>TRUNC(((1+VLOOKUP(A249,IPCA!$A$2:$C$140,3,0)))^(C249/(EDATE(D249-C249,1)-(D249-C249))),8)</f>
        <v/>
      </c>
      <c r="G249" s="49">
        <f>TRUNC((E249*F249),8)</f>
        <v/>
      </c>
      <c r="H249" s="49">
        <f>ROUND(((1+$H$4)^(30/360))^(C249/(EDATE(D249-B249,1)-(D249-B249))),9)</f>
        <v/>
      </c>
      <c r="I249" s="49">
        <f>TRUNC((G249*H249-G249),8)</f>
        <v/>
      </c>
      <c r="J249" s="49">
        <f>G249+I249</f>
        <v/>
      </c>
      <c r="K249" s="256" t="n"/>
      <c r="L249" s="256" t="n"/>
      <c r="M249" s="256" t="n"/>
      <c r="N249" s="256" t="n"/>
      <c r="O249" s="256" t="n"/>
      <c r="P249" s="256" t="n"/>
      <c r="Q249" s="256" t="n"/>
    </row>
    <row r="250">
      <c r="A250">
        <f>IF(DAY(D250)=DAY($L$1+1),A249+1,A249)</f>
        <v/>
      </c>
      <c r="B250" s="46">
        <f>IF(DAY(D250)=DAY($L$1+1),1,B249+1)</f>
        <v/>
      </c>
      <c r="C250" s="46">
        <f>IF(DAY(D250)=DAY($L$1+1),1,C249+1)</f>
        <v/>
      </c>
      <c r="D250" s="2">
        <f>D249+1</f>
        <v/>
      </c>
      <c r="E250" s="8">
        <f>IF(DAY(D250)=DAY($L$1+1),TRUNC((N249),8),E249)</f>
        <v/>
      </c>
      <c r="F250" s="49">
        <f>TRUNC(((1+VLOOKUP(A250,IPCA!$A$2:$C$140,3,0)))^(C250/(EDATE(D250-C250,1)-(D250-C250))),8)</f>
        <v/>
      </c>
      <c r="G250" s="49">
        <f>TRUNC((E250*F250),8)</f>
        <v/>
      </c>
      <c r="H250" s="49">
        <f>ROUND(((1+$H$4)^(30/360))^(C250/(EDATE(D250-B250,1)-(D250-B250))),9)</f>
        <v/>
      </c>
      <c r="I250" s="49">
        <f>TRUNC((G250*H250-G250),8)</f>
        <v/>
      </c>
      <c r="J250" s="49">
        <f>G250+I250</f>
        <v/>
      </c>
      <c r="K250" s="256" t="n"/>
      <c r="L250" s="256" t="n"/>
      <c r="M250" s="256" t="n"/>
      <c r="N250" s="256" t="n"/>
      <c r="O250" s="256" t="n"/>
      <c r="P250" s="256" t="n"/>
      <c r="Q250" s="256" t="n"/>
    </row>
    <row r="251">
      <c r="A251">
        <f>IF(DAY(D251)=DAY($L$1+1),A250+1,A250)</f>
        <v/>
      </c>
      <c r="B251" s="46">
        <f>IF(DAY(D251)=DAY($L$1+1),1,B250+1)</f>
        <v/>
      </c>
      <c r="C251" s="46">
        <f>IF(DAY(D251)=DAY($L$1+1),1,C250+1)</f>
        <v/>
      </c>
      <c r="D251" s="2">
        <f>D250+1</f>
        <v/>
      </c>
      <c r="E251" s="8">
        <f>IF(DAY(D251)=DAY($L$1+1),TRUNC((N250),8),E250)</f>
        <v/>
      </c>
      <c r="F251" s="49">
        <f>TRUNC(((1+VLOOKUP(A251,IPCA!$A$2:$C$140,3,0)))^(C251/(EDATE(D251-C251,1)-(D251-C251))),8)</f>
        <v/>
      </c>
      <c r="G251" s="49">
        <f>TRUNC((E251*F251),8)</f>
        <v/>
      </c>
      <c r="H251" s="49">
        <f>ROUND(((1+$H$4)^(30/360))^(C251/(EDATE(D251-B251,1)-(D251-B251))),9)</f>
        <v/>
      </c>
      <c r="I251" s="49">
        <f>TRUNC((G251*H251-G251),8)</f>
        <v/>
      </c>
      <c r="J251" s="49">
        <f>G251+I251</f>
        <v/>
      </c>
      <c r="K251" s="256" t="n"/>
      <c r="L251" s="256" t="n"/>
      <c r="M251" s="256" t="n"/>
      <c r="N251" s="256" t="n"/>
      <c r="O251" s="256" t="n"/>
      <c r="P251" s="256" t="n"/>
      <c r="Q251" s="256" t="n"/>
    </row>
    <row r="252">
      <c r="A252">
        <f>IF(DAY(D252)=DAY($L$1+1),A251+1,A251)</f>
        <v/>
      </c>
      <c r="B252" s="46">
        <f>IF(DAY(D252)=DAY($L$1+1),1,B251+1)</f>
        <v/>
      </c>
      <c r="C252" s="46">
        <f>IF(DAY(D252)=DAY($L$1+1),1,C251+1)</f>
        <v/>
      </c>
      <c r="D252" s="2">
        <f>D251+1</f>
        <v/>
      </c>
      <c r="E252" s="8">
        <f>IF(DAY(D252)=DAY($L$1+1),TRUNC((N251),8),E251)</f>
        <v/>
      </c>
      <c r="F252" s="49">
        <f>TRUNC(((1+VLOOKUP(A252,IPCA!$A$2:$C$140,3,0)))^(C252/(EDATE(D252-C252,1)-(D252-C252))),8)</f>
        <v/>
      </c>
      <c r="G252" s="49">
        <f>TRUNC((E252*F252),8)</f>
        <v/>
      </c>
      <c r="H252" s="49">
        <f>ROUND(((1+$H$4)^(30/360))^(C252/(EDATE(D252-B252,1)-(D252-B252))),9)</f>
        <v/>
      </c>
      <c r="I252" s="49">
        <f>TRUNC((G252*H252-G252),8)</f>
        <v/>
      </c>
      <c r="J252" s="49">
        <f>G252+I252</f>
        <v/>
      </c>
      <c r="K252" s="256" t="n"/>
      <c r="L252" s="256" t="n"/>
      <c r="M252" s="256" t="n"/>
      <c r="N252" s="256" t="n"/>
      <c r="O252" s="256" t="n"/>
      <c r="P252" s="256" t="n"/>
      <c r="Q252" s="256" t="n"/>
    </row>
    <row r="253">
      <c r="A253">
        <f>IF(DAY(D253)=DAY($L$1+1),A252+1,A252)</f>
        <v/>
      </c>
      <c r="B253" s="46">
        <f>IF(DAY(D253)=DAY($L$1+1),1,B252+1)</f>
        <v/>
      </c>
      <c r="C253" s="46">
        <f>IF(DAY(D253)=DAY($L$1+1),1,C252+1)</f>
        <v/>
      </c>
      <c r="D253" s="2">
        <f>D252+1</f>
        <v/>
      </c>
      <c r="E253" s="8">
        <f>IF(DAY(D253)=DAY($L$1+1),TRUNC((N252),8),E252)</f>
        <v/>
      </c>
      <c r="F253" s="49">
        <f>TRUNC(((1+VLOOKUP(A253,IPCA!$A$2:$C$140,3,0)))^(C253/(EDATE(D253-C253,1)-(D253-C253))),8)</f>
        <v/>
      </c>
      <c r="G253" s="49">
        <f>TRUNC((E253*F253),8)</f>
        <v/>
      </c>
      <c r="H253" s="49">
        <f>ROUND(((1+$H$4)^(30/360))^(C253/(EDATE(D253-B253,1)-(D253-B253))),9)</f>
        <v/>
      </c>
      <c r="I253" s="49">
        <f>TRUNC((G253*H253-G253),8)</f>
        <v/>
      </c>
      <c r="J253" s="49">
        <f>G253+I253</f>
        <v/>
      </c>
      <c r="K253" s="256" t="n"/>
      <c r="L253" s="256" t="n"/>
      <c r="M253" s="256" t="n"/>
      <c r="N253" s="256" t="n"/>
      <c r="O253" s="256" t="n"/>
      <c r="P253" s="256" t="n"/>
      <c r="Q253" s="256" t="n"/>
    </row>
    <row r="254">
      <c r="A254">
        <f>IF(DAY(D254)=DAY($L$1+1),A253+1,A253)</f>
        <v/>
      </c>
      <c r="B254" s="46">
        <f>IF(DAY(D254)=DAY($L$1+1),1,B253+1)</f>
        <v/>
      </c>
      <c r="C254" s="46">
        <f>IF(DAY(D254)=DAY($L$1+1),1,C253+1)</f>
        <v/>
      </c>
      <c r="D254" s="2">
        <f>D253+1</f>
        <v/>
      </c>
      <c r="E254" s="8">
        <f>IF(DAY(D254)=DAY($L$1+1),TRUNC((N253),8),E253)</f>
        <v/>
      </c>
      <c r="F254" s="49">
        <f>TRUNC(((1+VLOOKUP(A254,IPCA!$A$2:$C$140,3,0)))^(C254/(EDATE(D254-C254,1)-(D254-C254))),8)</f>
        <v/>
      </c>
      <c r="G254" s="49">
        <f>TRUNC((E254*F254),8)</f>
        <v/>
      </c>
      <c r="H254" s="49">
        <f>ROUND(((1+$H$4)^(30/360))^(C254/(EDATE(D254-B254,1)-(D254-B254))),9)</f>
        <v/>
      </c>
      <c r="I254" s="49">
        <f>TRUNC((G254*H254-G254),8)</f>
        <v/>
      </c>
      <c r="J254" s="49">
        <f>G254+I254</f>
        <v/>
      </c>
      <c r="K254" s="256" t="n"/>
      <c r="L254" s="256" t="n"/>
      <c r="M254" s="256" t="n"/>
      <c r="N254" s="256" t="n"/>
      <c r="O254" s="256" t="n"/>
      <c r="P254" s="256" t="n"/>
      <c r="Q254" s="256" t="n"/>
    </row>
    <row r="255">
      <c r="A255">
        <f>IF(DAY(D255)=DAY($L$1+1),A254+1,A254)</f>
        <v/>
      </c>
      <c r="B255" s="46">
        <f>IF(DAY(D255)=DAY($L$1+1),1,B254+1)</f>
        <v/>
      </c>
      <c r="C255" s="46">
        <f>IF(DAY(D255)=DAY($L$1+1),1,C254+1)</f>
        <v/>
      </c>
      <c r="D255" s="2">
        <f>D254+1</f>
        <v/>
      </c>
      <c r="E255" s="8">
        <f>IF(DAY(D255)=DAY($L$1+1),TRUNC((N254),8),E254)</f>
        <v/>
      </c>
      <c r="F255" s="49">
        <f>TRUNC(((1+VLOOKUP(A255,IPCA!$A$2:$C$140,3,0)))^(C255/(EDATE(D255-C255,1)-(D255-C255))),8)</f>
        <v/>
      </c>
      <c r="G255" s="49">
        <f>TRUNC((E255*F255),8)</f>
        <v/>
      </c>
      <c r="H255" s="49">
        <f>ROUND(((1+$H$4)^(30/360))^(C255/(EDATE(D255-B255,1)-(D255-B255))),9)</f>
        <v/>
      </c>
      <c r="I255" s="49">
        <f>TRUNC((G255*H255-G255),8)</f>
        <v/>
      </c>
      <c r="J255" s="49">
        <f>G255+I255</f>
        <v/>
      </c>
      <c r="K255" s="256" t="n"/>
      <c r="L255" s="256" t="n"/>
      <c r="M255" s="256" t="n"/>
      <c r="N255" s="256" t="n"/>
      <c r="O255" s="256" t="n"/>
      <c r="P255" s="256" t="n"/>
      <c r="Q255" s="256" t="n"/>
    </row>
    <row r="256">
      <c r="A256">
        <f>IF(DAY(D256)=DAY($L$1+1),A255+1,A255)</f>
        <v/>
      </c>
      <c r="B256" s="46">
        <f>IF(DAY(D256)=DAY($L$1+1),1,B255+1)</f>
        <v/>
      </c>
      <c r="C256" s="46">
        <f>IF(DAY(D256)=DAY($L$1+1),1,C255+1)</f>
        <v/>
      </c>
      <c r="D256" s="2">
        <f>D255+1</f>
        <v/>
      </c>
      <c r="E256" s="8">
        <f>IF(DAY(D256)=DAY($L$1+1),TRUNC((N255),8),E255)</f>
        <v/>
      </c>
      <c r="F256" s="49">
        <f>TRUNC(((1+VLOOKUP(A256,IPCA!$A$2:$C$140,3,0)))^(C256/(EDATE(D256-C256,1)-(D256-C256))),8)</f>
        <v/>
      </c>
      <c r="G256" s="49">
        <f>TRUNC((E256*F256),8)</f>
        <v/>
      </c>
      <c r="H256" s="49">
        <f>ROUND(((1+$H$4)^(30/360))^(C256/(EDATE(D256-B256,1)-(D256-B256))),9)</f>
        <v/>
      </c>
      <c r="I256" s="49">
        <f>TRUNC((G256*H256-G256),8)</f>
        <v/>
      </c>
      <c r="J256" s="49">
        <f>G256+I256</f>
        <v/>
      </c>
      <c r="K256" s="256" t="n"/>
      <c r="L256" s="256" t="n"/>
      <c r="M256" s="256" t="n"/>
      <c r="N256" s="256" t="n"/>
      <c r="O256" s="256" t="n"/>
      <c r="P256" s="256" t="n"/>
      <c r="Q256" s="256" t="n"/>
    </row>
    <row r="257">
      <c r="A257">
        <f>IF(DAY(D257)=DAY($L$1+1),A256+1,A256)</f>
        <v/>
      </c>
      <c r="B257" s="46">
        <f>IF(DAY(D257)=DAY($L$1+1),1,B256+1)</f>
        <v/>
      </c>
      <c r="C257" s="46">
        <f>IF(DAY(D257)=DAY($L$1+1),1,C256+1)</f>
        <v/>
      </c>
      <c r="D257" s="2">
        <f>D256+1</f>
        <v/>
      </c>
      <c r="E257" s="8">
        <f>IF(DAY(D257)=DAY($L$1+1),TRUNC((N256),8),E256)</f>
        <v/>
      </c>
      <c r="F257" s="49">
        <f>TRUNC(((1+VLOOKUP(A257,IPCA!$A$2:$C$140,3,0)))^(C257/(EDATE(D257-C257,1)-(D257-C257))),8)</f>
        <v/>
      </c>
      <c r="G257" s="49">
        <f>TRUNC((E257*F257),8)</f>
        <v/>
      </c>
      <c r="H257" s="49">
        <f>ROUND(((1+$H$4)^(30/360))^(C257/(EDATE(D257-B257,1)-(D257-B257))),9)</f>
        <v/>
      </c>
      <c r="I257" s="49">
        <f>TRUNC((G257*H257-G257),8)</f>
        <v/>
      </c>
      <c r="J257" s="49">
        <f>G257+I257</f>
        <v/>
      </c>
      <c r="K257" s="256" t="n"/>
      <c r="L257" s="256" t="n"/>
      <c r="M257" s="256" t="n"/>
      <c r="N257" s="256" t="n"/>
      <c r="O257" s="256" t="n"/>
      <c r="P257" s="256" t="n"/>
      <c r="Q257" s="256" t="n"/>
    </row>
    <row r="258">
      <c r="A258">
        <f>IF(DAY(D258)=DAY($L$1+1),A257+1,A257)</f>
        <v/>
      </c>
      <c r="B258" s="46">
        <f>IF(DAY(D258)=DAY($L$1+1),1,B257+1)</f>
        <v/>
      </c>
      <c r="C258" s="46">
        <f>IF(DAY(D258)=DAY($L$1+1),1,C257+1)</f>
        <v/>
      </c>
      <c r="D258" s="2">
        <f>D257+1</f>
        <v/>
      </c>
      <c r="E258" s="8">
        <f>IF(DAY(D258)=DAY($L$1+1),TRUNC((N257),8),E257)</f>
        <v/>
      </c>
      <c r="F258" s="49">
        <f>TRUNC(((1+VLOOKUP(A258,IPCA!$A$2:$C$140,3,0)))^(C258/(EDATE(D258-C258,1)-(D258-C258))),8)</f>
        <v/>
      </c>
      <c r="G258" s="49">
        <f>TRUNC((E258*F258),8)</f>
        <v/>
      </c>
      <c r="H258" s="49">
        <f>ROUND(((1+$H$4)^(30/360))^(C258/(EDATE(D258-B258,1)-(D258-B258))),9)</f>
        <v/>
      </c>
      <c r="I258" s="49">
        <f>TRUNC((G258*H258-G258),8)</f>
        <v/>
      </c>
      <c r="J258" s="49">
        <f>G258+I258</f>
        <v/>
      </c>
      <c r="K258" s="256" t="n"/>
      <c r="L258" s="256" t="n"/>
      <c r="M258" s="256" t="n"/>
      <c r="N258" s="256" t="n"/>
      <c r="O258" s="256" t="n"/>
      <c r="P258" s="256" t="n"/>
      <c r="Q258" s="256" t="n"/>
    </row>
    <row r="259">
      <c r="A259">
        <f>IF(DAY(D259)=DAY($L$1+1),A258+1,A258)</f>
        <v/>
      </c>
      <c r="B259" s="46">
        <f>IF(DAY(D259)=DAY($L$1+1),1,B258+1)</f>
        <v/>
      </c>
      <c r="C259" s="46">
        <f>IF(DAY(D259)=DAY($L$1+1),1,C258+1)</f>
        <v/>
      </c>
      <c r="D259" s="2">
        <f>D258+1</f>
        <v/>
      </c>
      <c r="E259" s="8">
        <f>IF(DAY(D259)=DAY($L$1+1),TRUNC((N258),8),E258)</f>
        <v/>
      </c>
      <c r="F259" s="49">
        <f>TRUNC(((1+VLOOKUP(A259,IPCA!$A$2:$C$140,3,0)))^(C259/(EDATE(D259-C259,1)-(D259-C259))),8)</f>
        <v/>
      </c>
      <c r="G259" s="49">
        <f>TRUNC((E259*F259),8)</f>
        <v/>
      </c>
      <c r="H259" s="49">
        <f>ROUND(((1+$H$4)^(30/360))^(C259/(EDATE(D259-B259,1)-(D259-B259))),9)</f>
        <v/>
      </c>
      <c r="I259" s="49">
        <f>TRUNC((G259*H259-G259),8)</f>
        <v/>
      </c>
      <c r="J259" s="49">
        <f>G259+I259</f>
        <v/>
      </c>
      <c r="K259" s="256" t="n"/>
      <c r="L259" s="256" t="n"/>
      <c r="M259" s="256" t="n"/>
      <c r="N259" s="256" t="n"/>
      <c r="O259" s="256" t="n"/>
      <c r="P259" s="256" t="n"/>
      <c r="Q259" s="256" t="n"/>
    </row>
    <row r="260">
      <c r="A260">
        <f>IF(DAY(D260)=DAY($L$1+1),A259+1,A259)</f>
        <v/>
      </c>
      <c r="B260" s="46">
        <f>IF(DAY(D260)=DAY($L$1+1),1,B259+1)</f>
        <v/>
      </c>
      <c r="C260" s="46">
        <f>IF(DAY(D260)=DAY($L$1+1),1,C259+1)</f>
        <v/>
      </c>
      <c r="D260" s="2">
        <f>D259+1</f>
        <v/>
      </c>
      <c r="E260" s="8">
        <f>IF(DAY(D260)=DAY($L$1+1),TRUNC((N259),8),E259)</f>
        <v/>
      </c>
      <c r="F260" s="49">
        <f>TRUNC(((1+VLOOKUP(A260,IPCA!$A$2:$C$140,3,0)))^(C260/(EDATE(D260-C260,1)-(D260-C260))),8)</f>
        <v/>
      </c>
      <c r="G260" s="49">
        <f>TRUNC((E260*F260),8)</f>
        <v/>
      </c>
      <c r="H260" s="49">
        <f>ROUND(((1+$H$4)^(30/360))^(C260/(EDATE(D260-B260,1)-(D260-B260))),9)</f>
        <v/>
      </c>
      <c r="I260" s="49">
        <f>TRUNC((G260*H260-G260),8)</f>
        <v/>
      </c>
      <c r="J260" s="49">
        <f>G260+I260</f>
        <v/>
      </c>
      <c r="K260" s="256" t="inlineStr">
        <is>
          <t>Cri Integralizado</t>
        </is>
      </c>
      <c r="L260" s="270">
        <f>L232+K243</f>
        <v/>
      </c>
      <c r="M260" s="256" t="n"/>
      <c r="N260" s="256" t="n"/>
      <c r="O260" s="256" t="n"/>
      <c r="P260" s="256" t="n"/>
      <c r="Q260" s="256" t="n"/>
    </row>
    <row r="261">
      <c r="A261">
        <f>IF(DAY(D261)=DAY($L$1+1),A260+1,A260)</f>
        <v/>
      </c>
      <c r="B261" s="46">
        <f>IF(DAY(D261)=DAY($L$1+1),1,B260+1)</f>
        <v/>
      </c>
      <c r="C261" s="46">
        <f>IF(DAY(D261)=DAY($L$1+1),1,C260+1)</f>
        <v/>
      </c>
      <c r="D261" s="2">
        <f>D260+1</f>
        <v/>
      </c>
      <c r="E261" s="8">
        <f>IF(DAY(D261)=DAY($L$1+1),TRUNC((N260),8),E260)</f>
        <v/>
      </c>
      <c r="F261" s="49">
        <f>TRUNC(((1+VLOOKUP(A261,IPCA!$A$2:$C$140,3,0)))^(C261/(EDATE(D261-C261,1)-(D261-C261))),8)</f>
        <v/>
      </c>
      <c r="G261" s="49">
        <f>TRUNC((E261*F261),8)</f>
        <v/>
      </c>
      <c r="H261" s="49">
        <f>ROUND(((1+$H$4)^(30/360))^(C261/(EDATE(D261-B261,1)-(D261-B261))),9)</f>
        <v/>
      </c>
      <c r="I261" s="49">
        <f>TRUNC((G261*H261-G261),8)</f>
        <v/>
      </c>
      <c r="J261" s="49">
        <f>G261+I261</f>
        <v/>
      </c>
      <c r="K261" s="118" t="inlineStr">
        <is>
          <t>JUROS</t>
        </is>
      </c>
      <c r="L261" s="118" t="inlineStr">
        <is>
          <t>AMORTIZAÇÃO</t>
        </is>
      </c>
      <c r="M261" s="118" t="inlineStr">
        <is>
          <t>AMEX</t>
        </is>
      </c>
      <c r="N261" s="118" t="inlineStr">
        <is>
          <t>RESIDUAL</t>
        </is>
      </c>
      <c r="O261" s="256" t="n"/>
      <c r="P261" s="256" t="n"/>
      <c r="Q261" s="256" t="n"/>
    </row>
    <row r="262">
      <c r="A262">
        <f>IF(DAY(D262)=DAY($L$1+1),A261+1,A261)</f>
        <v/>
      </c>
      <c r="B262" s="111">
        <f>IF(DAY(D262)=DAY($L$1+1),1,B261+1)</f>
        <v/>
      </c>
      <c r="C262" s="111">
        <f>IF(DAY(D262)=DAY($L$1+1),1,C261+1)</f>
        <v/>
      </c>
      <c r="D262" s="112">
        <f>D261+1</f>
        <v/>
      </c>
      <c r="E262" s="113">
        <f>IF(DAY(D262)=DAY($L$1+1),TRUNC((N261),8),E261)</f>
        <v/>
      </c>
      <c r="F262" s="114">
        <f>TRUNC(((1+VLOOKUP(A262,IPCA!$A$2:$C$140,3,0)))^(C262/(EDATE(D262-C262,1)-(D262-C262))),8)</f>
        <v/>
      </c>
      <c r="G262" s="114">
        <f>TRUNC((E262*F262),8)</f>
        <v/>
      </c>
      <c r="H262" s="114">
        <f>ROUND(((1+$H$4)^(30/360))^(C262/(EDATE(D262-B262,1)-(D262-B262))),9)</f>
        <v/>
      </c>
      <c r="I262" s="114">
        <f>TRUNC((G262*H262-G262),8)</f>
        <v/>
      </c>
      <c r="J262" s="114">
        <f>G262+I262</f>
        <v/>
      </c>
      <c r="K262" s="119" t="n">
        <v>0</v>
      </c>
      <c r="L262" s="120">
        <f>TRUNC(G262*VLOOKUP(D262,'Amort TS'!$G$3:$H$140,2,0),8)</f>
        <v/>
      </c>
      <c r="M262" s="120" t="n">
        <v>0</v>
      </c>
      <c r="N262" s="120">
        <f>J262-K262-L262-M262</f>
        <v/>
      </c>
      <c r="O262" s="256" t="n"/>
      <c r="P262" s="256" t="n"/>
      <c r="Q262" s="256" t="n"/>
    </row>
    <row r="263">
      <c r="A263">
        <f>IF(DAY(D263)=DAY($L$1+1),A262+1,A262)</f>
        <v/>
      </c>
      <c r="B263" s="46">
        <f>IF(DAY(D263)=DAY($L$1+1),1,B262+1)</f>
        <v/>
      </c>
      <c r="C263" s="46">
        <f>IF(DAY(D263)=DAY($L$1+1),1,C262+1)</f>
        <v/>
      </c>
      <c r="D263" s="2">
        <f>D262+1</f>
        <v/>
      </c>
      <c r="E263" s="8">
        <f>IF(DAY(D263)=DAY($L$1+1),TRUNC((N262),8),E262)</f>
        <v/>
      </c>
      <c r="F263" s="49">
        <f>TRUNC(((1+VLOOKUP(A263,IPCA!$A$2:$C$140,3,0)))^(C263/(EDATE(D263-C263,1)-(D263-C263))),8)</f>
        <v/>
      </c>
      <c r="G263" s="49">
        <f>TRUNC((E263*F263),8)</f>
        <v/>
      </c>
      <c r="H263" s="49">
        <f>ROUND(((1+$H$4)^(30/360))^(C263/(EDATE(D263-B263,1)-(D263-B263))),9)</f>
        <v/>
      </c>
      <c r="I263" s="49">
        <f>TRUNC((G263*H263-G263),8)</f>
        <v/>
      </c>
      <c r="J263" s="49">
        <f>G263+I263</f>
        <v/>
      </c>
      <c r="K263" s="121">
        <f>K262*L260</f>
        <v/>
      </c>
      <c r="L263" s="121">
        <f>L262*L260</f>
        <v/>
      </c>
      <c r="M263" s="121">
        <f>M262*L260</f>
        <v/>
      </c>
      <c r="N263" s="121">
        <f>N262*L260</f>
        <v/>
      </c>
      <c r="O263" s="256" t="n"/>
      <c r="P263" s="256" t="n"/>
      <c r="Q263" s="256" t="n"/>
    </row>
    <row r="264">
      <c r="A264">
        <f>IF(DAY(D264)=DAY($L$1+1),A263+1,A263)</f>
        <v/>
      </c>
      <c r="B264" s="46">
        <f>IF(DAY(D264)=DAY($L$1+1),1,B263+1)</f>
        <v/>
      </c>
      <c r="C264" s="46">
        <f>IF(DAY(D264)=DAY($L$1+1),1,C263+1)</f>
        <v/>
      </c>
      <c r="D264" s="47">
        <f>D263+1</f>
        <v/>
      </c>
      <c r="E264" s="8">
        <f>IF(DAY(D264)=DAY($L$1+1),TRUNC((N263),8),E263)</f>
        <v/>
      </c>
      <c r="F264" s="49">
        <f>TRUNC(((1+VLOOKUP(A264,IPCA!$A$2:$C$140,3,0)))^(C264/(EDATE(D264-C264,1)-(D264-C264))),8)</f>
        <v/>
      </c>
      <c r="G264" s="49">
        <f>TRUNC((E264*F264),8)</f>
        <v/>
      </c>
      <c r="H264" s="49">
        <f>ROUND(((1+$H$4)^(30/360))^(C264/(EDATE(D264-B264,1)-(D264-B264))),9)</f>
        <v/>
      </c>
      <c r="I264" s="49">
        <f>TRUNC((G264*H264-G264),8)</f>
        <v/>
      </c>
      <c r="J264" s="49">
        <f>G264+I264</f>
        <v/>
      </c>
      <c r="K264" s="256" t="n"/>
      <c r="L264" s="256" t="n"/>
      <c r="M264" s="256" t="n"/>
      <c r="N264" s="256" t="n"/>
      <c r="O264" s="256" t="n"/>
      <c r="P264" s="256" t="n"/>
      <c r="Q264" s="256" t="n"/>
    </row>
    <row r="265">
      <c r="A265">
        <f>IF(DAY(D265)=DAY($L$1+1),A264+1,A264)</f>
        <v/>
      </c>
      <c r="B265" s="46">
        <f>IF(DAY(D265)=DAY($L$1+1),1,B264+1)</f>
        <v/>
      </c>
      <c r="C265" s="46">
        <f>IF(DAY(D265)=DAY($L$1+1),1,C264+1)</f>
        <v/>
      </c>
      <c r="D265" s="47">
        <f>D264+1</f>
        <v/>
      </c>
      <c r="E265" s="8">
        <f>IF(DAY(D265)=DAY($L$1+1),TRUNC((#REF!),8),E264)</f>
        <v/>
      </c>
      <c r="F265" s="49">
        <f>TRUNC(((1+VLOOKUP(A265,IPCA!$A$2:$C$140,3,0)))^(C265/(EDATE(D265-C265,1)-(D265-C265))),8)</f>
        <v/>
      </c>
      <c r="G265" s="49">
        <f>TRUNC((E265*F265),8)</f>
        <v/>
      </c>
      <c r="H265" s="49">
        <f>ROUND(((1+$H$4)^(30/360))^(C265/(EDATE(D265-B265,1)-(D265-B265))),9)</f>
        <v/>
      </c>
      <c r="I265" s="49">
        <f>TRUNC((G265*H265-G265),8)</f>
        <v/>
      </c>
      <c r="J265" s="49">
        <f>G265+I265</f>
        <v/>
      </c>
      <c r="K265" s="256" t="inlineStr">
        <is>
          <t>R$ 1,08604960</t>
        </is>
      </c>
      <c r="L265" s="256" t="n"/>
      <c r="M265" s="256" t="n"/>
      <c r="N265" s="256" t="n"/>
      <c r="O265" s="256" t="n"/>
      <c r="P265" s="256" t="n"/>
      <c r="Q265" s="256" t="n"/>
    </row>
    <row r="266">
      <c r="A266">
        <f>IF(DAY(D266)=DAY($L$1+1),A265+1,A265)</f>
        <v/>
      </c>
      <c r="B266" s="46">
        <f>IF(DAY(D266)=DAY($L$1+1),1,B265+1)</f>
        <v/>
      </c>
      <c r="C266" s="46">
        <f>IF(DAY(D266)=DAY($L$1+1),1,C265+1)</f>
        <v/>
      </c>
      <c r="D266" s="2">
        <f>D265+1</f>
        <v/>
      </c>
      <c r="E266" s="8">
        <f>IF(DAY(D266)=DAY($L$1+1),TRUNC((#REF!),8),E265)</f>
        <v/>
      </c>
      <c r="F266" s="49">
        <f>TRUNC(((1+VLOOKUP(A266,IPCA!$A$2:$C$140,3,0)))^(C266/(EDATE(D266-C266,1)-(D266-C266))),8)</f>
        <v/>
      </c>
      <c r="G266" s="49">
        <f>TRUNC((E266*F266),8)</f>
        <v/>
      </c>
      <c r="H266" s="49">
        <f>ROUND(((1+$H$4)^(30/360))^(C266/(EDATE(D266-B266,1)-(D266-B266))),9)</f>
        <v/>
      </c>
      <c r="I266" s="49">
        <f>TRUNC((G266*H266-G266),8)</f>
        <v/>
      </c>
      <c r="J266" s="49">
        <f>G266+I266</f>
        <v/>
      </c>
      <c r="K266" s="256">
        <f>J265-K265</f>
        <v/>
      </c>
      <c r="L266" s="256" t="n"/>
      <c r="M266" s="256" t="n"/>
      <c r="N266" s="256" t="n"/>
      <c r="O266" s="256" t="n"/>
      <c r="P266" s="256" t="n"/>
      <c r="Q266" s="256" t="n"/>
    </row>
    <row r="267">
      <c r="A267">
        <f>IF(DAY(D267)=DAY($L$1+1),A266+1,A266)</f>
        <v/>
      </c>
      <c r="B267" s="46">
        <f>IF(DAY(D267)=DAY($L$1+1),1,B266+1)</f>
        <v/>
      </c>
      <c r="C267" s="46">
        <f>IF(DAY(D267)=DAY($L$1+1),1,C266+1)</f>
        <v/>
      </c>
      <c r="D267" s="2">
        <f>D266+1</f>
        <v/>
      </c>
      <c r="E267" s="8">
        <f>IF(DAY(D267)=DAY($L$1+1),TRUNC((#REF!),8),E266)</f>
        <v/>
      </c>
      <c r="F267" s="49">
        <f>TRUNC(((1+VLOOKUP(A267,IPCA!$A$2:$C$140,3,0)))^(C267/(EDATE(D267-C267,1)-(D267-C267))),8)</f>
        <v/>
      </c>
      <c r="G267" s="49">
        <f>TRUNC((E267*F267),8)</f>
        <v/>
      </c>
      <c r="H267" s="49">
        <f>ROUND(((1+$H$4)^(30/360))^(C267/(EDATE(D267-B267,1)-(D267-B267))),9)</f>
        <v/>
      </c>
      <c r="I267" s="49">
        <f>TRUNC((G267*H267-G267),8)</f>
        <v/>
      </c>
      <c r="J267" s="49">
        <f>G267+I267</f>
        <v/>
      </c>
      <c r="K267" s="256" t="n"/>
      <c r="L267" s="256" t="n"/>
      <c r="M267" s="256" t="n"/>
      <c r="N267" s="256" t="n"/>
      <c r="O267" s="256" t="n"/>
      <c r="P267" s="256" t="n"/>
      <c r="Q267" s="256" t="n"/>
    </row>
    <row r="268">
      <c r="A268">
        <f>IF(DAY(D268)=DAY($L$1+1),A267+1,A267)</f>
        <v/>
      </c>
      <c r="B268" s="46">
        <f>IF(DAY(D268)=DAY($L$1+1),1,B267+1)</f>
        <v/>
      </c>
      <c r="C268" s="46">
        <f>IF(DAY(D268)=DAY($L$1+1),1,C267+1)</f>
        <v/>
      </c>
      <c r="D268" s="2">
        <f>D267+1</f>
        <v/>
      </c>
      <c r="E268" s="8">
        <f>IF(DAY(D268)=DAY($L$1+1),TRUNC((#REF!),8),E267)</f>
        <v/>
      </c>
      <c r="F268" s="49">
        <f>TRUNC(((1+VLOOKUP(A268,IPCA!$A$2:$C$140,3,0)))^(C268/(EDATE(D268-C268,1)-(D268-C268))),8)</f>
        <v/>
      </c>
      <c r="G268" s="49">
        <f>TRUNC((E268*F268),8)</f>
        <v/>
      </c>
      <c r="H268" s="49">
        <f>ROUND(((1+$H$4)^(30/360))^(C268/(EDATE(D268-B268,1)-(D268-B268))),9)</f>
        <v/>
      </c>
      <c r="I268" s="49">
        <f>TRUNC((G268*H268-G268),8)</f>
        <v/>
      </c>
      <c r="J268" s="49">
        <f>G268+I268</f>
        <v/>
      </c>
      <c r="K268" s="256" t="n"/>
      <c r="L268" s="256" t="n"/>
      <c r="M268" s="256" t="n"/>
      <c r="N268" s="256" t="n"/>
      <c r="O268" s="256" t="n"/>
      <c r="P268" s="256" t="n"/>
      <c r="Q268" s="256" t="n"/>
    </row>
    <row r="269">
      <c r="A269">
        <f>IF(DAY(D269)=DAY($L$1+1),A268+1,A268)</f>
        <v/>
      </c>
      <c r="B269" s="46">
        <f>IF(DAY(D269)=DAY($L$1+1),1,B268+1)</f>
        <v/>
      </c>
      <c r="C269" s="46">
        <f>IF(DAY(D269)=DAY($L$1+1),1,C268+1)</f>
        <v/>
      </c>
      <c r="D269" s="2">
        <f>D268+1</f>
        <v/>
      </c>
      <c r="E269" s="8">
        <f>IF(DAY(D269)=DAY($L$1+1),TRUNC((#REF!),8),E268)</f>
        <v/>
      </c>
      <c r="F269" s="49">
        <f>TRUNC(((1+VLOOKUP(A269,IPCA!$A$2:$C$140,3,0)))^(C269/(EDATE(D269-C269,1)-(D269-C269))),8)</f>
        <v/>
      </c>
      <c r="G269" s="49">
        <f>TRUNC((E269*F269),8)</f>
        <v/>
      </c>
      <c r="H269" s="49">
        <f>ROUND(((1+$H$4)^(30/360))^(C269/(EDATE(D269-B269,1)-(D269-B269))),9)</f>
        <v/>
      </c>
      <c r="I269" s="49">
        <f>TRUNC((G269*H269-G269),8)</f>
        <v/>
      </c>
      <c r="J269" s="49">
        <f>G269+I269</f>
        <v/>
      </c>
      <c r="K269" s="256" t="n"/>
      <c r="L269" s="256" t="n"/>
      <c r="M269" s="256" t="n"/>
      <c r="N269" s="256" t="n"/>
      <c r="O269" s="256" t="n"/>
      <c r="P269" s="256" t="n"/>
      <c r="Q269" s="256" t="n"/>
    </row>
    <row r="270">
      <c r="A270">
        <f>IF(DAY(D270)=DAY($L$1+1),A269+1,A269)</f>
        <v/>
      </c>
      <c r="B270" s="46">
        <f>IF(DAY(D270)=DAY($L$1+1),1,B269+1)</f>
        <v/>
      </c>
      <c r="C270" s="46">
        <f>IF(DAY(D270)=DAY($L$1+1),1,C269+1)</f>
        <v/>
      </c>
      <c r="D270" s="2">
        <f>D269+1</f>
        <v/>
      </c>
      <c r="E270" s="8">
        <f>IF(DAY(D270)=DAY($L$1+1),TRUNC((#REF!),8),E269)</f>
        <v/>
      </c>
      <c r="F270" s="49">
        <f>TRUNC(((1+VLOOKUP(A270,IPCA!$A$2:$C$140,3,0)))^(C270/(EDATE(D270-C270,1)-(D270-C270))),8)</f>
        <v/>
      </c>
      <c r="G270" s="49">
        <f>TRUNC((E270*F270),8)</f>
        <v/>
      </c>
      <c r="H270" s="49">
        <f>ROUND(((1+$H$4)^(30/360))^(C270/(EDATE(D270-B270,1)-(D270-B270))),9)</f>
        <v/>
      </c>
      <c r="I270" s="49">
        <f>TRUNC((G270*H270-G270),8)</f>
        <v/>
      </c>
      <c r="J270" s="49">
        <f>G270+I270</f>
        <v/>
      </c>
      <c r="K270" s="256" t="n"/>
      <c r="L270" s="256" t="n"/>
      <c r="M270" s="256" t="n"/>
      <c r="N270" s="256" t="n"/>
      <c r="O270" s="256" t="n"/>
      <c r="P270" s="256" t="n"/>
      <c r="Q270" s="256" t="n"/>
    </row>
    <row r="271">
      <c r="A271">
        <f>IF(DAY(D271)=DAY($L$1+1),A270+1,A270)</f>
        <v/>
      </c>
      <c r="B271" s="46">
        <f>IF(DAY(D271)=DAY($L$1+1),1,B270+1)</f>
        <v/>
      </c>
      <c r="C271" s="46">
        <f>IF(DAY(D271)=DAY($L$1+1),1,C270+1)</f>
        <v/>
      </c>
      <c r="D271" s="2">
        <f>D270+1</f>
        <v/>
      </c>
      <c r="E271" s="8">
        <f>IF(DAY(D271)=DAY($L$1+1),TRUNC((#REF!),8),E270)</f>
        <v/>
      </c>
      <c r="F271" s="49">
        <f>TRUNC(((1+VLOOKUP(A271,IPCA!$A$2:$C$140,3,0)))^(C271/(EDATE(D271-C271,1)-(D271-C271))),8)</f>
        <v/>
      </c>
      <c r="G271" s="49">
        <f>TRUNC((E271*F271),8)</f>
        <v/>
      </c>
      <c r="H271" s="49">
        <f>ROUND(((1+$H$4)^(30/360))^(C271/(EDATE(D271-B271,1)-(D271-B271))),9)</f>
        <v/>
      </c>
      <c r="I271" s="49">
        <f>TRUNC((G271*H271-G271),8)</f>
        <v/>
      </c>
      <c r="J271" s="49">
        <f>G271+I271</f>
        <v/>
      </c>
      <c r="K271" s="256" t="n"/>
      <c r="L271" s="256" t="n"/>
      <c r="M271" s="256" t="n"/>
      <c r="N271" s="256" t="n"/>
      <c r="O271" s="256" t="n"/>
      <c r="P271" s="256" t="n"/>
      <c r="Q271" s="256" t="n"/>
    </row>
    <row r="272">
      <c r="A272">
        <f>IF(DAY(D272)=DAY($L$1+1),A271+1,A271)</f>
        <v/>
      </c>
      <c r="B272" s="46">
        <f>IF(DAY(D272)=DAY($L$1+1),1,B271+1)</f>
        <v/>
      </c>
      <c r="C272" s="46">
        <f>IF(DAY(D272)=DAY($L$1+1),1,C271+1)</f>
        <v/>
      </c>
      <c r="D272" s="2">
        <f>D271+1</f>
        <v/>
      </c>
      <c r="E272" s="8">
        <f>IF(DAY(D272)=DAY($L$1+1),TRUNC((#REF!),8),E271)</f>
        <v/>
      </c>
      <c r="F272" s="49">
        <f>TRUNC(((1+VLOOKUP(A272,IPCA!$A$2:$C$140,3,0)))^(C272/(EDATE(D272-C272,1)-(D272-C272))),8)</f>
        <v/>
      </c>
      <c r="G272" s="49">
        <f>TRUNC((E272*F272),8)</f>
        <v/>
      </c>
      <c r="H272" s="49">
        <f>ROUND(((1+$H$4)^(30/360))^(C272/(EDATE(D272-B272,1)-(D272-B272))),9)</f>
        <v/>
      </c>
      <c r="I272" s="49">
        <f>TRUNC((G272*H272-G272),8)</f>
        <v/>
      </c>
      <c r="J272" s="49">
        <f>G272+I272</f>
        <v/>
      </c>
      <c r="K272" s="256" t="n"/>
      <c r="L272" s="256" t="n"/>
      <c r="M272" s="256" t="n"/>
      <c r="N272" s="256" t="n"/>
      <c r="O272" s="256" t="n"/>
      <c r="P272" s="256" t="n"/>
      <c r="Q272" s="256" t="n"/>
    </row>
    <row r="273">
      <c r="A273">
        <f>IF(DAY(D273)=DAY($L$1+1),A272+1,A272)</f>
        <v/>
      </c>
      <c r="B273" s="46">
        <f>IF(DAY(D273)=DAY($L$1+1),1,B272+1)</f>
        <v/>
      </c>
      <c r="C273" s="46">
        <f>IF(DAY(D273)=DAY($L$1+1),1,C272+1)</f>
        <v/>
      </c>
      <c r="D273" s="2">
        <f>D272+1</f>
        <v/>
      </c>
      <c r="E273" s="8">
        <f>IF(DAY(D273)=DAY($L$1+1),TRUNC((#REF!),8),E272)</f>
        <v/>
      </c>
      <c r="F273" s="49">
        <f>TRUNC(((1+VLOOKUP(A273,IPCA!$A$2:$C$140,3,0)))^(C273/(EDATE(D273-C273,1)-(D273-C273))),8)</f>
        <v/>
      </c>
      <c r="G273" s="49">
        <f>TRUNC((E273*F273),8)</f>
        <v/>
      </c>
      <c r="H273" s="49">
        <f>ROUND(((1+$H$4)^(30/360))^(C273/(EDATE(D273-B273,1)-(D273-B273))),9)</f>
        <v/>
      </c>
      <c r="I273" s="49">
        <f>TRUNC((G273*H273-G273),8)</f>
        <v/>
      </c>
      <c r="J273" s="49">
        <f>G273+I273</f>
        <v/>
      </c>
      <c r="K273" s="256" t="n"/>
      <c r="L273" s="256" t="n"/>
      <c r="M273" s="256" t="n"/>
      <c r="N273" s="256" t="n"/>
      <c r="O273" s="256" t="n"/>
      <c r="P273" s="256" t="n"/>
      <c r="Q273" s="256" t="n"/>
    </row>
    <row r="274">
      <c r="A274">
        <f>IF(DAY(D274)=DAY($L$1+1),A273+1,A273)</f>
        <v/>
      </c>
      <c r="B274" s="46">
        <f>IF(DAY(D274)=DAY($L$1+1),1,B273+1)</f>
        <v/>
      </c>
      <c r="C274" s="46">
        <f>IF(DAY(D274)=DAY($L$1+1),1,C273+1)</f>
        <v/>
      </c>
      <c r="D274" s="2">
        <f>D273+1</f>
        <v/>
      </c>
      <c r="E274" s="8">
        <f>IF(DAY(D274)=DAY($L$1+1),TRUNC((N273),8),E273)</f>
        <v/>
      </c>
      <c r="F274" s="49">
        <f>TRUNC(((1+VLOOKUP(A274,IPCA!$A$2:$C$140,3,0)))^(C274/(EDATE(D274-C274,1)-(D274-C274))),8)</f>
        <v/>
      </c>
      <c r="G274" s="49">
        <f>TRUNC((E274*F274),8)</f>
        <v/>
      </c>
      <c r="H274" s="49">
        <f>ROUND(((1+$H$4)^(30/360))^(C274/(EDATE(D274-B274,1)-(D274-B274))),9)</f>
        <v/>
      </c>
      <c r="I274" s="49">
        <f>TRUNC((G274*H274-G274),8)</f>
        <v/>
      </c>
      <c r="J274" s="49">
        <f>G274+I274</f>
        <v/>
      </c>
      <c r="K274" s="256" t="n"/>
      <c r="L274" s="256" t="n"/>
      <c r="M274" s="256" t="n"/>
      <c r="N274" s="256" t="n"/>
      <c r="O274" s="256" t="n"/>
      <c r="P274" s="256" t="n"/>
      <c r="Q274" s="256" t="n"/>
    </row>
    <row r="275">
      <c r="A275">
        <f>IF(DAY(D275)=DAY($L$1+1),A274+1,A274)</f>
        <v/>
      </c>
      <c r="B275" s="46">
        <f>IF(DAY(D275)=DAY($L$1+1),1,B274+1)</f>
        <v/>
      </c>
      <c r="C275" s="46">
        <f>IF(DAY(D275)=DAY($L$1+1),1,C274+1)</f>
        <v/>
      </c>
      <c r="D275" s="2">
        <f>D274+1</f>
        <v/>
      </c>
      <c r="E275" s="8">
        <f>IF(DAY(D275)=DAY($L$1+1),TRUNC((N274),8),E274)</f>
        <v/>
      </c>
      <c r="F275" s="49">
        <f>TRUNC(((1+VLOOKUP(A275,IPCA!$A$2:$C$140,3,0)))^(C275/(EDATE(D275-C275,1)-(D275-C275))),8)</f>
        <v/>
      </c>
      <c r="G275" s="49">
        <f>TRUNC((E275*F275),8)</f>
        <v/>
      </c>
      <c r="H275" s="49">
        <f>ROUND(((1+$H$4)^(30/360))^(C275/(EDATE(D275-B275,1)-(D275-B275))),9)</f>
        <v/>
      </c>
      <c r="I275" s="49">
        <f>TRUNC((G275*H275-G275),8)</f>
        <v/>
      </c>
      <c r="J275" s="49">
        <f>G275+I275</f>
        <v/>
      </c>
      <c r="K275" s="256" t="n"/>
      <c r="L275" s="256" t="n"/>
      <c r="M275" s="256" t="n"/>
      <c r="N275" s="256" t="n"/>
      <c r="O275" s="256" t="n"/>
      <c r="P275" s="256" t="n"/>
      <c r="Q275" s="256" t="n"/>
    </row>
    <row r="276">
      <c r="A276">
        <f>IF(DAY(D276)=DAY($L$1+1),A275+1,A275)</f>
        <v/>
      </c>
      <c r="B276" s="46">
        <f>IF(DAY(D276)=DAY($L$1+1),1,B275+1)</f>
        <v/>
      </c>
      <c r="C276" s="46">
        <f>IF(DAY(D276)=DAY($L$1+1),1,C275+1)</f>
        <v/>
      </c>
      <c r="D276" s="2">
        <f>D275+1</f>
        <v/>
      </c>
      <c r="E276" s="8">
        <f>IF(DAY(D276)=DAY($L$1+1),TRUNC((N275),8),E275)</f>
        <v/>
      </c>
      <c r="F276" s="49">
        <f>TRUNC(((1+VLOOKUP(A276,IPCA!$A$2:$C$140,3,0)))^(C276/(EDATE(D276-C276,1)-(D276-C276))),8)</f>
        <v/>
      </c>
      <c r="G276" s="49">
        <f>TRUNC((E276*F276),8)</f>
        <v/>
      </c>
      <c r="H276" s="49">
        <f>ROUND(((1+$H$4)^(30/360))^(C276/(EDATE(D276-B276,1)-(D276-B276))),9)</f>
        <v/>
      </c>
      <c r="I276" s="49">
        <f>TRUNC((G276*H276-G276),8)</f>
        <v/>
      </c>
      <c r="J276" s="49">
        <f>G276+I276</f>
        <v/>
      </c>
      <c r="K276" s="256" t="n"/>
      <c r="L276" s="256" t="n"/>
      <c r="M276" s="256" t="n"/>
      <c r="N276" s="256" t="n"/>
      <c r="O276" s="256" t="n"/>
      <c r="P276" s="256" t="n"/>
      <c r="Q276" s="256" t="n"/>
    </row>
    <row r="277">
      <c r="A277">
        <f>IF(DAY(D277)=DAY($L$1+1),A276+1,A276)</f>
        <v/>
      </c>
      <c r="B277" s="46">
        <f>IF(DAY(D277)=DAY($L$1+1),1,B276+1)</f>
        <v/>
      </c>
      <c r="C277" s="46">
        <f>IF(DAY(D277)=DAY($L$1+1),1,C276+1)</f>
        <v/>
      </c>
      <c r="D277" s="2">
        <f>D276+1</f>
        <v/>
      </c>
      <c r="E277" s="8">
        <f>IF(DAY(D277)=DAY($L$1+1),TRUNC((N276),8),E276)</f>
        <v/>
      </c>
      <c r="F277" s="49">
        <f>TRUNC(((1+VLOOKUP(A277,IPCA!$A$2:$C$140,3,0)))^(C277/(EDATE(D277-C277,1)-(D277-C277))),8)</f>
        <v/>
      </c>
      <c r="G277" s="49">
        <f>TRUNC((E277*F277),8)</f>
        <v/>
      </c>
      <c r="H277" s="49">
        <f>ROUND(((1+$H$4)^(30/360))^(C277/(EDATE(D277-B277,1)-(D277-B277))),9)</f>
        <v/>
      </c>
      <c r="I277" s="49">
        <f>TRUNC((G277*H277-G277),8)</f>
        <v/>
      </c>
      <c r="J277" s="49">
        <f>G277+I277</f>
        <v/>
      </c>
      <c r="K277" s="256" t="n"/>
      <c r="L277" s="256" t="n"/>
      <c r="M277" s="256" t="n"/>
      <c r="N277" s="256" t="n"/>
      <c r="O277" s="256" t="n"/>
      <c r="P277" s="256" t="n"/>
      <c r="Q277" s="256" t="n"/>
    </row>
    <row r="278">
      <c r="A278">
        <f>IF(DAY(D278)=DAY($L$1+1),A277+1,A277)</f>
        <v/>
      </c>
      <c r="B278" s="46">
        <f>IF(DAY(D278)=DAY($L$1+1),1,B277+1)</f>
        <v/>
      </c>
      <c r="C278" s="46">
        <f>IF(DAY(D278)=DAY($L$1+1),1,C277+1)</f>
        <v/>
      </c>
      <c r="D278" s="2">
        <f>D277+1</f>
        <v/>
      </c>
      <c r="E278" s="8">
        <f>IF(DAY(D278)=DAY($L$1+1),TRUNC((N277),8),E277)</f>
        <v/>
      </c>
      <c r="F278" s="49">
        <f>TRUNC(((1+VLOOKUP(A278,IPCA!$A$2:$C$140,3,0)))^(C278/(EDATE(D278-C278,1)-(D278-C278))),8)</f>
        <v/>
      </c>
      <c r="G278" s="49">
        <f>TRUNC((E278*F278),8)</f>
        <v/>
      </c>
      <c r="H278" s="49">
        <f>ROUND(((1+$H$4)^(30/360))^(C278/(EDATE(D278-B278,1)-(D278-B278))),9)</f>
        <v/>
      </c>
      <c r="I278" s="49">
        <f>TRUNC((G278*H278-G278),8)</f>
        <v/>
      </c>
      <c r="J278" s="49">
        <f>G278+I278</f>
        <v/>
      </c>
      <c r="K278" s="123" t="n"/>
      <c r="L278" s="271" t="n"/>
      <c r="M278" s="256" t="n"/>
      <c r="N278" s="256" t="n"/>
      <c r="O278" s="256" t="n"/>
      <c r="P278" s="256" t="n"/>
      <c r="Q278" s="256" t="n"/>
    </row>
    <row r="279">
      <c r="A279">
        <f>IF(DAY(D279)=DAY($L$1+1),A278+1,A278)</f>
        <v/>
      </c>
      <c r="B279" s="46">
        <f>IF(DAY(D279)=DAY($L$1+1),1,B278+1)</f>
        <v/>
      </c>
      <c r="C279" s="54">
        <f>IF(DAY(D279)=DAY($L$1+1),1,C278+1)</f>
        <v/>
      </c>
      <c r="D279" s="2">
        <f>D278+1</f>
        <v/>
      </c>
      <c r="E279" s="8">
        <f>IF(DAY(D279)=DAY($L$1+1),TRUNC((N278),8),E278)</f>
        <v/>
      </c>
      <c r="F279" s="49">
        <f>TRUNC(((1+VLOOKUP(A279,IPCA!$A$2:$C$140,3,0)))^(C279/(EDATE(D279-C279,1)-(D279-C279))),8)</f>
        <v/>
      </c>
      <c r="G279" s="48">
        <f>TRUNC((E279*F279),8)</f>
        <v/>
      </c>
      <c r="H279" s="48">
        <f>ROUND(((1+$H$4)^(30/360))^(C279/(EDATE(D279-B279,1)-(D279-B279))),9)</f>
        <v/>
      </c>
      <c r="I279" s="48">
        <f>TRUNC((G279*H279-G279),8)</f>
        <v/>
      </c>
      <c r="J279" s="49">
        <f>G279+I279</f>
        <v/>
      </c>
      <c r="K279" s="256" t="n"/>
      <c r="L279" s="256" t="n"/>
      <c r="M279" s="256" t="n"/>
      <c r="N279" s="256" t="n"/>
      <c r="O279" s="256" t="n"/>
      <c r="P279" s="256" t="n"/>
      <c r="Q279" s="256" t="n"/>
    </row>
    <row r="280">
      <c r="A280">
        <f>IF(DAY(D280)=DAY($L$1+1),A279+1,A279)</f>
        <v/>
      </c>
      <c r="B280" s="46">
        <f>IF(DAY(D280)=DAY($L$1+1),1,B279+1)</f>
        <v/>
      </c>
      <c r="C280" s="46">
        <f>IF(DAY(D280)=DAY($L$1+1),1,C279+1)</f>
        <v/>
      </c>
      <c r="D280" s="2">
        <f>D279+1</f>
        <v/>
      </c>
      <c r="E280" s="8">
        <f>IF(DAY(D280)=DAY($L$1+1),TRUNC((N279),8),E279)</f>
        <v/>
      </c>
      <c r="F280" s="49">
        <f>TRUNC(((1+VLOOKUP(A280,IPCA!$A$2:$C$140,3,0)))^(C280/(EDATE(D280-C280,1)-(D280-C280))),8)</f>
        <v/>
      </c>
      <c r="G280" s="49">
        <f>TRUNC((E280*F280),8)</f>
        <v/>
      </c>
      <c r="H280" s="49">
        <f>ROUND(((1+$H$4)^(30/360))^(C280/(EDATE(D280-B280,1)-(D280-B280))),9)</f>
        <v/>
      </c>
      <c r="I280" s="49">
        <f>TRUNC((G280*H280-G280),8)</f>
        <v/>
      </c>
      <c r="J280" s="49">
        <f>G280+I280</f>
        <v/>
      </c>
      <c r="K280" s="256" t="n"/>
      <c r="L280" s="256" t="n"/>
      <c r="M280" s="256" t="n"/>
      <c r="N280" s="256" t="n"/>
      <c r="O280" s="256" t="n"/>
      <c r="P280" s="256" t="n"/>
      <c r="Q280" s="256" t="n"/>
    </row>
    <row r="281">
      <c r="A281">
        <f>IF(DAY(D281)=DAY($L$1+1),A280+1,A280)</f>
        <v/>
      </c>
      <c r="B281" s="46">
        <f>IF(DAY(D281)=DAY($L$1+1),1,B280+1)</f>
        <v/>
      </c>
      <c r="C281" s="46">
        <f>IF(DAY(D281)=DAY($L$1+1),1,C280+1)</f>
        <v/>
      </c>
      <c r="D281" s="2">
        <f>D280+1</f>
        <v/>
      </c>
      <c r="E281" s="8">
        <f>IF(DAY(D281)=DAY($L$1+1),TRUNC((N280),8),E280)</f>
        <v/>
      </c>
      <c r="F281" s="49">
        <f>TRUNC(((1+VLOOKUP(A281,IPCA!$A$2:$C$140,3,0)))^(C281/(EDATE(D281-C281,1)-(D281-C281))),8)</f>
        <v/>
      </c>
      <c r="G281" s="49">
        <f>TRUNC((E281*F281),8)</f>
        <v/>
      </c>
      <c r="H281" s="49">
        <f>ROUND(((1+$H$4)^(30/360))^(C281/(EDATE(D281-B281,1)-(D281-B281))),9)</f>
        <v/>
      </c>
      <c r="I281" s="49">
        <f>TRUNC((G281*H281-G281),8)</f>
        <v/>
      </c>
      <c r="J281" s="49">
        <f>G281+I281</f>
        <v/>
      </c>
      <c r="K281" s="256" t="n"/>
      <c r="L281" s="256" t="n"/>
      <c r="M281" s="256" t="n"/>
      <c r="N281" s="256" t="n"/>
      <c r="O281" s="256" t="n"/>
      <c r="P281" s="256" t="n"/>
      <c r="Q281" s="256" t="n"/>
    </row>
    <row r="282">
      <c r="A282">
        <f>IF(DAY(D282)=DAY($L$1+1),A281+1,A281)</f>
        <v/>
      </c>
      <c r="B282" s="46">
        <f>IF(DAY(D282)=DAY($L$1+1),1,B281+1)</f>
        <v/>
      </c>
      <c r="C282" s="46">
        <f>IF(DAY(D282)=DAY($L$1+1),1,C281+1)</f>
        <v/>
      </c>
      <c r="D282" s="2">
        <f>D281+1</f>
        <v/>
      </c>
      <c r="E282" s="8">
        <f>IF(DAY(D282)=DAY($L$1+1),TRUNC((N281),8),E281)</f>
        <v/>
      </c>
      <c r="F282" s="49">
        <f>TRUNC(((1+VLOOKUP(A282,IPCA!$A$2:$C$140,3,0)))^(C282/(EDATE(D282-C282,1)-(D282-C282))),8)</f>
        <v/>
      </c>
      <c r="G282" s="49">
        <f>TRUNC((E282*F282),8)</f>
        <v/>
      </c>
      <c r="H282" s="49">
        <f>ROUND(((1+$H$4)^(30/360))^(C282/(EDATE(D282-B282,1)-(D282-B282))),9)</f>
        <v/>
      </c>
      <c r="I282" s="49">
        <f>TRUNC((G282*H282-G282),8)</f>
        <v/>
      </c>
      <c r="J282" s="49">
        <f>G282+I282</f>
        <v/>
      </c>
      <c r="K282" s="256" t="n"/>
      <c r="L282" s="256" t="n"/>
      <c r="M282" s="256" t="n"/>
      <c r="N282" s="256" t="n"/>
      <c r="O282" s="256" t="n"/>
      <c r="P282" s="256" t="n"/>
      <c r="Q282" s="256" t="n"/>
    </row>
    <row r="283">
      <c r="A283">
        <f>IF(DAY(D283)=DAY($L$1+1),A282+1,A282)</f>
        <v/>
      </c>
      <c r="B283" s="46">
        <f>IF(DAY(D283)=DAY($L$1+1),1,B282+1)</f>
        <v/>
      </c>
      <c r="C283" s="46">
        <f>IF(DAY(D283)=DAY($L$1+1),1,C282+1)</f>
        <v/>
      </c>
      <c r="D283" s="2">
        <f>D282+1</f>
        <v/>
      </c>
      <c r="E283" s="8">
        <f>IF(DAY(D283)=DAY($L$1+1),TRUNC((N282),8),E282)</f>
        <v/>
      </c>
      <c r="F283" s="49">
        <f>TRUNC(((1+VLOOKUP(A283,IPCA!$A$2:$C$140,3,0)))^(C283/(EDATE(D283-C283,1)-(D283-C283))),8)</f>
        <v/>
      </c>
      <c r="G283" s="49">
        <f>TRUNC((E283*F283),8)</f>
        <v/>
      </c>
      <c r="H283" s="49">
        <f>ROUND(((1+$H$4)^(30/360))^(C283/(EDATE(D283-B283,1)-(D283-B283))),9)</f>
        <v/>
      </c>
      <c r="I283" s="49">
        <f>TRUNC((G283*H283-G283),8)</f>
        <v/>
      </c>
      <c r="J283" s="49">
        <f>G283+I283</f>
        <v/>
      </c>
      <c r="K283" s="256" t="n"/>
      <c r="L283" s="256" t="n"/>
      <c r="M283" s="256" t="n"/>
      <c r="N283" s="256" t="n"/>
      <c r="O283" s="256" t="n"/>
      <c r="P283" s="256" t="n"/>
      <c r="Q283" s="256" t="n"/>
    </row>
    <row r="284">
      <c r="A284">
        <f>IF(DAY(D284)=DAY($L$1+1),A283+1,A283)</f>
        <v/>
      </c>
      <c r="B284" s="46">
        <f>IF(DAY(D284)=DAY($L$1+1),1,B283+1)</f>
        <v/>
      </c>
      <c r="C284" s="46">
        <f>IF(DAY(D284)=DAY($L$1+1),1,C283+1)</f>
        <v/>
      </c>
      <c r="D284" s="2">
        <f>D283+1</f>
        <v/>
      </c>
      <c r="E284" s="8">
        <f>IF(DAY(D284)=DAY($L$1+1),TRUNC((N283),8),E283)</f>
        <v/>
      </c>
      <c r="F284" s="49">
        <f>TRUNC(((1+VLOOKUP(A284,IPCA!$A$2:$C$140,3,0)))^(C284/(EDATE(D284-C284,1)-(D284-C284))),8)</f>
        <v/>
      </c>
      <c r="G284" s="49">
        <f>TRUNC((E284*F284),8)</f>
        <v/>
      </c>
      <c r="H284" s="49">
        <f>ROUND(((1+$H$4)^(30/360))^(C284/(EDATE(D284-B284,1)-(D284-B284))),9)</f>
        <v/>
      </c>
      <c r="I284" s="49">
        <f>TRUNC((G284*H284-G284),8)</f>
        <v/>
      </c>
      <c r="J284" s="49">
        <f>G284+I284</f>
        <v/>
      </c>
      <c r="K284" s="256" t="n"/>
      <c r="L284" s="256" t="n"/>
      <c r="M284" s="256" t="n"/>
      <c r="N284" s="256" t="n"/>
      <c r="O284" s="256" t="n"/>
      <c r="P284" s="256" t="n"/>
      <c r="Q284" s="256" t="n"/>
    </row>
    <row r="285">
      <c r="A285">
        <f>IF(DAY(D285)=DAY($L$1+1),A284+1,A284)</f>
        <v/>
      </c>
      <c r="B285" s="46">
        <f>IF(DAY(D285)=DAY($L$1+1),1,B284+1)</f>
        <v/>
      </c>
      <c r="C285" s="46">
        <f>IF(DAY(D285)=DAY($L$1+1),1,C284+1)</f>
        <v/>
      </c>
      <c r="D285" s="2">
        <f>D284+1</f>
        <v/>
      </c>
      <c r="E285" s="8">
        <f>IF(DAY(D285)=DAY($L$1+1),TRUNC((N284),8),E284)</f>
        <v/>
      </c>
      <c r="F285" s="49">
        <f>TRUNC(((1+VLOOKUP(A285,IPCA!$A$2:$C$140,3,0)))^(C285/(EDATE(D285-C285,1)-(D285-C285))),8)</f>
        <v/>
      </c>
      <c r="G285" s="49">
        <f>TRUNC((E285*F285),8)</f>
        <v/>
      </c>
      <c r="H285" s="49">
        <f>ROUND(((1+$H$4)^(30/360))^(C285/(EDATE(D285-B285,1)-(D285-B285))),9)</f>
        <v/>
      </c>
      <c r="I285" s="49">
        <f>TRUNC((G285*H285-G285),8)</f>
        <v/>
      </c>
      <c r="J285" s="49">
        <f>G285+I285</f>
        <v/>
      </c>
      <c r="K285" s="256" t="n"/>
      <c r="L285" s="256" t="n"/>
      <c r="M285" s="256" t="n"/>
      <c r="N285" s="256" t="n"/>
      <c r="O285" s="256" t="n"/>
      <c r="P285" s="256" t="n"/>
      <c r="Q285" s="256" t="n"/>
    </row>
    <row r="286">
      <c r="A286">
        <f>IF(DAY(D286)=DAY($L$1+1),A285+1,A285)</f>
        <v/>
      </c>
      <c r="B286" s="46">
        <f>IF(DAY(D286)=DAY($L$1+1),1,B285+1)</f>
        <v/>
      </c>
      <c r="C286" s="46">
        <f>IF(DAY(D286)=DAY($L$1+1),1,C285+1)</f>
        <v/>
      </c>
      <c r="D286" s="2">
        <f>D285+1</f>
        <v/>
      </c>
      <c r="E286" s="8">
        <f>IF(DAY(D286)=DAY($L$1+1),TRUNC((N285),8),E285)</f>
        <v/>
      </c>
      <c r="F286" s="49">
        <f>TRUNC(((1+VLOOKUP(A286,IPCA!$A$2:$C$140,3,0)))^(C286/(EDATE(D286-C286,1)-(D286-C286))),8)</f>
        <v/>
      </c>
      <c r="G286" s="49">
        <f>TRUNC((E286*F286),8)</f>
        <v/>
      </c>
      <c r="H286" s="49">
        <f>ROUND(((1+$H$4)^(30/360))^(C286/(EDATE(D286-B286,1)-(D286-B286))),9)</f>
        <v/>
      </c>
      <c r="I286" s="49">
        <f>TRUNC((G286*H286-G286),8)</f>
        <v/>
      </c>
      <c r="J286" s="49">
        <f>G286+I286</f>
        <v/>
      </c>
      <c r="K286" s="256" t="n"/>
      <c r="L286" s="256" t="n"/>
      <c r="M286" s="256" t="n"/>
      <c r="N286" s="256" t="n"/>
      <c r="O286" s="256" t="n"/>
      <c r="P286" s="256" t="n"/>
      <c r="Q286" s="256" t="n"/>
    </row>
    <row r="287">
      <c r="A287">
        <f>IF(DAY(D287)=DAY($L$1+1),A286+1,A286)</f>
        <v/>
      </c>
      <c r="B287" s="46">
        <f>IF(DAY(D287)=DAY($L$1+1),1,B286+1)</f>
        <v/>
      </c>
      <c r="C287" s="46">
        <f>IF(DAY(D287)=DAY($L$1+1),1,C286+1)</f>
        <v/>
      </c>
      <c r="D287" s="2">
        <f>D286+1</f>
        <v/>
      </c>
      <c r="E287" s="8">
        <f>IF(DAY(D287)=DAY($L$1+1),TRUNC((N286),8),E286)</f>
        <v/>
      </c>
      <c r="F287" s="49">
        <f>TRUNC(((1+VLOOKUP(A287,IPCA!$A$2:$C$140,3,0)))^(C287/(EDATE(D287-C287,1)-(D287-C287))),8)</f>
        <v/>
      </c>
      <c r="G287" s="49">
        <f>TRUNC((E287*F287),8)</f>
        <v/>
      </c>
      <c r="H287" s="49">
        <f>ROUND(((1+$H$4)^(30/360))^(C287/(EDATE(D287-B287,1)-(D287-B287))),9)</f>
        <v/>
      </c>
      <c r="I287" s="49">
        <f>TRUNC((G287*H287-G287),8)</f>
        <v/>
      </c>
      <c r="J287" s="49">
        <f>G287+I287</f>
        <v/>
      </c>
      <c r="K287" s="256" t="n"/>
      <c r="L287" s="256" t="n"/>
      <c r="M287" s="256" t="n"/>
      <c r="N287" s="256" t="n"/>
      <c r="O287" s="256" t="n"/>
      <c r="P287" s="256" t="n"/>
      <c r="Q287" s="256" t="n"/>
    </row>
    <row r="288">
      <c r="A288">
        <f>IF(DAY(D288)=DAY($L$1+1),A287+1,A287)</f>
        <v/>
      </c>
      <c r="B288" s="46">
        <f>IF(DAY(D288)=DAY($L$1+1),1,B287+1)</f>
        <v/>
      </c>
      <c r="C288" s="46">
        <f>IF(DAY(D288)=DAY($L$1+1),1,C287+1)</f>
        <v/>
      </c>
      <c r="D288" s="2">
        <f>D287+1</f>
        <v/>
      </c>
      <c r="E288" s="8">
        <f>IF(DAY(D288)=DAY($L$1+1),TRUNC((N287),8),E287)</f>
        <v/>
      </c>
      <c r="F288" s="49">
        <f>TRUNC(((1+VLOOKUP(A288,IPCA!$A$2:$C$140,3,0)))^(C288/(EDATE(D288-C288,1)-(D288-C288))),8)</f>
        <v/>
      </c>
      <c r="G288" s="49">
        <f>TRUNC((E288*F288),8)</f>
        <v/>
      </c>
      <c r="H288" s="49">
        <f>ROUND(((1+$H$4)^(30/360))^(C288/(EDATE(D288-B288,1)-(D288-B288))),9)</f>
        <v/>
      </c>
      <c r="I288" s="49">
        <f>TRUNC((G288*H288-G288),8)</f>
        <v/>
      </c>
      <c r="J288" s="49">
        <f>G288+I288</f>
        <v/>
      </c>
      <c r="K288" s="256" t="n"/>
      <c r="L288" s="256" t="n"/>
      <c r="M288" s="256" t="n"/>
      <c r="N288" s="256" t="n"/>
      <c r="O288" s="256" t="n"/>
      <c r="P288" s="256" t="n"/>
      <c r="Q288" s="256" t="n"/>
    </row>
    <row r="289">
      <c r="A289">
        <f>IF(DAY(D289)=DAY($L$1+1),A288+1,A288)</f>
        <v/>
      </c>
      <c r="B289" s="46">
        <f>IF(DAY(D289)=DAY($L$1+1),1,B288+1)</f>
        <v/>
      </c>
      <c r="C289" s="46">
        <f>IF(DAY(D289)=DAY($L$1+1),1,C288+1)</f>
        <v/>
      </c>
      <c r="D289" s="2">
        <f>D288+1</f>
        <v/>
      </c>
      <c r="E289" s="8">
        <f>IF(DAY(D289)=DAY($L$1+1),TRUNC((N288),8),E288)</f>
        <v/>
      </c>
      <c r="F289" s="49">
        <f>TRUNC(((1+VLOOKUP(A289,IPCA!$A$2:$C$140,3,0)))^(C289/(EDATE(D289-C289,1)-(D289-C289))),8)</f>
        <v/>
      </c>
      <c r="G289" s="49">
        <f>TRUNC((E289*F289),8)</f>
        <v/>
      </c>
      <c r="H289" s="49">
        <f>ROUND(((1+$H$4)^(30/360))^(C289/(EDATE(D289-B289,1)-(D289-B289))),9)</f>
        <v/>
      </c>
      <c r="I289" s="49">
        <f>TRUNC((G289*H289-G289),8)</f>
        <v/>
      </c>
      <c r="J289" s="49">
        <f>G289+I289</f>
        <v/>
      </c>
      <c r="K289" s="256" t="n"/>
      <c r="L289" s="256" t="n"/>
      <c r="M289" s="256" t="n"/>
      <c r="N289" s="256" t="n"/>
      <c r="O289" s="256" t="n"/>
      <c r="P289" s="256" t="n"/>
      <c r="Q289" s="256" t="n"/>
    </row>
    <row r="290">
      <c r="A290">
        <f>IF(DAY(D290)=DAY($L$1+1),A289+1,A289)</f>
        <v/>
      </c>
      <c r="B290" s="46">
        <f>IF(DAY(D290)=DAY($L$1+1),1,B289+1)</f>
        <v/>
      </c>
      <c r="C290" s="46">
        <f>IF(DAY(D290)=DAY($L$1+1),1,C289+1)</f>
        <v/>
      </c>
      <c r="D290" s="2">
        <f>D289+1</f>
        <v/>
      </c>
      <c r="E290" s="8">
        <f>IF(DAY(D290)=DAY($L$1+1),TRUNC((N289),8),E289)</f>
        <v/>
      </c>
      <c r="F290" s="49">
        <f>TRUNC(((1+VLOOKUP(A290,IPCA!$A$2:$C$140,3,0)))^(C290/(EDATE(D290-C290,1)-(D290-C290))),8)</f>
        <v/>
      </c>
      <c r="G290" s="49">
        <f>TRUNC((E290*F290),8)</f>
        <v/>
      </c>
      <c r="H290" s="49">
        <f>ROUND(((1+$H$4)^(30/360))^(C290/(EDATE(D290-B290,1)-(D290-B290))),9)</f>
        <v/>
      </c>
      <c r="I290" s="49">
        <f>TRUNC((G290*H290-G290),8)</f>
        <v/>
      </c>
      <c r="J290" s="49">
        <f>G290+I290</f>
        <v/>
      </c>
      <c r="K290" s="256" t="n"/>
      <c r="L290" s="256" t="n"/>
      <c r="M290" s="256" t="n"/>
      <c r="N290" s="256" t="n"/>
      <c r="O290" s="256" t="n"/>
      <c r="P290" s="256" t="n"/>
      <c r="Q290" s="256" t="n"/>
    </row>
    <row r="291">
      <c r="A291">
        <f>IF(DAY(D291)=DAY($L$1+1),A290+1,A290)</f>
        <v/>
      </c>
      <c r="B291" s="46">
        <f>IF(DAY(D291)=DAY($L$1+1),1,B290+1)</f>
        <v/>
      </c>
      <c r="C291" s="46">
        <f>IF(DAY(D291)=DAY($L$1+1),1,C290+1)</f>
        <v/>
      </c>
      <c r="D291" s="2">
        <f>D290+1</f>
        <v/>
      </c>
      <c r="E291" s="8">
        <f>IF(DAY(D291)=DAY($L$1+1),TRUNC((N290),8),E290)</f>
        <v/>
      </c>
      <c r="F291" s="49">
        <f>TRUNC(((1+VLOOKUP(A291,IPCA!$A$2:$C$140,3,0)))^(C291/(EDATE(D291-C291,1)-(D291-C291))),8)</f>
        <v/>
      </c>
      <c r="G291" s="49">
        <f>TRUNC((E291*F291),8)</f>
        <v/>
      </c>
      <c r="H291" s="49">
        <f>ROUND(((1+$H$4)^(30/360))^(C291/(EDATE(D291-B291,1)-(D291-B291))),9)</f>
        <v/>
      </c>
      <c r="I291" s="49">
        <f>TRUNC((G291*H291-G291),8)</f>
        <v/>
      </c>
      <c r="J291" s="49">
        <f>G291+I291</f>
        <v/>
      </c>
      <c r="K291" s="256" t="inlineStr">
        <is>
          <t>Cri Integralizado</t>
        </is>
      </c>
      <c r="L291" s="270">
        <f>L260</f>
        <v/>
      </c>
      <c r="M291" s="256" t="n"/>
      <c r="N291" s="256" t="n"/>
      <c r="O291" s="256" t="n"/>
      <c r="P291" s="256" t="n"/>
      <c r="Q291" s="256" t="n"/>
    </row>
    <row r="292">
      <c r="A292">
        <f>IF(DAY(D292)=DAY($L$1+1),A291+1,A291)</f>
        <v/>
      </c>
      <c r="B292" s="46">
        <f>IF(DAY(D292)=DAY($L$1+1),1,B291+1)</f>
        <v/>
      </c>
      <c r="C292" s="46">
        <f>IF(DAY(D292)=DAY($L$1+1),1,C291+1)</f>
        <v/>
      </c>
      <c r="D292" s="2">
        <f>D291+1</f>
        <v/>
      </c>
      <c r="E292" s="8">
        <f>IF(DAY(D292)=DAY($L$1+1),TRUNC((N291),8),E291)</f>
        <v/>
      </c>
      <c r="F292" s="49">
        <f>TRUNC(((1+VLOOKUP(A292,IPCA!$A$2:$C$140,3,0)))^(C292/(EDATE(D292-C292,1)-(D292-C292))),8)</f>
        <v/>
      </c>
      <c r="G292" s="49">
        <f>TRUNC((E292*F292),8)</f>
        <v/>
      </c>
      <c r="H292" s="49">
        <f>ROUND(((1+$H$4)^(30/360))^(C292/(EDATE(D292-B292,1)-(D292-B292))),9)</f>
        <v/>
      </c>
      <c r="I292" s="49">
        <f>TRUNC((G292*H292-G292),8)</f>
        <v/>
      </c>
      <c r="J292" s="49">
        <f>G292+I292</f>
        <v/>
      </c>
      <c r="K292" s="118" t="inlineStr">
        <is>
          <t>JUROS</t>
        </is>
      </c>
      <c r="L292" s="118" t="inlineStr">
        <is>
          <t>AMORTIZAÇÃO</t>
        </is>
      </c>
      <c r="M292" s="118" t="inlineStr">
        <is>
          <t>AMEX</t>
        </is>
      </c>
      <c r="N292" s="118" t="inlineStr">
        <is>
          <t>RESIDUAL</t>
        </is>
      </c>
      <c r="O292" s="256" t="n"/>
      <c r="P292" s="256" t="n"/>
      <c r="Q292" s="256" t="n"/>
    </row>
    <row r="293">
      <c r="A293">
        <f>IF(DAY(D293)=DAY($L$1+1),A292+1,A292)</f>
        <v/>
      </c>
      <c r="B293" s="111">
        <f>IF(DAY(D293)=DAY($L$1+1),1,B292+1)</f>
        <v/>
      </c>
      <c r="C293" s="111">
        <f>IF(DAY(D293)=DAY($L$1+1),1,C292+1)</f>
        <v/>
      </c>
      <c r="D293" s="112">
        <f>D292+1</f>
        <v/>
      </c>
      <c r="E293" s="113">
        <f>IF(DAY(D293)=DAY($L$1+1),TRUNC((N292),8),E292)</f>
        <v/>
      </c>
      <c r="F293" s="114">
        <f>TRUNC(((1+VLOOKUP(A293,IPCA!$A$2:$C$140,3,0)))^(C293/(EDATE(D293-C293,1)-(D293-C293))),8)</f>
        <v/>
      </c>
      <c r="G293" s="114">
        <f>TRUNC((E293*F293),8)</f>
        <v/>
      </c>
      <c r="H293" s="114">
        <f>ROUND(((1+$H$4)^(30/360))^(C293/(EDATE(D293-B293,1)-(D293-B293))),9)</f>
        <v/>
      </c>
      <c r="I293" s="114">
        <f>TRUNC((G293*H293-G293),8)</f>
        <v/>
      </c>
      <c r="J293" s="114">
        <f>G293+I293</f>
        <v/>
      </c>
      <c r="K293" s="119" t="n">
        <v>0</v>
      </c>
      <c r="L293" s="120">
        <f>TRUNC(G293*VLOOKUP(D293,'Amort TS'!$G$3:$H$140,2,0),8)</f>
        <v/>
      </c>
      <c r="M293" s="120" t="n">
        <v>0</v>
      </c>
      <c r="N293" s="120">
        <f>J293-K293-L293-M293</f>
        <v/>
      </c>
      <c r="O293" s="256" t="n"/>
      <c r="P293" s="256" t="n"/>
      <c r="Q293" s="256" t="n"/>
    </row>
    <row r="294">
      <c r="A294">
        <f>IF(DAY(D294)=DAY($L$1+1),A293+1,A293)</f>
        <v/>
      </c>
      <c r="B294" s="46">
        <f>IF(DAY(D294)=DAY($L$1+1),1,B293+1)</f>
        <v/>
      </c>
      <c r="C294" s="46">
        <f>IF(DAY(D294)=DAY($L$1+1),1,C293+1)</f>
        <v/>
      </c>
      <c r="D294" s="47">
        <f>D293+1</f>
        <v/>
      </c>
      <c r="E294" s="8">
        <f>IF(DAY(D294)=DAY($L$1+1),TRUNC((N293),8),E293)</f>
        <v/>
      </c>
      <c r="F294" s="49">
        <f>TRUNC(((1+VLOOKUP(A294,IPCA!$A$2:$C$140,3,0)))^(C294/(EDATE(D294-C294,1)-(D294-C294))),8)</f>
        <v/>
      </c>
      <c r="G294" s="49">
        <f>TRUNC((E294*F294),8)</f>
        <v/>
      </c>
      <c r="H294" s="49">
        <f>ROUND(((1+$H$4)^(30/360))^(C294/(EDATE(D294-B294,1)-(D294-B294))),9)</f>
        <v/>
      </c>
      <c r="I294" s="49">
        <f>TRUNC((G294*H294-G294),8)</f>
        <v/>
      </c>
      <c r="J294" s="49">
        <f>G294+I294</f>
        <v/>
      </c>
      <c r="K294" s="121">
        <f>K293*L291</f>
        <v/>
      </c>
      <c r="L294" s="121">
        <f>L293*L291</f>
        <v/>
      </c>
      <c r="M294" s="121">
        <f>M293*L291</f>
        <v/>
      </c>
      <c r="N294" s="121">
        <f>N293*L291</f>
        <v/>
      </c>
      <c r="O294" s="256" t="n"/>
      <c r="P294" s="256" t="n"/>
      <c r="Q294" s="256" t="n"/>
    </row>
    <row r="295">
      <c r="A295">
        <f>IF(DAY(D295)=DAY($L$1+1),A294+1,A294)</f>
        <v/>
      </c>
      <c r="B295" s="46">
        <f>IF(DAY(D295)=DAY($L$1+1),1,B294+1)</f>
        <v/>
      </c>
      <c r="C295" s="46">
        <f>IF(DAY(D295)=DAY($L$1+1),1,C294+1)</f>
        <v/>
      </c>
      <c r="D295" s="2">
        <f>D294+1</f>
        <v/>
      </c>
      <c r="E295" s="8">
        <f>IF(DAY(D295)=DAY($L$1+1),TRUNC((N294),8),E294)</f>
        <v/>
      </c>
      <c r="F295" s="49">
        <f>TRUNC(((1+VLOOKUP(A295,IPCA!$A$2:$C$140,3,0)))^(C295/(EDATE(D295-C295,1)-(D295-C295))),8)</f>
        <v/>
      </c>
      <c r="G295" s="49">
        <f>TRUNC((E295*F295),8)</f>
        <v/>
      </c>
      <c r="H295" s="49">
        <f>ROUND(((1+$H$4)^(30/360))^(C295/(EDATE(D295-B295,1)-(D295-B295))),9)</f>
        <v/>
      </c>
      <c r="I295" s="49">
        <f>TRUNC((G295*H295-G295),8)</f>
        <v/>
      </c>
      <c r="J295" s="49">
        <f>G295+I295</f>
        <v/>
      </c>
      <c r="K295" s="256" t="n"/>
      <c r="L295" s="256" t="n"/>
      <c r="M295" s="256" t="n"/>
      <c r="N295" s="256" t="n"/>
      <c r="O295" s="256" t="n"/>
      <c r="P295" s="256" t="n"/>
      <c r="Q295" s="256" t="n"/>
    </row>
    <row r="296">
      <c r="A296">
        <f>IF(DAY(D296)=DAY($L$1+1),A295+1,A295)</f>
        <v/>
      </c>
      <c r="B296" s="46">
        <f>IF(DAY(D296)=DAY($L$1+1),1,B295+1)</f>
        <v/>
      </c>
      <c r="C296" s="46">
        <f>IF(DAY(D296)=DAY($L$1+1),1,C295+1)</f>
        <v/>
      </c>
      <c r="D296" s="2">
        <f>D295+1</f>
        <v/>
      </c>
      <c r="E296" s="8">
        <f>IF(DAY(D296)=DAY($L$1+1),TRUNC((#REF!),8),E295)</f>
        <v/>
      </c>
      <c r="F296" s="49">
        <f>TRUNC(((1+VLOOKUP(A296,IPCA!$A$2:$C$140,3,0)))^(C296/(EDATE(D296-C296,1)-(D296-C296))),8)</f>
        <v/>
      </c>
      <c r="G296" s="49">
        <f>TRUNC((E296*F296),8)</f>
        <v/>
      </c>
      <c r="H296" s="49">
        <f>ROUND(((1+$H$4)^(30/360))^(C296/(EDATE(D296-B296,1)-(D296-B296))),9)</f>
        <v/>
      </c>
      <c r="I296" s="49">
        <f>TRUNC((G296*H296-G296),8)</f>
        <v/>
      </c>
      <c r="J296" s="49">
        <f>G296+I296</f>
        <v/>
      </c>
      <c r="K296" s="256" t="n"/>
      <c r="L296" s="256" t="n"/>
      <c r="M296" s="256" t="n"/>
      <c r="N296" s="256" t="n"/>
      <c r="O296" s="256" t="n"/>
      <c r="P296" s="256" t="n"/>
      <c r="Q296" s="256" t="n"/>
    </row>
    <row r="297">
      <c r="A297">
        <f>IF(DAY(D297)=DAY($L$1+1),A296+1,A296)</f>
        <v/>
      </c>
      <c r="B297" s="46">
        <f>IF(DAY(D297)=DAY($L$1+1),1,B296+1)</f>
        <v/>
      </c>
      <c r="C297" s="46">
        <f>IF(DAY(D297)=DAY($L$1+1),1,C296+1)</f>
        <v/>
      </c>
      <c r="D297" s="2">
        <f>D296+1</f>
        <v/>
      </c>
      <c r="E297" s="8">
        <f>IF(DAY(D297)=DAY($L$1+1),TRUNC((#REF!),8),E296)</f>
        <v/>
      </c>
      <c r="F297" s="49">
        <f>TRUNC(((1+VLOOKUP(A297,IPCA!$A$2:$C$140,3,0)))^(C297/(EDATE(D297-C297,1)-(D297-C297))),8)</f>
        <v/>
      </c>
      <c r="G297" s="49">
        <f>TRUNC((E297*F297),8)</f>
        <v/>
      </c>
      <c r="H297" s="49">
        <f>ROUND(((1+$H$4)^(30/360))^(C297/(EDATE(D297-B297,1)-(D297-B297))),9)</f>
        <v/>
      </c>
      <c r="I297" s="49">
        <f>TRUNC((G297*H297-G297),8)</f>
        <v/>
      </c>
      <c r="J297" s="49">
        <f>G297+I297</f>
        <v/>
      </c>
      <c r="K297" s="256" t="n"/>
      <c r="L297" s="256" t="n"/>
      <c r="M297" s="256" t="n"/>
      <c r="N297" s="256" t="n"/>
      <c r="O297" s="256" t="n"/>
      <c r="P297" s="256" t="n"/>
      <c r="Q297" s="256" t="n"/>
    </row>
    <row r="298">
      <c r="A298">
        <f>IF(DAY(D298)=DAY($L$1+1),A297+1,A297)</f>
        <v/>
      </c>
      <c r="B298" s="46">
        <f>IF(DAY(D298)=DAY($L$1+1),1,B297+1)</f>
        <v/>
      </c>
      <c r="C298" s="46">
        <f>IF(DAY(D298)=DAY($L$1+1),1,C297+1)</f>
        <v/>
      </c>
      <c r="D298" s="2">
        <f>D297+1</f>
        <v/>
      </c>
      <c r="E298" s="8">
        <f>IF(DAY(D298)=DAY($L$1+1),TRUNC((#REF!),8),E297)</f>
        <v/>
      </c>
      <c r="F298" s="49">
        <f>TRUNC(((1+VLOOKUP(A298,IPCA!$A$2:$C$140,3,0)))^(C298/(EDATE(D298-C298,1)-(D298-C298))),8)</f>
        <v/>
      </c>
      <c r="G298" s="49">
        <f>TRUNC((E298*F298),8)</f>
        <v/>
      </c>
      <c r="H298" s="49">
        <f>ROUND(((1+$H$4)^(30/360))^(C298/(EDATE(D298-B298,1)-(D298-B298))),9)</f>
        <v/>
      </c>
      <c r="I298" s="49">
        <f>TRUNC((G298*H298-G298),8)</f>
        <v/>
      </c>
      <c r="J298" s="49">
        <f>G298+I298</f>
        <v/>
      </c>
      <c r="K298" s="256" t="n"/>
      <c r="L298" s="256" t="n"/>
      <c r="M298" s="256" t="n"/>
      <c r="N298" s="256" t="n"/>
      <c r="O298" s="256" t="n"/>
      <c r="P298" s="256" t="n"/>
      <c r="Q298" s="256" t="n"/>
    </row>
    <row r="299">
      <c r="A299">
        <f>IF(DAY(D299)=DAY($L$1+1),A298+1,A298)</f>
        <v/>
      </c>
      <c r="B299" s="46">
        <f>IF(DAY(D299)=DAY($L$1+1),1,B298+1)</f>
        <v/>
      </c>
      <c r="C299" s="46">
        <f>IF(DAY(D299)=DAY($L$1+1),1,C298+1)</f>
        <v/>
      </c>
      <c r="D299" s="2">
        <f>D298+1</f>
        <v/>
      </c>
      <c r="E299" s="8">
        <f>IF(DAY(D299)=DAY($L$1+1),TRUNC((#REF!),8),E298)</f>
        <v/>
      </c>
      <c r="F299" s="49">
        <f>TRUNC(((1+VLOOKUP(A299,IPCA!$A$2:$C$140,3,0)))^(C299/(EDATE(D299-C299,1)-(D299-C299))),8)</f>
        <v/>
      </c>
      <c r="G299" s="49">
        <f>TRUNC((E299*F299),8)</f>
        <v/>
      </c>
      <c r="H299" s="49">
        <f>ROUND(((1+$H$4)^(30/360))^(C299/(EDATE(D299-B299,1)-(D299-B299))),9)</f>
        <v/>
      </c>
      <c r="I299" s="49">
        <f>TRUNC((G299*H299-G299),8)</f>
        <v/>
      </c>
      <c r="J299" s="49">
        <f>G299+I299</f>
        <v/>
      </c>
      <c r="K299" s="256" t="n"/>
      <c r="L299" s="256" t="n"/>
      <c r="M299" s="256" t="n"/>
      <c r="N299" s="256" t="n"/>
      <c r="O299" s="256" t="n"/>
      <c r="P299" s="256" t="n"/>
      <c r="Q299" s="256" t="n"/>
    </row>
    <row r="300">
      <c r="A300">
        <f>IF(DAY(D300)=DAY($L$1+1),A299+1,A299)</f>
        <v/>
      </c>
      <c r="B300" s="46">
        <f>IF(DAY(D300)=DAY($L$1+1),1,B299+1)</f>
        <v/>
      </c>
      <c r="C300" s="46">
        <f>IF(DAY(D300)=DAY($L$1+1),1,C299+1)</f>
        <v/>
      </c>
      <c r="D300" s="2">
        <f>D299+1</f>
        <v/>
      </c>
      <c r="E300" s="8">
        <f>IF(DAY(D300)=DAY($L$1+1),TRUNC((#REF!),8),E299)</f>
        <v/>
      </c>
      <c r="F300" s="49">
        <f>TRUNC(((1+VLOOKUP(A300,IPCA!$A$2:$C$140,3,0)))^(C300/(EDATE(D300-C300,1)-(D300-C300))),8)</f>
        <v/>
      </c>
      <c r="G300" s="49">
        <f>TRUNC((E300*F300),8)</f>
        <v/>
      </c>
      <c r="H300" s="49">
        <f>ROUND(((1+$H$4)^(30/360))^(C300/(EDATE(D300-B300,1)-(D300-B300))),9)</f>
        <v/>
      </c>
      <c r="I300" s="49">
        <f>TRUNC((G300*H300-G300),8)</f>
        <v/>
      </c>
      <c r="J300" s="49">
        <f>G300+I300</f>
        <v/>
      </c>
      <c r="K300" s="256" t="n"/>
      <c r="L300" s="256" t="n"/>
      <c r="M300" s="256" t="n"/>
      <c r="N300" s="256" t="n"/>
      <c r="O300" s="256" t="n"/>
      <c r="P300" s="256" t="n"/>
      <c r="Q300" s="256" t="n"/>
    </row>
    <row r="301">
      <c r="A301">
        <f>IF(DAY(D301)=DAY($L$1+1),A300+1,A300)</f>
        <v/>
      </c>
      <c r="B301" s="46">
        <f>IF(DAY(D301)=DAY($L$1+1),1,B300+1)</f>
        <v/>
      </c>
      <c r="C301" s="46">
        <f>IF(DAY(D301)=DAY($L$1+1),1,C300+1)</f>
        <v/>
      </c>
      <c r="D301" s="2">
        <f>D300+1</f>
        <v/>
      </c>
      <c r="E301" s="8">
        <f>IF(DAY(D301)=DAY($L$1+1),TRUNC((#REF!),8),E300)</f>
        <v/>
      </c>
      <c r="F301" s="49">
        <f>TRUNC(((1+VLOOKUP(A301,IPCA!$A$2:$C$140,3,0)))^(C301/(EDATE(D301-C301,1)-(D301-C301))),8)</f>
        <v/>
      </c>
      <c r="G301" s="49">
        <f>TRUNC((E301*F301),8)</f>
        <v/>
      </c>
      <c r="H301" s="49">
        <f>ROUND(((1+$H$4)^(30/360))^(C301/(EDATE(D301-B301,1)-(D301-B301))),9)</f>
        <v/>
      </c>
      <c r="I301" s="49">
        <f>TRUNC((G301*H301-G301),8)</f>
        <v/>
      </c>
      <c r="J301" s="49">
        <f>G301+I301</f>
        <v/>
      </c>
      <c r="K301" s="256" t="n"/>
      <c r="L301" s="256" t="n"/>
      <c r="M301" s="256" t="n"/>
      <c r="N301" s="256" t="n"/>
      <c r="O301" s="256" t="n"/>
      <c r="P301" s="256" t="n"/>
      <c r="Q301" s="256" t="n"/>
    </row>
    <row r="302">
      <c r="A302">
        <f>IF(DAY(D302)=DAY($L$1+1),A301+1,A301)</f>
        <v/>
      </c>
      <c r="B302" s="46">
        <f>IF(DAY(D302)=DAY($L$1+1),1,B301+1)</f>
        <v/>
      </c>
      <c r="C302" s="46">
        <f>IF(DAY(D302)=DAY($L$1+1),1,C301+1)</f>
        <v/>
      </c>
      <c r="D302" s="2">
        <f>D301+1</f>
        <v/>
      </c>
      <c r="E302" s="8">
        <f>IF(DAY(D302)=DAY($L$1+1),TRUNC((#REF!),8),E301)</f>
        <v/>
      </c>
      <c r="F302" s="49">
        <f>TRUNC(((1+VLOOKUP(A302,IPCA!$A$2:$C$140,3,0)))^(C302/(EDATE(D302-C302,1)-(D302-C302))),8)</f>
        <v/>
      </c>
      <c r="G302" s="49">
        <f>TRUNC((E302*F302),8)</f>
        <v/>
      </c>
      <c r="H302" s="49">
        <f>ROUND(((1+$H$4)^(30/360))^(C302/(EDATE(D302-B302,1)-(D302-B302))),9)</f>
        <v/>
      </c>
      <c r="I302" s="49">
        <f>TRUNC((G302*H302-G302),8)</f>
        <v/>
      </c>
      <c r="J302" s="49">
        <f>G302+I302</f>
        <v/>
      </c>
      <c r="K302" s="256" t="n"/>
      <c r="L302" s="256" t="n"/>
      <c r="M302" s="256" t="n"/>
      <c r="N302" s="256" t="n"/>
      <c r="O302" s="256" t="n"/>
      <c r="P302" s="256" t="n"/>
      <c r="Q302" s="256" t="n"/>
    </row>
    <row r="303">
      <c r="A303">
        <f>IF(DAY(D303)=DAY($L$1+1),A302+1,A302)</f>
        <v/>
      </c>
      <c r="B303" s="46">
        <f>IF(DAY(D303)=DAY($L$1+1),1,B302+1)</f>
        <v/>
      </c>
      <c r="C303" s="46">
        <f>IF(DAY(D303)=DAY($L$1+1),1,C302+1)</f>
        <v/>
      </c>
      <c r="D303" s="2">
        <f>D302+1</f>
        <v/>
      </c>
      <c r="E303" s="8">
        <f>IF(DAY(D303)=DAY($L$1+1),TRUNC((#REF!),8),E302)</f>
        <v/>
      </c>
      <c r="F303" s="49">
        <f>TRUNC(((1+VLOOKUP(A303,IPCA!$A$2:$C$140,3,0)))^(C303/(EDATE(D303-C303,1)-(D303-C303))),8)</f>
        <v/>
      </c>
      <c r="G303" s="49">
        <f>TRUNC((E303*F303),8)</f>
        <v/>
      </c>
      <c r="H303" s="49">
        <f>ROUND(((1+$H$4)^(30/360))^(C303/(EDATE(D303-B303,1)-(D303-B303))),9)</f>
        <v/>
      </c>
      <c r="I303" s="49">
        <f>TRUNC((G303*H303-G303),8)</f>
        <v/>
      </c>
      <c r="J303" s="49">
        <f>G303+I303</f>
        <v/>
      </c>
      <c r="K303" s="256" t="n"/>
      <c r="L303" s="256" t="n"/>
      <c r="M303" s="256" t="n"/>
      <c r="N303" s="256" t="n"/>
      <c r="O303" s="256" t="n"/>
      <c r="P303" s="256" t="n"/>
      <c r="Q303" s="256" t="n"/>
    </row>
    <row r="304">
      <c r="A304">
        <f>IF(DAY(D304)=DAY($L$1+1),A303+1,A303)</f>
        <v/>
      </c>
      <c r="B304" s="46">
        <f>IF(DAY(D304)=DAY($L$1+1),1,B303+1)</f>
        <v/>
      </c>
      <c r="C304" s="46">
        <f>IF(DAY(D304)=DAY($L$1+1),1,C303+1)</f>
        <v/>
      </c>
      <c r="D304" s="2">
        <f>D303+1</f>
        <v/>
      </c>
      <c r="E304" s="8">
        <f>IF(DAY(D304)=DAY($L$1+1),TRUNC((#REF!),8),E303)</f>
        <v/>
      </c>
      <c r="F304" s="49">
        <f>TRUNC(((1+VLOOKUP(A304,IPCA!$A$2:$C$140,3,0)))^(C304/(EDATE(D304-C304,1)-(D304-C304))),8)</f>
        <v/>
      </c>
      <c r="G304" s="49">
        <f>TRUNC((E304*F304),8)</f>
        <v/>
      </c>
      <c r="H304" s="49">
        <f>ROUND(((1+$H$4)^(30/360))^(C304/(EDATE(D304-B304,1)-(D304-B304))),9)</f>
        <v/>
      </c>
      <c r="I304" s="49">
        <f>TRUNC((G304*H304-G304),8)</f>
        <v/>
      </c>
      <c r="J304" s="49">
        <f>G304+I304</f>
        <v/>
      </c>
      <c r="K304" s="256" t="n"/>
      <c r="L304" s="256" t="n"/>
      <c r="M304" s="256" t="n"/>
      <c r="N304" s="256" t="n"/>
      <c r="O304" s="256" t="n"/>
      <c r="P304" s="256" t="n"/>
      <c r="Q304" s="256" t="n"/>
    </row>
    <row r="305">
      <c r="A305">
        <f>IF(DAY(D305)=DAY($L$1+1),A304+1,A304)</f>
        <v/>
      </c>
      <c r="B305" s="46">
        <f>IF(DAY(D305)=DAY($L$1+1),1,B304+1)</f>
        <v/>
      </c>
      <c r="C305" s="46">
        <f>IF(DAY(D305)=DAY($L$1+1),1,C304+1)</f>
        <v/>
      </c>
      <c r="D305" s="2">
        <f>D304+1</f>
        <v/>
      </c>
      <c r="E305" s="8">
        <f>IF(DAY(D305)=DAY($L$1+1),TRUNC((N304),8),E304)</f>
        <v/>
      </c>
      <c r="F305" s="49">
        <f>TRUNC(((1+VLOOKUP(A305,IPCA!$A$2:$C$140,3,0)))^(C305/(EDATE(D305-C305,1)-(D305-C305))),8)</f>
        <v/>
      </c>
      <c r="G305" s="49">
        <f>TRUNC((E305*F305),8)</f>
        <v/>
      </c>
      <c r="H305" s="49">
        <f>ROUND(((1+$H$4)^(30/360))^(C305/(EDATE(D305-B305,1)-(D305-B305))),9)</f>
        <v/>
      </c>
      <c r="I305" s="49">
        <f>TRUNC((G305*H305-G305),8)</f>
        <v/>
      </c>
      <c r="J305" s="49">
        <f>G305+I305</f>
        <v/>
      </c>
      <c r="K305" s="256" t="n"/>
      <c r="L305" s="256" t="n"/>
      <c r="M305" s="256" t="n"/>
      <c r="N305" s="256" t="n"/>
      <c r="O305" s="256" t="n"/>
      <c r="P305" s="256" t="n"/>
      <c r="Q305" s="256" t="n"/>
    </row>
    <row r="306">
      <c r="A306">
        <f>IF(DAY(D306)=DAY($L$1+1),A305+1,A305)</f>
        <v/>
      </c>
      <c r="B306" s="46">
        <f>IF(DAY(D306)=DAY($L$1+1),1,B305+1)</f>
        <v/>
      </c>
      <c r="C306" s="46">
        <f>IF(DAY(D306)=DAY($L$1+1),1,C305+1)</f>
        <v/>
      </c>
      <c r="D306" s="2">
        <f>D305+1</f>
        <v/>
      </c>
      <c r="E306" s="8">
        <f>IF(DAY(D306)=DAY($L$1+1),TRUNC((N305),8),E305)</f>
        <v/>
      </c>
      <c r="F306" s="49">
        <f>TRUNC(((1+VLOOKUP(A306,IPCA!$A$2:$C$140,3,0)))^(C306/(EDATE(D306-C306,1)-(D306-C306))),8)</f>
        <v/>
      </c>
      <c r="G306" s="49">
        <f>TRUNC((E306*F306),8)</f>
        <v/>
      </c>
      <c r="H306" s="49">
        <f>ROUND(((1+$H$4)^(30/360))^(C306/(EDATE(D306-B306,1)-(D306-B306))),9)</f>
        <v/>
      </c>
      <c r="I306" s="49">
        <f>TRUNC((G306*H306-G306),8)</f>
        <v/>
      </c>
      <c r="J306" s="49">
        <f>G306+I306</f>
        <v/>
      </c>
      <c r="K306" s="256" t="inlineStr">
        <is>
          <t>R$ 1,10879780</t>
        </is>
      </c>
      <c r="L306" s="256" t="n"/>
      <c r="M306" s="256" t="n"/>
      <c r="N306" s="256" t="n"/>
      <c r="O306" s="256" t="n"/>
      <c r="P306" s="256" t="n"/>
      <c r="Q306" s="256" t="n"/>
    </row>
    <row r="307">
      <c r="A307">
        <f>IF(DAY(D307)=DAY($L$1+1),A306+1,A306)</f>
        <v/>
      </c>
      <c r="B307" s="46">
        <f>IF(DAY(D307)=DAY($L$1+1),1,B306+1)</f>
        <v/>
      </c>
      <c r="C307" s="46">
        <f>IF(DAY(D307)=DAY($L$1+1),1,C306+1)</f>
        <v/>
      </c>
      <c r="D307" s="2">
        <f>D306+1</f>
        <v/>
      </c>
      <c r="E307" s="8">
        <f>IF(DAY(D307)=DAY($L$1+1),TRUNC((N306),8),E306)</f>
        <v/>
      </c>
      <c r="F307" s="49">
        <f>TRUNC(((1+VLOOKUP(A307,IPCA!$A$2:$C$140,3,0)))^(C307/(EDATE(D307-C307,1)-(D307-C307))),8)</f>
        <v/>
      </c>
      <c r="G307" s="49">
        <f>TRUNC((E307*F307),8)</f>
        <v/>
      </c>
      <c r="H307" s="49">
        <f>ROUND(((1+$H$4)^(30/360))^(C307/(EDATE(D307-B307,1)-(D307-B307))),9)</f>
        <v/>
      </c>
      <c r="I307" s="49">
        <f>TRUNC((G307*H307-G307),8)</f>
        <v/>
      </c>
      <c r="J307" s="49">
        <f>G307+I307</f>
        <v/>
      </c>
      <c r="K307" s="256">
        <f>J306-K306</f>
        <v/>
      </c>
      <c r="L307" s="256" t="n"/>
      <c r="M307" s="256" t="n"/>
      <c r="N307" s="256" t="n"/>
      <c r="O307" s="256" t="n"/>
      <c r="P307" s="256" t="n"/>
      <c r="Q307" s="256" t="n"/>
    </row>
    <row r="308">
      <c r="A308">
        <f>IF(DAY(D308)=DAY($L$1+1),A307+1,A307)</f>
        <v/>
      </c>
      <c r="B308" s="46">
        <f>IF(DAY(D308)=DAY($L$1+1),1,B307+1)</f>
        <v/>
      </c>
      <c r="C308" s="46">
        <f>IF(DAY(D308)=DAY($L$1+1),1,C307+1)</f>
        <v/>
      </c>
      <c r="D308" s="2">
        <f>D307+1</f>
        <v/>
      </c>
      <c r="E308" s="8">
        <f>IF(DAY(D308)=DAY($L$1+1),TRUNC((N307),8),E307)</f>
        <v/>
      </c>
      <c r="F308" s="49">
        <f>TRUNC(((1+VLOOKUP(A308,IPCA!$A$2:$C$140,3,0)))^(C308/(EDATE(D308-C308,1)-(D308-C308))),8)</f>
        <v/>
      </c>
      <c r="G308" s="49">
        <f>TRUNC((E308*F308),8)</f>
        <v/>
      </c>
      <c r="H308" s="49">
        <f>ROUND(((1+$H$4)^(30/360))^(C308/(EDATE(D308-B308,1)-(D308-B308))),9)</f>
        <v/>
      </c>
      <c r="I308" s="49">
        <f>TRUNC((G308*H308-G308),8)</f>
        <v/>
      </c>
      <c r="J308" s="49">
        <f>G308+I308</f>
        <v/>
      </c>
      <c r="K308" s="123" t="n"/>
      <c r="L308" s="271" t="n"/>
      <c r="M308" s="256" t="n"/>
      <c r="N308" s="256" t="n"/>
      <c r="O308" s="256" t="n"/>
      <c r="P308" s="256" t="n"/>
      <c r="Q308" s="256" t="n"/>
    </row>
    <row r="309">
      <c r="A309">
        <f>IF(DAY(D309)=DAY($L$1+1),A308+1,A308)</f>
        <v/>
      </c>
      <c r="B309" s="46">
        <f>IF(DAY(D309)=DAY($L$1+1),1,B308+1)</f>
        <v/>
      </c>
      <c r="C309" s="46">
        <f>IF(DAY(D309)=DAY($L$1+1),1,C308+1)</f>
        <v/>
      </c>
      <c r="D309" s="2">
        <f>D308+1</f>
        <v/>
      </c>
      <c r="E309" s="8">
        <f>IF(DAY(D309)=DAY($L$1+1),TRUNC((N308),8),E308)</f>
        <v/>
      </c>
      <c r="F309" s="49">
        <f>TRUNC(((1+VLOOKUP(A309,IPCA!$A$2:$C$140,3,0)))^(C309/(EDATE(D309-C309,1)-(D309-C309))),8)</f>
        <v/>
      </c>
      <c r="G309" s="49">
        <f>TRUNC((E309*F309),8)</f>
        <v/>
      </c>
      <c r="H309" s="49">
        <f>ROUND(((1+$H$4)^(30/360))^(C309/(EDATE(D309-B309,1)-(D309-B309))),9)</f>
        <v/>
      </c>
      <c r="I309" s="49">
        <f>TRUNC((G309*H309-G309),8)</f>
        <v/>
      </c>
      <c r="J309" s="49">
        <f>G309+I309</f>
        <v/>
      </c>
      <c r="K309" s="256" t="n"/>
      <c r="L309" s="256" t="n"/>
      <c r="M309" s="256" t="n"/>
      <c r="N309" s="256" t="n"/>
      <c r="O309" s="256" t="n"/>
      <c r="P309" s="256" t="n"/>
      <c r="Q309" s="256" t="n"/>
    </row>
    <row r="310">
      <c r="A310">
        <f>IF(DAY(D310)=DAY($L$1+1),A309+1,A309)</f>
        <v/>
      </c>
      <c r="B310" s="46">
        <f>IF(DAY(D310)=DAY($L$1+1),1,B309+1)</f>
        <v/>
      </c>
      <c r="C310" s="46">
        <f>IF(DAY(D310)=DAY($L$1+1),1,C309+1)</f>
        <v/>
      </c>
      <c r="D310" s="2">
        <f>D309+1</f>
        <v/>
      </c>
      <c r="E310" s="8">
        <f>IF(DAY(D310)=DAY($L$1+1),TRUNC((N309),8),E309)</f>
        <v/>
      </c>
      <c r="F310" s="49">
        <f>TRUNC(((1+VLOOKUP(A310,IPCA!$A$2:$C$140,3,0)))^(C310/(EDATE(D310-C310,1)-(D310-C310))),8)</f>
        <v/>
      </c>
      <c r="G310" s="49">
        <f>TRUNC((E310*F310),8)</f>
        <v/>
      </c>
      <c r="H310" s="49">
        <f>ROUND(((1+$H$4)^(30/360))^(C310/(EDATE(D310-B310,1)-(D310-B310))),9)</f>
        <v/>
      </c>
      <c r="I310" s="49">
        <f>TRUNC((G310*H310-G310),8)</f>
        <v/>
      </c>
      <c r="J310" s="49">
        <f>G310+I310</f>
        <v/>
      </c>
      <c r="K310" s="256" t="n"/>
      <c r="L310" s="256" t="n"/>
      <c r="M310" s="256" t="n"/>
      <c r="N310" s="256" t="n"/>
      <c r="O310" s="256" t="n"/>
      <c r="P310" s="256" t="n"/>
      <c r="Q310" s="256" t="n"/>
    </row>
    <row r="311">
      <c r="A311">
        <f>IF(DAY(D311)=DAY($L$1+1),A310+1,A310)</f>
        <v/>
      </c>
      <c r="B311" s="46">
        <f>IF(DAY(D311)=DAY($L$1+1),1,B310+1)</f>
        <v/>
      </c>
      <c r="C311" s="46">
        <f>IF(DAY(D311)=DAY($L$1+1),1,C310+1)</f>
        <v/>
      </c>
      <c r="D311" s="2">
        <f>D310+1</f>
        <v/>
      </c>
      <c r="E311" s="8">
        <f>IF(DAY(D311)=DAY($L$1+1),TRUNC((N310),8),E310)</f>
        <v/>
      </c>
      <c r="F311" s="49">
        <f>TRUNC(((1+VLOOKUP(A311,IPCA!$A$2:$C$140,3,0)))^(C311/(EDATE(D311-C311,1)-(D311-C311))),8)</f>
        <v/>
      </c>
      <c r="G311" s="49">
        <f>TRUNC((E311*F311),8)</f>
        <v/>
      </c>
      <c r="H311" s="49">
        <f>ROUND(((1+$H$4)^(30/360))^(C311/(EDATE(D311-B311,1)-(D311-B311))),9)</f>
        <v/>
      </c>
      <c r="I311" s="49">
        <f>TRUNC((G311*H311-G311),8)</f>
        <v/>
      </c>
      <c r="J311" s="49">
        <f>G311+I311</f>
        <v/>
      </c>
      <c r="K311" s="256" t="n"/>
      <c r="L311" s="256" t="n"/>
      <c r="M311" s="256" t="n"/>
      <c r="N311" s="256" t="n"/>
      <c r="O311" s="256" t="n"/>
      <c r="P311" s="256" t="n"/>
      <c r="Q311" s="256" t="n"/>
    </row>
    <row r="312">
      <c r="A312">
        <f>IF(DAY(D312)=DAY($L$1+1),A311+1,A311)</f>
        <v/>
      </c>
      <c r="B312" s="46">
        <f>IF(DAY(D312)=DAY($L$1+1),1,B311+1)</f>
        <v/>
      </c>
      <c r="C312" s="46">
        <f>IF(DAY(D312)=DAY($L$1+1),1,C311+1)</f>
        <v/>
      </c>
      <c r="D312" s="2">
        <f>D311+1</f>
        <v/>
      </c>
      <c r="E312" s="8">
        <f>IF(DAY(D312)=DAY($L$1+1),TRUNC((N311),8),E311)</f>
        <v/>
      </c>
      <c r="F312" s="49">
        <f>TRUNC(((1+VLOOKUP(A312,IPCA!$A$2:$C$140,3,0)))^(C312/(EDATE(D312-C312,1)-(D312-C312))),8)</f>
        <v/>
      </c>
      <c r="G312" s="49">
        <f>TRUNC((E312*F312),8)</f>
        <v/>
      </c>
      <c r="H312" s="49">
        <f>ROUND(((1+$H$4)^(30/360))^(C312/(EDATE(D312-B312,1)-(D312-B312))),9)</f>
        <v/>
      </c>
      <c r="I312" s="49">
        <f>TRUNC((G312*H312-G312),8)</f>
        <v/>
      </c>
      <c r="J312" s="49">
        <f>G312+I312</f>
        <v/>
      </c>
      <c r="K312" s="256" t="n"/>
      <c r="L312" s="256" t="n"/>
      <c r="M312" s="256" t="n"/>
      <c r="N312" s="256" t="n"/>
      <c r="O312" s="256" t="n"/>
      <c r="P312" s="256" t="n"/>
      <c r="Q312" s="256" t="n"/>
    </row>
    <row r="313">
      <c r="A313">
        <f>IF(DAY(D313)=DAY($L$1+1),A312+1,A312)</f>
        <v/>
      </c>
      <c r="B313" s="46">
        <f>IF(DAY(D313)=DAY($L$1+1),1,B312+1)</f>
        <v/>
      </c>
      <c r="C313" s="46">
        <f>IF(DAY(D313)=DAY($L$1+1),1,C312+1)</f>
        <v/>
      </c>
      <c r="D313" s="2">
        <f>D312+1</f>
        <v/>
      </c>
      <c r="E313" s="8">
        <f>IF(DAY(D313)=DAY($L$1+1),TRUNC((N312),8),E312)</f>
        <v/>
      </c>
      <c r="F313" s="49">
        <f>TRUNC(((1+VLOOKUP(A313,IPCA!$A$2:$C$140,3,0)))^(C313/(EDATE(D313-C313,1)-(D313-C313))),8)</f>
        <v/>
      </c>
      <c r="G313" s="49">
        <f>TRUNC((E313*F313),8)</f>
        <v/>
      </c>
      <c r="H313" s="49">
        <f>ROUND(((1+$H$4)^(30/360))^(C313/(EDATE(D313-B313,1)-(D313-B313))),9)</f>
        <v/>
      </c>
      <c r="I313" s="49">
        <f>TRUNC((G313*H313-G313),8)</f>
        <v/>
      </c>
      <c r="J313" s="49">
        <f>G313+I313</f>
        <v/>
      </c>
      <c r="K313" s="256" t="n"/>
      <c r="L313" s="256" t="n"/>
      <c r="M313" s="256" t="n"/>
      <c r="N313" s="256" t="n"/>
      <c r="O313" s="256" t="n"/>
      <c r="P313" s="256" t="n"/>
      <c r="Q313" s="256" t="n"/>
    </row>
    <row r="314">
      <c r="A314">
        <f>IF(DAY(D314)=DAY($L$1+1),A313+1,A313)</f>
        <v/>
      </c>
      <c r="B314" s="46">
        <f>IF(DAY(D314)=DAY($L$1+1),1,B313+1)</f>
        <v/>
      </c>
      <c r="C314" s="46">
        <f>IF(DAY(D314)=DAY($L$1+1),1,C313+1)</f>
        <v/>
      </c>
      <c r="D314" s="2">
        <f>D313+1</f>
        <v/>
      </c>
      <c r="E314" s="8">
        <f>IF(DAY(D314)=DAY($L$1+1),TRUNC((N313),8),E313)</f>
        <v/>
      </c>
      <c r="F314" s="49">
        <f>TRUNC(((1+VLOOKUP(A314,IPCA!$A$2:$C$140,3,0)))^(C314/(EDATE(D314-C314,1)-(D314-C314))),8)</f>
        <v/>
      </c>
      <c r="G314" s="49">
        <f>TRUNC((E314*F314),8)</f>
        <v/>
      </c>
      <c r="H314" s="49">
        <f>ROUND(((1+$H$4)^(30/360))^(C314/(EDATE(D314-B314,1)-(D314-B314))),9)</f>
        <v/>
      </c>
      <c r="I314" s="49">
        <f>TRUNC((G314*H314-G314),8)</f>
        <v/>
      </c>
      <c r="J314" s="49">
        <f>G314+I314</f>
        <v/>
      </c>
      <c r="K314" s="256" t="n"/>
      <c r="L314" s="256" t="n"/>
      <c r="M314" s="256" t="n"/>
      <c r="N314" s="256" t="n"/>
      <c r="O314" s="256" t="n"/>
      <c r="P314" s="256" t="n"/>
      <c r="Q314" s="256" t="n"/>
    </row>
    <row r="315">
      <c r="A315">
        <f>IF(DAY(D315)=DAY($L$1+1),A314+1,A314)</f>
        <v/>
      </c>
      <c r="B315" s="46">
        <f>IF(DAY(D315)=DAY($L$1+1),1,B314+1)</f>
        <v/>
      </c>
      <c r="C315" s="46">
        <f>IF(DAY(D315)=DAY($L$1+1),1,C314+1)</f>
        <v/>
      </c>
      <c r="D315" s="2">
        <f>D314+1</f>
        <v/>
      </c>
      <c r="E315" s="8">
        <f>IF(DAY(D315)=DAY($L$1+1),TRUNC((N314),8),E314)</f>
        <v/>
      </c>
      <c r="F315" s="49">
        <f>TRUNC(((1+VLOOKUP(A315,IPCA!$A$2:$C$140,3,0)))^(C315/(EDATE(D315-C315,1)-(D315-C315))),8)</f>
        <v/>
      </c>
      <c r="G315" s="49">
        <f>TRUNC((E315*F315),8)</f>
        <v/>
      </c>
      <c r="H315" s="49">
        <f>ROUND(((1+$H$4)^(30/360))^(C315/(EDATE(D315-B315,1)-(D315-B315))),9)</f>
        <v/>
      </c>
      <c r="I315" s="49">
        <f>TRUNC((G315*H315-G315),8)</f>
        <v/>
      </c>
      <c r="J315" s="49">
        <f>G315+I315</f>
        <v/>
      </c>
      <c r="K315" s="256" t="n"/>
      <c r="L315" s="256" t="n"/>
      <c r="M315" s="256" t="n"/>
      <c r="N315" s="256" t="n"/>
      <c r="O315" s="256" t="n"/>
      <c r="P315" s="256" t="n"/>
      <c r="Q315" s="256" t="n"/>
    </row>
    <row r="316">
      <c r="A316">
        <f>IF(DAY(D316)=DAY($L$1+1),A315+1,A315)</f>
        <v/>
      </c>
      <c r="B316" s="46">
        <f>IF(DAY(D316)=DAY($L$1+1),1,B315+1)</f>
        <v/>
      </c>
      <c r="C316" s="46">
        <f>IF(DAY(D316)=DAY($L$1+1),1,C315+1)</f>
        <v/>
      </c>
      <c r="D316" s="2">
        <f>D315+1</f>
        <v/>
      </c>
      <c r="E316" s="8">
        <f>IF(DAY(D316)=DAY($L$1+1),TRUNC((N315),8),E315)</f>
        <v/>
      </c>
      <c r="F316" s="49">
        <f>TRUNC(((1+VLOOKUP(A316,IPCA!$A$2:$C$140,3,0)))^(C316/(EDATE(D316-C316,1)-(D316-C316))),8)</f>
        <v/>
      </c>
      <c r="G316" s="49">
        <f>TRUNC((E316*F316),8)</f>
        <v/>
      </c>
      <c r="H316" s="49">
        <f>ROUND(((1+$H$4)^(30/360))^(C316/(EDATE(D316-B316,1)-(D316-B316))),9)</f>
        <v/>
      </c>
      <c r="I316" s="49">
        <f>TRUNC((G316*H316-G316),8)</f>
        <v/>
      </c>
      <c r="J316" s="49">
        <f>G316+I316</f>
        <v/>
      </c>
      <c r="K316" s="256" t="n"/>
      <c r="L316" s="256" t="n"/>
      <c r="M316" s="256" t="n"/>
      <c r="N316" s="256" t="n"/>
      <c r="O316" s="256" t="n"/>
      <c r="P316" s="256" t="n"/>
      <c r="Q316" s="256" t="n"/>
    </row>
    <row r="317">
      <c r="A317">
        <f>IF(DAY(D317)=DAY($L$1+1),A316+1,A316)</f>
        <v/>
      </c>
      <c r="B317" s="46">
        <f>IF(DAY(D317)=DAY($L$1+1),1,B316+1)</f>
        <v/>
      </c>
      <c r="C317" s="46">
        <f>IF(DAY(D317)=DAY($L$1+1),1,C316+1)</f>
        <v/>
      </c>
      <c r="D317" s="2">
        <f>D316+1</f>
        <v/>
      </c>
      <c r="E317" s="8">
        <f>IF(DAY(D317)=DAY($L$1+1),TRUNC((N316),8),E316)</f>
        <v/>
      </c>
      <c r="F317" s="49">
        <f>TRUNC(((1+VLOOKUP(A317,IPCA!$A$2:$C$140,3,0)))^(C317/(EDATE(D317-C317,1)-(D317-C317))),8)</f>
        <v/>
      </c>
      <c r="G317" s="49">
        <f>TRUNC((E317*F317),8)</f>
        <v/>
      </c>
      <c r="H317" s="49">
        <f>ROUND(((1+$H$4)^(30/360))^(C317/(EDATE(D317-B317,1)-(D317-B317))),9)</f>
        <v/>
      </c>
      <c r="I317" s="49">
        <f>TRUNC((G317*H317-G317),8)</f>
        <v/>
      </c>
      <c r="J317" s="49">
        <f>G317+I317</f>
        <v/>
      </c>
      <c r="K317" s="256" t="n"/>
      <c r="L317" s="256" t="n"/>
      <c r="M317" s="256" t="n"/>
      <c r="N317" s="256" t="n"/>
      <c r="O317" s="256" t="n"/>
      <c r="P317" s="256" t="n"/>
      <c r="Q317" s="256" t="n"/>
    </row>
    <row r="318">
      <c r="A318">
        <f>IF(DAY(D318)=DAY($L$1+1),A317+1,A317)</f>
        <v/>
      </c>
      <c r="B318" s="46">
        <f>IF(DAY(D318)=DAY($L$1+1),1,B317+1)</f>
        <v/>
      </c>
      <c r="C318" s="46">
        <f>IF(DAY(D318)=DAY($L$1+1),1,C317+1)</f>
        <v/>
      </c>
      <c r="D318" s="2">
        <f>D317+1</f>
        <v/>
      </c>
      <c r="E318" s="8">
        <f>IF(DAY(D318)=DAY($L$1+1),TRUNC((N317),8),E317)</f>
        <v/>
      </c>
      <c r="F318" s="49">
        <f>TRUNC(((1+VLOOKUP(A318,IPCA!$A$2:$C$140,3,0)))^(C318/(EDATE(D318-C318,1)-(D318-C318))),8)</f>
        <v/>
      </c>
      <c r="G318" s="49">
        <f>TRUNC((E318*F318),8)</f>
        <v/>
      </c>
      <c r="H318" s="49">
        <f>ROUND(((1+$H$4)^(30/360))^(C318/(EDATE(D318-B318,1)-(D318-B318))),9)</f>
        <v/>
      </c>
      <c r="I318" s="49">
        <f>TRUNC((G318*H318-G318),8)</f>
        <v/>
      </c>
      <c r="J318" s="49">
        <f>G318+I318</f>
        <v/>
      </c>
      <c r="K318" s="226" t="n">
        <v>1120278</v>
      </c>
      <c r="L318" s="256" t="n"/>
      <c r="M318" s="256" t="n"/>
      <c r="N318" s="256" t="n"/>
      <c r="O318" s="256" t="n"/>
      <c r="P318" s="256" t="n"/>
      <c r="Q318" s="256" t="n"/>
    </row>
    <row r="319">
      <c r="A319">
        <f>IF(DAY(D319)=DAY($L$1+1),A318+1,A318)</f>
        <v/>
      </c>
      <c r="B319" s="46">
        <f>IF(DAY(D319)=DAY($L$1+1),1,B318+1)</f>
        <v/>
      </c>
      <c r="C319" s="46">
        <f>IF(DAY(D319)=DAY($L$1+1),1,C318+1)</f>
        <v/>
      </c>
      <c r="D319" s="2">
        <f>D318+1</f>
        <v/>
      </c>
      <c r="E319" s="8">
        <f>IF(DAY(D319)=DAY($L$1+1),TRUNC((N318),8),E318)</f>
        <v/>
      </c>
      <c r="F319" s="49">
        <f>TRUNC(((1+VLOOKUP(A319,IPCA!$A$2:$C$140,3,0)))^(C319/(EDATE(D319-C319,1)-(D319-C319))),8)</f>
        <v/>
      </c>
      <c r="G319" s="49">
        <f>TRUNC((E319*F319),8)</f>
        <v/>
      </c>
      <c r="H319" s="49">
        <f>ROUND(((1+$H$4)^(30/360))^(C319/(EDATE(D319-B319,1)-(D319-B319))),9)</f>
        <v/>
      </c>
      <c r="I319" s="49">
        <f>TRUNC((G319*H319-G319),8)</f>
        <v/>
      </c>
      <c r="J319" s="49">
        <f>G319+I319</f>
        <v/>
      </c>
      <c r="K319" s="256" t="n"/>
      <c r="L319" s="256" t="n"/>
      <c r="M319" s="256" t="n"/>
      <c r="N319" s="256" t="n"/>
      <c r="O319" s="256" t="n"/>
      <c r="P319" s="256" t="n"/>
      <c r="Q319" s="256" t="n"/>
    </row>
    <row r="320">
      <c r="A320">
        <f>IF(DAY(D320)=DAY($L$1+1),A319+1,A319)</f>
        <v/>
      </c>
      <c r="B320" s="46">
        <f>IF(DAY(D320)=DAY($L$1+1),1,B319+1)</f>
        <v/>
      </c>
      <c r="C320" s="46">
        <f>IF(DAY(D320)=DAY($L$1+1),1,C319+1)</f>
        <v/>
      </c>
      <c r="D320" s="2">
        <f>D319+1</f>
        <v/>
      </c>
      <c r="E320" s="8">
        <f>IF(DAY(D320)=DAY($L$1+1),TRUNC((N319),8),E319)</f>
        <v/>
      </c>
      <c r="F320" s="49">
        <f>TRUNC(((1+VLOOKUP(A320,IPCA!$A$2:$C$140,3,0)))^(C320/(EDATE(D320-C320,1)-(D320-C320))),8)</f>
        <v/>
      </c>
      <c r="G320" s="49">
        <f>TRUNC((E320*F320),8)</f>
        <v/>
      </c>
      <c r="H320" s="49">
        <f>ROUND(((1+$H$4)^(30/360))^(C320/(EDATE(D320-B320,1)-(D320-B320))),9)</f>
        <v/>
      </c>
      <c r="I320" s="49">
        <f>TRUNC((G320*H320-G320),8)</f>
        <v/>
      </c>
      <c r="J320" s="49">
        <f>G320+I320</f>
        <v/>
      </c>
      <c r="K320" s="256" t="n"/>
      <c r="L320" s="256" t="n"/>
      <c r="M320" s="256" t="n"/>
      <c r="N320" s="256" t="n"/>
      <c r="O320" s="256" t="n"/>
      <c r="P320" s="256" t="n"/>
      <c r="Q320" s="256" t="n"/>
    </row>
    <row r="321">
      <c r="A321">
        <f>IF(DAY(D321)=DAY($L$1+1),A320+1,A320)</f>
        <v/>
      </c>
      <c r="B321" s="221">
        <f>IF(DAY(D321)=DAY($L$1+1),1,B320+1)</f>
        <v/>
      </c>
      <c r="C321" s="221">
        <f>IF(DAY(D321)=DAY($L$1+1),1,C320+1)</f>
        <v/>
      </c>
      <c r="D321" s="222">
        <f>D320+1</f>
        <v/>
      </c>
      <c r="E321" s="223">
        <f>IF(DAY(D321)=DAY($L$1+1),TRUNC((N320),8),E320)</f>
        <v/>
      </c>
      <c r="F321" s="224">
        <f>TRUNC(((1+VLOOKUP(A321,IPCA!$A$2:$C$140,3,0)))^(C321/(EDATE(D321-C321,1)-(D321-C321))),8)</f>
        <v/>
      </c>
      <c r="G321" s="224">
        <f>TRUNC((E321*F321),8)</f>
        <v/>
      </c>
      <c r="H321" s="224">
        <f>ROUND(((1+$H$4)^(30/360))^(C321/(EDATE(D321-B321,1)-(D321-B321))),9)</f>
        <v/>
      </c>
      <c r="I321" s="224">
        <f>TRUNC((G321*H321-G321),8)</f>
        <v/>
      </c>
      <c r="J321" s="224">
        <f>G321+I321</f>
        <v/>
      </c>
      <c r="K321" s="256" t="inlineStr">
        <is>
          <t>Cri Integralizado</t>
        </is>
      </c>
      <c r="L321" s="270">
        <f>L291+K318</f>
        <v/>
      </c>
      <c r="M321" s="256" t="n"/>
      <c r="N321" s="256" t="n"/>
      <c r="O321" s="256" t="n"/>
      <c r="P321" s="256" t="n"/>
      <c r="Q321" s="256" t="n"/>
    </row>
    <row r="322">
      <c r="A322">
        <f>IF(DAY(D322)=DAY($L$1+1),A321+1,A321)</f>
        <v/>
      </c>
      <c r="B322" s="46">
        <f>IF(DAY(D322)=DAY($L$1+1),1,B321+1)</f>
        <v/>
      </c>
      <c r="C322" s="46">
        <f>IF(DAY(D322)=DAY($L$1+1),1,C321+1)</f>
        <v/>
      </c>
      <c r="D322" s="2">
        <f>D321+1</f>
        <v/>
      </c>
      <c r="E322" s="8">
        <f>IF(DAY(D322)=DAY($L$1+1),TRUNC((N321),8),E321)</f>
        <v/>
      </c>
      <c r="F322" s="49">
        <f>TRUNC(((1+VLOOKUP(A322,IPCA!$A$2:$C$140,3,0)))^(C322/(EDATE(D322-C322,1)-(D322-C322))),8)</f>
        <v/>
      </c>
      <c r="G322" s="49">
        <f>TRUNC((E322*F322),8)</f>
        <v/>
      </c>
      <c r="H322" s="49">
        <f>ROUND(((1+$H$4)^(30/360))^(C322/(EDATE(D322-B322,1)-(D322-B322))),9)</f>
        <v/>
      </c>
      <c r="I322" s="49">
        <f>TRUNC((G322*H322-G322),8)</f>
        <v/>
      </c>
      <c r="J322" s="49">
        <f>G322+I322</f>
        <v/>
      </c>
      <c r="K322" s="118" t="inlineStr">
        <is>
          <t>JUROS</t>
        </is>
      </c>
      <c r="L322" s="118" t="inlineStr">
        <is>
          <t>AMORTIZAÇÃO</t>
        </is>
      </c>
      <c r="M322" s="118" t="inlineStr">
        <is>
          <t>AMEX</t>
        </is>
      </c>
      <c r="N322" s="118" t="inlineStr">
        <is>
          <t>RESIDUAL</t>
        </is>
      </c>
      <c r="O322" s="256" t="n"/>
      <c r="P322" s="256" t="n"/>
      <c r="Q322" s="256" t="n"/>
    </row>
    <row r="323">
      <c r="A323">
        <f>IF(DAY(D323)=DAY($L$1+1),A322+1,A322)</f>
        <v/>
      </c>
      <c r="B323" s="111">
        <f>IF(DAY(D323)=DAY($L$1+1),1,B322+1)</f>
        <v/>
      </c>
      <c r="C323" s="111">
        <f>IF(DAY(D323)=DAY($L$1+1),1,C322+1)</f>
        <v/>
      </c>
      <c r="D323" s="112">
        <f>D322+1</f>
        <v/>
      </c>
      <c r="E323" s="113">
        <f>IF(DAY(D323)=DAY($L$1+1),TRUNC((N322),8),E322)</f>
        <v/>
      </c>
      <c r="F323" s="114">
        <f>TRUNC(((1+VLOOKUP(A323,IPCA!$A$2:$C$140,3,0)))^(C323/(EDATE(D323-C323,1)-(D323-C323))),8)</f>
        <v/>
      </c>
      <c r="G323" s="114">
        <f>TRUNC((E323*F323),8)</f>
        <v/>
      </c>
      <c r="H323" s="114">
        <f>ROUND(((1+$H$4)^(30/360))^(C323/(EDATE(D323-B323,1)-(D323-B323))),9)</f>
        <v/>
      </c>
      <c r="I323" s="114">
        <f>TRUNC((G323*H323-G323),8)</f>
        <v/>
      </c>
      <c r="J323" s="114">
        <f>G323+I323</f>
        <v/>
      </c>
      <c r="K323" s="119" t="n">
        <v>0</v>
      </c>
      <c r="L323" s="120">
        <f>TRUNC(G323*VLOOKUP(D323,'Amort TS'!$G$3:$H$140,2,0),8)</f>
        <v/>
      </c>
      <c r="M323" s="120" t="n">
        <v>0</v>
      </c>
      <c r="N323" s="120">
        <f>J323-K323-L323-M323</f>
        <v/>
      </c>
      <c r="O323" s="256" t="n"/>
      <c r="P323" s="256" t="n"/>
      <c r="Q323" s="256" t="n"/>
    </row>
    <row r="324">
      <c r="A324">
        <f>IF(DAY(D324)=DAY($L$1+1),A323+1,A323)</f>
        <v/>
      </c>
      <c r="B324" s="46">
        <f>IF(DAY(D324)=DAY($L$1+1),1,B323+1)</f>
        <v/>
      </c>
      <c r="C324" s="46">
        <f>IF(DAY(D324)=DAY($L$1+1),1,C323+1)</f>
        <v/>
      </c>
      <c r="D324" s="2">
        <f>D323+1</f>
        <v/>
      </c>
      <c r="E324" s="8">
        <f>IF(DAY(D324)=DAY($L$1+1),TRUNC((N323),8),E323)</f>
        <v/>
      </c>
      <c r="F324" s="49">
        <f>TRUNC(((1+VLOOKUP(A324,IPCA!$A$2:$C$140,3,0)))^(C324/(EDATE(D324-C324,1)-(D324-C324))),8)</f>
        <v/>
      </c>
      <c r="G324" s="49">
        <f>TRUNC((E324*F324),8)</f>
        <v/>
      </c>
      <c r="H324" s="49">
        <f>ROUND(((1+$H$4)^(30/360))^(C324/(EDATE(D324-B324,1)-(D324-B324))),9)</f>
        <v/>
      </c>
      <c r="I324" s="49">
        <f>TRUNC((G324*H324-G324),8)</f>
        <v/>
      </c>
      <c r="J324" s="49">
        <f>G324+I324</f>
        <v/>
      </c>
      <c r="K324" s="121">
        <f>K323*L321</f>
        <v/>
      </c>
      <c r="L324" s="121">
        <f>L323*L321</f>
        <v/>
      </c>
      <c r="M324" s="121">
        <f>M323*L321</f>
        <v/>
      </c>
      <c r="N324" s="121">
        <f>N323*L321</f>
        <v/>
      </c>
      <c r="O324" s="256" t="n"/>
      <c r="P324" s="256" t="n"/>
      <c r="Q324" s="256" t="n"/>
    </row>
    <row r="325">
      <c r="A325">
        <f>IF(DAY(D325)=DAY($L$1+1),A324+1,A324)</f>
        <v/>
      </c>
      <c r="B325" s="46">
        <f>IF(DAY(D325)=DAY($L$1+1),1,B324+1)</f>
        <v/>
      </c>
      <c r="C325" s="46">
        <f>IF(DAY(D325)=DAY($L$1+1),1,C324+1)</f>
        <v/>
      </c>
      <c r="D325" s="47">
        <f>D324+1</f>
        <v/>
      </c>
      <c r="E325" s="8">
        <f>IF(DAY(D325)=DAY($L$1+1),TRUNC((N324),8),E324)</f>
        <v/>
      </c>
      <c r="F325" s="49">
        <f>TRUNC(((1+VLOOKUP(A325,IPCA!$A$2:$C$140,3,0)))^(C325/(EDATE(D325-C325,1)-(D325-C325))),8)</f>
        <v/>
      </c>
      <c r="G325" s="49">
        <f>TRUNC((E325*F325),8)</f>
        <v/>
      </c>
      <c r="H325" s="49">
        <f>ROUND(((1+$H$4)^(30/360))^(C325/(EDATE(D325-B325,1)-(D325-B325))),9)</f>
        <v/>
      </c>
      <c r="I325" s="49">
        <f>TRUNC((G325*H325-G325),8)</f>
        <v/>
      </c>
      <c r="J325" s="49">
        <f>G325+I325</f>
        <v/>
      </c>
      <c r="K325" s="256" t="n"/>
      <c r="L325" s="256" t="n"/>
      <c r="M325" s="256" t="n"/>
      <c r="N325" s="256" t="n"/>
      <c r="O325" s="256" t="n"/>
      <c r="P325" s="256" t="n"/>
      <c r="Q325" s="256" t="n"/>
    </row>
    <row r="326">
      <c r="A326">
        <f>IF(DAY(D326)=DAY($L$1+1),A325+1,A325)</f>
        <v/>
      </c>
      <c r="B326" s="46">
        <f>IF(DAY(D326)=DAY($L$1+1),1,B325+1)</f>
        <v/>
      </c>
      <c r="C326" s="46">
        <f>IF(DAY(D326)=DAY($L$1+1),1,C325+1)</f>
        <v/>
      </c>
      <c r="D326" s="2">
        <f>D325+1</f>
        <v/>
      </c>
      <c r="E326" s="8">
        <f>IF(DAY(D326)=DAY($L$1+1),TRUNC((#REF!),8),E325)</f>
        <v/>
      </c>
      <c r="F326" s="49">
        <f>TRUNC(((1+VLOOKUP(A326,IPCA!$A$2:$C$140,3,0)))^(C326/(EDATE(D326-C326,1)-(D326-C326))),8)</f>
        <v/>
      </c>
      <c r="G326" s="49">
        <f>TRUNC((E326*F326),8)</f>
        <v/>
      </c>
      <c r="H326" s="49">
        <f>ROUND(((1+$H$4)^(30/360))^(C326/(EDATE(D326-B326,1)-(D326-B326))),9)</f>
        <v/>
      </c>
      <c r="I326" s="49">
        <f>TRUNC((G326*H326-G326),8)</f>
        <v/>
      </c>
      <c r="J326" s="49">
        <f>G326+I326</f>
        <v/>
      </c>
      <c r="K326" s="256" t="n"/>
      <c r="L326" s="256" t="n"/>
      <c r="M326" s="256" t="n"/>
      <c r="N326" s="256" t="n"/>
      <c r="O326" s="256" t="n"/>
      <c r="P326" s="256" t="n"/>
      <c r="Q326" s="256" t="n"/>
    </row>
    <row r="327">
      <c r="A327">
        <f>IF(DAY(D327)=DAY($L$1+1),A326+1,A326)</f>
        <v/>
      </c>
      <c r="B327" s="46">
        <f>IF(DAY(D327)=DAY($L$1+1),1,B326+1)</f>
        <v/>
      </c>
      <c r="C327" s="46">
        <f>IF(DAY(D327)=DAY($L$1+1),1,C326+1)</f>
        <v/>
      </c>
      <c r="D327" s="2">
        <f>D326+1</f>
        <v/>
      </c>
      <c r="E327" s="8">
        <f>IF(DAY(D327)=DAY($L$1+1),TRUNC((#REF!),8),E326)</f>
        <v/>
      </c>
      <c r="F327" s="49">
        <f>TRUNC(((1+VLOOKUP(A327,IPCA!$A$2:$C$140,3,0)))^(C327/(EDATE(D327-C327,1)-(D327-C327))),8)</f>
        <v/>
      </c>
      <c r="G327" s="49">
        <f>TRUNC((E327*F327),8)</f>
        <v/>
      </c>
      <c r="H327" s="49">
        <f>ROUND(((1+$H$4)^(30/360))^(C327/(EDATE(D327-B327,1)-(D327-B327))),9)</f>
        <v/>
      </c>
      <c r="I327" s="49">
        <f>TRUNC((G327*H327-G327),8)</f>
        <v/>
      </c>
      <c r="J327" s="49">
        <f>G327+I327</f>
        <v/>
      </c>
      <c r="K327" s="256" t="n"/>
      <c r="L327" s="256" t="n"/>
      <c r="M327" s="256" t="n"/>
      <c r="N327" s="256" t="n"/>
      <c r="O327" s="256" t="n"/>
      <c r="P327" s="256" t="n"/>
      <c r="Q327" s="256" t="n"/>
    </row>
    <row r="328">
      <c r="A328">
        <f>IF(DAY(D328)=DAY($L$1+1),A327+1,A327)</f>
        <v/>
      </c>
      <c r="B328" s="46">
        <f>IF(DAY(D328)=DAY($L$1+1),1,B327+1)</f>
        <v/>
      </c>
      <c r="C328" s="46">
        <f>IF(DAY(D328)=DAY($L$1+1),1,C327+1)</f>
        <v/>
      </c>
      <c r="D328" s="2">
        <f>D327+1</f>
        <v/>
      </c>
      <c r="E328" s="8">
        <f>IF(DAY(D328)=DAY($L$1+1),TRUNC((#REF!),8),E327)</f>
        <v/>
      </c>
      <c r="F328" s="49">
        <f>TRUNC(((1+VLOOKUP(A328,IPCA!$A$2:$C$140,3,0)))^(C328/(EDATE(D328-C328,1)-(D328-C328))),8)</f>
        <v/>
      </c>
      <c r="G328" s="49">
        <f>TRUNC((E328*F328),8)</f>
        <v/>
      </c>
      <c r="H328" s="49">
        <f>ROUND(((1+$H$4)^(30/360))^(C328/(EDATE(D328-B328,1)-(D328-B328))),9)</f>
        <v/>
      </c>
      <c r="I328" s="49">
        <f>TRUNC((G328*H328-G328),8)</f>
        <v/>
      </c>
      <c r="J328" s="49">
        <f>G328+I328</f>
        <v/>
      </c>
      <c r="K328" s="256" t="n"/>
      <c r="L328" s="256" t="n"/>
      <c r="M328" s="256" t="n"/>
      <c r="N328" s="256" t="n"/>
      <c r="O328" s="256" t="n"/>
      <c r="P328" s="256" t="n"/>
      <c r="Q328" s="256" t="n"/>
    </row>
    <row r="329">
      <c r="A329">
        <f>IF(DAY(D329)=DAY($L$1+1),A328+1,A328)</f>
        <v/>
      </c>
      <c r="B329" s="46">
        <f>IF(DAY(D329)=DAY($L$1+1),1,B328+1)</f>
        <v/>
      </c>
      <c r="C329" s="46">
        <f>IF(DAY(D329)=DAY($L$1+1),1,C328+1)</f>
        <v/>
      </c>
      <c r="D329" s="2">
        <f>D328+1</f>
        <v/>
      </c>
      <c r="E329" s="8">
        <f>IF(DAY(D329)=DAY($L$1+1),TRUNC((#REF!),8),E328)</f>
        <v/>
      </c>
      <c r="F329" s="49">
        <f>TRUNC(((1+VLOOKUP(A329,IPCA!$A$2:$C$140,3,0)))^(C329/(EDATE(D329-C329,1)-(D329-C329))),8)</f>
        <v/>
      </c>
      <c r="G329" s="49">
        <f>TRUNC((E329*F329),8)</f>
        <v/>
      </c>
      <c r="H329" s="49">
        <f>ROUND(((1+$H$4)^(30/360))^(C329/(EDATE(D329-B329,1)-(D329-B329))),9)</f>
        <v/>
      </c>
      <c r="I329" s="49">
        <f>TRUNC((G329*H329-G329),8)</f>
        <v/>
      </c>
      <c r="J329" s="49">
        <f>G329+I329</f>
        <v/>
      </c>
      <c r="K329" s="256" t="n"/>
      <c r="L329" s="256" t="n"/>
      <c r="M329" s="256" t="n"/>
      <c r="N329" s="256" t="n"/>
      <c r="O329" s="256" t="n"/>
      <c r="P329" s="256" t="n"/>
      <c r="Q329" s="256" t="n"/>
    </row>
    <row r="330">
      <c r="A330">
        <f>IF(DAY(D330)=DAY($L$1+1),A329+1,A329)</f>
        <v/>
      </c>
      <c r="B330" s="46">
        <f>IF(DAY(D330)=DAY($L$1+1),1,B329+1)</f>
        <v/>
      </c>
      <c r="C330" s="46">
        <f>IF(DAY(D330)=DAY($L$1+1),1,C329+1)</f>
        <v/>
      </c>
      <c r="D330" s="2">
        <f>D329+1</f>
        <v/>
      </c>
      <c r="E330" s="8">
        <f>IF(DAY(D330)=DAY($L$1+1),TRUNC((#REF!),8),E329)</f>
        <v/>
      </c>
      <c r="F330" s="49">
        <f>TRUNC(((1+VLOOKUP(A330,IPCA!$A$2:$C$140,3,0)))^(C330/(EDATE(D330-C330,1)-(D330-C330))),8)</f>
        <v/>
      </c>
      <c r="G330" s="49">
        <f>TRUNC((E330*F330),8)</f>
        <v/>
      </c>
      <c r="H330" s="49">
        <f>ROUND(((1+$H$4)^(30/360))^(C330/(EDATE(D330-B330,1)-(D330-B330))),9)</f>
        <v/>
      </c>
      <c r="I330" s="49">
        <f>TRUNC((G330*H330-G330),8)</f>
        <v/>
      </c>
      <c r="J330" s="49">
        <f>G330+I330</f>
        <v/>
      </c>
      <c r="K330" s="256" t="n"/>
      <c r="L330" s="256" t="n"/>
      <c r="M330" s="256" t="n"/>
      <c r="N330" s="256" t="n"/>
      <c r="O330" s="256" t="n"/>
      <c r="P330" s="256" t="n"/>
      <c r="Q330" s="256" t="n"/>
    </row>
    <row r="331">
      <c r="A331">
        <f>IF(DAY(D331)=DAY($L$1+1),A330+1,A330)</f>
        <v/>
      </c>
      <c r="B331" s="46">
        <f>IF(DAY(D331)=DAY($L$1+1),1,B330+1)</f>
        <v/>
      </c>
      <c r="C331" s="46">
        <f>IF(DAY(D331)=DAY($L$1+1),1,C330+1)</f>
        <v/>
      </c>
      <c r="D331" s="2">
        <f>D330+1</f>
        <v/>
      </c>
      <c r="E331" s="8">
        <f>IF(DAY(D331)=DAY($L$1+1),TRUNC((#REF!),8),E330)</f>
        <v/>
      </c>
      <c r="F331" s="49">
        <f>TRUNC(((1+VLOOKUP(A331,IPCA!$A$2:$C$140,3,0)))^(C331/(EDATE(D331-C331,1)-(D331-C331))),8)</f>
        <v/>
      </c>
      <c r="G331" s="49">
        <f>TRUNC((E331*F331),8)</f>
        <v/>
      </c>
      <c r="H331" s="49">
        <f>ROUND(((1+$H$4)^(30/360))^(C331/(EDATE(D331-B331,1)-(D331-B331))),9)</f>
        <v/>
      </c>
      <c r="I331" s="49">
        <f>TRUNC((G331*H331-G331),8)</f>
        <v/>
      </c>
      <c r="J331" s="49">
        <f>G331+I331</f>
        <v/>
      </c>
      <c r="K331" s="256" t="n"/>
      <c r="L331" s="256" t="n"/>
      <c r="M331" s="256" t="n"/>
      <c r="N331" s="256" t="n"/>
      <c r="O331" s="256" t="n"/>
      <c r="P331" s="256" t="n"/>
      <c r="Q331" s="256" t="n"/>
    </row>
    <row r="332">
      <c r="A332">
        <f>IF(DAY(D332)=DAY($L$1+1),A331+1,A331)</f>
        <v/>
      </c>
      <c r="B332" s="46">
        <f>IF(DAY(D332)=DAY($L$1+1),1,B331+1)</f>
        <v/>
      </c>
      <c r="C332" s="46">
        <f>IF(DAY(D332)=DAY($L$1+1),1,C331+1)</f>
        <v/>
      </c>
      <c r="D332" s="2">
        <f>D331+1</f>
        <v/>
      </c>
      <c r="E332" s="8">
        <f>IF(DAY(D332)=DAY($L$1+1),TRUNC((#REF!),8),E331)</f>
        <v/>
      </c>
      <c r="F332" s="49">
        <f>TRUNC(((1+VLOOKUP(A332,IPCA!$A$2:$C$140,3,0)))^(C332/(EDATE(D332-C332,1)-(D332-C332))),8)</f>
        <v/>
      </c>
      <c r="G332" s="49">
        <f>TRUNC((E332*F332),8)</f>
        <v/>
      </c>
      <c r="H332" s="49">
        <f>ROUND(((1+$H$4)^(30/360))^(C332/(EDATE(D332-B332,1)-(D332-B332))),9)</f>
        <v/>
      </c>
      <c r="I332" s="49">
        <f>TRUNC((G332*H332-G332),8)</f>
        <v/>
      </c>
      <c r="J332" s="49">
        <f>G332+I332</f>
        <v/>
      </c>
      <c r="K332" s="256" t="n"/>
      <c r="L332" s="256" t="n"/>
      <c r="M332" s="256" t="n"/>
      <c r="N332" s="256" t="n"/>
      <c r="O332" s="256" t="n"/>
      <c r="P332" s="256" t="n"/>
      <c r="Q332" s="256" t="n"/>
    </row>
    <row r="333">
      <c r="A333">
        <f>IF(DAY(D333)=DAY($L$1+1),A332+1,A332)</f>
        <v/>
      </c>
      <c r="B333" s="46">
        <f>IF(DAY(D333)=DAY($L$1+1),1,B332+1)</f>
        <v/>
      </c>
      <c r="C333" s="46">
        <f>IF(DAY(D333)=DAY($L$1+1),1,C332+1)</f>
        <v/>
      </c>
      <c r="D333" s="2">
        <f>D332+1</f>
        <v/>
      </c>
      <c r="E333" s="8">
        <f>IF(DAY(D333)=DAY($L$1+1),TRUNC((#REF!),8),E332)</f>
        <v/>
      </c>
      <c r="F333" s="49">
        <f>TRUNC(((1+VLOOKUP(A333,IPCA!$A$2:$C$140,3,0)))^(C333/(EDATE(D333-C333,1)-(D333-C333))),8)</f>
        <v/>
      </c>
      <c r="G333" s="49">
        <f>TRUNC((E333*F333),8)</f>
        <v/>
      </c>
      <c r="H333" s="49">
        <f>ROUND(((1+$H$4)^(30/360))^(C333/(EDATE(D333-B333,1)-(D333-B333))),9)</f>
        <v/>
      </c>
      <c r="I333" s="49">
        <f>TRUNC((G333*H333-G333),8)</f>
        <v/>
      </c>
      <c r="J333" s="49">
        <f>G333+I333</f>
        <v/>
      </c>
      <c r="K333" s="256" t="n"/>
      <c r="L333" s="256" t="n"/>
      <c r="M333" s="256" t="n"/>
      <c r="N333" s="256" t="n"/>
      <c r="O333" s="256" t="n"/>
      <c r="P333" s="256" t="n"/>
      <c r="Q333" s="256" t="n"/>
    </row>
    <row r="334">
      <c r="A334">
        <f>IF(DAY(D334)=DAY($L$1+1),A333+1,A333)</f>
        <v/>
      </c>
      <c r="B334" s="46">
        <f>IF(DAY(D334)=DAY($L$1+1),1,B333+1)</f>
        <v/>
      </c>
      <c r="C334" s="46">
        <f>IF(DAY(D334)=DAY($L$1+1),1,C333+1)</f>
        <v/>
      </c>
      <c r="D334" s="2">
        <f>D333+1</f>
        <v/>
      </c>
      <c r="E334" s="8">
        <f>IF(DAY(D334)=DAY($L$1+1),TRUNC((#REF!),8),E333)</f>
        <v/>
      </c>
      <c r="F334" s="49">
        <f>TRUNC(((1+VLOOKUP(A334,IPCA!$A$2:$C$140,3,0)))^(C334/(EDATE(D334-C334,1)-(D334-C334))),8)</f>
        <v/>
      </c>
      <c r="G334" s="49">
        <f>TRUNC((E334*F334),8)</f>
        <v/>
      </c>
      <c r="H334" s="49">
        <f>ROUND(((1+$H$4)^(30/360))^(C334/(EDATE(D334-B334,1)-(D334-B334))),9)</f>
        <v/>
      </c>
      <c r="I334" s="49">
        <f>TRUNC((G334*H334-G334),8)</f>
        <v/>
      </c>
      <c r="J334" s="49">
        <f>G334+I334</f>
        <v/>
      </c>
      <c r="K334" s="256" t="n"/>
      <c r="L334" s="256" t="n"/>
      <c r="M334" s="256" t="n"/>
      <c r="N334" s="256" t="n"/>
      <c r="O334" s="256" t="n"/>
      <c r="P334" s="256" t="n"/>
      <c r="Q334" s="256" t="n"/>
    </row>
    <row r="335">
      <c r="A335">
        <f>IF(DAY(D335)=DAY($L$1+1),A334+1,A334)</f>
        <v/>
      </c>
      <c r="B335" s="46">
        <f>IF(DAY(D335)=DAY($L$1+1),1,B334+1)</f>
        <v/>
      </c>
      <c r="C335" s="46">
        <f>IF(DAY(D335)=DAY($L$1+1),1,C334+1)</f>
        <v/>
      </c>
      <c r="D335" s="2">
        <f>D334+1</f>
        <v/>
      </c>
      <c r="E335" s="8">
        <f>IF(DAY(D335)=DAY($L$1+1),TRUNC((#REF!),8),E334)</f>
        <v/>
      </c>
      <c r="F335" s="49">
        <f>TRUNC(((1+VLOOKUP(A335,IPCA!$A$2:$C$140,3,0)))^(C335/(EDATE(D335-C335,1)-(D335-C335))),8)</f>
        <v/>
      </c>
      <c r="G335" s="49">
        <f>TRUNC((E335*F335),8)</f>
        <v/>
      </c>
      <c r="H335" s="49">
        <f>ROUND(((1+$H$4)^(30/360))^(C335/(EDATE(D335-B335,1)-(D335-B335))),9)</f>
        <v/>
      </c>
      <c r="I335" s="49">
        <f>TRUNC((G335*H335-G335),8)</f>
        <v/>
      </c>
      <c r="J335" s="49">
        <f>G335+I335</f>
        <v/>
      </c>
      <c r="K335" s="256" t="n"/>
      <c r="L335" s="256" t="n"/>
      <c r="M335" s="256" t="n"/>
      <c r="N335" s="256" t="n"/>
      <c r="O335" s="256" t="n"/>
      <c r="P335" s="256" t="n"/>
      <c r="Q335" s="256" t="n"/>
    </row>
    <row r="336">
      <c r="A336">
        <f>IF(DAY(D336)=DAY($L$1+1),A335+1,A335)</f>
        <v/>
      </c>
      <c r="B336" s="46">
        <f>IF(DAY(D336)=DAY($L$1+1),1,B335+1)</f>
        <v/>
      </c>
      <c r="C336" s="46">
        <f>IF(DAY(D336)=DAY($L$1+1),1,C335+1)</f>
        <v/>
      </c>
      <c r="D336" s="2">
        <f>D335+1</f>
        <v/>
      </c>
      <c r="E336" s="8">
        <f>IF(DAY(D336)=DAY($L$1+1),TRUNC((N335),8),E335)</f>
        <v/>
      </c>
      <c r="F336" s="49">
        <f>TRUNC(((1+VLOOKUP(A336,IPCA!$A$2:$C$140,3,0)))^(C336/(EDATE(D336-C336,1)-(D336-C336))),8)</f>
        <v/>
      </c>
      <c r="G336" s="49">
        <f>TRUNC((E336*F336),8)</f>
        <v/>
      </c>
      <c r="H336" s="49">
        <f>ROUND(((1+$H$4)^(30/360))^(C336/(EDATE(D336-B336,1)-(D336-B336))),9)</f>
        <v/>
      </c>
      <c r="I336" s="49">
        <f>TRUNC((G336*H336-G336),8)</f>
        <v/>
      </c>
      <c r="J336" s="49">
        <f>G336+I336</f>
        <v/>
      </c>
      <c r="K336" s="256" t="n"/>
      <c r="L336" s="256" t="n"/>
      <c r="M336" s="256" t="n"/>
      <c r="N336" s="256" t="n"/>
      <c r="O336" s="256" t="n"/>
      <c r="P336" s="256" t="n"/>
      <c r="Q336" s="256" t="n"/>
    </row>
    <row r="337">
      <c r="A337">
        <f>IF(DAY(D337)=DAY($L$1+1),A336+1,A336)</f>
        <v/>
      </c>
      <c r="B337" s="46">
        <f>IF(DAY(D337)=DAY($L$1+1),1,B336+1)</f>
        <v/>
      </c>
      <c r="C337" s="46">
        <f>IF(DAY(D337)=DAY($L$1+1),1,C336+1)</f>
        <v/>
      </c>
      <c r="D337" s="2">
        <f>D336+1</f>
        <v/>
      </c>
      <c r="E337" s="8">
        <f>IF(DAY(D337)=DAY($L$1+1),TRUNC((N336),8),E336)</f>
        <v/>
      </c>
      <c r="F337" s="49">
        <f>TRUNC(((1+VLOOKUP(A337,IPCA!$A$2:$C$140,3,0)))^(C337/(EDATE(D337-C337,1)-(D337-C337))),8)</f>
        <v/>
      </c>
      <c r="G337" s="49">
        <f>TRUNC((E337*F337),8)</f>
        <v/>
      </c>
      <c r="H337" s="49">
        <f>ROUND(((1+$H$4)^(30/360))^(C337/(EDATE(D337-B337,1)-(D337-B337))),9)</f>
        <v/>
      </c>
      <c r="I337" s="49">
        <f>TRUNC((G337*H337-G337),8)</f>
        <v/>
      </c>
      <c r="J337" s="49">
        <f>G337+I337</f>
        <v/>
      </c>
      <c r="K337" s="256" t="n"/>
      <c r="L337" s="256" t="n"/>
      <c r="M337" s="256" t="n"/>
      <c r="N337" s="256" t="n"/>
      <c r="O337" s="256" t="n"/>
      <c r="P337" s="256" t="n"/>
      <c r="Q337" s="256" t="n"/>
    </row>
    <row r="338">
      <c r="A338">
        <f>IF(DAY(D338)=DAY($L$1+1),A337+1,A337)</f>
        <v/>
      </c>
      <c r="B338" s="46">
        <f>IF(DAY(D338)=DAY($L$1+1),1,B337+1)</f>
        <v/>
      </c>
      <c r="C338" s="46">
        <f>IF(DAY(D338)=DAY($L$1+1),1,C337+1)</f>
        <v/>
      </c>
      <c r="D338" s="2">
        <f>D337+1</f>
        <v/>
      </c>
      <c r="E338" s="8">
        <f>IF(DAY(D338)=DAY($L$1+1),TRUNC((N337),8),E337)</f>
        <v/>
      </c>
      <c r="F338" s="49">
        <f>TRUNC(((1+VLOOKUP(A338,IPCA!$A$2:$C$140,3,0)))^(C338/(EDATE(D338-C338,1)-(D338-C338))),8)</f>
        <v/>
      </c>
      <c r="G338" s="49">
        <f>TRUNC((E338*F338),8)</f>
        <v/>
      </c>
      <c r="H338" s="49">
        <f>ROUND(((1+$H$4)^(30/360))^(C338/(EDATE(D338-B338,1)-(D338-B338))),9)</f>
        <v/>
      </c>
      <c r="I338" s="49">
        <f>TRUNC((G338*H338-G338),8)</f>
        <v/>
      </c>
      <c r="J338" s="49">
        <f>G338+I338</f>
        <v/>
      </c>
      <c r="K338" s="256" t="n"/>
      <c r="L338" s="256" t="n"/>
      <c r="M338" s="256" t="n"/>
      <c r="N338" s="256" t="n"/>
      <c r="O338" s="256" t="n"/>
      <c r="P338" s="256" t="n"/>
      <c r="Q338" s="256" t="n"/>
    </row>
    <row r="339">
      <c r="A339">
        <f>IF(DAY(D339)=DAY($L$1+1),A338+1,A338)</f>
        <v/>
      </c>
      <c r="B339" s="46">
        <f>IF(DAY(D339)=DAY($L$1+1),1,B338+1)</f>
        <v/>
      </c>
      <c r="C339" s="46">
        <f>IF(DAY(D339)=DAY($L$1+1),1,C338+1)</f>
        <v/>
      </c>
      <c r="D339" s="2">
        <f>D338+1</f>
        <v/>
      </c>
      <c r="E339" s="8">
        <f>IF(DAY(D339)=DAY($L$1+1),TRUNC((N338),8),E338)</f>
        <v/>
      </c>
      <c r="F339" s="49">
        <f>TRUNC(((1+VLOOKUP(A339,IPCA!$A$2:$C$140,3,0)))^(C339/(EDATE(D339-C339,1)-(D339-C339))),8)</f>
        <v/>
      </c>
      <c r="G339" s="49">
        <f>TRUNC((E339*F339),8)</f>
        <v/>
      </c>
      <c r="H339" s="49">
        <f>ROUND(((1+$H$4)^(30/360))^(C339/(EDATE(D339-B339,1)-(D339-B339))),9)</f>
        <v/>
      </c>
      <c r="I339" s="49">
        <f>TRUNC((G339*H339-G339),8)</f>
        <v/>
      </c>
      <c r="J339" s="49">
        <f>G339+I339</f>
        <v/>
      </c>
      <c r="K339" s="123" t="n"/>
      <c r="L339" s="271" t="n"/>
      <c r="M339" s="256" t="n"/>
      <c r="N339" s="256" t="n"/>
      <c r="O339" s="256" t="n"/>
      <c r="P339" s="256" t="n"/>
      <c r="Q339" s="256" t="n"/>
    </row>
    <row r="340">
      <c r="A340">
        <f>IF(DAY(D340)=DAY($L$1+1),A339+1,A339)</f>
        <v/>
      </c>
      <c r="B340" s="46">
        <f>IF(DAY(D340)=DAY($L$1+1),1,B339+1)</f>
        <v/>
      </c>
      <c r="C340" s="46">
        <f>IF(DAY(D340)=DAY($L$1+1),1,C339+1)</f>
        <v/>
      </c>
      <c r="D340" s="2">
        <f>D339+1</f>
        <v/>
      </c>
      <c r="E340" s="8">
        <f>IF(DAY(D340)=DAY($L$1+1),TRUNC((N339),8),E339)</f>
        <v/>
      </c>
      <c r="F340" s="49">
        <f>TRUNC(((1+VLOOKUP(A340,IPCA!$A$2:$C$140,3,0)))^(C340/(EDATE(D340-C340,1)-(D340-C340))),8)</f>
        <v/>
      </c>
      <c r="G340" s="49">
        <f>TRUNC((E340*F340),8)</f>
        <v/>
      </c>
      <c r="H340" s="49">
        <f>ROUND(((1+$H$4)^(30/360))^(C340/(EDATE(D340-B340,1)-(D340-B340))),9)</f>
        <v/>
      </c>
      <c r="I340" s="49">
        <f>TRUNC((G340*H340-G340),8)</f>
        <v/>
      </c>
      <c r="J340" s="49">
        <f>G340+I340</f>
        <v/>
      </c>
      <c r="K340" s="256" t="n"/>
      <c r="L340" s="256" t="n"/>
      <c r="M340" s="256" t="n"/>
      <c r="N340" s="256" t="n"/>
      <c r="O340" s="256" t="n"/>
      <c r="P340" s="256" t="n"/>
      <c r="Q340" s="256" t="n"/>
    </row>
    <row r="341" customFormat="1" s="43">
      <c r="A341">
        <f>IF(DAY(D341)=DAY($L$1+1),A340+1,A340)</f>
        <v/>
      </c>
      <c r="B341" s="50">
        <f>IF(DAY(D341)=DAY($L$1+1),1,B340+1)</f>
        <v/>
      </c>
      <c r="C341" s="50">
        <f>IF(DAY(D341)=DAY($L$1+1),1,C340+1)</f>
        <v/>
      </c>
      <c r="D341" s="2">
        <f>D340+1</f>
        <v/>
      </c>
      <c r="E341" s="8">
        <f>IF(DAY(D341)=DAY($L$1+1),TRUNC((N340),8),E340)</f>
        <v/>
      </c>
      <c r="F341" s="49">
        <f>TRUNC(((1+VLOOKUP(A341,IPCA!$A$2:$C$140,3,0)))^(C341/(EDATE(D341-C341,1)-(D341-C341))),8)</f>
        <v/>
      </c>
      <c r="G341" s="51">
        <f>TRUNC((E341*F341),8)</f>
        <v/>
      </c>
      <c r="H341" s="51">
        <f>ROUND(((1+$H$4)^(30/360))^(C341/(EDATE(D341-B341,1)-(D341-B341))),9)</f>
        <v/>
      </c>
      <c r="I341" s="51">
        <f>TRUNC((G341*H341-G341),8)</f>
        <v/>
      </c>
      <c r="J341" s="49">
        <f>G341+I341</f>
        <v/>
      </c>
      <c r="K341" s="128" t="inlineStr">
        <is>
          <t>R$ 1,12692635</t>
        </is>
      </c>
      <c r="L341" s="128" t="n"/>
      <c r="M341" s="128" t="n"/>
      <c r="N341" s="128" t="n"/>
      <c r="O341" s="128" t="n"/>
      <c r="P341" s="128" t="n"/>
      <c r="Q341" s="128" t="n"/>
    </row>
    <row r="342">
      <c r="A342">
        <f>IF(DAY(D342)=DAY($L$1+1),A341+1,A341)</f>
        <v/>
      </c>
      <c r="B342" s="46">
        <f>IF(DAY(D342)=DAY($L$1+1),1,B341+1)</f>
        <v/>
      </c>
      <c r="C342" s="46">
        <f>IF(DAY(D342)=DAY($L$1+1),1,C341+1)</f>
        <v/>
      </c>
      <c r="D342" s="2">
        <f>D341+1</f>
        <v/>
      </c>
      <c r="E342" s="8">
        <f>IF(DAY(D342)=DAY($L$1+1),TRUNC((N341),8),E341)</f>
        <v/>
      </c>
      <c r="F342" s="49">
        <f>TRUNC(((1+VLOOKUP(A342,IPCA!$A$2:$C$140,3,0)))^(C342/(EDATE(D342-C342,1)-(D342-C342))),8)</f>
        <v/>
      </c>
      <c r="G342" s="49">
        <f>TRUNC((E342*F342),8)</f>
        <v/>
      </c>
      <c r="H342" s="49">
        <f>ROUND(((1+$H$4)^(30/360))^(C342/(EDATE(D342-B342,1)-(D342-B342))),9)</f>
        <v/>
      </c>
      <c r="I342" s="49">
        <f>TRUNC((G342*H342-G342),8)</f>
        <v/>
      </c>
      <c r="J342" s="49">
        <f>G342+I342</f>
        <v/>
      </c>
      <c r="K342" s="256" t="n"/>
      <c r="L342" s="256" t="n"/>
      <c r="M342" s="256" t="n"/>
      <c r="N342" s="256" t="n"/>
      <c r="O342" s="256" t="n"/>
      <c r="P342" s="256" t="n"/>
      <c r="Q342" s="256" t="n"/>
    </row>
    <row r="343">
      <c r="A343">
        <f>IF(DAY(D343)=DAY($L$1+1),A342+1,A342)</f>
        <v/>
      </c>
      <c r="B343" s="46">
        <f>IF(DAY(D343)=DAY($L$1+1),1,B342+1)</f>
        <v/>
      </c>
      <c r="C343" s="46">
        <f>IF(DAY(D343)=DAY($L$1+1),1,C342+1)</f>
        <v/>
      </c>
      <c r="D343" s="2">
        <f>D342+1</f>
        <v/>
      </c>
      <c r="E343" s="8">
        <f>IF(DAY(D343)=DAY($L$1+1),TRUNC((N342),8),E342)</f>
        <v/>
      </c>
      <c r="F343" s="49">
        <f>TRUNC(((1+VLOOKUP(A343,IPCA!$A$2:$C$140,3,0)))^(C343/(EDATE(D343-C343,1)-(D343-C343))),8)</f>
        <v/>
      </c>
      <c r="G343" s="49">
        <f>TRUNC((E343*F343),8)</f>
        <v/>
      </c>
      <c r="H343" s="49">
        <f>ROUND(((1+$H$4)^(30/360))^(C343/(EDATE(D343-B343,1)-(D343-B343))),9)</f>
        <v/>
      </c>
      <c r="I343" s="49">
        <f>TRUNC((G343*H343-G343),8)</f>
        <v/>
      </c>
      <c r="J343" s="49">
        <f>G343+I343</f>
        <v/>
      </c>
      <c r="K343" s="256" t="n"/>
      <c r="L343" s="256" t="n"/>
      <c r="M343" s="256" t="n"/>
      <c r="N343" s="256" t="n"/>
      <c r="O343" s="256" t="n"/>
      <c r="P343" s="256" t="n"/>
      <c r="Q343" s="256" t="n"/>
    </row>
    <row r="344">
      <c r="A344">
        <f>IF(DAY(D344)=DAY($L$1+1),A343+1,A343)</f>
        <v/>
      </c>
      <c r="B344" s="46">
        <f>IF(DAY(D344)=DAY($L$1+1),1,B343+1)</f>
        <v/>
      </c>
      <c r="C344" s="46">
        <f>IF(DAY(D344)=DAY($L$1+1),1,C343+1)</f>
        <v/>
      </c>
      <c r="D344" s="2">
        <f>D343+1</f>
        <v/>
      </c>
      <c r="E344" s="8">
        <f>IF(DAY(D344)=DAY($L$1+1),TRUNC((N343),8),E343)</f>
        <v/>
      </c>
      <c r="F344" s="49">
        <f>TRUNC(((1+VLOOKUP(A344,IPCA!$A$2:$C$140,3,0)))^(C344/(EDATE(D344-C344,1)-(D344-C344))),8)</f>
        <v/>
      </c>
      <c r="G344" s="49">
        <f>TRUNC((E344*F344),8)</f>
        <v/>
      </c>
      <c r="H344" s="49">
        <f>ROUND(((1+$H$4)^(30/360))^(C344/(EDATE(D344-B344,1)-(D344-B344))),9)</f>
        <v/>
      </c>
      <c r="I344" s="49">
        <f>TRUNC((G344*H344-G344),8)</f>
        <v/>
      </c>
      <c r="J344" s="49">
        <f>G344+I344</f>
        <v/>
      </c>
      <c r="K344" s="256" t="n"/>
      <c r="L344" s="256" t="n"/>
      <c r="M344" s="256" t="n"/>
      <c r="N344" s="256" t="n"/>
      <c r="O344" s="256" t="n"/>
      <c r="P344" s="256" t="n"/>
      <c r="Q344" s="256" t="n"/>
    </row>
    <row r="345">
      <c r="A345">
        <f>IF(DAY(D345)=DAY($L$1+1),A344+1,A344)</f>
        <v/>
      </c>
      <c r="B345" s="46">
        <f>IF(DAY(D345)=DAY($L$1+1),1,B344+1)</f>
        <v/>
      </c>
      <c r="C345" s="46">
        <f>IF(DAY(D345)=DAY($L$1+1),1,C344+1)</f>
        <v/>
      </c>
      <c r="D345" s="2">
        <f>D344+1</f>
        <v/>
      </c>
      <c r="E345" s="8">
        <f>IF(DAY(D345)=DAY($L$1+1),TRUNC((N344),8),E344)</f>
        <v/>
      </c>
      <c r="F345" s="49">
        <f>TRUNC(((1+VLOOKUP(A345,IPCA!$A$2:$C$140,3,0)))^(C345/(EDATE(D345-C345,1)-(D345-C345))),8)</f>
        <v/>
      </c>
      <c r="G345" s="49">
        <f>TRUNC((E345*F345),8)</f>
        <v/>
      </c>
      <c r="H345" s="49">
        <f>ROUND(((1+$H$4)^(30/360))^(C345/(EDATE(D345-B345,1)-(D345-B345))),9)</f>
        <v/>
      </c>
      <c r="I345" s="49">
        <f>TRUNC((G345*H345-G345),8)</f>
        <v/>
      </c>
      <c r="J345" s="49">
        <f>G345+I345</f>
        <v/>
      </c>
      <c r="K345" s="256" t="n"/>
      <c r="L345" s="256" t="n"/>
      <c r="M345" s="256" t="n"/>
      <c r="N345" s="256" t="n"/>
      <c r="O345" s="256" t="n"/>
      <c r="P345" s="256" t="n"/>
      <c r="Q345" s="256" t="n"/>
    </row>
    <row r="346">
      <c r="A346">
        <f>IF(DAY(D346)=DAY($L$1+1),A345+1,A345)</f>
        <v/>
      </c>
      <c r="B346" s="46">
        <f>IF(DAY(D346)=DAY($L$1+1),1,B345+1)</f>
        <v/>
      </c>
      <c r="C346" s="46">
        <f>IF(DAY(D346)=DAY($L$1+1),1,C345+1)</f>
        <v/>
      </c>
      <c r="D346" s="2">
        <f>D345+1</f>
        <v/>
      </c>
      <c r="E346" s="8">
        <f>IF(DAY(D346)=DAY($L$1+1),TRUNC((N345),8),E345)</f>
        <v/>
      </c>
      <c r="F346" s="49">
        <f>TRUNC(((1+VLOOKUP(A346,IPCA!$A$2:$C$140,3,0)))^(C346/(EDATE(D346-C346,1)-(D346-C346))),8)</f>
        <v/>
      </c>
      <c r="G346" s="49">
        <f>TRUNC((E346*F346),8)</f>
        <v/>
      </c>
      <c r="H346" s="49">
        <f>ROUND(((1+$H$4)^(30/360))^(C346/(EDATE(D346-B346,1)-(D346-B346))),9)</f>
        <v/>
      </c>
      <c r="I346" s="49">
        <f>TRUNC((G346*H346-G346),8)</f>
        <v/>
      </c>
      <c r="J346" s="49">
        <f>G346+I346</f>
        <v/>
      </c>
      <c r="K346" s="256" t="n"/>
      <c r="L346" s="256" t="n"/>
      <c r="M346" s="256" t="n"/>
      <c r="N346" s="256" t="n"/>
      <c r="O346" s="256" t="n"/>
      <c r="P346" s="256" t="n"/>
      <c r="Q346" s="256" t="n"/>
    </row>
    <row r="347">
      <c r="A347">
        <f>IF(DAY(D347)=DAY($L$1+1),A346+1,A346)</f>
        <v/>
      </c>
      <c r="B347" s="46">
        <f>IF(DAY(D347)=DAY($L$1+1),1,B346+1)</f>
        <v/>
      </c>
      <c r="C347" s="46">
        <f>IF(DAY(D347)=DAY($L$1+1),1,C346+1)</f>
        <v/>
      </c>
      <c r="D347" s="2">
        <f>D346+1</f>
        <v/>
      </c>
      <c r="E347" s="8">
        <f>IF(DAY(D347)=DAY($L$1+1),TRUNC((N346),8),E346)</f>
        <v/>
      </c>
      <c r="F347" s="49">
        <f>TRUNC(((1+VLOOKUP(A347,IPCA!$A$2:$C$140,3,0)))^(C347/(EDATE(D347-C347,1)-(D347-C347))),8)</f>
        <v/>
      </c>
      <c r="G347" s="49">
        <f>TRUNC((E347*F347),8)</f>
        <v/>
      </c>
      <c r="H347" s="49">
        <f>ROUND(((1+$H$4)^(30/360))^(C347/(EDATE(D347-B347,1)-(D347-B347))),9)</f>
        <v/>
      </c>
      <c r="I347" s="49">
        <f>TRUNC((G347*H347-G347),8)</f>
        <v/>
      </c>
      <c r="J347" s="49">
        <f>G347+I347</f>
        <v/>
      </c>
      <c r="K347" s="256" t="n"/>
      <c r="L347" s="256" t="n"/>
      <c r="M347" s="256" t="n"/>
      <c r="N347" s="256" t="n"/>
      <c r="O347" s="256" t="n"/>
      <c r="P347" s="256" t="n"/>
      <c r="Q347" s="256" t="n"/>
    </row>
    <row r="348">
      <c r="A348">
        <f>IF(DAY(D348)=DAY($L$1+1),A347+1,A347)</f>
        <v/>
      </c>
      <c r="B348" s="46">
        <f>IF(DAY(D348)=DAY($L$1+1),1,B347+1)</f>
        <v/>
      </c>
      <c r="C348" s="46">
        <f>IF(DAY(D348)=DAY($L$1+1),1,C347+1)</f>
        <v/>
      </c>
      <c r="D348" s="2">
        <f>D347+1</f>
        <v/>
      </c>
      <c r="E348" s="8">
        <f>IF(DAY(D348)=DAY($L$1+1),TRUNC((N347),8),E347)</f>
        <v/>
      </c>
      <c r="F348" s="49">
        <f>TRUNC(((1+VLOOKUP(A348,IPCA!$A$2:$C$140,3,0)))^(C348/(EDATE(D348-C348,1)-(D348-C348))),8)</f>
        <v/>
      </c>
      <c r="G348" s="49">
        <f>TRUNC((E348*F348),8)</f>
        <v/>
      </c>
      <c r="H348" s="49">
        <f>ROUND(((1+$H$4)^(30/360))^(C348/(EDATE(D348-B348,1)-(D348-B348))),9)</f>
        <v/>
      </c>
      <c r="I348" s="49">
        <f>TRUNC((G348*H348-G348),8)</f>
        <v/>
      </c>
      <c r="J348" s="49">
        <f>G348+I348</f>
        <v/>
      </c>
      <c r="K348" s="256" t="n"/>
      <c r="L348" s="256" t="n"/>
      <c r="M348" s="256" t="n"/>
      <c r="N348" s="256" t="n"/>
      <c r="O348" s="256" t="n"/>
      <c r="P348" s="256" t="n"/>
      <c r="Q348" s="256" t="n"/>
    </row>
    <row r="349">
      <c r="A349">
        <f>IF(DAY(D349)=DAY($L$1+1),A348+1,A348)</f>
        <v/>
      </c>
      <c r="B349" s="46">
        <f>IF(DAY(D349)=DAY($L$1+1),1,B348+1)</f>
        <v/>
      </c>
      <c r="C349" s="46">
        <f>IF(DAY(D349)=DAY($L$1+1),1,C348+1)</f>
        <v/>
      </c>
      <c r="D349" s="2">
        <f>D348+1</f>
        <v/>
      </c>
      <c r="E349" s="8">
        <f>IF(DAY(D349)=DAY($L$1+1),TRUNC((N348),8),E348)</f>
        <v/>
      </c>
      <c r="F349" s="49">
        <f>TRUNC(((1+VLOOKUP(A349,IPCA!$A$2:$C$140,3,0)))^(C349/(EDATE(D349-C349,1)-(D349-C349))),8)</f>
        <v/>
      </c>
      <c r="G349" s="49">
        <f>TRUNC((E349*F349),8)</f>
        <v/>
      </c>
      <c r="H349" s="49">
        <f>ROUND(((1+$H$4)^(30/360))^(C349/(EDATE(D349-B349,1)-(D349-B349))),9)</f>
        <v/>
      </c>
      <c r="I349" s="49">
        <f>TRUNC((G349*H349-G349),8)</f>
        <v/>
      </c>
      <c r="J349" s="49">
        <f>G349+I349</f>
        <v/>
      </c>
      <c r="K349" s="256" t="n"/>
      <c r="L349" s="256" t="n"/>
      <c r="M349" s="256" t="n"/>
      <c r="N349" s="256" t="n"/>
      <c r="O349" s="256" t="n"/>
      <c r="P349" s="256" t="n"/>
      <c r="Q349" s="256" t="n"/>
    </row>
    <row r="350">
      <c r="A350">
        <f>IF(DAY(D350)=DAY($L$1+1),A349+1,A349)</f>
        <v/>
      </c>
      <c r="B350" s="46">
        <f>IF(DAY(D350)=DAY($L$1+1),1,B349+1)</f>
        <v/>
      </c>
      <c r="C350" s="46">
        <f>IF(DAY(D350)=DAY($L$1+1),1,C349+1)</f>
        <v/>
      </c>
      <c r="D350" s="2">
        <f>D349+1</f>
        <v/>
      </c>
      <c r="E350" s="8">
        <f>IF(DAY(D350)=DAY($L$1+1),TRUNC((N349),8),E349)</f>
        <v/>
      </c>
      <c r="F350" s="49">
        <f>TRUNC(((1+VLOOKUP(A350,IPCA!$A$2:$C$140,3,0)))^(C350/(EDATE(D350-C350,1)-(D350-C350))),8)</f>
        <v/>
      </c>
      <c r="G350" s="49">
        <f>TRUNC((E350*F350),8)</f>
        <v/>
      </c>
      <c r="H350" s="49">
        <f>ROUND(((1+$H$4)^(30/360))^(C350/(EDATE(D350-B350,1)-(D350-B350))),9)</f>
        <v/>
      </c>
      <c r="I350" s="49">
        <f>TRUNC((G350*H350-G350),8)</f>
        <v/>
      </c>
      <c r="J350" s="49">
        <f>G350+I350</f>
        <v/>
      </c>
      <c r="K350" s="256" t="n"/>
      <c r="L350" s="256" t="n"/>
      <c r="M350" s="256" t="n"/>
      <c r="N350" s="256" t="n"/>
      <c r="O350" s="256" t="n"/>
      <c r="P350" s="256" t="n"/>
      <c r="Q350" s="256" t="n"/>
    </row>
    <row r="351">
      <c r="A351">
        <f>IF(DAY(D351)=DAY($L$1+1),A350+1,A350)</f>
        <v/>
      </c>
      <c r="B351" s="46">
        <f>IF(DAY(D351)=DAY($L$1+1),1,B350+1)</f>
        <v/>
      </c>
      <c r="C351" s="46">
        <f>IF(DAY(D351)=DAY($L$1+1),1,C350+1)</f>
        <v/>
      </c>
      <c r="D351" s="2">
        <f>D350+1</f>
        <v/>
      </c>
      <c r="E351" s="8">
        <f>IF(DAY(D351)=DAY($L$1+1),TRUNC((N350),8),E350)</f>
        <v/>
      </c>
      <c r="F351" s="49">
        <f>TRUNC(((1+VLOOKUP(A351,IPCA!$A$2:$C$140,3,0)))^(C351/(EDATE(D351-C351,1)-(D351-C351))),8)</f>
        <v/>
      </c>
      <c r="G351" s="49">
        <f>TRUNC((E351*F351),8)</f>
        <v/>
      </c>
      <c r="H351" s="49">
        <f>ROUND(((1+$H$4)^(30/360))^(C351/(EDATE(D351-B351,1)-(D351-B351))),9)</f>
        <v/>
      </c>
      <c r="I351" s="49">
        <f>TRUNC((G351*H351-G351),8)</f>
        <v/>
      </c>
      <c r="J351" s="49">
        <f>G351+I351</f>
        <v/>
      </c>
      <c r="K351" s="256" t="n"/>
      <c r="L351" s="256" t="n"/>
      <c r="M351" s="256" t="n"/>
      <c r="N351" s="256" t="n"/>
      <c r="O351" s="256" t="n"/>
      <c r="P351" s="256" t="n"/>
      <c r="Q351" s="256" t="n"/>
    </row>
    <row r="352">
      <c r="A352">
        <f>IF(DAY(D352)=DAY($L$1+1),A351+1,A351)</f>
        <v/>
      </c>
      <c r="B352" s="46">
        <f>IF(DAY(D352)=DAY($L$1+1),1,B351+1)</f>
        <v/>
      </c>
      <c r="C352" s="46">
        <f>IF(DAY(D352)=DAY($L$1+1),1,C351+1)</f>
        <v/>
      </c>
      <c r="D352" s="2">
        <f>D351+1</f>
        <v/>
      </c>
      <c r="E352" s="8">
        <f>IF(DAY(D352)=DAY($L$1+1),TRUNC((N351),8),E351)</f>
        <v/>
      </c>
      <c r="F352" s="49">
        <f>TRUNC(((1+VLOOKUP(A352,IPCA!$A$2:$C$140,3,0)))^(C352/(EDATE(D352-C352,1)-(D352-C352))),8)</f>
        <v/>
      </c>
      <c r="G352" s="49">
        <f>TRUNC((E352*F352),8)</f>
        <v/>
      </c>
      <c r="H352" s="49">
        <f>ROUND(((1+$H$4)^(30/360))^(C352/(EDATE(D352-B352,1)-(D352-B352))),9)</f>
        <v/>
      </c>
      <c r="I352" s="49">
        <f>TRUNC((G352*H352-G352),8)</f>
        <v/>
      </c>
      <c r="J352" s="49">
        <f>G352+I352</f>
        <v/>
      </c>
      <c r="K352" s="256" t="inlineStr">
        <is>
          <t>Cri Integralizado</t>
        </is>
      </c>
      <c r="L352" s="270">
        <f>L321</f>
        <v/>
      </c>
      <c r="M352" s="256" t="n"/>
      <c r="N352" s="256" t="n"/>
      <c r="O352" s="256" t="n"/>
      <c r="P352" s="256" t="n"/>
      <c r="Q352" s="256" t="n"/>
    </row>
    <row r="353">
      <c r="A353">
        <f>IF(DAY(D353)=DAY($L$1+1),A352+1,A352)</f>
        <v/>
      </c>
      <c r="B353" s="46">
        <f>IF(DAY(D353)=DAY($L$1+1),1,B352+1)</f>
        <v/>
      </c>
      <c r="C353" s="46">
        <f>IF(DAY(D353)=DAY($L$1+1),1,C352+1)</f>
        <v/>
      </c>
      <c r="D353" s="2">
        <f>D352+1</f>
        <v/>
      </c>
      <c r="E353" s="8">
        <f>IF(DAY(D353)=DAY($L$1+1),TRUNC((N352),8),E352)</f>
        <v/>
      </c>
      <c r="F353" s="49">
        <f>TRUNC(((1+VLOOKUP(A353,IPCA!$A$2:$C$140,3,0)))^(C353/(EDATE(D353-C353,1)-(D353-C353))),8)</f>
        <v/>
      </c>
      <c r="G353" s="49">
        <f>TRUNC((E353*F353),8)</f>
        <v/>
      </c>
      <c r="H353" s="49">
        <f>ROUND(((1+$H$4)^(30/360))^(C353/(EDATE(D353-B353,1)-(D353-B353))),9)</f>
        <v/>
      </c>
      <c r="I353" s="49">
        <f>TRUNC((G353*H353-G353),8)</f>
        <v/>
      </c>
      <c r="J353" s="49">
        <f>G353+I353</f>
        <v/>
      </c>
      <c r="K353" s="118" t="inlineStr">
        <is>
          <t>JUROS</t>
        </is>
      </c>
      <c r="L353" s="118" t="inlineStr">
        <is>
          <t>AMORTIZAÇÃO</t>
        </is>
      </c>
      <c r="M353" s="118" t="inlineStr">
        <is>
          <t>AMEX</t>
        </is>
      </c>
      <c r="N353" s="118" t="inlineStr">
        <is>
          <t>RESIDUAL</t>
        </is>
      </c>
      <c r="O353" s="256" t="n"/>
      <c r="P353" s="256" t="n"/>
      <c r="Q353" s="256" t="n"/>
    </row>
    <row r="354">
      <c r="A354">
        <f>IF(DAY(D354)=DAY($L$1+1),A353+1,A353)</f>
        <v/>
      </c>
      <c r="B354" s="111">
        <f>IF(DAY(D354)=DAY($L$1+1),1,B353+1)</f>
        <v/>
      </c>
      <c r="C354" s="111">
        <f>IF(DAY(D354)=DAY($L$1+1),1,C353+1)</f>
        <v/>
      </c>
      <c r="D354" s="112">
        <f>D353+1</f>
        <v/>
      </c>
      <c r="E354" s="113">
        <f>IF(DAY(D354)=DAY($L$1+1),TRUNC((N353),8),E353)</f>
        <v/>
      </c>
      <c r="F354" s="114">
        <f>TRUNC(((1+VLOOKUP(A354,IPCA!$A$2:$C$140,3,0)))^(C354/(EDATE(D354-C354,1)-(D354-C354))),8)</f>
        <v/>
      </c>
      <c r="G354" s="114">
        <f>TRUNC((E354*F354),8)</f>
        <v/>
      </c>
      <c r="H354" s="114">
        <f>ROUND(((1+$H$4)^(30/360))^(C354/(EDATE(D354-B354,1)-(D354-B354))),9)</f>
        <v/>
      </c>
      <c r="I354" s="114">
        <f>TRUNC((G354*H354-G354),8)</f>
        <v/>
      </c>
      <c r="J354" s="114">
        <f>G354+I354</f>
        <v/>
      </c>
      <c r="K354" s="119" t="n">
        <v>0</v>
      </c>
      <c r="L354" s="120">
        <f>TRUNC(G354*VLOOKUP(D354,'Amort TS'!$G$3:$H$140,2,0),8)</f>
        <v/>
      </c>
      <c r="M354" s="120" t="n">
        <v>0</v>
      </c>
      <c r="N354" s="120">
        <f>J354-K354-L354-M354</f>
        <v/>
      </c>
      <c r="O354" s="256" t="n"/>
      <c r="P354" s="256" t="n"/>
      <c r="Q354" s="256" t="n"/>
    </row>
    <row r="355">
      <c r="A355">
        <f>IF(DAY(D355)=DAY($L$1+1),A354+1,A354)</f>
        <v/>
      </c>
      <c r="B355" s="46">
        <f>IF(DAY(D355)=DAY($L$1+1),1,B354+1)</f>
        <v/>
      </c>
      <c r="C355" s="46">
        <f>IF(DAY(D355)=DAY($L$1+1),1,C354+1)</f>
        <v/>
      </c>
      <c r="D355" s="47">
        <f>D354+1</f>
        <v/>
      </c>
      <c r="E355" s="8">
        <f>IF(DAY(D355)=DAY($L$1+1),TRUNC((N354),8),E354)</f>
        <v/>
      </c>
      <c r="F355" s="49">
        <f>TRUNC(((1+VLOOKUP(A355,IPCA!$A$2:$C$140,3,0)))^(C355/(EDATE(D355-C355,1)-(D355-C355))),8)</f>
        <v/>
      </c>
      <c r="G355" s="49">
        <f>TRUNC((E355*F355),8)</f>
        <v/>
      </c>
      <c r="H355" s="49">
        <f>ROUND(((1+$H$4)^(30/360))^(C355/(EDATE(D355-B355,1)-(D355-B355))),9)</f>
        <v/>
      </c>
      <c r="I355" s="49">
        <f>TRUNC((G355*H355-G355),8)</f>
        <v/>
      </c>
      <c r="J355" s="49">
        <f>G355+I355</f>
        <v/>
      </c>
      <c r="K355" s="121">
        <f>K354*L352</f>
        <v/>
      </c>
      <c r="L355" s="121">
        <f>L354*L352</f>
        <v/>
      </c>
      <c r="M355" s="121">
        <f>M354*L352</f>
        <v/>
      </c>
      <c r="N355" s="121">
        <f>N354*L352</f>
        <v/>
      </c>
      <c r="O355" s="256" t="n"/>
      <c r="P355" s="256" t="n"/>
      <c r="Q355" s="256" t="n"/>
    </row>
    <row r="356">
      <c r="A356">
        <f>IF(DAY(D356)=DAY($L$1+1),A355+1,A355)</f>
        <v/>
      </c>
      <c r="B356" s="46">
        <f>IF(DAY(D356)=DAY($L$1+1),1,B355+1)</f>
        <v/>
      </c>
      <c r="C356" s="46">
        <f>IF(DAY(D356)=DAY($L$1+1),1,C355+1)</f>
        <v/>
      </c>
      <c r="D356" s="2">
        <f>D355+1</f>
        <v/>
      </c>
      <c r="E356" s="8">
        <f>IF(DAY(D356)=DAY($L$1+1),TRUNC((N355),8),E355)</f>
        <v/>
      </c>
      <c r="F356" s="49">
        <f>TRUNC(((1+VLOOKUP(A356,IPCA!$A$2:$C$140,3,0)))^(C356/(EDATE(D356-C356,1)-(D356-C356))),8)</f>
        <v/>
      </c>
      <c r="G356" s="49">
        <f>TRUNC((E356*F356),8)</f>
        <v/>
      </c>
      <c r="H356" s="49">
        <f>ROUND(((1+$H$4)^(30/360))^(C356/(EDATE(D356-B356,1)-(D356-B356))),9)</f>
        <v/>
      </c>
      <c r="I356" s="49">
        <f>TRUNC((G356*H356-G356),8)</f>
        <v/>
      </c>
      <c r="J356" s="49">
        <f>G356+I356</f>
        <v/>
      </c>
      <c r="K356" s="256" t="n"/>
      <c r="L356" s="256" t="n"/>
      <c r="M356" s="256" t="n"/>
      <c r="N356" s="256" t="n"/>
      <c r="O356" s="256" t="n"/>
      <c r="P356" s="256" t="n"/>
      <c r="Q356" s="256" t="n"/>
    </row>
    <row r="357">
      <c r="A357">
        <f>IF(DAY(D357)=DAY($L$1+1),A356+1,A356)</f>
        <v/>
      </c>
      <c r="B357" s="46">
        <f>IF(DAY(D357)=DAY($L$1+1),1,B356+1)</f>
        <v/>
      </c>
      <c r="C357" s="46">
        <f>IF(DAY(D357)=DAY($L$1+1),1,C356+1)</f>
        <v/>
      </c>
      <c r="D357" s="2">
        <f>D356+1</f>
        <v/>
      </c>
      <c r="E357" s="8">
        <f>IF(DAY(D357)=DAY($L$1+1),TRUNC((#REF!),8),E356)</f>
        <v/>
      </c>
      <c r="F357" s="49">
        <f>TRUNC(((1+VLOOKUP(A357,IPCA!$A$2:$C$140,3,0)))^(C357/(EDATE(D357-C357,1)-(D357-C357))),8)</f>
        <v/>
      </c>
      <c r="G357" s="49">
        <f>TRUNC((E357*F357),8)</f>
        <v/>
      </c>
      <c r="H357" s="49">
        <f>ROUND(((1+$H$4)^(30/360))^(C357/(EDATE(D357-B357,1)-(D357-B357))),9)</f>
        <v/>
      </c>
      <c r="I357" s="49">
        <f>TRUNC((G357*H357-G357),8)</f>
        <v/>
      </c>
      <c r="J357" s="49">
        <f>G357+I357</f>
        <v/>
      </c>
      <c r="K357" s="256" t="n"/>
      <c r="L357" s="256" t="n"/>
      <c r="M357" s="256" t="n"/>
      <c r="N357" s="256" t="n"/>
      <c r="O357" s="256" t="n"/>
      <c r="P357" s="256" t="n"/>
      <c r="Q357" s="256" t="n"/>
    </row>
    <row r="358">
      <c r="A358">
        <f>IF(DAY(D358)=DAY($L$1+1),A357+1,A357)</f>
        <v/>
      </c>
      <c r="B358" s="46">
        <f>IF(DAY(D358)=DAY($L$1+1),1,B357+1)</f>
        <v/>
      </c>
      <c r="C358" s="46">
        <f>IF(DAY(D358)=DAY($L$1+1),1,C357+1)</f>
        <v/>
      </c>
      <c r="D358" s="2">
        <f>D357+1</f>
        <v/>
      </c>
      <c r="E358" s="8">
        <f>IF(DAY(D358)=DAY($L$1+1),TRUNC((#REF!),8),E357)</f>
        <v/>
      </c>
      <c r="F358" s="49">
        <f>TRUNC(((1+VLOOKUP(A358,IPCA!$A$2:$C$140,3,0)))^(C358/(EDATE(D358-C358,1)-(D358-C358))),8)</f>
        <v/>
      </c>
      <c r="G358" s="49">
        <f>TRUNC((E358*F358),8)</f>
        <v/>
      </c>
      <c r="H358" s="49">
        <f>ROUND(((1+$H$4)^(30/360))^(C358/(EDATE(D358-B358,1)-(D358-B358))),9)</f>
        <v/>
      </c>
      <c r="I358" s="49">
        <f>TRUNC((G358*H358-G358),8)</f>
        <v/>
      </c>
      <c r="J358" s="49">
        <f>G358+I358</f>
        <v/>
      </c>
      <c r="K358" s="256" t="n"/>
      <c r="L358" s="256" t="n"/>
      <c r="M358" s="256" t="n"/>
      <c r="N358" s="256" t="n"/>
      <c r="O358" s="256" t="n"/>
      <c r="P358" s="256" t="n"/>
      <c r="Q358" s="256" t="n"/>
    </row>
    <row r="359">
      <c r="A359">
        <f>IF(DAY(D359)=DAY($L$1+1),A358+1,A358)</f>
        <v/>
      </c>
      <c r="B359" s="46">
        <f>IF(DAY(D359)=DAY($L$1+1),1,B358+1)</f>
        <v/>
      </c>
      <c r="C359" s="46">
        <f>IF(DAY(D359)=DAY($L$1+1),1,C358+1)</f>
        <v/>
      </c>
      <c r="D359" s="2">
        <f>D358+1</f>
        <v/>
      </c>
      <c r="E359" s="8">
        <f>IF(DAY(D359)=DAY($L$1+1),TRUNC((#REF!),8),E358)</f>
        <v/>
      </c>
      <c r="F359" s="49">
        <f>TRUNC(((1+VLOOKUP(A359,IPCA!$A$2:$C$140,3,0)))^(C359/(EDATE(D359-C359,1)-(D359-C359))),8)</f>
        <v/>
      </c>
      <c r="G359" s="49">
        <f>TRUNC((E359*F359),8)</f>
        <v/>
      </c>
      <c r="H359" s="49">
        <f>ROUND(((1+$H$4)^(30/360))^(C359/(EDATE(D359-B359,1)-(D359-B359))),9)</f>
        <v/>
      </c>
      <c r="I359" s="49">
        <f>TRUNC((G359*H359-G359),8)</f>
        <v/>
      </c>
      <c r="J359" s="49">
        <f>G359+I359</f>
        <v/>
      </c>
      <c r="K359" s="256" t="n"/>
      <c r="L359" s="256" t="n"/>
      <c r="M359" s="256" t="n"/>
      <c r="N359" s="256" t="n"/>
      <c r="O359" s="256" t="n"/>
      <c r="P359" s="256" t="n"/>
      <c r="Q359" s="256" t="n"/>
    </row>
    <row r="360">
      <c r="A360">
        <f>IF(DAY(D360)=DAY($L$1+1),A359+1,A359)</f>
        <v/>
      </c>
      <c r="B360" s="46">
        <f>IF(DAY(D360)=DAY($L$1+1),1,B359+1)</f>
        <v/>
      </c>
      <c r="C360" s="46">
        <f>IF(DAY(D360)=DAY($L$1+1),1,C359+1)</f>
        <v/>
      </c>
      <c r="D360" s="2">
        <f>D359+1</f>
        <v/>
      </c>
      <c r="E360" s="8">
        <f>IF(DAY(D360)=DAY($L$1+1),TRUNC((#REF!),8),E359)</f>
        <v/>
      </c>
      <c r="F360" s="49">
        <f>TRUNC(((1+VLOOKUP(A360,IPCA!$A$2:$C$140,3,0)))^(C360/(EDATE(D360-C360,1)-(D360-C360))),8)</f>
        <v/>
      </c>
      <c r="G360" s="49">
        <f>TRUNC((E360*F360),8)</f>
        <v/>
      </c>
      <c r="H360" s="49">
        <f>ROUND(((1+$H$4)^(30/360))^(C360/(EDATE(D360-B360,1)-(D360-B360))),9)</f>
        <v/>
      </c>
      <c r="I360" s="49">
        <f>TRUNC((G360*H360-G360),8)</f>
        <v/>
      </c>
      <c r="J360" s="49">
        <f>G360+I360</f>
        <v/>
      </c>
      <c r="K360" s="256" t="n"/>
      <c r="L360" s="256" t="n"/>
      <c r="M360" s="256" t="n"/>
      <c r="N360" s="256" t="n"/>
      <c r="O360" s="256" t="n"/>
      <c r="P360" s="256" t="n"/>
      <c r="Q360" s="256" t="n"/>
    </row>
    <row r="361">
      <c r="A361">
        <f>IF(DAY(D361)=DAY($L$1+1),A360+1,A360)</f>
        <v/>
      </c>
      <c r="B361" s="46">
        <f>IF(DAY(D361)=DAY($L$1+1),1,B360+1)</f>
        <v/>
      </c>
      <c r="C361" s="46">
        <f>IF(DAY(D361)=DAY($L$1+1),1,C360+1)</f>
        <v/>
      </c>
      <c r="D361" s="2">
        <f>D360+1</f>
        <v/>
      </c>
      <c r="E361" s="8">
        <f>IF(DAY(D361)=DAY($L$1+1),TRUNC((#REF!),8),E360)</f>
        <v/>
      </c>
      <c r="F361" s="49">
        <f>TRUNC(((1+VLOOKUP(A361,IPCA!$A$2:$C$140,3,0)))^(C361/(EDATE(D361-C361,1)-(D361-C361))),8)</f>
        <v/>
      </c>
      <c r="G361" s="49">
        <f>TRUNC((E361*F361),8)</f>
        <v/>
      </c>
      <c r="H361" s="49">
        <f>ROUND(((1+$H$4)^(30/360))^(C361/(EDATE(D361-B361,1)-(D361-B361))),9)</f>
        <v/>
      </c>
      <c r="I361" s="49">
        <f>TRUNC((G361*H361-G361),8)</f>
        <v/>
      </c>
      <c r="J361" s="49">
        <f>G361+I361</f>
        <v/>
      </c>
      <c r="K361" s="256" t="n"/>
      <c r="L361" s="256" t="n"/>
      <c r="M361" s="256" t="n"/>
      <c r="N361" s="256" t="n"/>
      <c r="O361" s="256" t="n"/>
      <c r="P361" s="256" t="n"/>
      <c r="Q361" s="256" t="n"/>
    </row>
    <row r="362">
      <c r="A362">
        <f>IF(DAY(D362)=DAY($L$1+1),A361+1,A361)</f>
        <v/>
      </c>
      <c r="B362" s="46">
        <f>IF(DAY(D362)=DAY($L$1+1),1,B361+1)</f>
        <v/>
      </c>
      <c r="C362" s="46">
        <f>IF(DAY(D362)=DAY($L$1+1),1,C361+1)</f>
        <v/>
      </c>
      <c r="D362" s="2">
        <f>D361+1</f>
        <v/>
      </c>
      <c r="E362" s="8">
        <f>IF(DAY(D362)=DAY($L$1+1),TRUNC((#REF!),8),E361)</f>
        <v/>
      </c>
      <c r="F362" s="49">
        <f>TRUNC(((1+VLOOKUP(A362,IPCA!$A$2:$C$140,3,0)))^(C362/(EDATE(D362-C362,1)-(D362-C362))),8)</f>
        <v/>
      </c>
      <c r="G362" s="49">
        <f>TRUNC((E362*F362),8)</f>
        <v/>
      </c>
      <c r="H362" s="49">
        <f>ROUND(((1+$H$4)^(30/360))^(C362/(EDATE(D362-B362,1)-(D362-B362))),9)</f>
        <v/>
      </c>
      <c r="I362" s="49">
        <f>TRUNC((G362*H362-G362),8)</f>
        <v/>
      </c>
      <c r="J362" s="49">
        <f>G362+I362</f>
        <v/>
      </c>
      <c r="K362" s="256" t="n"/>
      <c r="L362" s="256" t="n"/>
      <c r="M362" s="256" t="n"/>
      <c r="N362" s="256" t="n"/>
      <c r="O362" s="256" t="n"/>
      <c r="P362" s="256" t="n"/>
      <c r="Q362" s="256" t="n"/>
    </row>
    <row r="363">
      <c r="A363">
        <f>IF(DAY(D363)=DAY($L$1+1),A362+1,A362)</f>
        <v/>
      </c>
      <c r="B363" s="46">
        <f>IF(DAY(D363)=DAY($L$1+1),1,B362+1)</f>
        <v/>
      </c>
      <c r="C363" s="46">
        <f>IF(DAY(D363)=DAY($L$1+1),1,C362+1)</f>
        <v/>
      </c>
      <c r="D363" s="2">
        <f>D362+1</f>
        <v/>
      </c>
      <c r="E363" s="8">
        <f>IF(DAY(D363)=DAY($L$1+1),TRUNC((#REF!),8),E362)</f>
        <v/>
      </c>
      <c r="F363" s="49">
        <f>TRUNC(((1+VLOOKUP(A363,IPCA!$A$2:$C$140,3,0)))^(C363/(EDATE(D363-C363,1)-(D363-C363))),8)</f>
        <v/>
      </c>
      <c r="G363" s="49">
        <f>TRUNC((E363*F363),8)</f>
        <v/>
      </c>
      <c r="H363" s="49">
        <f>ROUND(((1+$H$4)^(30/360))^(C363/(EDATE(D363-B363,1)-(D363-B363))),9)</f>
        <v/>
      </c>
      <c r="I363" s="49">
        <f>TRUNC((G363*H363-G363),8)</f>
        <v/>
      </c>
      <c r="J363" s="49">
        <f>G363+I363</f>
        <v/>
      </c>
      <c r="K363" s="256" t="n"/>
      <c r="L363" s="256" t="n"/>
      <c r="M363" s="256" t="n"/>
      <c r="N363" s="256" t="n"/>
      <c r="O363" s="256" t="n"/>
      <c r="P363" s="256" t="n"/>
      <c r="Q363" s="256" t="n"/>
    </row>
    <row r="364">
      <c r="A364">
        <f>IF(DAY(D364)=DAY($L$1+1),A363+1,A363)</f>
        <v/>
      </c>
      <c r="B364" s="46">
        <f>IF(DAY(D364)=DAY($L$1+1),1,B363+1)</f>
        <v/>
      </c>
      <c r="C364" s="46">
        <f>IF(DAY(D364)=DAY($L$1+1),1,C363+1)</f>
        <v/>
      </c>
      <c r="D364" s="2">
        <f>D363+1</f>
        <v/>
      </c>
      <c r="E364" s="8">
        <f>IF(DAY(D364)=DAY($L$1+1),TRUNC((#REF!),8),E363)</f>
        <v/>
      </c>
      <c r="F364" s="49">
        <f>TRUNC(((1+VLOOKUP(A364,IPCA!$A$2:$C$140,3,0)))^(C364/(EDATE(D364-C364,1)-(D364-C364))),8)</f>
        <v/>
      </c>
      <c r="G364" s="49">
        <f>TRUNC((E364*F364),8)</f>
        <v/>
      </c>
      <c r="H364" s="49">
        <f>ROUND(((1+$H$4)^(30/360))^(C364/(EDATE(D364-B364,1)-(D364-B364))),9)</f>
        <v/>
      </c>
      <c r="I364" s="49">
        <f>TRUNC((G364*H364-G364),8)</f>
        <v/>
      </c>
      <c r="J364" s="49">
        <f>G364+I364</f>
        <v/>
      </c>
      <c r="K364" s="256" t="n"/>
      <c r="L364" s="256" t="n"/>
      <c r="M364" s="256" t="n"/>
      <c r="N364" s="256" t="n"/>
      <c r="O364" s="256" t="n"/>
      <c r="P364" s="256" t="n"/>
      <c r="Q364" s="256" t="n"/>
    </row>
    <row r="365">
      <c r="A365">
        <f>IF(DAY(D365)=DAY($L$1+1),A364+1,A364)</f>
        <v/>
      </c>
      <c r="B365" s="46">
        <f>IF(DAY(D365)=DAY($L$1+1),1,B364+1)</f>
        <v/>
      </c>
      <c r="C365" s="46">
        <f>IF(DAY(D365)=DAY($L$1+1),1,C364+1)</f>
        <v/>
      </c>
      <c r="D365" s="2">
        <f>D364+1</f>
        <v/>
      </c>
      <c r="E365" s="8">
        <f>IF(DAY(D365)=DAY($L$1+1),TRUNC((N364),8),E364)</f>
        <v/>
      </c>
      <c r="F365" s="49">
        <f>TRUNC(((1+VLOOKUP(A365,IPCA!$A$2:$C$140,3,0)))^(C365/(EDATE(D365-C365,1)-(D365-C365))),8)</f>
        <v/>
      </c>
      <c r="G365" s="49">
        <f>TRUNC((E365*F365),8)</f>
        <v/>
      </c>
      <c r="H365" s="49">
        <f>ROUND(((1+$H$4)^(30/360))^(C365/(EDATE(D365-B365,1)-(D365-B365))),9)</f>
        <v/>
      </c>
      <c r="I365" s="49">
        <f>TRUNC((G365*H365-G365),8)</f>
        <v/>
      </c>
      <c r="J365" s="49">
        <f>G365+I365</f>
        <v/>
      </c>
      <c r="K365" s="256" t="n"/>
      <c r="L365" s="256" t="n"/>
      <c r="M365" s="256" t="n"/>
      <c r="N365" s="256" t="n"/>
      <c r="O365" s="256" t="n"/>
      <c r="P365" s="256" t="n"/>
      <c r="Q365" s="256" t="n"/>
    </row>
    <row r="366">
      <c r="A366">
        <f>IF(DAY(D366)=DAY($L$1+1),A365+1,A365)</f>
        <v/>
      </c>
      <c r="B366" s="46">
        <f>IF(DAY(D366)=DAY($L$1+1),1,B365+1)</f>
        <v/>
      </c>
      <c r="C366" s="46">
        <f>IF(DAY(D366)=DAY($L$1+1),1,C365+1)</f>
        <v/>
      </c>
      <c r="D366" s="2">
        <f>D365+1</f>
        <v/>
      </c>
      <c r="E366" s="8">
        <f>IF(DAY(D366)=DAY($L$1+1),TRUNC((N365),8),E365)</f>
        <v/>
      </c>
      <c r="F366" s="49">
        <f>TRUNC(((1+VLOOKUP(A366,IPCA!$A$2:$C$140,3,0)))^(C366/(EDATE(D366-C366,1)-(D366-C366))),8)</f>
        <v/>
      </c>
      <c r="G366" s="49">
        <f>TRUNC((E366*F366),8)</f>
        <v/>
      </c>
      <c r="H366" s="49">
        <f>ROUND(((1+$H$4)^(30/360))^(C366/(EDATE(D366-B366,1)-(D366-B366))),9)</f>
        <v/>
      </c>
      <c r="I366" s="49">
        <f>TRUNC((G366*H366-G366),8)</f>
        <v/>
      </c>
      <c r="J366" s="49">
        <f>G366+I366</f>
        <v/>
      </c>
      <c r="K366" s="256" t="n"/>
      <c r="L366" s="256" t="n"/>
      <c r="M366" s="256" t="n"/>
      <c r="N366" s="256" t="n"/>
      <c r="O366" s="256" t="n"/>
      <c r="P366" s="256" t="n"/>
      <c r="Q366" s="256" t="n"/>
    </row>
    <row r="367">
      <c r="A367">
        <f>IF(DAY(D367)=DAY($L$1+1),A366+1,A366)</f>
        <v/>
      </c>
      <c r="B367" s="46">
        <f>IF(DAY(D367)=DAY($L$1+1),1,B366+1)</f>
        <v/>
      </c>
      <c r="C367" s="46">
        <f>IF(DAY(D367)=DAY($L$1+1),1,C366+1)</f>
        <v/>
      </c>
      <c r="D367" s="2">
        <f>D366+1</f>
        <v/>
      </c>
      <c r="E367" s="8">
        <f>IF(DAY(D367)=DAY($L$1+1),TRUNC((N366),8),E366)</f>
        <v/>
      </c>
      <c r="F367" s="49">
        <f>TRUNC(((1+VLOOKUP(A367,IPCA!$A$2:$C$140,3,0)))^(C367/(EDATE(D367-C367,1)-(D367-C367))),8)</f>
        <v/>
      </c>
      <c r="G367" s="49">
        <f>TRUNC((E367*F367),8)</f>
        <v/>
      </c>
      <c r="H367" s="49">
        <f>ROUND(((1+$H$4)^(30/360))^(C367/(EDATE(D367-B367,1)-(D367-B367))),9)</f>
        <v/>
      </c>
      <c r="I367" s="49">
        <f>TRUNC((G367*H367-G367),8)</f>
        <v/>
      </c>
      <c r="J367" s="49">
        <f>G367+I367</f>
        <v/>
      </c>
      <c r="K367" s="256" t="n"/>
      <c r="L367" s="256" t="n"/>
      <c r="M367" s="256" t="n"/>
      <c r="N367" s="256" t="n"/>
      <c r="O367" s="256" t="n"/>
      <c r="P367" s="256" t="n"/>
      <c r="Q367" s="256" t="n"/>
    </row>
    <row r="368">
      <c r="A368">
        <f>IF(DAY(D368)=DAY($L$1+1),A367+1,A367)</f>
        <v/>
      </c>
      <c r="B368" s="46">
        <f>IF(DAY(D368)=DAY($L$1+1),1,B367+1)</f>
        <v/>
      </c>
      <c r="C368" s="46">
        <f>IF(DAY(D368)=DAY($L$1+1),1,C367+1)</f>
        <v/>
      </c>
      <c r="D368" s="2">
        <f>D367+1</f>
        <v/>
      </c>
      <c r="E368" s="8">
        <f>IF(DAY(D368)=DAY($L$1+1),TRUNC((N367),8),E367)</f>
        <v/>
      </c>
      <c r="F368" s="49">
        <f>TRUNC(((1+VLOOKUP(A368,IPCA!$A$2:$C$140,3,0)))^(C368/(EDATE(D368-C368,1)-(D368-C368))),8)</f>
        <v/>
      </c>
      <c r="G368" s="49">
        <f>TRUNC((E368*F368),8)</f>
        <v/>
      </c>
      <c r="H368" s="49">
        <f>ROUND(((1+$H$4)^(30/360))^(C368/(EDATE(D368-B368,1)-(D368-B368))),9)</f>
        <v/>
      </c>
      <c r="I368" s="49">
        <f>TRUNC((G368*H368-G368),8)</f>
        <v/>
      </c>
      <c r="J368" s="49">
        <f>G368+I368</f>
        <v/>
      </c>
      <c r="K368" s="256" t="n"/>
      <c r="L368" s="256" t="n"/>
      <c r="M368" s="256" t="n"/>
      <c r="N368" s="256" t="n"/>
      <c r="O368" s="256" t="n"/>
      <c r="P368" s="256" t="n"/>
      <c r="Q368" s="256" t="n"/>
    </row>
    <row r="369">
      <c r="A369">
        <f>IF(DAY(D369)=DAY($L$1+1),A368+1,A368)</f>
        <v/>
      </c>
      <c r="B369" s="46">
        <f>IF(DAY(D369)=DAY($L$1+1),1,B368+1)</f>
        <v/>
      </c>
      <c r="C369" s="46">
        <f>IF(DAY(D369)=DAY($L$1+1),1,C368+1)</f>
        <v/>
      </c>
      <c r="D369" s="2">
        <f>D368+1</f>
        <v/>
      </c>
      <c r="E369" s="8">
        <f>IF(DAY(D369)=DAY($L$1+1),TRUNC((N368),8),E368)</f>
        <v/>
      </c>
      <c r="F369" s="49">
        <f>TRUNC(((1+VLOOKUP(A369,IPCA!$A$2:$C$140,3,0)))^(C369/(EDATE(D369-C369,1)-(D369-C369))),8)</f>
        <v/>
      </c>
      <c r="G369" s="49">
        <f>TRUNC((E369*F369),8)</f>
        <v/>
      </c>
      <c r="H369" s="49">
        <f>ROUND(((1+$H$4)^(30/360))^(C369/(EDATE(D369-B369,1)-(D369-B369))),9)</f>
        <v/>
      </c>
      <c r="I369" s="49">
        <f>TRUNC((G369*H369-G369),8)</f>
        <v/>
      </c>
      <c r="J369" s="49">
        <f>G369+I369</f>
        <v/>
      </c>
      <c r="K369" s="123" t="n"/>
      <c r="L369" s="271" t="n"/>
      <c r="M369" s="256" t="n"/>
      <c r="N369" s="256" t="n"/>
      <c r="O369" s="256" t="n"/>
      <c r="P369" s="256" t="n"/>
      <c r="Q369" s="256" t="n"/>
    </row>
    <row r="370">
      <c r="A370">
        <f>IF(DAY(D370)=DAY($L$1+1),A369+1,A369)</f>
        <v/>
      </c>
      <c r="B370" s="46">
        <f>IF(DAY(D370)=DAY($L$1+1),1,B369+1)</f>
        <v/>
      </c>
      <c r="C370" s="46">
        <f>IF(DAY(D370)=DAY($L$1+1),1,C369+1)</f>
        <v/>
      </c>
      <c r="D370" s="2">
        <f>D369+1</f>
        <v/>
      </c>
      <c r="E370" s="8">
        <f>IF(DAY(D370)=DAY($L$1+1),TRUNC((N369),8),E369)</f>
        <v/>
      </c>
      <c r="F370" s="49">
        <f>TRUNC(((1+VLOOKUP(A370,IPCA!$A$2:$C$140,3,0)))^(C370/(EDATE(D370-C370,1)-(D370-C370))),8)</f>
        <v/>
      </c>
      <c r="G370" s="49">
        <f>TRUNC((E370*F370),8)</f>
        <v/>
      </c>
      <c r="H370" s="49">
        <f>ROUND(((1+$H$4)^(30/360))^(C370/(EDATE(D370-B370,1)-(D370-B370))),9)</f>
        <v/>
      </c>
      <c r="I370" s="49">
        <f>TRUNC((G370*H370-G370),8)</f>
        <v/>
      </c>
      <c r="J370" s="49">
        <f>G370+I370</f>
        <v/>
      </c>
      <c r="K370" s="256" t="n"/>
      <c r="L370" s="256" t="n"/>
      <c r="M370" s="256" t="n"/>
      <c r="N370" s="256" t="n"/>
      <c r="O370" s="256" t="n"/>
      <c r="P370" s="256" t="n"/>
      <c r="Q370" s="256" t="n"/>
    </row>
    <row r="371">
      <c r="A371">
        <f>IF(DAY(D371)=DAY($L$1+1),A370+1,A370)</f>
        <v/>
      </c>
      <c r="B371" s="46">
        <f>IF(DAY(D371)=DAY($L$1+1),1,B370+1)</f>
        <v/>
      </c>
      <c r="C371" s="46">
        <f>IF(DAY(D371)=DAY($L$1+1),1,C370+1)</f>
        <v/>
      </c>
      <c r="D371" s="2">
        <f>D370+1</f>
        <v/>
      </c>
      <c r="E371" s="8">
        <f>IF(DAY(D371)=DAY($L$1+1),TRUNC((N370),8),E370)</f>
        <v/>
      </c>
      <c r="F371" s="49">
        <f>TRUNC(((1+VLOOKUP(A371,IPCA!$A$2:$C$140,3,0)))^(C371/(EDATE(D371-C371,1)-(D371-C371))),8)</f>
        <v/>
      </c>
      <c r="G371" s="49">
        <f>TRUNC((E371*F371),8)</f>
        <v/>
      </c>
      <c r="H371" s="49">
        <f>ROUND(((1+$H$4)^(30/360))^(C371/(EDATE(D371-B371,1)-(D371-B371))),9)</f>
        <v/>
      </c>
      <c r="I371" s="49">
        <f>TRUNC((G371*H371-G371),8)</f>
        <v/>
      </c>
      <c r="J371" s="49">
        <f>G371+I371</f>
        <v/>
      </c>
      <c r="K371" s="256" t="n"/>
      <c r="L371" s="256" t="n"/>
      <c r="M371" s="256" t="n"/>
      <c r="N371" s="256" t="n"/>
      <c r="O371" s="256" t="n"/>
      <c r="P371" s="256" t="n"/>
      <c r="Q371" s="256" t="n"/>
    </row>
    <row r="372">
      <c r="A372">
        <f>IF(DAY(D372)=DAY($L$1+1),A371+1,A371)</f>
        <v/>
      </c>
      <c r="B372" s="46">
        <f>IF(DAY(D372)=DAY($L$1+1),1,B371+1)</f>
        <v/>
      </c>
      <c r="C372" s="46">
        <f>IF(DAY(D372)=DAY($L$1+1),1,C371+1)</f>
        <v/>
      </c>
      <c r="D372" s="2">
        <f>D371+1</f>
        <v/>
      </c>
      <c r="E372" s="8">
        <f>IF(DAY(D372)=DAY($L$1+1),TRUNC((N371),8),E371)</f>
        <v/>
      </c>
      <c r="F372" s="49">
        <f>TRUNC(((1+VLOOKUP(A372,IPCA!$A$2:$C$140,3,0)))^(C372/(EDATE(D372-C372,1)-(D372-C372))),8)</f>
        <v/>
      </c>
      <c r="G372" s="49">
        <f>TRUNC((E372*F372),8)</f>
        <v/>
      </c>
      <c r="H372" s="49">
        <f>ROUND(((1+$H$4)^(30/360))^(C372/(EDATE(D372-B372,1)-(D372-B372))),9)</f>
        <v/>
      </c>
      <c r="I372" s="49">
        <f>TRUNC((G372*H372-G372),8)</f>
        <v/>
      </c>
      <c r="J372" s="49">
        <f>G372+I372</f>
        <v/>
      </c>
      <c r="K372" s="256" t="n"/>
      <c r="L372" s="256" t="n"/>
      <c r="M372" s="256" t="n"/>
      <c r="N372" s="256" t="n"/>
      <c r="O372" s="256" t="n"/>
      <c r="P372" s="256" t="n"/>
      <c r="Q372" s="256" t="n"/>
    </row>
    <row r="373">
      <c r="A373">
        <f>IF(DAY(D373)=DAY($L$1+1),A372+1,A372)</f>
        <v/>
      </c>
      <c r="B373" s="46">
        <f>IF(DAY(D373)=DAY($L$1+1),1,B372+1)</f>
        <v/>
      </c>
      <c r="C373" s="46">
        <f>IF(DAY(D373)=DAY($L$1+1),1,C372+1)</f>
        <v/>
      </c>
      <c r="D373" s="2">
        <f>D372+1</f>
        <v/>
      </c>
      <c r="E373" s="8">
        <f>IF(DAY(D373)=DAY($L$1+1),TRUNC((N372),8),E372)</f>
        <v/>
      </c>
      <c r="F373" s="49">
        <f>TRUNC(((1+VLOOKUP(A373,IPCA!$A$2:$C$140,3,0)))^(C373/(EDATE(D373-C373,1)-(D373-C373))),8)</f>
        <v/>
      </c>
      <c r="G373" s="49">
        <f>TRUNC((E373*F373),8)</f>
        <v/>
      </c>
      <c r="H373" s="49">
        <f>ROUND(((1+$H$4)^(30/360))^(C373/(EDATE(D373-B373,1)-(D373-B373))),9)</f>
        <v/>
      </c>
      <c r="I373" s="49">
        <f>TRUNC((G373*H373-G373),8)</f>
        <v/>
      </c>
      <c r="J373" s="49">
        <f>G373+I373</f>
        <v/>
      </c>
      <c r="K373" s="256" t="n"/>
      <c r="L373" s="256" t="n"/>
      <c r="M373" s="256" t="n"/>
      <c r="N373" s="256" t="n"/>
      <c r="O373" s="256" t="n"/>
      <c r="P373" s="256" t="n"/>
      <c r="Q373" s="256" t="n"/>
    </row>
    <row r="374">
      <c r="A374">
        <f>IF(DAY(D374)=DAY($L$1+1),A373+1,A373)</f>
        <v/>
      </c>
      <c r="B374" s="46">
        <f>IF(DAY(D374)=DAY($L$1+1),1,B373+1)</f>
        <v/>
      </c>
      <c r="C374" s="46">
        <f>IF(DAY(D374)=DAY($L$1+1),1,C373+1)</f>
        <v/>
      </c>
      <c r="D374" s="2">
        <f>D373+1</f>
        <v/>
      </c>
      <c r="E374" s="8">
        <f>IF(DAY(D374)=DAY($L$1+1),TRUNC((N373),8),E373)</f>
        <v/>
      </c>
      <c r="F374" s="49">
        <f>TRUNC(((1+VLOOKUP(A374,IPCA!$A$2:$C$140,3,0)))^(C374/(EDATE(D374-C374,1)-(D374-C374))),8)</f>
        <v/>
      </c>
      <c r="G374" s="49">
        <f>TRUNC((E374*F374),8)</f>
        <v/>
      </c>
      <c r="H374" s="49">
        <f>ROUND(((1+$H$4)^(30/360))^(C374/(EDATE(D374-B374,1)-(D374-B374))),9)</f>
        <v/>
      </c>
      <c r="I374" s="49">
        <f>TRUNC((G374*H374-G374),8)</f>
        <v/>
      </c>
      <c r="J374" s="49">
        <f>G374+I374</f>
        <v/>
      </c>
      <c r="K374" s="256" t="n"/>
      <c r="L374" s="256" t="n"/>
      <c r="M374" s="256" t="n"/>
      <c r="N374" s="256" t="n"/>
      <c r="O374" s="256" t="n"/>
      <c r="P374" s="256" t="n"/>
      <c r="Q374" s="256" t="n"/>
    </row>
    <row r="375">
      <c r="A375">
        <f>IF(DAY(D375)=DAY($L$1+1),A374+1,A374)</f>
        <v/>
      </c>
      <c r="B375" s="46">
        <f>IF(DAY(D375)=DAY($L$1+1),1,B374+1)</f>
        <v/>
      </c>
      <c r="C375" s="46">
        <f>IF(DAY(D375)=DAY($L$1+1),1,C374+1)</f>
        <v/>
      </c>
      <c r="D375" s="2">
        <f>D374+1</f>
        <v/>
      </c>
      <c r="E375" s="8">
        <f>IF(DAY(D375)=DAY($L$1+1),TRUNC((N374),8),E374)</f>
        <v/>
      </c>
      <c r="F375" s="49">
        <f>TRUNC(((1+VLOOKUP(A375,IPCA!$A$2:$C$140,3,0)))^(C375/(EDATE(D375-C375,1)-(D375-C375))),8)</f>
        <v/>
      </c>
      <c r="G375" s="49">
        <f>TRUNC((E375*F375),8)</f>
        <v/>
      </c>
      <c r="H375" s="49">
        <f>ROUND(((1+$H$4)^(30/360))^(C375/(EDATE(D375-B375,1)-(D375-B375))),9)</f>
        <v/>
      </c>
      <c r="I375" s="49">
        <f>TRUNC((G375*H375-G375),8)</f>
        <v/>
      </c>
      <c r="J375" s="49">
        <f>G375+I375</f>
        <v/>
      </c>
      <c r="K375" s="256" t="n"/>
      <c r="L375" s="256" t="n"/>
      <c r="M375" s="256" t="n"/>
      <c r="N375" s="256" t="n"/>
      <c r="O375" s="256" t="n"/>
      <c r="P375" s="256" t="n"/>
      <c r="Q375" s="256" t="n"/>
    </row>
    <row r="376">
      <c r="A376">
        <f>IF(DAY(D376)=DAY($L$1+1),A375+1,A375)</f>
        <v/>
      </c>
      <c r="B376" s="46">
        <f>IF(DAY(D376)=DAY($L$1+1),1,B375+1)</f>
        <v/>
      </c>
      <c r="C376" s="46">
        <f>IF(DAY(D376)=DAY($L$1+1),1,C375+1)</f>
        <v/>
      </c>
      <c r="D376" s="2">
        <f>D375+1</f>
        <v/>
      </c>
      <c r="E376" s="8">
        <f>IF(DAY(D376)=DAY($L$1+1),TRUNC((N375),8),E375)</f>
        <v/>
      </c>
      <c r="F376" s="49">
        <f>TRUNC(((1+VLOOKUP(A376,IPCA!$A$2:$C$140,3,0)))^(C376/(EDATE(D376-C376,1)-(D376-C376))),8)</f>
        <v/>
      </c>
      <c r="G376" s="49">
        <f>TRUNC((E376*F376),8)</f>
        <v/>
      </c>
      <c r="H376" s="49">
        <f>ROUND(((1+$H$4)^(30/360))^(C376/(EDATE(D376-B376,1)-(D376-B376))),9)</f>
        <v/>
      </c>
      <c r="I376" s="49">
        <f>TRUNC((G376*H376-G376),8)</f>
        <v/>
      </c>
      <c r="J376" s="49">
        <f>G376+I376</f>
        <v/>
      </c>
      <c r="K376" s="256" t="n"/>
      <c r="L376" s="256" t="n"/>
      <c r="M376" s="256" t="n"/>
      <c r="N376" s="256" t="n"/>
      <c r="O376" s="256" t="n"/>
      <c r="P376" s="256" t="n"/>
      <c r="Q376" s="256" t="n"/>
    </row>
    <row r="377">
      <c r="A377">
        <f>IF(DAY(D377)=DAY($L$1+1),A376+1,A376)</f>
        <v/>
      </c>
      <c r="B377" s="46">
        <f>IF(DAY(D377)=DAY($L$1+1),1,B376+1)</f>
        <v/>
      </c>
      <c r="C377" s="46">
        <f>IF(DAY(D377)=DAY($L$1+1),1,C376+1)</f>
        <v/>
      </c>
      <c r="D377" s="2">
        <f>D376+1</f>
        <v/>
      </c>
      <c r="E377" s="8">
        <f>IF(DAY(D377)=DAY($L$1+1),TRUNC((N376),8),E376)</f>
        <v/>
      </c>
      <c r="F377" s="49">
        <f>TRUNC(((1+VLOOKUP(A377,IPCA!$A$2:$C$140,3,0)))^(C377/(EDATE(D377-C377,1)-(D377-C377))),8)</f>
        <v/>
      </c>
      <c r="G377" s="49">
        <f>TRUNC((E377*F377),8)</f>
        <v/>
      </c>
      <c r="H377" s="49">
        <f>ROUND(((1+$H$4)^(30/360))^(C377/(EDATE(D377-B377,1)-(D377-B377))),9)</f>
        <v/>
      </c>
      <c r="I377" s="49">
        <f>TRUNC((G377*H377-G377),8)</f>
        <v/>
      </c>
      <c r="J377" s="49">
        <f>G377+I377</f>
        <v/>
      </c>
      <c r="K377" s="256" t="n"/>
      <c r="L377" s="256" t="n"/>
      <c r="M377" s="256" t="n"/>
      <c r="N377" s="256" t="n"/>
      <c r="O377" s="256" t="n"/>
      <c r="P377" s="256" t="n"/>
      <c r="Q377" s="256" t="n"/>
    </row>
    <row r="378">
      <c r="A378">
        <f>IF(DAY(D378)=DAY($L$1+1),A377+1,A377)</f>
        <v/>
      </c>
      <c r="B378" s="46">
        <f>IF(DAY(D378)=DAY($L$1+1),1,B377+1)</f>
        <v/>
      </c>
      <c r="C378" s="46">
        <f>IF(DAY(D378)=DAY($L$1+1),1,C377+1)</f>
        <v/>
      </c>
      <c r="D378" s="2">
        <f>D377+1</f>
        <v/>
      </c>
      <c r="E378" s="8">
        <f>IF(DAY(D378)=DAY($L$1+1),TRUNC((N377),8),E377)</f>
        <v/>
      </c>
      <c r="F378" s="49">
        <f>TRUNC(((1+VLOOKUP(A378,IPCA!$A$2:$C$140,3,0)))^(C378/(EDATE(D378-C378,1)-(D378-C378))),8)</f>
        <v/>
      </c>
      <c r="G378" s="49">
        <f>TRUNC((E378*F378),8)</f>
        <v/>
      </c>
      <c r="H378" s="49">
        <f>ROUND(((1+$H$4)^(30/360))^(C378/(EDATE(D378-B378,1)-(D378-B378))),9)</f>
        <v/>
      </c>
      <c r="I378" s="49">
        <f>TRUNC((G378*H378-G378),8)</f>
        <v/>
      </c>
      <c r="J378" s="49">
        <f>G378+I378</f>
        <v/>
      </c>
      <c r="K378" s="256" t="n"/>
      <c r="L378" s="256" t="n"/>
      <c r="M378" s="256" t="n"/>
      <c r="N378" s="256" t="n"/>
      <c r="O378" s="256" t="n"/>
      <c r="P378" s="256" t="n"/>
      <c r="Q378" s="256" t="n"/>
    </row>
    <row r="379">
      <c r="A379">
        <f>IF(DAY(D379)=DAY($L$1+1),A378+1,A378)</f>
        <v/>
      </c>
      <c r="B379" s="46">
        <f>IF(DAY(D379)=DAY($L$1+1),1,B378+1)</f>
        <v/>
      </c>
      <c r="C379" s="46">
        <f>IF(DAY(D379)=DAY($L$1+1),1,C378+1)</f>
        <v/>
      </c>
      <c r="D379" s="2">
        <f>D378+1</f>
        <v/>
      </c>
      <c r="E379" s="8">
        <f>IF(DAY(D379)=DAY($L$1+1),TRUNC((N378),8),E378)</f>
        <v/>
      </c>
      <c r="F379" s="49">
        <f>TRUNC(((1+VLOOKUP(A379,IPCA!$A$2:$C$140,3,0)))^(C379/(EDATE(D379-C379,1)-(D379-C379))),8)</f>
        <v/>
      </c>
      <c r="G379" s="49">
        <f>TRUNC((E379*F379),8)</f>
        <v/>
      </c>
      <c r="H379" s="49">
        <f>ROUND(((1+$H$4)^(30/360))^(C379/(EDATE(D379-B379,1)-(D379-B379))),9)</f>
        <v/>
      </c>
      <c r="I379" s="49">
        <f>TRUNC((G379*H379-G379),8)</f>
        <v/>
      </c>
      <c r="J379" s="49">
        <f>G379+I379</f>
        <v/>
      </c>
      <c r="K379" s="256" t="n"/>
      <c r="L379" s="256" t="n"/>
      <c r="M379" s="256" t="n"/>
      <c r="N379" s="256" t="n"/>
      <c r="O379" s="256" t="n"/>
      <c r="P379" s="256" t="n"/>
      <c r="Q379" s="256" t="n"/>
    </row>
    <row r="380">
      <c r="A380">
        <f>IF(DAY(D380)=DAY($L$1+1),A379+1,A379)</f>
        <v/>
      </c>
      <c r="B380" s="46">
        <f>IF(DAY(D380)=DAY($L$1+1),1,B379+1)</f>
        <v/>
      </c>
      <c r="C380" s="46">
        <f>IF(DAY(D380)=DAY($L$1+1),1,C379+1)</f>
        <v/>
      </c>
      <c r="D380" s="2">
        <f>D379+1</f>
        <v/>
      </c>
      <c r="E380" s="8">
        <f>IF(DAY(D380)=DAY($L$1+1),TRUNC((N379),8),E379)</f>
        <v/>
      </c>
      <c r="F380" s="49">
        <f>TRUNC(((1+VLOOKUP(A380,IPCA!$A$2:$C$140,3,0)))^(C380/(EDATE(D380-C380,1)-(D380-C380))),8)</f>
        <v/>
      </c>
      <c r="G380" s="49">
        <f>TRUNC((E380*F380),8)</f>
        <v/>
      </c>
      <c r="H380" s="49">
        <f>ROUND(((1+$H$4)^(30/360))^(C380/(EDATE(D380-B380,1)-(D380-B380))),9)</f>
        <v/>
      </c>
      <c r="I380" s="49">
        <f>TRUNC((G380*H380-G380),8)</f>
        <v/>
      </c>
      <c r="J380" s="49">
        <f>G380+I380</f>
        <v/>
      </c>
      <c r="K380" s="256" t="n"/>
      <c r="L380" s="256" t="n"/>
      <c r="M380" s="256" t="n"/>
      <c r="N380" s="256" t="n"/>
      <c r="O380" s="256" t="n"/>
      <c r="P380" s="256" t="n"/>
      <c r="Q380" s="256" t="n"/>
    </row>
    <row r="381">
      <c r="A381">
        <f>IF(DAY(D381)=DAY($L$1+1),A380+1,A380)</f>
        <v/>
      </c>
      <c r="B381" s="46">
        <f>IF(DAY(D381)=DAY($L$1+1),1,B380+1)</f>
        <v/>
      </c>
      <c r="C381" s="46">
        <f>IF(DAY(D381)=DAY($L$1+1),1,C380+1)</f>
        <v/>
      </c>
      <c r="D381" s="2">
        <f>D380+1</f>
        <v/>
      </c>
      <c r="E381" s="8">
        <f>IF(DAY(D381)=DAY($L$1+1),TRUNC((N380),8),E380)</f>
        <v/>
      </c>
      <c r="F381" s="49">
        <f>TRUNC(((1+VLOOKUP(A381,IPCA!$A$2:$C$140,3,0)))^(C381/(EDATE(D381-C381,1)-(D381-C381))),8)</f>
        <v/>
      </c>
      <c r="G381" s="49">
        <f>TRUNC((E381*F381),8)</f>
        <v/>
      </c>
      <c r="H381" s="49">
        <f>ROUND(((1+$H$4)^(30/360))^(C381/(EDATE(D381-B381,1)-(D381-B381))),9)</f>
        <v/>
      </c>
      <c r="I381" s="49">
        <f>TRUNC((G381*H381-G381),8)</f>
        <v/>
      </c>
      <c r="J381" s="49">
        <f>G381+I381</f>
        <v/>
      </c>
      <c r="K381" s="256" t="n"/>
      <c r="L381" s="256" t="n"/>
      <c r="M381" s="256" t="n"/>
      <c r="N381" s="256" t="n"/>
      <c r="O381" s="256" t="n"/>
      <c r="P381" s="256" t="n"/>
      <c r="Q381" s="256" t="n"/>
    </row>
    <row r="382">
      <c r="A382">
        <f>IF(DAY(D382)=DAY($L$1+1),A381+1,A381)</f>
        <v/>
      </c>
      <c r="B382" s="46">
        <f>IF(DAY(D382)=DAY($L$1+1),1,B381+1)</f>
        <v/>
      </c>
      <c r="C382" s="46">
        <f>IF(DAY(D382)=DAY($L$1+1),1,C381+1)</f>
        <v/>
      </c>
      <c r="D382" s="2">
        <f>D381+1</f>
        <v/>
      </c>
      <c r="E382" s="8">
        <f>IF(DAY(D382)=DAY($L$1+1),TRUNC((N381),8),E381)</f>
        <v/>
      </c>
      <c r="F382" s="49">
        <f>TRUNC(((1+VLOOKUP(A382,IPCA!$A$2:$C$140,3,0)))^(C382/(EDATE(D382-C382,1)-(D382-C382))),8)</f>
        <v/>
      </c>
      <c r="G382" s="49">
        <f>TRUNC((E382*F382),8)</f>
        <v/>
      </c>
      <c r="H382" s="49">
        <f>ROUND(((1+$H$4)^(30/360))^(C382/(EDATE(D382-B382,1)-(D382-B382))),9)</f>
        <v/>
      </c>
      <c r="I382" s="49">
        <f>TRUNC((G382*H382-G382),8)</f>
        <v/>
      </c>
      <c r="J382" s="49">
        <f>G382+I382</f>
        <v/>
      </c>
      <c r="K382" s="256" t="inlineStr">
        <is>
          <t>Cri Integralizado</t>
        </is>
      </c>
      <c r="L382" s="270">
        <f>L352</f>
        <v/>
      </c>
      <c r="M382" s="256" t="n"/>
      <c r="N382" s="256" t="n"/>
      <c r="O382" s="256" t="n"/>
      <c r="P382" s="256" t="n"/>
      <c r="Q382" s="256" t="n"/>
    </row>
    <row r="383">
      <c r="A383">
        <f>IF(DAY(D383)=DAY($L$1+1),A382+1,A382)</f>
        <v/>
      </c>
      <c r="B383" s="46">
        <f>IF(DAY(D383)=DAY($L$1+1),1,B382+1)</f>
        <v/>
      </c>
      <c r="C383" s="46">
        <f>IF(DAY(D383)=DAY($L$1+1),1,C382+1)</f>
        <v/>
      </c>
      <c r="D383" s="47">
        <f>D382+1</f>
        <v/>
      </c>
      <c r="E383" s="8">
        <f>IF(DAY(D383)=DAY($L$1+1),TRUNC((N382),8),E382)</f>
        <v/>
      </c>
      <c r="F383" s="49">
        <f>TRUNC(((1+VLOOKUP(A383,IPCA!$A$2:$C$140,3,0)))^(C383/(EDATE(D383-C383,1)-(D383-C383))),8)</f>
        <v/>
      </c>
      <c r="G383" s="49">
        <f>TRUNC((E383*F383),8)</f>
        <v/>
      </c>
      <c r="H383" s="49">
        <f>ROUND(((1+$H$4)^(30/360))^(C383/(EDATE(D383-B383,1)-(D383-B383))),9)</f>
        <v/>
      </c>
      <c r="I383" s="49">
        <f>TRUNC((G383*H383-G383),8)</f>
        <v/>
      </c>
      <c r="J383" s="49">
        <f>G383+I383</f>
        <v/>
      </c>
      <c r="K383" s="118" t="inlineStr">
        <is>
          <t>JUROS</t>
        </is>
      </c>
      <c r="L383" s="118" t="inlineStr">
        <is>
          <t>AMORTIZAÇÃO</t>
        </is>
      </c>
      <c r="M383" s="118" t="inlineStr">
        <is>
          <t>AMEX</t>
        </is>
      </c>
      <c r="N383" s="118" t="inlineStr">
        <is>
          <t>RESIDUAL</t>
        </is>
      </c>
      <c r="O383" s="256" t="n"/>
      <c r="P383" s="256" t="n"/>
      <c r="Q383" s="256" t="n"/>
    </row>
    <row r="384">
      <c r="A384">
        <f>IF(DAY(D384)=DAY($L$1+1),A383+1,A383)</f>
        <v/>
      </c>
      <c r="B384" s="111">
        <f>IF(DAY(D384)=DAY($L$1+1),1,B383+1)</f>
        <v/>
      </c>
      <c r="C384" s="111">
        <f>IF(DAY(D384)=DAY($L$1+1),1,C383+1)</f>
        <v/>
      </c>
      <c r="D384" s="112">
        <f>D383+1</f>
        <v/>
      </c>
      <c r="E384" s="113">
        <f>IF(DAY(D384)=DAY($L$1+1),TRUNC((N383),8),E383)</f>
        <v/>
      </c>
      <c r="F384" s="114">
        <f>TRUNC(((1+VLOOKUP(A384,IPCA!$A$2:$C$140,3,0)))^(C384/(EDATE(D384-C384,1)-(D384-C384))),8)</f>
        <v/>
      </c>
      <c r="G384" s="114">
        <f>TRUNC((E384*F384),8)</f>
        <v/>
      </c>
      <c r="H384" s="114">
        <f>ROUND(((1+$H$4)^(30/360))^(C384/(EDATE(D384-B384,1)-(D384-B384))),9)</f>
        <v/>
      </c>
      <c r="I384" s="114">
        <f>TRUNC((G384*H384-G384),8)</f>
        <v/>
      </c>
      <c r="J384" s="114">
        <f>G384+I384</f>
        <v/>
      </c>
      <c r="K384" s="119" t="n">
        <v>0</v>
      </c>
      <c r="L384" s="120" t="n">
        <v>0</v>
      </c>
      <c r="M384" s="120" t="n">
        <v>0</v>
      </c>
      <c r="N384" s="120">
        <f>J384-K384-L384-M384</f>
        <v/>
      </c>
      <c r="O384" s="256" t="n"/>
      <c r="P384" s="256" t="n"/>
      <c r="Q384" s="256" t="n"/>
    </row>
    <row r="385">
      <c r="A385">
        <f>IF(DAY(D385)=DAY($L$1+1),A384+1,A384)</f>
        <v/>
      </c>
      <c r="B385" s="46">
        <f>IF(DAY(D385)=DAY($L$1+1),1,B384+1)</f>
        <v/>
      </c>
      <c r="C385" s="46">
        <f>IF(DAY(D385)=DAY($L$1+1),1,C384+1)</f>
        <v/>
      </c>
      <c r="D385" s="2">
        <f>D384+1</f>
        <v/>
      </c>
      <c r="E385" s="8">
        <f>IF(DAY(D385)=DAY($L$1+1),TRUNC((N384),8),E384)</f>
        <v/>
      </c>
      <c r="F385" s="48">
        <f>TRUNC(((1+VLOOKUP(A385,IPCA!$A$2:$C$140,3,0)))^(C385/(EDATE(D385-C385,1)-(D385-C385))),8)</f>
        <v/>
      </c>
      <c r="G385" s="51">
        <f>TRUNC((E385*F385),8)</f>
        <v/>
      </c>
      <c r="H385" s="49">
        <f>ROUND(((1+$H$4)^(30/360))^(C385/(EDATE(D385-B385,1)-(D385-B385))),9)</f>
        <v/>
      </c>
      <c r="I385" s="49">
        <f>TRUNC((G385*H385-G385),8)</f>
        <v/>
      </c>
      <c r="J385" s="49">
        <f>G385+I385</f>
        <v/>
      </c>
      <c r="K385" s="121">
        <f>K384*L382</f>
        <v/>
      </c>
      <c r="L385" s="121">
        <f>L384*L382</f>
        <v/>
      </c>
      <c r="M385" s="121">
        <f>M384*L382</f>
        <v/>
      </c>
      <c r="N385" s="121">
        <f>N384*L382</f>
        <v/>
      </c>
      <c r="O385" s="256" t="n"/>
      <c r="P385" s="256" t="n"/>
      <c r="Q385" s="256" t="n"/>
    </row>
    <row r="386">
      <c r="A386">
        <f>IF(DAY(D386)=DAY($L$1+1),A385+1,A385)</f>
        <v/>
      </c>
      <c r="B386" s="46">
        <f>IF(DAY(D386)=DAY($L$1+1),1,B385+1)</f>
        <v/>
      </c>
      <c r="C386" s="46">
        <f>IF(DAY(D386)=DAY($L$1+1),1,C385+1)</f>
        <v/>
      </c>
      <c r="D386" s="47">
        <f>D385+1</f>
        <v/>
      </c>
      <c r="E386" s="8">
        <f>IF(DAY(D386)=DAY($L$1+1),TRUNC((N385),8),E385)</f>
        <v/>
      </c>
      <c r="F386" s="49">
        <f>TRUNC(((1+VLOOKUP(A386,IPCA!$A$2:$C$140,3,0)))^(C386/(EDATE(D386-C386,1)-(D386-C386))),8)</f>
        <v/>
      </c>
      <c r="G386" s="49">
        <f>TRUNC((E386*F386),8)</f>
        <v/>
      </c>
      <c r="H386" s="49">
        <f>ROUND(((1+$H$4)^(30/360))^(C386/(EDATE(D386-B386,1)-(D386-B386))),9)</f>
        <v/>
      </c>
      <c r="I386" s="49">
        <f>TRUNC((G386*H386-G386),8)</f>
        <v/>
      </c>
      <c r="J386" s="49">
        <f>G386+I386</f>
        <v/>
      </c>
      <c r="K386" s="256" t="n"/>
      <c r="L386" s="256" t="n"/>
      <c r="M386" s="256" t="n"/>
      <c r="N386" s="256" t="n"/>
      <c r="O386" s="256" t="n"/>
      <c r="P386" s="256" t="n"/>
      <c r="Q386" s="256" t="n"/>
    </row>
    <row r="387">
      <c r="A387">
        <f>IF(DAY(D387)=DAY($L$1+1),A386+1,A386)</f>
        <v/>
      </c>
      <c r="B387" s="46">
        <f>IF(DAY(D387)=DAY($L$1+1),1,B386+1)</f>
        <v/>
      </c>
      <c r="C387" s="46">
        <f>IF(DAY(D387)=DAY($L$1+1),1,C386+1)</f>
        <v/>
      </c>
      <c r="D387" s="2">
        <f>D386+1</f>
        <v/>
      </c>
      <c r="E387" s="8">
        <f>IF(DAY(D387)=DAY($L$1+1),TRUNC((#REF!),8),E386)</f>
        <v/>
      </c>
      <c r="F387" s="49">
        <f>TRUNC(((1+VLOOKUP(A387,IPCA!$A$2:$C$140,3,0)))^(C387/(EDATE(D387-C387,1)-(D387-C387))),8)</f>
        <v/>
      </c>
      <c r="G387" s="49">
        <f>TRUNC((E387*F387),8)</f>
        <v/>
      </c>
      <c r="H387" s="49">
        <f>ROUND(((1+$H$4)^(30/360))^(C387/(EDATE(D387-B387,1)-(D387-B387))),9)</f>
        <v/>
      </c>
      <c r="I387" s="49">
        <f>TRUNC((G387*H387-G387),8)</f>
        <v/>
      </c>
      <c r="J387" s="49">
        <f>G387+I387</f>
        <v/>
      </c>
      <c r="K387" s="256" t="n"/>
      <c r="L387" s="256" t="n"/>
      <c r="M387" s="256" t="n"/>
      <c r="N387" s="256" t="n"/>
      <c r="O387" s="256" t="n"/>
      <c r="P387" s="256" t="n"/>
      <c r="Q387" s="256" t="n"/>
    </row>
    <row r="388">
      <c r="A388">
        <f>IF(DAY(D388)=DAY($L$1+1),A387+1,A387)</f>
        <v/>
      </c>
      <c r="B388" s="46">
        <f>IF(DAY(D388)=DAY($L$1+1),1,B387+1)</f>
        <v/>
      </c>
      <c r="C388" s="46">
        <f>IF(DAY(D388)=DAY($L$1+1),1,C387+1)</f>
        <v/>
      </c>
      <c r="D388" s="2">
        <f>D387+1</f>
        <v/>
      </c>
      <c r="E388" s="8">
        <f>IF(DAY(D388)=DAY($L$1+1),TRUNC((#REF!),8),E387)</f>
        <v/>
      </c>
      <c r="F388" s="49">
        <f>TRUNC(((1+VLOOKUP(A388,IPCA!$A$2:$C$140,3,0)))^(C388/(EDATE(D388-C388,1)-(D388-C388))),8)</f>
        <v/>
      </c>
      <c r="G388" s="49">
        <f>TRUNC((E388*F388),8)</f>
        <v/>
      </c>
      <c r="H388" s="49">
        <f>ROUND(((1+$H$4)^(30/360))^(C388/(EDATE(D388-B388,1)-(D388-B388))),9)</f>
        <v/>
      </c>
      <c r="I388" s="49">
        <f>TRUNC((G388*H388-G388),8)</f>
        <v/>
      </c>
      <c r="J388" s="49">
        <f>G388+I388</f>
        <v/>
      </c>
      <c r="K388" s="256" t="n"/>
      <c r="L388" s="256" t="n"/>
      <c r="M388" s="256" t="n"/>
      <c r="N388" s="256" t="n"/>
      <c r="O388" s="256" t="n"/>
      <c r="P388" s="256" t="n"/>
      <c r="Q388" s="256" t="n"/>
    </row>
    <row r="389">
      <c r="A389">
        <f>IF(DAY(D389)=DAY($L$1+1),A388+1,A388)</f>
        <v/>
      </c>
      <c r="B389" s="46">
        <f>IF(DAY(D389)=DAY($L$1+1),1,B388+1)</f>
        <v/>
      </c>
      <c r="C389" s="46">
        <f>IF(DAY(D389)=DAY($L$1+1),1,C388+1)</f>
        <v/>
      </c>
      <c r="D389" s="2">
        <f>D388+1</f>
        <v/>
      </c>
      <c r="E389" s="8">
        <f>IF(DAY(D389)=DAY($L$1+1),TRUNC((#REF!),8),E388)</f>
        <v/>
      </c>
      <c r="F389" s="49">
        <f>TRUNC(((1+VLOOKUP(A389,IPCA!$A$2:$C$140,3,0)))^(C389/(EDATE(D389-C389,1)-(D389-C389))),8)</f>
        <v/>
      </c>
      <c r="G389" s="49">
        <f>TRUNC((E389*F389),8)</f>
        <v/>
      </c>
      <c r="H389" s="49">
        <f>ROUND(((1+$H$4)^(30/360))^(C389/(EDATE(D389-B389,1)-(D389-B389))),9)</f>
        <v/>
      </c>
      <c r="I389" s="49">
        <f>TRUNC((G389*H389-G389),8)</f>
        <v/>
      </c>
      <c r="J389" s="49">
        <f>G389+I389</f>
        <v/>
      </c>
      <c r="K389" s="256" t="n"/>
      <c r="L389" s="256" t="n"/>
      <c r="M389" s="256" t="n"/>
      <c r="N389" s="256" t="n"/>
      <c r="O389" s="256" t="n"/>
      <c r="P389" s="256" t="n"/>
      <c r="Q389" s="256" t="n"/>
    </row>
    <row r="390">
      <c r="A390">
        <f>IF(DAY(D390)=DAY($L$1+1),A389+1,A389)</f>
        <v/>
      </c>
      <c r="B390" s="46">
        <f>IF(DAY(D390)=DAY($L$1+1),1,B389+1)</f>
        <v/>
      </c>
      <c r="C390" s="46">
        <f>IF(DAY(D390)=DAY($L$1+1),1,C389+1)</f>
        <v/>
      </c>
      <c r="D390" s="2">
        <f>D389+1</f>
        <v/>
      </c>
      <c r="E390" s="8">
        <f>IF(DAY(D390)=DAY($L$1+1),TRUNC((#REF!),8),E389)</f>
        <v/>
      </c>
      <c r="F390" s="49">
        <f>TRUNC(((1+VLOOKUP(A390,IPCA!$A$2:$C$140,3,0)))^(C390/(EDATE(D390-C390,1)-(D390-C390))),8)</f>
        <v/>
      </c>
      <c r="G390" s="49">
        <f>TRUNC((E390*F390),8)</f>
        <v/>
      </c>
      <c r="H390" s="49">
        <f>ROUND(((1+$H$4)^(30/360))^(C390/(EDATE(D390-B390,1)-(D390-B390))),9)</f>
        <v/>
      </c>
      <c r="I390" s="49">
        <f>TRUNC((G390*H390-G390),8)</f>
        <v/>
      </c>
      <c r="J390" s="49">
        <f>G390+I390</f>
        <v/>
      </c>
      <c r="K390" s="256" t="n"/>
      <c r="L390" s="256" t="n"/>
      <c r="M390" s="256" t="n"/>
      <c r="N390" s="256" t="n"/>
      <c r="O390" s="256" t="n"/>
      <c r="P390" s="256" t="n"/>
      <c r="Q390" s="256" t="n"/>
    </row>
    <row r="391">
      <c r="A391">
        <f>IF(DAY(D391)=DAY($L$1+1),A390+1,A390)</f>
        <v/>
      </c>
      <c r="B391" s="46">
        <f>IF(DAY(D391)=DAY($L$1+1),1,B390+1)</f>
        <v/>
      </c>
      <c r="C391" s="46">
        <f>IF(DAY(D391)=DAY($L$1+1),1,C390+1)</f>
        <v/>
      </c>
      <c r="D391" s="2">
        <f>D390+1</f>
        <v/>
      </c>
      <c r="E391" s="8">
        <f>IF(DAY(D391)=DAY($L$1+1),TRUNC((#REF!),8),E390)</f>
        <v/>
      </c>
      <c r="F391" s="49">
        <f>TRUNC(((1+VLOOKUP(A391,IPCA!$A$2:$C$140,3,0)))^(C391/(EDATE(D391-C391,1)-(D391-C391))),8)</f>
        <v/>
      </c>
      <c r="G391" s="49">
        <f>TRUNC((E391*F391),8)</f>
        <v/>
      </c>
      <c r="H391" s="49">
        <f>ROUND(((1+$H$4)^(30/360))^(C391/(EDATE(D391-B391,1)-(D391-B391))),9)</f>
        <v/>
      </c>
      <c r="I391" s="49">
        <f>TRUNC((G391*H391-G391),8)</f>
        <v/>
      </c>
      <c r="J391" s="49">
        <f>G391+I391</f>
        <v/>
      </c>
      <c r="K391" s="256" t="n"/>
      <c r="L391" s="256" t="n"/>
      <c r="M391" s="256" t="n"/>
      <c r="N391" s="256" t="n"/>
      <c r="O391" s="256" t="n"/>
      <c r="P391" s="256" t="n"/>
      <c r="Q391" s="256" t="n"/>
    </row>
    <row r="392">
      <c r="A392">
        <f>IF(DAY(D392)=DAY($L$1+1),A391+1,A391)</f>
        <v/>
      </c>
      <c r="B392" s="46">
        <f>IF(DAY(D392)=DAY($L$1+1),1,B391+1)</f>
        <v/>
      </c>
      <c r="C392" s="46">
        <f>IF(DAY(D392)=DAY($L$1+1),1,C391+1)</f>
        <v/>
      </c>
      <c r="D392" s="2">
        <f>D391+1</f>
        <v/>
      </c>
      <c r="E392" s="8">
        <f>IF(DAY(D392)=DAY($L$1+1),TRUNC((#REF!),8),E391)</f>
        <v/>
      </c>
      <c r="F392" s="49">
        <f>TRUNC(((1+VLOOKUP(A392,IPCA!$A$2:$C$140,3,0)))^(C392/(EDATE(D392-C392,1)-(D392-C392))),8)</f>
        <v/>
      </c>
      <c r="G392" s="49">
        <f>TRUNC((E392*F392),8)</f>
        <v/>
      </c>
      <c r="H392" s="49">
        <f>ROUND(((1+$H$4)^(30/360))^(C392/(EDATE(D392-B392,1)-(D392-B392))),9)</f>
        <v/>
      </c>
      <c r="I392" s="49">
        <f>TRUNC((G392*H392-G392),8)</f>
        <v/>
      </c>
      <c r="J392" s="49">
        <f>G392+I392</f>
        <v/>
      </c>
      <c r="K392" s="256" t="n"/>
      <c r="L392" s="256" t="n"/>
      <c r="M392" s="256" t="n"/>
      <c r="N392" s="256" t="n"/>
      <c r="O392" s="256" t="n"/>
      <c r="P392" s="256" t="n"/>
      <c r="Q392" s="256" t="n"/>
    </row>
    <row r="393">
      <c r="A393">
        <f>IF(DAY(D393)=DAY($L$1+1),A392+1,A392)</f>
        <v/>
      </c>
      <c r="B393" s="46">
        <f>IF(DAY(D393)=DAY($L$1+1),1,B392+1)</f>
        <v/>
      </c>
      <c r="C393" s="46">
        <f>IF(DAY(D393)=DAY($L$1+1),1,C392+1)</f>
        <v/>
      </c>
      <c r="D393" s="2">
        <f>D392+1</f>
        <v/>
      </c>
      <c r="E393" s="8">
        <f>IF(DAY(D393)=DAY($L$1+1),TRUNC((#REF!),8),E392)</f>
        <v/>
      </c>
      <c r="F393" s="49">
        <f>TRUNC(((1+VLOOKUP(A393,IPCA!$A$2:$C$140,3,0)))^(C393/(EDATE(D393-C393,1)-(D393-C393))),8)</f>
        <v/>
      </c>
      <c r="G393" s="49">
        <f>TRUNC((E393*F393),8)</f>
        <v/>
      </c>
      <c r="H393" s="49">
        <f>ROUND(((1+$H$4)^(30/360))^(C393/(EDATE(D393-B393,1)-(D393-B393))),9)</f>
        <v/>
      </c>
      <c r="I393" s="49">
        <f>TRUNC((G393*H393-G393),8)</f>
        <v/>
      </c>
      <c r="J393" s="49">
        <f>G393+I393</f>
        <v/>
      </c>
      <c r="K393" s="256" t="n"/>
      <c r="L393" s="256" t="n"/>
      <c r="M393" s="256" t="n"/>
      <c r="N393" s="256" t="n"/>
      <c r="O393" s="256" t="n"/>
      <c r="P393" s="256" t="n"/>
      <c r="Q393" s="256" t="n"/>
    </row>
    <row r="394">
      <c r="A394">
        <f>IF(DAY(D394)=DAY($L$1+1),A393+1,A393)</f>
        <v/>
      </c>
      <c r="B394" s="46">
        <f>IF(DAY(D394)=DAY($L$1+1),1,B393+1)</f>
        <v/>
      </c>
      <c r="C394" s="46">
        <f>IF(DAY(D394)=DAY($L$1+1),1,C393+1)</f>
        <v/>
      </c>
      <c r="D394" s="2">
        <f>D393+1</f>
        <v/>
      </c>
      <c r="E394" s="8">
        <f>IF(DAY(D394)=DAY($L$1+1),TRUNC((#REF!),8),E393)</f>
        <v/>
      </c>
      <c r="F394" s="49">
        <f>TRUNC(((1+VLOOKUP(A394,IPCA!$A$2:$C$140,3,0)))^(C394/(EDATE(D394-C394,1)-(D394-C394))),8)</f>
        <v/>
      </c>
      <c r="G394" s="49">
        <f>TRUNC((E394*F394),8)</f>
        <v/>
      </c>
      <c r="H394" s="49">
        <f>ROUND(((1+$H$4)^(30/360))^(C394/(EDATE(D394-B394,1)-(D394-B394))),9)</f>
        <v/>
      </c>
      <c r="I394" s="49">
        <f>TRUNC((G394*H394-G394),8)</f>
        <v/>
      </c>
      <c r="J394" s="49">
        <f>G394+I394</f>
        <v/>
      </c>
      <c r="K394" s="256" t="n"/>
      <c r="L394" s="256" t="n"/>
      <c r="M394" s="256" t="n"/>
      <c r="N394" s="256" t="n"/>
      <c r="O394" s="256" t="n"/>
      <c r="P394" s="256" t="n"/>
      <c r="Q394" s="256" t="n"/>
    </row>
    <row r="395">
      <c r="A395">
        <f>IF(DAY(D395)=DAY($L$1+1),A394+1,A394)</f>
        <v/>
      </c>
      <c r="B395" s="46">
        <f>IF(DAY(D395)=DAY($L$1+1),1,B394+1)</f>
        <v/>
      </c>
      <c r="C395" s="46">
        <f>IF(DAY(D395)=DAY($L$1+1),1,C394+1)</f>
        <v/>
      </c>
      <c r="D395" s="2">
        <f>D394+1</f>
        <v/>
      </c>
      <c r="E395" s="8">
        <f>IF(DAY(D395)=DAY($L$1+1),TRUNC((#REF!),8),E394)</f>
        <v/>
      </c>
      <c r="F395" s="49">
        <f>TRUNC(((1+VLOOKUP(A395,IPCA!$A$2:$C$140,3,0)))^(C395/(EDATE(D395-C395,1)-(D395-C395))),8)</f>
        <v/>
      </c>
      <c r="G395" s="49">
        <f>TRUNC((E395*F395),8)</f>
        <v/>
      </c>
      <c r="H395" s="49">
        <f>ROUND(((1+$H$4)^(30/360))^(C395/(EDATE(D395-B395,1)-(D395-B395))),9)</f>
        <v/>
      </c>
      <c r="I395" s="49">
        <f>TRUNC((G395*H395-G395),8)</f>
        <v/>
      </c>
      <c r="J395" s="49">
        <f>G395+I395</f>
        <v/>
      </c>
      <c r="K395" s="256" t="n"/>
      <c r="L395" s="256" t="n"/>
      <c r="M395" s="256" t="n"/>
      <c r="N395" s="256" t="n"/>
      <c r="O395" s="256" t="n"/>
      <c r="P395" s="256" t="n"/>
      <c r="Q395" s="256" t="n"/>
    </row>
    <row r="396">
      <c r="A396">
        <f>IF(DAY(D396)=DAY($L$1+1),A395+1,A395)</f>
        <v/>
      </c>
      <c r="B396" s="46">
        <f>IF(DAY(D396)=DAY($L$1+1),1,B395+1)</f>
        <v/>
      </c>
      <c r="C396" s="46">
        <f>IF(DAY(D396)=DAY($L$1+1),1,C395+1)</f>
        <v/>
      </c>
      <c r="D396" s="2">
        <f>D395+1</f>
        <v/>
      </c>
      <c r="E396" s="8">
        <f>IF(DAY(D396)=DAY($L$1+1),TRUNC((#REF!),8),E395)</f>
        <v/>
      </c>
      <c r="F396" s="49">
        <f>TRUNC(((1+VLOOKUP(A396,IPCA!$A$2:$C$140,3,0)))^(C396/(EDATE(D396-C396,1)-(D396-C396))),8)</f>
        <v/>
      </c>
      <c r="G396" s="49">
        <f>TRUNC((E396*F396),8)</f>
        <v/>
      </c>
      <c r="H396" s="49">
        <f>ROUND(((1+$H$4)^(30/360))^(C396/(EDATE(D396-B396,1)-(D396-B396))),9)</f>
        <v/>
      </c>
      <c r="I396" s="49">
        <f>TRUNC((G396*H396-G396),8)</f>
        <v/>
      </c>
      <c r="J396" s="49">
        <f>G396+I396</f>
        <v/>
      </c>
      <c r="K396" s="256" t="n"/>
      <c r="L396" s="256" t="n"/>
      <c r="M396" s="256" t="n"/>
      <c r="N396" s="256" t="n"/>
      <c r="O396" s="256" t="n"/>
      <c r="P396" s="256" t="n"/>
      <c r="Q396" s="256" t="n"/>
    </row>
    <row r="397">
      <c r="A397">
        <f>IF(DAY(D397)=DAY($L$1+1),A396+1,A396)</f>
        <v/>
      </c>
      <c r="B397" s="46">
        <f>IF(DAY(D397)=DAY($L$1+1),1,B396+1)</f>
        <v/>
      </c>
      <c r="C397" s="46">
        <f>IF(DAY(D397)=DAY($L$1+1),1,C396+1)</f>
        <v/>
      </c>
      <c r="D397" s="2">
        <f>D396+1</f>
        <v/>
      </c>
      <c r="E397" s="8">
        <f>IF(DAY(D397)=DAY($L$1+1),TRUNC((#REF!),8),E396)</f>
        <v/>
      </c>
      <c r="F397" s="49">
        <f>TRUNC(((1+VLOOKUP(A397,IPCA!$A$2:$C$140,3,0)))^(C397/(EDATE(D397-C397,1)-(D397-C397))),8)</f>
        <v/>
      </c>
      <c r="G397" s="49">
        <f>TRUNC((E397*F397),8)</f>
        <v/>
      </c>
      <c r="H397" s="49">
        <f>ROUND(((1+$H$4)^(30/360))^(C397/(EDATE(D397-B397,1)-(D397-B397))),9)</f>
        <v/>
      </c>
      <c r="I397" s="49">
        <f>TRUNC((G397*H397-G397),8)</f>
        <v/>
      </c>
      <c r="J397" s="49">
        <f>G397+I397</f>
        <v/>
      </c>
      <c r="K397" s="256" t="n"/>
      <c r="L397" s="256" t="n"/>
      <c r="M397" s="256" t="n"/>
      <c r="N397" s="256" t="n"/>
      <c r="O397" s="256" t="n"/>
      <c r="P397" s="256" t="n"/>
      <c r="Q397" s="256" t="n"/>
    </row>
    <row r="398">
      <c r="A398">
        <f>IF(DAY(D398)=DAY($L$1+1),A397+1,A397)</f>
        <v/>
      </c>
      <c r="B398" s="46">
        <f>IF(DAY(D398)=DAY($L$1+1),1,B397+1)</f>
        <v/>
      </c>
      <c r="C398" s="46">
        <f>IF(DAY(D398)=DAY($L$1+1),1,C397+1)</f>
        <v/>
      </c>
      <c r="D398" s="2">
        <f>D397+1</f>
        <v/>
      </c>
      <c r="E398" s="8">
        <f>IF(DAY(D398)=DAY($L$1+1),TRUNC((#REF!),8),E397)</f>
        <v/>
      </c>
      <c r="F398" s="49">
        <f>TRUNC(((1+VLOOKUP(A398,IPCA!$A$2:$C$140,3,0)))^(C398/(EDATE(D398-C398,1)-(D398-C398))),8)</f>
        <v/>
      </c>
      <c r="G398" s="49">
        <f>TRUNC((E398*F398),8)</f>
        <v/>
      </c>
      <c r="H398" s="49">
        <f>ROUND(((1+$H$4)^(30/360))^(C398/(EDATE(D398-B398,1)-(D398-B398))),9)</f>
        <v/>
      </c>
      <c r="I398" s="49">
        <f>TRUNC((G398*H398-G398),8)</f>
        <v/>
      </c>
      <c r="J398" s="49">
        <f>G398+I398</f>
        <v/>
      </c>
      <c r="K398" s="256" t="n"/>
      <c r="L398" s="256" t="n"/>
      <c r="M398" s="256" t="n"/>
      <c r="N398" s="256" t="n"/>
      <c r="O398" s="256" t="n"/>
      <c r="P398" s="256" t="n"/>
      <c r="Q398" s="256" t="n"/>
    </row>
    <row r="399">
      <c r="A399">
        <f>IF(DAY(D399)=DAY($L$1+1),A398+1,A398)</f>
        <v/>
      </c>
      <c r="B399" s="46">
        <f>IF(DAY(D399)=DAY($L$1+1),1,B398+1)</f>
        <v/>
      </c>
      <c r="C399" s="46">
        <f>IF(DAY(D399)=DAY($L$1+1),1,C398+1)</f>
        <v/>
      </c>
      <c r="D399" s="2">
        <f>D398+1</f>
        <v/>
      </c>
      <c r="E399" s="8">
        <f>IF(DAY(D399)=DAY($L$1+1),TRUNC((N398),8),E398)</f>
        <v/>
      </c>
      <c r="F399" s="49">
        <f>TRUNC(((1+VLOOKUP(A399,IPCA!$A$2:$C$140,3,0)))^(C399/(EDATE(D399-C399,1)-(D399-C399))),8)</f>
        <v/>
      </c>
      <c r="G399" s="49">
        <f>TRUNC((E399*F399),8)</f>
        <v/>
      </c>
      <c r="H399" s="49">
        <f>ROUND(((1+$H$4)^(30/360))^(C399/(EDATE(D399-B399,1)-(D399-B399))),9)</f>
        <v/>
      </c>
      <c r="I399" s="49">
        <f>TRUNC((G399*H399-G399),8)</f>
        <v/>
      </c>
      <c r="J399" s="49">
        <f>G399+I399</f>
        <v/>
      </c>
      <c r="K399" s="256" t="n"/>
      <c r="L399" s="256" t="n"/>
      <c r="M399" s="256" t="n"/>
      <c r="N399" s="256" t="n"/>
      <c r="O399" s="256" t="n"/>
      <c r="P399" s="256" t="n"/>
      <c r="Q399" s="256" t="n"/>
    </row>
    <row r="400">
      <c r="A400">
        <f>IF(DAY(D400)=DAY($L$1+1),A399+1,A399)</f>
        <v/>
      </c>
      <c r="B400" s="46">
        <f>IF(DAY(D400)=DAY($L$1+1),1,B399+1)</f>
        <v/>
      </c>
      <c r="C400" s="46">
        <f>IF(DAY(D400)=DAY($L$1+1),1,C399+1)</f>
        <v/>
      </c>
      <c r="D400" s="2">
        <f>D399+1</f>
        <v/>
      </c>
      <c r="E400" s="8">
        <f>IF(DAY(D400)=DAY($L$1+1),TRUNC((N399),8),E399)</f>
        <v/>
      </c>
      <c r="F400" s="49">
        <f>TRUNC(((1+VLOOKUP(A400,IPCA!$A$2:$C$140,3,0)))^(C400/(EDATE(D400-C400,1)-(D400-C400))),8)</f>
        <v/>
      </c>
      <c r="G400" s="49">
        <f>TRUNC((E400*F400),8)</f>
        <v/>
      </c>
      <c r="H400" s="49">
        <f>ROUND(((1+$H$4)^(30/360))^(C400/(EDATE(D400-B400,1)-(D400-B400))),9)</f>
        <v/>
      </c>
      <c r="I400" s="49">
        <f>TRUNC((G400*H400-G400),8)</f>
        <v/>
      </c>
      <c r="J400" s="49">
        <f>G400+I400</f>
        <v/>
      </c>
      <c r="K400" s="123" t="n"/>
      <c r="L400" s="271" t="n"/>
      <c r="M400" s="256" t="n"/>
      <c r="N400" s="256" t="n"/>
      <c r="O400" s="256" t="n"/>
      <c r="P400" s="256" t="n"/>
      <c r="Q400" s="256" t="n"/>
    </row>
    <row r="401">
      <c r="A401">
        <f>IF(DAY(D401)=DAY($L$1+1),A400+1,A400)</f>
        <v/>
      </c>
      <c r="B401" s="46">
        <f>IF(DAY(D401)=DAY($L$1+1),1,B400+1)</f>
        <v/>
      </c>
      <c r="C401" s="46">
        <f>IF(DAY(D401)=DAY($L$1+1),1,C400+1)</f>
        <v/>
      </c>
      <c r="D401" s="2">
        <f>D400+1</f>
        <v/>
      </c>
      <c r="E401" s="8">
        <f>IF(DAY(D401)=DAY($L$1+1),TRUNC((N400),8),E400)</f>
        <v/>
      </c>
      <c r="F401" s="49">
        <f>TRUNC(((1+VLOOKUP(A401,IPCA!$A$2:$C$140,3,0)))^(C401/(EDATE(D401-C401,1)-(D401-C401))),8)</f>
        <v/>
      </c>
      <c r="G401" s="49">
        <f>TRUNC((E401*F401),8)</f>
        <v/>
      </c>
      <c r="H401" s="49">
        <f>ROUND(((1+$H$4)^(30/360))^(C401/(EDATE(D401-B401,1)-(D401-B401))),9)</f>
        <v/>
      </c>
      <c r="I401" s="49">
        <f>TRUNC((G401*H401-G401),8)</f>
        <v/>
      </c>
      <c r="J401" s="49">
        <f>G401+I401</f>
        <v/>
      </c>
      <c r="K401" s="256" t="n"/>
      <c r="L401" s="256" t="n"/>
      <c r="M401" s="256" t="n"/>
      <c r="N401" s="256" t="n"/>
      <c r="O401" s="256" t="n"/>
      <c r="P401" s="256" t="n"/>
      <c r="Q401" s="256" t="n"/>
    </row>
    <row r="402" customFormat="1" s="45">
      <c r="A402">
        <f>IF(DAY(D402)=DAY($L$1+1),A401+1,A401)</f>
        <v/>
      </c>
      <c r="B402" s="46">
        <f>IF(DAY(D402)=DAY($L$1+1),1,B401+1)</f>
        <v/>
      </c>
      <c r="C402" s="46">
        <f>IF(DAY(D402)=DAY($L$1+1),1,C401+1)</f>
        <v/>
      </c>
      <c r="D402" s="2">
        <f>D401+1</f>
        <v/>
      </c>
      <c r="E402" s="8">
        <f>IF(DAY(D402)=DAY($L$1+1),TRUNC((N401),8),E401)</f>
        <v/>
      </c>
      <c r="F402" s="49">
        <f>TRUNC(((1+VLOOKUP(A402,IPCA!$A$2:$C$140,3,0)))^(C402/(EDATE(D402-C402,1)-(D402-C402))),8)</f>
        <v/>
      </c>
      <c r="G402" s="49">
        <f>TRUNC((E402*F402),8)</f>
        <v/>
      </c>
      <c r="H402" s="49">
        <f>ROUND(((1+$H$4)^(30/360))^(C402/(EDATE(D402-B402,1)-(D402-B402))),9)</f>
        <v/>
      </c>
      <c r="I402" s="49">
        <f>TRUNC((G402*H402-G402),8)</f>
        <v/>
      </c>
      <c r="J402" s="49">
        <f>G402+I402</f>
        <v/>
      </c>
      <c r="K402" s="122" t="n"/>
      <c r="L402" s="122" t="n"/>
      <c r="M402" s="122" t="n"/>
      <c r="N402" s="122" t="n"/>
      <c r="O402" s="122" t="n"/>
      <c r="P402" s="122" t="n"/>
      <c r="Q402" s="122" t="n"/>
    </row>
    <row r="403">
      <c r="A403">
        <f>IF(DAY(D403)=DAY($L$1+1),A402+1,A402)</f>
        <v/>
      </c>
      <c r="B403" s="46">
        <f>IF(DAY(D403)=DAY($L$1+1),1,B402+1)</f>
        <v/>
      </c>
      <c r="C403" s="46">
        <f>IF(DAY(D403)=DAY($L$1+1),1,C402+1)</f>
        <v/>
      </c>
      <c r="D403" s="2">
        <f>D402+1</f>
        <v/>
      </c>
      <c r="E403" s="8">
        <f>IF(DAY(D403)=DAY($L$1+1),TRUNC((N402),8),E402)</f>
        <v/>
      </c>
      <c r="F403" s="49">
        <f>TRUNC(((1+VLOOKUP(A403,IPCA!$A$2:$C$140,3,0)))^(C403/(EDATE(D403-C403,1)-(D403-C403))),8)</f>
        <v/>
      </c>
      <c r="G403" s="49">
        <f>TRUNC((E403*F403),8)</f>
        <v/>
      </c>
      <c r="H403" s="49">
        <f>ROUND(((1+$H$4)^(30/360))^(C403/(EDATE(D403-B403,1)-(D403-B403))),9)</f>
        <v/>
      </c>
      <c r="I403" s="49">
        <f>TRUNC((G403*H403-G403),8)</f>
        <v/>
      </c>
      <c r="J403" s="49">
        <f>G403+I403</f>
        <v/>
      </c>
      <c r="K403" s="256" t="n"/>
      <c r="L403" s="256" t="n"/>
      <c r="M403" s="256" t="n"/>
      <c r="N403" s="256" t="n"/>
      <c r="O403" s="256" t="n"/>
      <c r="P403" s="256" t="n"/>
      <c r="Q403" s="256" t="n"/>
    </row>
    <row r="404">
      <c r="A404">
        <f>IF(DAY(D404)=DAY($L$1+1),A403+1,A403)</f>
        <v/>
      </c>
      <c r="B404" s="46">
        <f>IF(DAY(D404)=DAY($L$1+1),1,B403+1)</f>
        <v/>
      </c>
      <c r="C404" s="46">
        <f>IF(DAY(D404)=DAY($L$1+1),1,C403+1)</f>
        <v/>
      </c>
      <c r="D404" s="2">
        <f>D403+1</f>
        <v/>
      </c>
      <c r="E404" s="8">
        <f>IF(DAY(D404)=DAY($L$1+1),TRUNC((N403),8),E403)</f>
        <v/>
      </c>
      <c r="F404" s="49">
        <f>TRUNC(((1+VLOOKUP(A404,IPCA!$A$2:$C$140,3,0)))^(C404/(EDATE(D404-C404,1)-(D404-C404))),8)</f>
        <v/>
      </c>
      <c r="G404" s="49">
        <f>TRUNC((E404*F404),8)</f>
        <v/>
      </c>
      <c r="H404" s="49">
        <f>ROUND(((1+$H$4)^(30/360))^(C404/(EDATE(D404-B404,1)-(D404-B404))),9)</f>
        <v/>
      </c>
      <c r="I404" s="49">
        <f>TRUNC((G404*H404-G404),8)</f>
        <v/>
      </c>
      <c r="J404" s="49">
        <f>G404+I404</f>
        <v/>
      </c>
      <c r="K404" s="256" t="n"/>
      <c r="L404" s="256" t="n"/>
      <c r="M404" s="256" t="n"/>
      <c r="N404" s="256" t="n"/>
      <c r="O404" s="256" t="n"/>
      <c r="P404" s="256" t="n"/>
      <c r="Q404" s="256" t="n"/>
    </row>
    <row r="405">
      <c r="A405">
        <f>IF(DAY(D405)=DAY($L$1+1),A404+1,A404)</f>
        <v/>
      </c>
      <c r="B405" s="46">
        <f>IF(DAY(D405)=DAY($L$1+1),1,B404+1)</f>
        <v/>
      </c>
      <c r="C405" s="46">
        <f>IF(DAY(D405)=DAY($L$1+1),1,C404+1)</f>
        <v/>
      </c>
      <c r="D405" s="2">
        <f>D404+1</f>
        <v/>
      </c>
      <c r="E405" s="8">
        <f>IF(DAY(D405)=DAY($L$1+1),TRUNC((N404),8),E404)</f>
        <v/>
      </c>
      <c r="F405" s="49">
        <f>TRUNC(((1+VLOOKUP(A405,IPCA!$A$2:$C$140,3,0)))^(C405/(EDATE(D405-C405,1)-(D405-C405))),8)</f>
        <v/>
      </c>
      <c r="G405" s="49">
        <f>TRUNC((E405*F405),8)</f>
        <v/>
      </c>
      <c r="H405" s="49">
        <f>ROUND(((1+$H$4)^(30/360))^(C405/(EDATE(D405-B405,1)-(D405-B405))),9)</f>
        <v/>
      </c>
      <c r="I405" s="49">
        <f>TRUNC((G405*H405-G405),8)</f>
        <v/>
      </c>
      <c r="J405" s="49">
        <f>G405+I405</f>
        <v/>
      </c>
      <c r="K405" s="256" t="n"/>
      <c r="L405" s="256" t="n"/>
      <c r="M405" s="256" t="n"/>
      <c r="N405" s="256" t="n"/>
      <c r="O405" s="256" t="n"/>
      <c r="P405" s="256" t="n"/>
      <c r="Q405" s="256" t="n"/>
    </row>
    <row r="406">
      <c r="A406">
        <f>IF(DAY(D406)=DAY($L$1+1),A405+1,A405)</f>
        <v/>
      </c>
      <c r="B406" s="46">
        <f>IF(DAY(D406)=DAY($L$1+1),1,B405+1)</f>
        <v/>
      </c>
      <c r="C406" s="46">
        <f>IF(DAY(D406)=DAY($L$1+1),1,C405+1)</f>
        <v/>
      </c>
      <c r="D406" s="2">
        <f>D405+1</f>
        <v/>
      </c>
      <c r="E406" s="8">
        <f>IF(DAY(D406)=DAY($L$1+1),TRUNC((N405),8),E405)</f>
        <v/>
      </c>
      <c r="F406" s="49">
        <f>TRUNC(((1+VLOOKUP(A406,IPCA!$A$2:$C$140,3,0)))^(C406/(EDATE(D406-C406,1)-(D406-C406))),8)</f>
        <v/>
      </c>
      <c r="G406" s="49">
        <f>TRUNC((E406*F406),8)</f>
        <v/>
      </c>
      <c r="H406" s="49">
        <f>ROUND(((1+$H$4)^(30/360))^(C406/(EDATE(D406-B406,1)-(D406-B406))),9)</f>
        <v/>
      </c>
      <c r="I406" s="49">
        <f>TRUNC((G406*H406-G406),8)</f>
        <v/>
      </c>
      <c r="J406" s="49">
        <f>G406+I406</f>
        <v/>
      </c>
      <c r="K406" s="256" t="n"/>
      <c r="L406" s="256" t="n"/>
      <c r="M406" s="256" t="n"/>
      <c r="N406" s="256" t="n"/>
      <c r="O406" s="256" t="n"/>
      <c r="P406" s="256" t="n"/>
      <c r="Q406" s="256" t="n"/>
    </row>
    <row r="407">
      <c r="A407">
        <f>IF(DAY(D407)=DAY($L$1+1),A406+1,A406)</f>
        <v/>
      </c>
      <c r="B407" s="46">
        <f>IF(DAY(D407)=DAY($L$1+1),1,B406+1)</f>
        <v/>
      </c>
      <c r="C407" s="46">
        <f>IF(DAY(D407)=DAY($L$1+1),1,C406+1)</f>
        <v/>
      </c>
      <c r="D407" s="2">
        <f>D406+1</f>
        <v/>
      </c>
      <c r="E407" s="8">
        <f>IF(DAY(D407)=DAY($L$1+1),TRUNC((N406),8),E406)</f>
        <v/>
      </c>
      <c r="F407" s="49">
        <f>TRUNC(((1+VLOOKUP(A407,IPCA!$A$2:$C$140,3,0)))^(C407/(EDATE(D407-C407,1)-(D407-C407))),8)</f>
        <v/>
      </c>
      <c r="G407" s="49">
        <f>TRUNC((E407*F407),8)</f>
        <v/>
      </c>
      <c r="H407" s="49">
        <f>ROUND(((1+$H$4)^(30/360))^(C407/(EDATE(D407-B407,1)-(D407-B407))),9)</f>
        <v/>
      </c>
      <c r="I407" s="49">
        <f>TRUNC((G407*H407-G407),8)</f>
        <v/>
      </c>
      <c r="J407" s="49">
        <f>G407+I407</f>
        <v/>
      </c>
      <c r="K407" s="256" t="n"/>
      <c r="L407" s="256" t="n"/>
      <c r="M407" s="256" t="n"/>
      <c r="N407" s="256" t="n"/>
      <c r="O407" s="256" t="n"/>
      <c r="P407" s="256" t="n"/>
      <c r="Q407" s="256" t="n"/>
    </row>
    <row r="408">
      <c r="A408">
        <f>IF(DAY(D408)=DAY($L$1+1),A407+1,A407)</f>
        <v/>
      </c>
      <c r="B408" s="46">
        <f>IF(DAY(D408)=DAY($L$1+1),1,B407+1)</f>
        <v/>
      </c>
      <c r="C408" s="46">
        <f>IF(DAY(D408)=DAY($L$1+1),1,C407+1)</f>
        <v/>
      </c>
      <c r="D408" s="2">
        <f>D407+1</f>
        <v/>
      </c>
      <c r="E408" s="8">
        <f>IF(DAY(D408)=DAY($L$1+1),TRUNC((N407),8),E407)</f>
        <v/>
      </c>
      <c r="F408" s="49">
        <f>TRUNC(((1+VLOOKUP(A408,IPCA!$A$2:$C$140,3,0)))^(C408/(EDATE(D408-C408,1)-(D408-C408))),8)</f>
        <v/>
      </c>
      <c r="G408" s="49">
        <f>TRUNC((E408*F408),8)</f>
        <v/>
      </c>
      <c r="H408" s="49">
        <f>ROUND(((1+$H$4)^(30/360))^(C408/(EDATE(D408-B408,1)-(D408-B408))),9)</f>
        <v/>
      </c>
      <c r="I408" s="49">
        <f>TRUNC((G408*H408-G408),8)</f>
        <v/>
      </c>
      <c r="J408" s="49">
        <f>G408+I408</f>
        <v/>
      </c>
      <c r="K408" s="256" t="n"/>
      <c r="L408" s="256" t="n"/>
      <c r="M408" s="256" t="n"/>
      <c r="N408" s="256" t="n"/>
      <c r="O408" s="256" t="n"/>
      <c r="P408" s="256" t="n"/>
      <c r="Q408" s="256" t="n"/>
    </row>
    <row r="409">
      <c r="A409">
        <f>IF(DAY(D409)=DAY($L$1+1),A408+1,A408)</f>
        <v/>
      </c>
      <c r="B409" s="46">
        <f>IF(DAY(D409)=DAY($L$1+1),1,B408+1)</f>
        <v/>
      </c>
      <c r="C409" s="46">
        <f>IF(DAY(D409)=DAY($L$1+1),1,C408+1)</f>
        <v/>
      </c>
      <c r="D409" s="2">
        <f>D408+1</f>
        <v/>
      </c>
      <c r="E409" s="8">
        <f>IF(DAY(D409)=DAY($L$1+1),TRUNC((N408),8),E408)</f>
        <v/>
      </c>
      <c r="F409" s="49">
        <f>TRUNC(((1+VLOOKUP(A409,IPCA!$A$2:$C$140,3,0)))^(C409/(EDATE(D409-C409,1)-(D409-C409))),8)</f>
        <v/>
      </c>
      <c r="G409" s="49">
        <f>TRUNC((E409*F409),8)</f>
        <v/>
      </c>
      <c r="H409" s="49">
        <f>ROUND(((1+$H$4)^(30/360))^(C409/(EDATE(D409-B409,1)-(D409-B409))),9)</f>
        <v/>
      </c>
      <c r="I409" s="49">
        <f>TRUNC((G409*H409-G409),8)</f>
        <v/>
      </c>
      <c r="J409" s="49">
        <f>G409+I409</f>
        <v/>
      </c>
      <c r="K409" s="256" t="n"/>
      <c r="L409" s="256" t="n"/>
      <c r="M409" s="256" t="n"/>
      <c r="N409" s="256" t="n"/>
      <c r="O409" s="256" t="n"/>
      <c r="P409" s="256" t="n"/>
      <c r="Q409" s="256" t="n"/>
    </row>
    <row r="410">
      <c r="A410">
        <f>IF(DAY(D410)=DAY($L$1+1),A409+1,A409)</f>
        <v/>
      </c>
      <c r="B410" s="46">
        <f>IF(DAY(D410)=DAY($L$1+1),1,B409+1)</f>
        <v/>
      </c>
      <c r="C410" s="46">
        <f>IF(DAY(D410)=DAY($L$1+1),1,C409+1)</f>
        <v/>
      </c>
      <c r="D410" s="2">
        <f>D409+1</f>
        <v/>
      </c>
      <c r="E410" s="8">
        <f>IF(DAY(D410)=DAY($L$1+1),TRUNC((N409),8),E409)</f>
        <v/>
      </c>
      <c r="F410" s="49">
        <f>TRUNC(((1+VLOOKUP(A410,IPCA!$A$2:$C$140,3,0)))^(C410/(EDATE(D410-C410,1)-(D410-C410))),8)</f>
        <v/>
      </c>
      <c r="G410" s="49">
        <f>TRUNC((E410*F410),8)</f>
        <v/>
      </c>
      <c r="H410" s="49">
        <f>ROUND(((1+$H$4)^(30/360))^(C410/(EDATE(D410-B410,1)-(D410-B410))),9)</f>
        <v/>
      </c>
      <c r="I410" s="49">
        <f>TRUNC((G410*H410-G410),8)</f>
        <v/>
      </c>
      <c r="J410" s="49">
        <f>G410+I410</f>
        <v/>
      </c>
      <c r="K410" s="256" t="n"/>
      <c r="L410" s="256" t="n"/>
      <c r="M410" s="256" t="n"/>
      <c r="N410" s="256" t="n"/>
      <c r="O410" s="256" t="n"/>
      <c r="P410" s="256" t="n"/>
      <c r="Q410" s="256" t="n"/>
    </row>
    <row r="411">
      <c r="A411">
        <f>IF(DAY(D411)=DAY($L$1+1),A410+1,A410)</f>
        <v/>
      </c>
      <c r="B411" s="46">
        <f>IF(DAY(D411)=DAY($L$1+1),1,B410+1)</f>
        <v/>
      </c>
      <c r="C411" s="46">
        <f>IF(DAY(D411)=DAY($L$1+1),1,C410+1)</f>
        <v/>
      </c>
      <c r="D411" s="2">
        <f>D410+1</f>
        <v/>
      </c>
      <c r="E411" s="8">
        <f>IF(DAY(D411)=DAY($L$1+1),TRUNC((N410),8),E410)</f>
        <v/>
      </c>
      <c r="F411" s="49">
        <f>TRUNC(((1+VLOOKUP(A411,IPCA!$A$2:$C$140,3,0)))^(C411/(EDATE(D411-C411,1)-(D411-C411))),8)</f>
        <v/>
      </c>
      <c r="G411" s="49">
        <f>TRUNC((E411*F411),8)</f>
        <v/>
      </c>
      <c r="H411" s="49">
        <f>ROUND(((1+$H$4)^(30/360))^(C411/(EDATE(D411-B411,1)-(D411-B411))),9)</f>
        <v/>
      </c>
      <c r="I411" s="49">
        <f>TRUNC((G411*H411-G411),8)</f>
        <v/>
      </c>
      <c r="J411" s="49">
        <f>G411+I411</f>
        <v/>
      </c>
      <c r="K411" s="256" t="n"/>
      <c r="L411" s="256" t="n"/>
      <c r="M411" s="256" t="n"/>
      <c r="N411" s="256" t="n"/>
      <c r="O411" s="256" t="n"/>
      <c r="P411" s="256" t="n"/>
      <c r="Q411" s="256" t="n"/>
    </row>
    <row r="412">
      <c r="A412">
        <f>IF(DAY(D412)=DAY($L$1+1),A411+1,A411)</f>
        <v/>
      </c>
      <c r="B412" s="46">
        <f>IF(DAY(D412)=DAY($L$1+1),1,B411+1)</f>
        <v/>
      </c>
      <c r="C412" s="46">
        <f>IF(DAY(D412)=DAY($L$1+1),1,C411+1)</f>
        <v/>
      </c>
      <c r="D412" s="2">
        <f>D411+1</f>
        <v/>
      </c>
      <c r="E412" s="8">
        <f>IF(DAY(D412)=DAY($L$1+1),TRUNC((N411),8),E411)</f>
        <v/>
      </c>
      <c r="F412" s="49">
        <f>TRUNC(((1+VLOOKUP(A412,IPCA!$A$2:$C$140,3,0)))^(C412/(EDATE(D412-C412,1)-(D412-C412))),8)</f>
        <v/>
      </c>
      <c r="G412" s="49">
        <f>TRUNC((E412*F412),8)</f>
        <v/>
      </c>
      <c r="H412" s="49">
        <f>ROUND(((1+$H$4)^(30/360))^(C412/(EDATE(D412-B412,1)-(D412-B412))),9)</f>
        <v/>
      </c>
      <c r="I412" s="49">
        <f>TRUNC((G412*H412-G412),8)</f>
        <v/>
      </c>
      <c r="J412" s="49">
        <f>G412+I412</f>
        <v/>
      </c>
      <c r="K412" s="256" t="n"/>
      <c r="L412" s="256" t="n"/>
      <c r="M412" s="256" t="n"/>
      <c r="N412" s="256" t="n"/>
      <c r="O412" s="256" t="n"/>
      <c r="P412" s="256" t="n"/>
      <c r="Q412" s="256" t="n"/>
    </row>
    <row r="413">
      <c r="A413">
        <f>IF(DAY(D413)=DAY($L$1+1),A412+1,A412)</f>
        <v/>
      </c>
      <c r="B413" s="46">
        <f>IF(DAY(D413)=DAY($L$1+1),1,B412+1)</f>
        <v/>
      </c>
      <c r="C413" s="46">
        <f>IF(DAY(D413)=DAY($L$1+1),1,C412+1)</f>
        <v/>
      </c>
      <c r="D413" s="2">
        <f>D412+1</f>
        <v/>
      </c>
      <c r="E413" s="8">
        <f>IF(DAY(D413)=DAY($L$1+1),TRUNC((N412),8),E412)</f>
        <v/>
      </c>
      <c r="F413" s="49">
        <f>TRUNC(((1+VLOOKUP(A413,IPCA!$A$2:$C$140,3,0)))^(C413/(EDATE(D413-C413,1)-(D413-C413))),8)</f>
        <v/>
      </c>
      <c r="G413" s="49">
        <f>TRUNC((E413*F413),8)</f>
        <v/>
      </c>
      <c r="H413" s="49">
        <f>ROUND(((1+$H$4)^(30/360))^(C413/(EDATE(D413-B413,1)-(D413-B413))),9)</f>
        <v/>
      </c>
      <c r="I413" s="49">
        <f>TRUNC((G413*H413-G413),8)</f>
        <v/>
      </c>
      <c r="J413" s="49">
        <f>G413+I413</f>
        <v/>
      </c>
      <c r="K413" s="256" t="inlineStr">
        <is>
          <t>Cri Integralizado</t>
        </is>
      </c>
      <c r="L413" s="270">
        <f>L382</f>
        <v/>
      </c>
      <c r="M413" s="256" t="n"/>
      <c r="N413" s="256" t="n"/>
      <c r="O413" s="256" t="n"/>
      <c r="P413" s="256" t="n"/>
      <c r="Q413" s="256" t="n"/>
    </row>
    <row r="414">
      <c r="A414">
        <f>IF(DAY(D414)=DAY($L$1+1),A413+1,A413)</f>
        <v/>
      </c>
      <c r="B414" s="46">
        <f>IF(DAY(D414)=DAY($L$1+1),1,B413+1)</f>
        <v/>
      </c>
      <c r="C414" s="46">
        <f>IF(DAY(D414)=DAY($L$1+1),1,C413+1)</f>
        <v/>
      </c>
      <c r="D414" s="47">
        <f>D413+1</f>
        <v/>
      </c>
      <c r="E414" s="8">
        <f>IF(DAY(D414)=DAY($L$1+1),TRUNC((N413),8),E413)</f>
        <v/>
      </c>
      <c r="F414" s="49">
        <f>TRUNC(((1+VLOOKUP(A414,IPCA!$A$2:$C$140,3,0)))^(C414/(EDATE(D414-C414,1)-(D414-C414))),8)</f>
        <v/>
      </c>
      <c r="G414" s="49">
        <f>TRUNC((E414*F414),8)</f>
        <v/>
      </c>
      <c r="H414" s="49">
        <f>ROUND(((1+$H$4)^(30/360))^(C414/(EDATE(D414-B414,1)-(D414-B414))),9)</f>
        <v/>
      </c>
      <c r="I414" s="49">
        <f>TRUNC((G414*H414-G414),8)</f>
        <v/>
      </c>
      <c r="J414" s="49">
        <f>G414+I414</f>
        <v/>
      </c>
      <c r="K414" s="118" t="inlineStr">
        <is>
          <t>JUROS</t>
        </is>
      </c>
      <c r="L414" s="118" t="inlineStr">
        <is>
          <t>AMORTIZAÇÃO</t>
        </is>
      </c>
      <c r="M414" s="118" t="inlineStr">
        <is>
          <t>AMEX</t>
        </is>
      </c>
      <c r="N414" s="118" t="inlineStr">
        <is>
          <t>RESIDUAL</t>
        </is>
      </c>
      <c r="O414" s="256" t="n"/>
      <c r="P414" s="256" t="n"/>
      <c r="Q414" s="256" t="n"/>
    </row>
    <row r="415">
      <c r="A415">
        <f>IF(DAY(D415)=DAY($L$1+1),A414+1,A414)</f>
        <v/>
      </c>
      <c r="B415" s="111">
        <f>IF(DAY(D415)=DAY($L$1+1),1,B414+1)</f>
        <v/>
      </c>
      <c r="C415" s="111">
        <f>IF(DAY(D415)=DAY($L$1+1),1,C414+1)</f>
        <v/>
      </c>
      <c r="D415" s="112">
        <f>D414+1</f>
        <v/>
      </c>
      <c r="E415" s="113">
        <f>IF(DAY(D415)=DAY($L$1+1),TRUNC((N414),8),E414)</f>
        <v/>
      </c>
      <c r="F415" s="114">
        <f>TRUNC(((1+VLOOKUP(A415,IPCA!$A$2:$C$140,3,0)))^(C415/(EDATE(D415-C415,1)-(D415-C415))),8)</f>
        <v/>
      </c>
      <c r="G415" s="114">
        <f>TRUNC((E415*F415),8)</f>
        <v/>
      </c>
      <c r="H415" s="114">
        <f>ROUND(((1+$H$4)^(30/360))^(C415/(EDATE(D415-B415,1)-(D415-B415))),9)</f>
        <v/>
      </c>
      <c r="I415" s="114">
        <f>TRUNC((G415*H415-G415),8)</f>
        <v/>
      </c>
      <c r="J415" s="114">
        <f>G415+I415</f>
        <v/>
      </c>
      <c r="K415" s="119" t="n">
        <v>0</v>
      </c>
      <c r="L415" s="120" t="n">
        <v>0</v>
      </c>
      <c r="M415" s="120" t="n">
        <v>0</v>
      </c>
      <c r="N415" s="120">
        <f>J415-K415-L415-M415</f>
        <v/>
      </c>
      <c r="O415" s="256" t="n"/>
      <c r="P415" s="256" t="n"/>
      <c r="Q415" s="256" t="n"/>
    </row>
    <row r="416">
      <c r="A416">
        <f>IF(DAY(D416)=DAY($L$1+1),A415+1,A415)</f>
        <v/>
      </c>
      <c r="B416" s="46">
        <f>IF(DAY(D416)=DAY($L$1+1),1,B415+1)</f>
        <v/>
      </c>
      <c r="C416" s="46">
        <f>IF(DAY(D416)=DAY($L$1+1),1,C415+1)</f>
        <v/>
      </c>
      <c r="D416" s="2">
        <f>D415+1</f>
        <v/>
      </c>
      <c r="E416" s="8">
        <f>IF(DAY(D416)=DAY($L$1+1),TRUNC((N415),8),E415)</f>
        <v/>
      </c>
      <c r="F416" s="49">
        <f>TRUNC(((1+VLOOKUP(A416,IPCA!$A$2:$C$140,3,0)))^(C416/(EDATE(D416-C416,1)-(D416-C416))),8)</f>
        <v/>
      </c>
      <c r="G416" s="49">
        <f>TRUNC((E416*F416),8)</f>
        <v/>
      </c>
      <c r="H416" s="49">
        <f>ROUND(((1+$H$4)^(30/360))^(C416/(EDATE(D416-B416,1)-(D416-B416))),9)</f>
        <v/>
      </c>
      <c r="I416" s="49">
        <f>TRUNC((G416*H416-G416),8)</f>
        <v/>
      </c>
      <c r="J416" s="49">
        <f>G416+I416</f>
        <v/>
      </c>
      <c r="K416" s="121">
        <f>K415*L413</f>
        <v/>
      </c>
      <c r="L416" s="121">
        <f>L415*L413</f>
        <v/>
      </c>
      <c r="M416" s="121">
        <f>M415*L413</f>
        <v/>
      </c>
      <c r="N416" s="121">
        <f>N415*L413</f>
        <v/>
      </c>
      <c r="O416" s="256" t="n"/>
      <c r="P416" s="256" t="n"/>
      <c r="Q416" s="256" t="n"/>
    </row>
    <row r="417">
      <c r="A417">
        <f>IF(DAY(D417)=DAY($L$1+1),A416+1,A416)</f>
        <v/>
      </c>
      <c r="B417" s="46">
        <f>IF(DAY(D417)=DAY($L$1+1),1,B416+1)</f>
        <v/>
      </c>
      <c r="C417" s="46">
        <f>IF(DAY(D417)=DAY($L$1+1),1,C416+1)</f>
        <v/>
      </c>
      <c r="D417" s="47">
        <f>D416+1</f>
        <v/>
      </c>
      <c r="E417" s="8">
        <f>IF(DAY(D417)=DAY($L$1+1),TRUNC((N416),8),E416)</f>
        <v/>
      </c>
      <c r="F417" s="49">
        <f>TRUNC(((1+VLOOKUP(A417,IPCA!$A$2:$C$140,3,0)))^(C417/(EDATE(D417-C417,1)-(D417-C417))),8)</f>
        <v/>
      </c>
      <c r="G417" s="49">
        <f>TRUNC((E417*F417),8)</f>
        <v/>
      </c>
      <c r="H417" s="49">
        <f>ROUND(((1+$H$4)^(30/360))^(C417/(EDATE(D417-B417,1)-(D417-B417))),9)</f>
        <v/>
      </c>
      <c r="I417" s="49">
        <f>TRUNC((G417*H417-G417),8)</f>
        <v/>
      </c>
      <c r="J417" s="49">
        <f>G417+I417</f>
        <v/>
      </c>
      <c r="K417" s="256" t="n"/>
      <c r="L417" s="125" t="n"/>
      <c r="M417" s="126" t="n"/>
      <c r="N417" s="127" t="n"/>
      <c r="O417" s="256" t="n"/>
      <c r="P417" s="256" t="n"/>
      <c r="Q417" s="256" t="n"/>
    </row>
    <row r="418">
      <c r="A418">
        <f>IF(DAY(D418)=DAY($L$1+1),A417+1,A417)</f>
        <v/>
      </c>
      <c r="B418" s="46">
        <f>IF(DAY(D418)=DAY($L$1+1),1,B417+1)</f>
        <v/>
      </c>
      <c r="C418" s="46">
        <f>IF(DAY(D418)=DAY($L$1+1),1,C417+1)</f>
        <v/>
      </c>
      <c r="D418" s="2">
        <f>D417+1</f>
        <v/>
      </c>
      <c r="E418" s="8">
        <f>IF(DAY(D418)=DAY($L$1+1),TRUNC((N417),8),E417)</f>
        <v/>
      </c>
      <c r="F418" s="49">
        <f>TRUNC(((1+VLOOKUP(A418,IPCA!$A$2:$C$140,3,0)))^(C418/(EDATE(D418-C418,1)-(D418-C418))),8)</f>
        <v/>
      </c>
      <c r="G418" s="49">
        <f>TRUNC((E418*F418),8)</f>
        <v/>
      </c>
      <c r="H418" s="49">
        <f>ROUND(((1+$H$4)^(30/360))^(C418/(EDATE(D418-B418,1)-(D418-B418))),9)</f>
        <v/>
      </c>
      <c r="I418" s="49">
        <f>TRUNC((G418*H418-G418),8)</f>
        <v/>
      </c>
      <c r="J418" s="49">
        <f>G418+I418</f>
        <v/>
      </c>
      <c r="K418" s="256" t="n"/>
      <c r="L418" s="256" t="n"/>
      <c r="M418" s="256" t="n"/>
      <c r="N418" s="256" t="n"/>
      <c r="O418" s="256" t="n"/>
      <c r="P418" s="256" t="n"/>
      <c r="Q418" s="256" t="n"/>
    </row>
    <row r="419">
      <c r="A419">
        <f>IF(DAY(D419)=DAY($L$1+1),A418+1,A418)</f>
        <v/>
      </c>
      <c r="B419" s="46">
        <f>IF(DAY(D419)=DAY($L$1+1),1,B418+1)</f>
        <v/>
      </c>
      <c r="C419" s="46">
        <f>IF(DAY(D419)=DAY($L$1+1),1,C418+1)</f>
        <v/>
      </c>
      <c r="D419" s="2">
        <f>D418+1</f>
        <v/>
      </c>
      <c r="E419" s="8">
        <f>IF(DAY(D419)=DAY($L$1+1),TRUNC((#REF!),8),E418)</f>
        <v/>
      </c>
      <c r="F419" s="49">
        <f>TRUNC(((1+VLOOKUP(A419,IPCA!$A$2:$C$140,3,0)))^(C419/(EDATE(D419-C419,1)-(D419-C419))),8)</f>
        <v/>
      </c>
      <c r="G419" s="49">
        <f>TRUNC((E419*F419),8)</f>
        <v/>
      </c>
      <c r="H419" s="49">
        <f>ROUND(((1+$H$4)^(30/360))^(C419/(EDATE(D419-B419,1)-(D419-B419))),9)</f>
        <v/>
      </c>
      <c r="I419" s="49">
        <f>TRUNC((G419*H419-G419),8)</f>
        <v/>
      </c>
      <c r="J419" s="49">
        <f>G419+I419</f>
        <v/>
      </c>
      <c r="K419" s="256" t="n"/>
      <c r="L419" s="256" t="n"/>
      <c r="M419" s="256" t="n"/>
      <c r="N419" s="256" t="n"/>
      <c r="O419" s="256" t="n"/>
      <c r="P419" s="256" t="n"/>
      <c r="Q419" s="256" t="n"/>
    </row>
    <row r="420">
      <c r="A420">
        <f>IF(DAY(D420)=DAY($L$1+1),A419+1,A419)</f>
        <v/>
      </c>
      <c r="B420" s="46">
        <f>IF(DAY(D420)=DAY($L$1+1),1,B419+1)</f>
        <v/>
      </c>
      <c r="C420" s="46">
        <f>IF(DAY(D420)=DAY($L$1+1),1,C419+1)</f>
        <v/>
      </c>
      <c r="D420" s="2">
        <f>D419+1</f>
        <v/>
      </c>
      <c r="E420" s="8">
        <f>IF(DAY(D420)=DAY($L$1+1),TRUNC((#REF!),8),E419)</f>
        <v/>
      </c>
      <c r="F420" s="49">
        <f>TRUNC(((1+VLOOKUP(A420,IPCA!$A$2:$C$140,3,0)))^(C420/(EDATE(D420-C420,1)-(D420-C420))),8)</f>
        <v/>
      </c>
      <c r="G420" s="49">
        <f>TRUNC((E420*F420),8)</f>
        <v/>
      </c>
      <c r="H420" s="49">
        <f>ROUND(((1+$H$4)^(30/360))^(C420/(EDATE(D420-B420,1)-(D420-B420))),9)</f>
        <v/>
      </c>
      <c r="I420" s="49">
        <f>TRUNC((G420*H420-G420),8)</f>
        <v/>
      </c>
      <c r="J420" s="49">
        <f>G420+I420</f>
        <v/>
      </c>
      <c r="K420" s="256" t="n"/>
      <c r="L420" s="256" t="n"/>
      <c r="M420" s="256" t="n"/>
      <c r="N420" s="256" t="n"/>
      <c r="O420" s="256" t="n"/>
      <c r="P420" s="256" t="n"/>
      <c r="Q420" s="256" t="n"/>
    </row>
    <row r="421">
      <c r="A421">
        <f>IF(DAY(D421)=DAY($L$1+1),A420+1,A420)</f>
        <v/>
      </c>
      <c r="B421" s="46">
        <f>IF(DAY(D421)=DAY($L$1+1),1,B420+1)</f>
        <v/>
      </c>
      <c r="C421" s="46">
        <f>IF(DAY(D421)=DAY($L$1+1),1,C420+1)</f>
        <v/>
      </c>
      <c r="D421" s="2">
        <f>D420+1</f>
        <v/>
      </c>
      <c r="E421" s="8">
        <f>IF(DAY(D421)=DAY($L$1+1),TRUNC((#REF!),8),E420)</f>
        <v/>
      </c>
      <c r="F421" s="49">
        <f>TRUNC(((1+VLOOKUP(A421,IPCA!$A$2:$C$140,3,0)))^(C421/(EDATE(D421-C421,1)-(D421-C421))),8)</f>
        <v/>
      </c>
      <c r="G421" s="49">
        <f>TRUNC((E421*F421),8)</f>
        <v/>
      </c>
      <c r="H421" s="49">
        <f>ROUND(((1+$H$4)^(30/360))^(C421/(EDATE(D421-B421,1)-(D421-B421))),9)</f>
        <v/>
      </c>
      <c r="I421" s="49">
        <f>TRUNC((G421*H421-G421),8)</f>
        <v/>
      </c>
      <c r="J421" s="49">
        <f>G421+I421</f>
        <v/>
      </c>
      <c r="K421" s="256" t="n"/>
      <c r="L421" s="256" t="n"/>
      <c r="M421" s="256" t="n"/>
      <c r="N421" s="256" t="n"/>
      <c r="O421" s="256" t="n"/>
      <c r="P421" s="256" t="n"/>
      <c r="Q421" s="256" t="n"/>
    </row>
    <row r="422">
      <c r="A422">
        <f>IF(DAY(D422)=DAY($L$1+1),A421+1,A421)</f>
        <v/>
      </c>
      <c r="B422" s="46">
        <f>IF(DAY(D422)=DAY($L$1+1),1,B421+1)</f>
        <v/>
      </c>
      <c r="C422" s="46">
        <f>IF(DAY(D422)=DAY($L$1+1),1,C421+1)</f>
        <v/>
      </c>
      <c r="D422" s="2">
        <f>D421+1</f>
        <v/>
      </c>
      <c r="E422" s="8">
        <f>IF(DAY(D422)=DAY($L$1+1),TRUNC((#REF!),8),E421)</f>
        <v/>
      </c>
      <c r="F422" s="49">
        <f>TRUNC(((1+VLOOKUP(A422,IPCA!$A$2:$C$140,3,0)))^(C422/(EDATE(D422-C422,1)-(D422-C422))),8)</f>
        <v/>
      </c>
      <c r="G422" s="49">
        <f>TRUNC((E422*F422),8)</f>
        <v/>
      </c>
      <c r="H422" s="49">
        <f>ROUND(((1+$H$4)^(30/360))^(C422/(EDATE(D422-B422,1)-(D422-B422))),9)</f>
        <v/>
      </c>
      <c r="I422" s="49">
        <f>TRUNC((G422*H422-G422),8)</f>
        <v/>
      </c>
      <c r="J422" s="49">
        <f>G422+I422</f>
        <v/>
      </c>
      <c r="K422" s="256" t="n"/>
      <c r="L422" s="256" t="n"/>
      <c r="M422" s="256" t="n"/>
      <c r="N422" s="256" t="n"/>
      <c r="O422" s="256" t="n"/>
      <c r="P422" s="256" t="n"/>
      <c r="Q422" s="256" t="n"/>
    </row>
    <row r="423">
      <c r="A423">
        <f>IF(DAY(D423)=DAY($L$1+1),A422+1,A422)</f>
        <v/>
      </c>
      <c r="B423" s="46">
        <f>IF(DAY(D423)=DAY($L$1+1),1,B422+1)</f>
        <v/>
      </c>
      <c r="C423" s="46">
        <f>IF(DAY(D423)=DAY($L$1+1),1,C422+1)</f>
        <v/>
      </c>
      <c r="D423" s="2">
        <f>D422+1</f>
        <v/>
      </c>
      <c r="E423" s="8">
        <f>IF(DAY(D423)=DAY($L$1+1),TRUNC((N422),8),E422)</f>
        <v/>
      </c>
      <c r="F423" s="49">
        <f>TRUNC(((1+VLOOKUP(A423,IPCA!$A$2:$C$140,3,0)))^(C423/(EDATE(D423-C423,1)-(D423-C423))),8)</f>
        <v/>
      </c>
      <c r="G423" s="49">
        <f>TRUNC((E423*F423),8)</f>
        <v/>
      </c>
      <c r="H423" s="49">
        <f>ROUND(((1+$H$4)^(30/360))^(C423/(EDATE(D423-B423,1)-(D423-B423))),9)</f>
        <v/>
      </c>
      <c r="I423" s="49">
        <f>TRUNC((G423*H423-G423),8)</f>
        <v/>
      </c>
      <c r="J423" s="49">
        <f>G423+I423</f>
        <v/>
      </c>
      <c r="K423" s="256" t="n"/>
      <c r="L423" s="256" t="n"/>
      <c r="M423" s="256" t="n"/>
      <c r="N423" s="256" t="n"/>
      <c r="O423" s="256" t="n"/>
      <c r="P423" s="256" t="n"/>
      <c r="Q423" s="256" t="n"/>
    </row>
    <row r="424">
      <c r="A424">
        <f>IF(DAY(D424)=DAY($L$1+1),A423+1,A423)</f>
        <v/>
      </c>
      <c r="B424" s="46">
        <f>IF(DAY(D424)=DAY($L$1+1),1,B423+1)</f>
        <v/>
      </c>
      <c r="C424" s="46">
        <f>IF(DAY(D424)=DAY($L$1+1),1,C423+1)</f>
        <v/>
      </c>
      <c r="D424" s="2">
        <f>D423+1</f>
        <v/>
      </c>
      <c r="E424" s="8">
        <f>IF(DAY(D424)=DAY($L$1+1),TRUNC((N423),8),E423)</f>
        <v/>
      </c>
      <c r="F424" s="49">
        <f>TRUNC(((1+VLOOKUP(A424,IPCA!$A$2:$C$140,3,0)))^(C424/(EDATE(D424-C424,1)-(D424-C424))),8)</f>
        <v/>
      </c>
      <c r="G424" s="49">
        <f>TRUNC((E424*F424),8)</f>
        <v/>
      </c>
      <c r="H424" s="49">
        <f>ROUND(((1+$H$4)^(30/360))^(C424/(EDATE(D424-B424,1)-(D424-B424))),9)</f>
        <v/>
      </c>
      <c r="I424" s="49">
        <f>TRUNC((G424*H424-G424),8)</f>
        <v/>
      </c>
      <c r="J424" s="49">
        <f>G424+I424</f>
        <v/>
      </c>
      <c r="K424" s="256" t="n"/>
      <c r="L424" s="256" t="n"/>
      <c r="M424" s="256" t="n"/>
      <c r="N424" s="256" t="n"/>
      <c r="O424" s="256" t="n"/>
      <c r="P424" s="256" t="n"/>
      <c r="Q424" s="256" t="n"/>
    </row>
    <row r="425">
      <c r="A425">
        <f>IF(DAY(D425)=DAY($L$1+1),A424+1,A424)</f>
        <v/>
      </c>
      <c r="B425" s="46">
        <f>IF(DAY(D425)=DAY($L$1+1),1,B424+1)</f>
        <v/>
      </c>
      <c r="C425" s="46">
        <f>IF(DAY(D425)=DAY($L$1+1),1,C424+1)</f>
        <v/>
      </c>
      <c r="D425" s="2">
        <f>D424+1</f>
        <v/>
      </c>
      <c r="E425" s="8">
        <f>IF(DAY(D425)=DAY($L$1+1),TRUNC((N424),8),E424)</f>
        <v/>
      </c>
      <c r="F425" s="49">
        <f>TRUNC(((1+VLOOKUP(A425,IPCA!$A$2:$C$140,3,0)))^(C425/(EDATE(D425-C425,1)-(D425-C425))),8)</f>
        <v/>
      </c>
      <c r="G425" s="49">
        <f>TRUNC((E425*F425),8)</f>
        <v/>
      </c>
      <c r="H425" s="49">
        <f>ROUND(((1+$H$4)^(30/360))^(C425/(EDATE(D425-B425,1)-(D425-B425))),9)</f>
        <v/>
      </c>
      <c r="I425" s="49">
        <f>TRUNC((G425*H425-G425),8)</f>
        <v/>
      </c>
      <c r="J425" s="49">
        <f>G425+I425</f>
        <v/>
      </c>
      <c r="K425" s="256" t="n"/>
      <c r="L425" s="256" t="n"/>
      <c r="M425" s="256" t="n"/>
      <c r="N425" s="256" t="n"/>
      <c r="O425" s="256" t="n"/>
      <c r="P425" s="256" t="n"/>
      <c r="Q425" s="256" t="n"/>
    </row>
    <row r="426">
      <c r="A426">
        <f>IF(DAY(D426)=DAY($L$1+1),A425+1,A425)</f>
        <v/>
      </c>
      <c r="B426" s="46">
        <f>IF(DAY(D426)=DAY($L$1+1),1,B425+1)</f>
        <v/>
      </c>
      <c r="C426" s="46">
        <f>IF(DAY(D426)=DAY($L$1+1),1,C425+1)</f>
        <v/>
      </c>
      <c r="D426" s="2">
        <f>D425+1</f>
        <v/>
      </c>
      <c r="E426" s="8">
        <f>IF(DAY(D426)=DAY($L$1+1),TRUNC((N425),8),E425)</f>
        <v/>
      </c>
      <c r="F426" s="49">
        <f>TRUNC(((1+VLOOKUP(A426,IPCA!$A$2:$C$140,3,0)))^(C426/(EDATE(D426-C426,1)-(D426-C426))),8)</f>
        <v/>
      </c>
      <c r="G426" s="49">
        <f>TRUNC((E426*F426),8)</f>
        <v/>
      </c>
      <c r="H426" s="49">
        <f>ROUND(((1+$H$4)^(30/360))^(C426/(EDATE(D426-B426,1)-(D426-B426))),9)</f>
        <v/>
      </c>
      <c r="I426" s="49">
        <f>TRUNC((G426*H426-G426),8)</f>
        <v/>
      </c>
      <c r="J426" s="49">
        <f>G426+I426</f>
        <v/>
      </c>
      <c r="K426" s="256" t="n"/>
      <c r="L426" s="256" t="n"/>
      <c r="M426" s="256" t="n"/>
      <c r="N426" s="256" t="n"/>
      <c r="O426" s="256" t="n"/>
      <c r="P426" s="256" t="n"/>
      <c r="Q426" s="256" t="n"/>
    </row>
    <row r="427">
      <c r="A427">
        <f>IF(DAY(D427)=DAY($L$1+1),A426+1,A426)</f>
        <v/>
      </c>
      <c r="B427" s="46">
        <f>IF(DAY(D427)=DAY($L$1+1),1,B426+1)</f>
        <v/>
      </c>
      <c r="C427" s="46">
        <f>IF(DAY(D427)=DAY($L$1+1),1,C426+1)</f>
        <v/>
      </c>
      <c r="D427" s="2">
        <f>D426+1</f>
        <v/>
      </c>
      <c r="E427" s="8">
        <f>IF(DAY(D427)=DAY($L$1+1),TRUNC((N426),8),E426)</f>
        <v/>
      </c>
      <c r="F427" s="49">
        <f>TRUNC(((1+VLOOKUP(A427,IPCA!$A$2:$C$140,3,0)))^(C427/(EDATE(D427-C427,1)-(D427-C427))),8)</f>
        <v/>
      </c>
      <c r="G427" s="49">
        <f>TRUNC((E427*F427),8)</f>
        <v/>
      </c>
      <c r="H427" s="49">
        <f>ROUND(((1+$H$4)^(30/360))^(C427/(EDATE(D427-B427,1)-(D427-B427))),9)</f>
        <v/>
      </c>
      <c r="I427" s="49">
        <f>TRUNC((G427*H427-G427),8)</f>
        <v/>
      </c>
      <c r="J427" s="49">
        <f>G427+I427</f>
        <v/>
      </c>
      <c r="K427" s="256" t="n"/>
      <c r="L427" s="256" t="n"/>
      <c r="M427" s="256" t="n"/>
      <c r="N427" s="256" t="n"/>
      <c r="O427" s="256" t="n"/>
      <c r="P427" s="256" t="n"/>
      <c r="Q427" s="256" t="n"/>
    </row>
    <row r="428">
      <c r="A428">
        <f>IF(DAY(D428)=DAY($L$1+1),A427+1,A427)</f>
        <v/>
      </c>
      <c r="B428" s="46">
        <f>IF(DAY(D428)=DAY($L$1+1),1,B427+1)</f>
        <v/>
      </c>
      <c r="C428" s="46">
        <f>IF(DAY(D428)=DAY($L$1+1),1,C427+1)</f>
        <v/>
      </c>
      <c r="D428" s="2">
        <f>D427+1</f>
        <v/>
      </c>
      <c r="E428" s="8">
        <f>IF(DAY(D428)=DAY($L$1+1),TRUNC((N427),8),E427)</f>
        <v/>
      </c>
      <c r="F428" s="49">
        <f>TRUNC(((1+VLOOKUP(A428,IPCA!$A$2:$C$140,3,0)))^(C428/(EDATE(D428-C428,1)-(D428-C428))),8)</f>
        <v/>
      </c>
      <c r="G428" s="49">
        <f>TRUNC((E428*F428),8)</f>
        <v/>
      </c>
      <c r="H428" s="49">
        <f>ROUND(((1+$H$4)^(30/360))^(C428/(EDATE(D428-B428,1)-(D428-B428))),9)</f>
        <v/>
      </c>
      <c r="I428" s="49">
        <f>TRUNC((G428*H428-G428),8)</f>
        <v/>
      </c>
      <c r="J428" s="49">
        <f>G428+I428</f>
        <v/>
      </c>
      <c r="K428" s="256" t="n"/>
      <c r="L428" s="256" t="n"/>
      <c r="M428" s="256" t="n"/>
      <c r="N428" s="256" t="n"/>
      <c r="O428" s="256" t="n"/>
      <c r="P428" s="256" t="n"/>
      <c r="Q428" s="256" t="n"/>
    </row>
    <row r="429">
      <c r="A429">
        <f>IF(DAY(D429)=DAY($L$1+1),A428+1,A428)</f>
        <v/>
      </c>
      <c r="B429" s="46">
        <f>IF(DAY(D429)=DAY($L$1+1),1,B428+1)</f>
        <v/>
      </c>
      <c r="C429" s="46">
        <f>IF(DAY(D429)=DAY($L$1+1),1,C428+1)</f>
        <v/>
      </c>
      <c r="D429" s="2">
        <f>D428+1</f>
        <v/>
      </c>
      <c r="E429" s="8">
        <f>IF(DAY(D429)=DAY($L$1+1),TRUNC((N428),8),E428)</f>
        <v/>
      </c>
      <c r="F429" s="49">
        <f>TRUNC(((1+VLOOKUP(A429,IPCA!$A$2:$C$140,3,0)))^(C429/(EDATE(D429-C429,1)-(D429-C429))),8)</f>
        <v/>
      </c>
      <c r="G429" s="49">
        <f>TRUNC((E429*F429),8)</f>
        <v/>
      </c>
      <c r="H429" s="49">
        <f>ROUND(((1+$H$4)^(30/360))^(C429/(EDATE(D429-B429,1)-(D429-B429))),9)</f>
        <v/>
      </c>
      <c r="I429" s="49">
        <f>TRUNC((G429*H429-G429),8)</f>
        <v/>
      </c>
      <c r="J429" s="49">
        <f>G429+I429</f>
        <v/>
      </c>
      <c r="K429" s="256" t="n"/>
      <c r="L429" s="256" t="n"/>
      <c r="M429" s="256" t="n"/>
      <c r="N429" s="256" t="n"/>
      <c r="O429" s="256" t="n"/>
      <c r="P429" s="256" t="n"/>
      <c r="Q429" s="256" t="n"/>
    </row>
    <row r="430">
      <c r="A430">
        <f>IF(DAY(D430)=DAY($L$1+1),A429+1,A429)</f>
        <v/>
      </c>
      <c r="B430" s="46">
        <f>IF(DAY(D430)=DAY($L$1+1),1,B429+1)</f>
        <v/>
      </c>
      <c r="C430" s="46">
        <f>IF(DAY(D430)=DAY($L$1+1),1,C429+1)</f>
        <v/>
      </c>
      <c r="D430" s="2">
        <f>D429+1</f>
        <v/>
      </c>
      <c r="E430" s="8">
        <f>IF(DAY(D430)=DAY($L$1+1),TRUNC((N429),8),E429)</f>
        <v/>
      </c>
      <c r="F430" s="49">
        <f>TRUNC(((1+VLOOKUP(A430,IPCA!$A$2:$C$140,3,0)))^(C430/(EDATE(D430-C430,1)-(D430-C430))),8)</f>
        <v/>
      </c>
      <c r="G430" s="49">
        <f>TRUNC((E430*F430),8)</f>
        <v/>
      </c>
      <c r="H430" s="49">
        <f>ROUND(((1+$H$4)^(30/360))^(C430/(EDATE(D430-B430,1)-(D430-B430))),9)</f>
        <v/>
      </c>
      <c r="I430" s="49">
        <f>TRUNC((G430*H430-G430),8)</f>
        <v/>
      </c>
      <c r="J430" s="49">
        <f>G430+I430</f>
        <v/>
      </c>
      <c r="K430" s="256" t="n"/>
      <c r="L430" s="256" t="n"/>
      <c r="M430" s="256" t="n"/>
      <c r="N430" s="256" t="n"/>
      <c r="O430" s="256" t="n"/>
      <c r="P430" s="256" t="n"/>
      <c r="Q430" s="256" t="n"/>
    </row>
    <row r="431">
      <c r="A431">
        <f>IF(DAY(D431)=DAY($L$1+1),A430+1,A430)</f>
        <v/>
      </c>
      <c r="B431" s="46">
        <f>IF(DAY(D431)=DAY($L$1+1),1,B430+1)</f>
        <v/>
      </c>
      <c r="C431" s="46">
        <f>IF(DAY(D431)=DAY($L$1+1),1,C430+1)</f>
        <v/>
      </c>
      <c r="D431" s="2">
        <f>D430+1</f>
        <v/>
      </c>
      <c r="E431" s="8">
        <f>IF(DAY(D431)=DAY($L$1+1),TRUNC((N430),8),E430)</f>
        <v/>
      </c>
      <c r="F431" s="49">
        <f>TRUNC(((1+VLOOKUP(A431,IPCA!$A$2:$C$140,3,0)))^(C431/(EDATE(D431-C431,1)-(D431-C431))),8)</f>
        <v/>
      </c>
      <c r="G431" s="49">
        <f>TRUNC((E431*F431),8)</f>
        <v/>
      </c>
      <c r="H431" s="49">
        <f>ROUND(((1+$H$4)^(30/360))^(C431/(EDATE(D431-B431,1)-(D431-B431))),9)</f>
        <v/>
      </c>
      <c r="I431" s="49">
        <f>TRUNC((G431*H431-G431),8)</f>
        <v/>
      </c>
      <c r="J431" s="49">
        <f>G431+I431</f>
        <v/>
      </c>
      <c r="K431" s="123" t="n"/>
      <c r="L431" s="271" t="n"/>
      <c r="M431" s="256" t="n"/>
      <c r="N431" s="256" t="n"/>
      <c r="O431" s="256" t="n"/>
      <c r="P431" s="256" t="n"/>
      <c r="Q431" s="256" t="n"/>
    </row>
    <row r="432">
      <c r="A432">
        <f>IF(DAY(D432)=DAY($L$1+1),A431+1,A431)</f>
        <v/>
      </c>
      <c r="B432" s="46">
        <f>IF(DAY(D432)=DAY($L$1+1),1,B431+1)</f>
        <v/>
      </c>
      <c r="C432" s="46">
        <f>IF(DAY(D432)=DAY($L$1+1),1,C431+1)</f>
        <v/>
      </c>
      <c r="D432" s="2">
        <f>D431+1</f>
        <v/>
      </c>
      <c r="E432" s="8">
        <f>IF(DAY(D432)=DAY($L$1+1),TRUNC((N431),8),E431)</f>
        <v/>
      </c>
      <c r="F432" s="49">
        <f>TRUNC(((1+VLOOKUP(A432,IPCA!$A$2:$C$140,3,0)))^(C432/(EDATE(D432-C432,1)-(D432-C432))),8)</f>
        <v/>
      </c>
      <c r="G432" s="49">
        <f>TRUNC((E432*F432),8)</f>
        <v/>
      </c>
      <c r="H432" s="49">
        <f>ROUND(((1+$H$4)^(30/360))^(C432/(EDATE(D432-B432,1)-(D432-B432))),9)</f>
        <v/>
      </c>
      <c r="I432" s="49">
        <f>TRUNC((G432*H432-G432),8)</f>
        <v/>
      </c>
      <c r="J432" s="49">
        <f>G432+I432</f>
        <v/>
      </c>
      <c r="K432" s="256" t="n"/>
      <c r="L432" s="256" t="n"/>
      <c r="M432" s="256" t="n"/>
      <c r="N432" s="256" t="n"/>
      <c r="O432" s="256" t="n"/>
      <c r="P432" s="256" t="n"/>
      <c r="Q432" s="256" t="n"/>
    </row>
    <row r="433">
      <c r="A433">
        <f>IF(DAY(D433)=DAY($L$1+1),A432+1,A432)</f>
        <v/>
      </c>
      <c r="B433" s="46">
        <f>IF(DAY(D433)=DAY($L$1+1),1,B432+1)</f>
        <v/>
      </c>
      <c r="C433" s="46">
        <f>IF(DAY(D433)=DAY($L$1+1),1,C432+1)</f>
        <v/>
      </c>
      <c r="D433" s="2">
        <f>D432+1</f>
        <v/>
      </c>
      <c r="E433" s="8">
        <f>IF(DAY(D433)=DAY($L$1+1),TRUNC((N432),8),E432)</f>
        <v/>
      </c>
      <c r="F433" s="49">
        <f>TRUNC(((1+VLOOKUP(A433,IPCA!$A$2:$C$140,3,0)))^(C433/(EDATE(D433-C433,1)-(D433-C433))),8)</f>
        <v/>
      </c>
      <c r="G433" s="49">
        <f>TRUNC((E433*F433),8)</f>
        <v/>
      </c>
      <c r="H433" s="49">
        <f>ROUND(((1+$H$4)^(30/360))^(C433/(EDATE(D433-B433,1)-(D433-B433))),9)</f>
        <v/>
      </c>
      <c r="I433" s="49">
        <f>TRUNC((G433*H433-G433),8)</f>
        <v/>
      </c>
      <c r="J433" s="49">
        <f>G433+I433</f>
        <v/>
      </c>
      <c r="K433" s="256" t="n"/>
      <c r="L433" s="256" t="n"/>
      <c r="M433" s="256" t="n"/>
      <c r="N433" s="256" t="n"/>
      <c r="O433" s="256" t="n"/>
      <c r="P433" s="256" t="n"/>
      <c r="Q433" s="256" t="n"/>
    </row>
    <row r="434">
      <c r="A434">
        <f>IF(DAY(D434)=DAY($L$1+1),A433+1,A433)</f>
        <v/>
      </c>
      <c r="B434" s="46">
        <f>IF(DAY(D434)=DAY($L$1+1),1,B433+1)</f>
        <v/>
      </c>
      <c r="C434" s="46">
        <f>IF(DAY(D434)=DAY($L$1+1),1,C433+1)</f>
        <v/>
      </c>
      <c r="D434" s="2">
        <f>D433+1</f>
        <v/>
      </c>
      <c r="E434" s="8">
        <f>IF(DAY(D434)=DAY($L$1+1),TRUNC((N433),8),E433)</f>
        <v/>
      </c>
      <c r="F434" s="49">
        <f>TRUNC(((1+VLOOKUP(A434,IPCA!$A$2:$C$140,3,0)))^(C434/(EDATE(D434-C434,1)-(D434-C434))),8)</f>
        <v/>
      </c>
      <c r="G434" s="49">
        <f>TRUNC((E434*F434),8)</f>
        <v/>
      </c>
      <c r="H434" s="49">
        <f>ROUND(((1+$H$4)^(30/360))^(C434/(EDATE(D434-B434,1)-(D434-B434))),9)</f>
        <v/>
      </c>
      <c r="I434" s="49">
        <f>TRUNC((G434*H434-G434),8)</f>
        <v/>
      </c>
      <c r="J434" s="49">
        <f>G434+I434</f>
        <v/>
      </c>
      <c r="K434" s="256" t="n"/>
      <c r="L434" s="256" t="n"/>
      <c r="M434" s="256" t="n"/>
      <c r="N434" s="256" t="n"/>
      <c r="O434" s="256" t="n"/>
      <c r="P434" s="256" t="n"/>
      <c r="Q434" s="256" t="n"/>
    </row>
    <row r="435">
      <c r="A435">
        <f>IF(DAY(D435)=DAY($L$1+1),A434+1,A434)</f>
        <v/>
      </c>
      <c r="B435" s="46">
        <f>IF(DAY(D435)=DAY($L$1+1),1,B434+1)</f>
        <v/>
      </c>
      <c r="C435" s="46">
        <f>IF(DAY(D435)=DAY($L$1+1),1,C434+1)</f>
        <v/>
      </c>
      <c r="D435" s="2">
        <f>D434+1</f>
        <v/>
      </c>
      <c r="E435" s="8">
        <f>IF(DAY(D435)=DAY($L$1+1),TRUNC((N434),8),E434)</f>
        <v/>
      </c>
      <c r="F435" s="49">
        <f>TRUNC(((1+VLOOKUP(A435,IPCA!$A$2:$C$140,3,0)))^(C435/(EDATE(D435-C435,1)-(D435-C435))),8)</f>
        <v/>
      </c>
      <c r="G435" s="49">
        <f>TRUNC((E435*F435),8)</f>
        <v/>
      </c>
      <c r="H435" s="49">
        <f>ROUND(((1+$H$4)^(30/360))^(C435/(EDATE(D435-B435,1)-(D435-B435))),9)</f>
        <v/>
      </c>
      <c r="I435" s="49">
        <f>TRUNC((G435*H435-G435),8)</f>
        <v/>
      </c>
      <c r="J435" s="49">
        <f>G435+I435</f>
        <v/>
      </c>
      <c r="K435" s="256" t="n"/>
      <c r="L435" s="256" t="n"/>
      <c r="M435" s="256" t="n"/>
      <c r="N435" s="256" t="n"/>
      <c r="O435" s="256" t="n"/>
      <c r="P435" s="256" t="n"/>
      <c r="Q435" s="256" t="n"/>
    </row>
    <row r="436">
      <c r="A436">
        <f>IF(DAY(D436)=DAY($L$1+1),A435+1,A435)</f>
        <v/>
      </c>
      <c r="B436" s="46">
        <f>IF(DAY(D436)=DAY($L$1+1),1,B435+1)</f>
        <v/>
      </c>
      <c r="C436" s="46">
        <f>IF(DAY(D436)=DAY($L$1+1),1,C435+1)</f>
        <v/>
      </c>
      <c r="D436" s="2">
        <f>D435+1</f>
        <v/>
      </c>
      <c r="E436" s="8">
        <f>IF(DAY(D436)=DAY($L$1+1),TRUNC((N435),8),E435)</f>
        <v/>
      </c>
      <c r="F436" s="49">
        <f>TRUNC(((1+VLOOKUP(A436,IPCA!$A$2:$C$140,3,0)))^(C436/(EDATE(D436-C436,1)-(D436-C436))),8)</f>
        <v/>
      </c>
      <c r="G436" s="49">
        <f>TRUNC((E436*F436),8)</f>
        <v/>
      </c>
      <c r="H436" s="49">
        <f>ROUND(((1+$H$4)^(30/360))^(C436/(EDATE(D436-B436,1)-(D436-B436))),9)</f>
        <v/>
      </c>
      <c r="I436" s="49">
        <f>TRUNC((G436*H436-G436),8)</f>
        <v/>
      </c>
      <c r="J436" s="49">
        <f>G436+I436</f>
        <v/>
      </c>
      <c r="K436" s="256" t="n"/>
      <c r="L436" s="256" t="n"/>
      <c r="M436" s="256" t="n"/>
      <c r="N436" s="256" t="n"/>
      <c r="O436" s="256" t="n"/>
      <c r="P436" s="256" t="n"/>
      <c r="Q436" s="256" t="n"/>
    </row>
    <row r="437">
      <c r="A437">
        <f>IF(DAY(D437)=DAY($L$1+1),A436+1,A436)</f>
        <v/>
      </c>
      <c r="B437" s="46">
        <f>IF(DAY(D437)=DAY($L$1+1),1,B436+1)</f>
        <v/>
      </c>
      <c r="C437" s="46">
        <f>IF(DAY(D437)=DAY($L$1+1),1,C436+1)</f>
        <v/>
      </c>
      <c r="D437" s="2">
        <f>D436+1</f>
        <v/>
      </c>
      <c r="E437" s="8">
        <f>IF(DAY(D437)=DAY($L$1+1),TRUNC((N436),8),E436)</f>
        <v/>
      </c>
      <c r="F437" s="49">
        <f>TRUNC(((1+VLOOKUP(A437,IPCA!$A$2:$C$140,3,0)))^(C437/(EDATE(D437-C437,1)-(D437-C437))),8)</f>
        <v/>
      </c>
      <c r="G437" s="49">
        <f>TRUNC((E437*F437),8)</f>
        <v/>
      </c>
      <c r="H437" s="49">
        <f>ROUND(((1+$H$4)^(30/360))^(C437/(EDATE(D437-B437,1)-(D437-B437))),9)</f>
        <v/>
      </c>
      <c r="I437" s="49">
        <f>TRUNC((G437*H437-G437),8)</f>
        <v/>
      </c>
      <c r="J437" s="49">
        <f>G437+I437</f>
        <v/>
      </c>
      <c r="K437" s="256" t="n"/>
      <c r="L437" s="256" t="n"/>
      <c r="M437" s="256" t="n"/>
      <c r="N437" s="256" t="n"/>
      <c r="O437" s="256" t="n"/>
      <c r="P437" s="256" t="n"/>
      <c r="Q437" s="256" t="n"/>
    </row>
    <row r="438">
      <c r="A438">
        <f>IF(DAY(D438)=DAY($L$1+1),A437+1,A437)</f>
        <v/>
      </c>
      <c r="B438" s="46">
        <f>IF(DAY(D438)=DAY($L$1+1),1,B437+1)</f>
        <v/>
      </c>
      <c r="C438" s="46">
        <f>IF(DAY(D438)=DAY($L$1+1),1,C437+1)</f>
        <v/>
      </c>
      <c r="D438" s="2">
        <f>D437+1</f>
        <v/>
      </c>
      <c r="E438" s="8">
        <f>IF(DAY(D438)=DAY($L$1+1),TRUNC((N437),8),E437)</f>
        <v/>
      </c>
      <c r="F438" s="49">
        <f>TRUNC(((1+VLOOKUP(A438,IPCA!$A$2:$C$140,3,0)))^(C438/(EDATE(D438-C438,1)-(D438-C438))),8)</f>
        <v/>
      </c>
      <c r="G438" s="49">
        <f>TRUNC((E438*F438),8)</f>
        <v/>
      </c>
      <c r="H438" s="49">
        <f>ROUND(((1+$H$4)^(30/360))^(C438/(EDATE(D438-B438,1)-(D438-B438))),9)</f>
        <v/>
      </c>
      <c r="I438" s="49">
        <f>TRUNC((G438*H438-G438),8)</f>
        <v/>
      </c>
      <c r="J438" s="49">
        <f>G438+I438</f>
        <v/>
      </c>
      <c r="K438" s="256" t="n"/>
      <c r="L438" s="256" t="n"/>
      <c r="M438" s="256" t="n"/>
      <c r="N438" s="256" t="n"/>
      <c r="O438" s="256" t="n"/>
      <c r="P438" s="256" t="n"/>
      <c r="Q438" s="256" t="n"/>
    </row>
    <row r="439">
      <c r="A439">
        <f>IF(DAY(D439)=DAY($L$1+1),A438+1,A438)</f>
        <v/>
      </c>
      <c r="B439" s="46">
        <f>IF(DAY(D439)=DAY($L$1+1),1,B438+1)</f>
        <v/>
      </c>
      <c r="C439" s="46">
        <f>IF(DAY(D439)=DAY($L$1+1),1,C438+1)</f>
        <v/>
      </c>
      <c r="D439" s="2">
        <f>D438+1</f>
        <v/>
      </c>
      <c r="E439" s="8">
        <f>IF(DAY(D439)=DAY($L$1+1),TRUNC((N438),8),E438)</f>
        <v/>
      </c>
      <c r="F439" s="49">
        <f>TRUNC(((1+VLOOKUP(A439,IPCA!$A$2:$C$140,3,0)))^(C439/(EDATE(D439-C439,1)-(D439-C439))),8)</f>
        <v/>
      </c>
      <c r="G439" s="49">
        <f>TRUNC((E439*F439),8)</f>
        <v/>
      </c>
      <c r="H439" s="49">
        <f>ROUND(((1+$H$4)^(30/360))^(C439/(EDATE(D439-B439,1)-(D439-B439))),9)</f>
        <v/>
      </c>
      <c r="I439" s="49">
        <f>TRUNC((G439*H439-G439),8)</f>
        <v/>
      </c>
      <c r="J439" s="49">
        <f>G439+I439</f>
        <v/>
      </c>
      <c r="K439" s="256" t="n"/>
      <c r="L439" s="256" t="n"/>
      <c r="M439" s="256" t="n"/>
      <c r="N439" s="256" t="n"/>
      <c r="O439" s="256" t="n"/>
      <c r="P439" s="256" t="n"/>
      <c r="Q439" s="256" t="n"/>
    </row>
    <row r="440">
      <c r="A440">
        <f>IF(DAY(D440)=DAY($L$1+1),A439+1,A439)</f>
        <v/>
      </c>
      <c r="B440" s="46">
        <f>IF(DAY(D440)=DAY($L$1+1),1,B439+1)</f>
        <v/>
      </c>
      <c r="C440" s="46">
        <f>IF(DAY(D440)=DAY($L$1+1),1,C439+1)</f>
        <v/>
      </c>
      <c r="D440" s="2">
        <f>D439+1</f>
        <v/>
      </c>
      <c r="E440" s="8">
        <f>IF(DAY(D440)=DAY($L$1+1),TRUNC((N439),8),E439)</f>
        <v/>
      </c>
      <c r="F440" s="49">
        <f>TRUNC(((1+VLOOKUP(A440,IPCA!$A$2:$C$140,3,0)))^(C440/(EDATE(D440-C440,1)-(D440-C440))),8)</f>
        <v/>
      </c>
      <c r="G440" s="49">
        <f>TRUNC((E440*F440),8)</f>
        <v/>
      </c>
      <c r="H440" s="49">
        <f>ROUND(((1+$H$4)^(30/360))^(C440/(EDATE(D440-B440,1)-(D440-B440))),9)</f>
        <v/>
      </c>
      <c r="I440" s="49">
        <f>TRUNC((G440*H440-G440),8)</f>
        <v/>
      </c>
      <c r="J440" s="49">
        <f>G440+I440</f>
        <v/>
      </c>
      <c r="K440" s="256" t="n"/>
      <c r="L440" s="256" t="n"/>
      <c r="M440" s="256" t="n"/>
      <c r="N440" s="256" t="n"/>
      <c r="O440" s="256" t="n"/>
      <c r="P440" s="256" t="n"/>
      <c r="Q440" s="256" t="n"/>
    </row>
    <row r="441">
      <c r="A441">
        <f>IF(DAY(D441)=DAY($L$1+1),A440+1,A440)</f>
        <v/>
      </c>
      <c r="B441" s="46">
        <f>IF(DAY(D441)=DAY($L$1+1),1,B440+1)</f>
        <v/>
      </c>
      <c r="C441" s="46">
        <f>IF(DAY(D441)=DAY($L$1+1),1,C440+1)</f>
        <v/>
      </c>
      <c r="D441" s="2">
        <f>D440+1</f>
        <v/>
      </c>
      <c r="E441" s="8">
        <f>IF(DAY(D441)=DAY($L$1+1),TRUNC((N440),8),E440)</f>
        <v/>
      </c>
      <c r="F441" s="49">
        <f>TRUNC(((1+VLOOKUP(A441,IPCA!$A$2:$C$140,3,0)))^(C441/(EDATE(D441-C441,1)-(D441-C441))),8)</f>
        <v/>
      </c>
      <c r="G441" s="49">
        <f>TRUNC((E441*F441),8)</f>
        <v/>
      </c>
      <c r="H441" s="49">
        <f>ROUND(((1+$H$4)^(30/360))^(C441/(EDATE(D441-B441,1)-(D441-B441))),9)</f>
        <v/>
      </c>
      <c r="I441" s="49">
        <f>TRUNC((G441*H441-G441),8)</f>
        <v/>
      </c>
      <c r="J441" s="49">
        <f>G441+I441</f>
        <v/>
      </c>
      <c r="K441" s="256" t="n"/>
      <c r="L441" s="256" t="n"/>
      <c r="M441" s="256" t="n"/>
      <c r="N441" s="256" t="n"/>
      <c r="O441" s="256" t="n"/>
      <c r="P441" s="256" t="n"/>
      <c r="Q441" s="256" t="n"/>
    </row>
    <row r="442">
      <c r="A442">
        <f>IF(DAY(D442)=DAY($L$1+1),A441+1,A441)</f>
        <v/>
      </c>
      <c r="B442" s="221">
        <f>IF(DAY(D442)=DAY($L$1+1),1,B441+1)</f>
        <v/>
      </c>
      <c r="C442" s="221">
        <f>IF(DAY(D442)=DAY($L$1+1),1,C441+1)</f>
        <v/>
      </c>
      <c r="D442" s="222">
        <f>D441+1</f>
        <v/>
      </c>
      <c r="E442" s="223">
        <f>IF(DAY(D442)=DAY($L$1+1),TRUNC((N441),8),E441)</f>
        <v/>
      </c>
      <c r="F442" s="224">
        <f>TRUNC(((1+VLOOKUP(A442,IPCA!$A$2:$C$140,3,0)))^(C442/(EDATE(D442-C442,1)-(D442-C442))),8)</f>
        <v/>
      </c>
      <c r="G442" s="224">
        <f>TRUNC((E442*F442),8)</f>
        <v/>
      </c>
      <c r="H442" s="224">
        <f>ROUND(((1+$H$4)^(30/360))^(C442/(EDATE(D442-B442,1)-(D442-B442))),9)</f>
        <v/>
      </c>
      <c r="I442" s="224">
        <f>TRUNC((G442*H442-G442),8)</f>
        <v/>
      </c>
      <c r="J442" s="224">
        <f>G442+I442</f>
        <v/>
      </c>
      <c r="K442" s="225" t="n">
        <v>2583495</v>
      </c>
      <c r="L442" s="256" t="n"/>
      <c r="M442" s="256" t="n"/>
      <c r="N442" s="256" t="n"/>
      <c r="O442" s="256" t="n"/>
      <c r="P442" s="256" t="n"/>
      <c r="Q442" s="256" t="n"/>
    </row>
    <row r="443">
      <c r="A443">
        <f>IF(DAY(D443)=DAY($L$1+1),A442+1,A442)</f>
        <v/>
      </c>
      <c r="B443" s="46">
        <f>IF(DAY(D443)=DAY($L$1+1),1,B442+1)</f>
        <v/>
      </c>
      <c r="C443" s="46">
        <f>IF(DAY(D443)=DAY($L$1+1),1,C442+1)</f>
        <v/>
      </c>
      <c r="D443" s="2">
        <f>D442+1</f>
        <v/>
      </c>
      <c r="E443" s="8">
        <f>IF(DAY(D443)=DAY($L$1+1),TRUNC((N442),8),E442)</f>
        <v/>
      </c>
      <c r="F443" s="49">
        <f>TRUNC(((1+VLOOKUP(A443,IPCA!$A$2:$C$140,3,0)))^(C443/(EDATE(D443-C443,1)-(D443-C443))),8)</f>
        <v/>
      </c>
      <c r="G443" s="49">
        <f>TRUNC((E443*F443),8)</f>
        <v/>
      </c>
      <c r="H443" s="49">
        <f>ROUND(((1+$H$4)^(30/360))^(C443/(EDATE(D443-B443,1)-(D443-B443))),9)</f>
        <v/>
      </c>
      <c r="I443" s="49">
        <f>TRUNC((G443*H443-G443),8)</f>
        <v/>
      </c>
      <c r="J443" s="49">
        <f>G443+I443</f>
        <v/>
      </c>
      <c r="K443" s="256" t="n"/>
      <c r="L443" s="256" t="n"/>
      <c r="M443" s="256" t="n"/>
      <c r="N443" s="256" t="n"/>
      <c r="O443" s="256" t="n"/>
      <c r="P443" s="256" t="n"/>
      <c r="Q443" s="256" t="n"/>
    </row>
    <row r="444">
      <c r="A444">
        <f>IF(DAY(D444)=DAY($L$1+1),A443+1,A443)</f>
        <v/>
      </c>
      <c r="B444" s="46">
        <f>IF(DAY(D444)=DAY($L$1+1),1,B443+1)</f>
        <v/>
      </c>
      <c r="C444" s="46">
        <f>IF(DAY(D444)=DAY($L$1+1),1,C443+1)</f>
        <v/>
      </c>
      <c r="D444" s="2">
        <f>D443+1</f>
        <v/>
      </c>
      <c r="E444" s="8">
        <f>IF(DAY(D444)=DAY($L$1+1),TRUNC((N443),8),E443)</f>
        <v/>
      </c>
      <c r="F444" s="49">
        <f>TRUNC(((1+VLOOKUP(A444,IPCA!$A$2:$C$140,3,0)))^(C444/(EDATE(D444-C444,1)-(D444-C444))),8)</f>
        <v/>
      </c>
      <c r="G444" s="49">
        <f>TRUNC((E444*F444),8)</f>
        <v/>
      </c>
      <c r="H444" s="49">
        <f>ROUND(((1+$H$4)^(30/360))^(C444/(EDATE(D444-B444,1)-(D444-B444))),9)</f>
        <v/>
      </c>
      <c r="I444" s="49">
        <f>TRUNC((G444*H444-G444),8)</f>
        <v/>
      </c>
      <c r="J444" s="49">
        <f>G444+I444</f>
        <v/>
      </c>
      <c r="K444" s="256" t="inlineStr">
        <is>
          <t>Cri Integralizado</t>
        </is>
      </c>
      <c r="L444" s="270">
        <f>L413+K442</f>
        <v/>
      </c>
      <c r="M444" s="256" t="n"/>
      <c r="N444" s="256" t="n"/>
      <c r="O444" s="256" t="n"/>
      <c r="P444" s="256" t="n"/>
      <c r="Q444" s="256" t="n"/>
    </row>
    <row r="445">
      <c r="A445">
        <f>IF(DAY(D445)=DAY($L$1+1),A444+1,A444)</f>
        <v/>
      </c>
      <c r="B445" s="46">
        <f>IF(DAY(D445)=DAY($L$1+1),1,B444+1)</f>
        <v/>
      </c>
      <c r="C445" s="46">
        <f>IF(DAY(D445)=DAY($L$1+1),1,C444+1)</f>
        <v/>
      </c>
      <c r="D445" s="47">
        <f>D444+1</f>
        <v/>
      </c>
      <c r="E445" s="8">
        <f>IF(DAY(D445)=DAY($L$1+1),TRUNC((N444),8),E444)</f>
        <v/>
      </c>
      <c r="F445" s="49">
        <f>TRUNC(((1+VLOOKUP(A445,IPCA!$A$2:$C$140,3,0)))^(C445/(EDATE(D445-C445,1)-(D445-C445))),8)</f>
        <v/>
      </c>
      <c r="G445" s="49">
        <f>TRUNC((E445*F445),8)</f>
        <v/>
      </c>
      <c r="H445" s="49">
        <f>ROUND(((1+$H$4)^(30/360))^(C445/(EDATE(D445-B445,1)-(D445-B445))),9)</f>
        <v/>
      </c>
      <c r="I445" s="49">
        <f>TRUNC((G445*H445-G445),8)</f>
        <v/>
      </c>
      <c r="J445" s="49">
        <f>G445+I445</f>
        <v/>
      </c>
      <c r="K445" s="118" t="inlineStr">
        <is>
          <t>JUROS</t>
        </is>
      </c>
      <c r="L445" s="118" t="inlineStr">
        <is>
          <t>AMORTIZAÇÃO</t>
        </is>
      </c>
      <c r="M445" s="118" t="inlineStr">
        <is>
          <t>AMEX</t>
        </is>
      </c>
      <c r="N445" s="118" t="inlineStr">
        <is>
          <t>RESIDUAL</t>
        </is>
      </c>
      <c r="O445" s="256" t="n"/>
      <c r="P445" s="256" t="n"/>
      <c r="Q445" s="256" t="n"/>
    </row>
    <row r="446">
      <c r="A446">
        <f>IF(DAY(D446)=DAY($L$1+1),A445+1,A445)</f>
        <v/>
      </c>
      <c r="B446" s="111">
        <f>IF(DAY(D446)=DAY($L$1+1),1,B445+1)</f>
        <v/>
      </c>
      <c r="C446" s="111">
        <f>IF(DAY(D446)=DAY($L$1+1),1,C445+1)</f>
        <v/>
      </c>
      <c r="D446" s="112">
        <f>D445+1</f>
        <v/>
      </c>
      <c r="E446" s="113">
        <f>IF(DAY(D446)=DAY($L$1+1),TRUNC((N445),8),E445)</f>
        <v/>
      </c>
      <c r="F446" s="114">
        <f>TRUNC(((1+VLOOKUP(A446,IPCA!$A$2:$C$140,3,0)))^(C446/(EDATE(D446-C446,1)-(D446-C446))),8)</f>
        <v/>
      </c>
      <c r="G446" s="114">
        <f>TRUNC((E446*F446),8)</f>
        <v/>
      </c>
      <c r="H446" s="114">
        <f>ROUND(((1+$H$4)^(30/360))^(C446/(EDATE(D446-B446,1)-(D446-B446))),9)</f>
        <v/>
      </c>
      <c r="I446" s="114">
        <f>TRUNC((G446*H446-G446),8)</f>
        <v/>
      </c>
      <c r="J446" s="114">
        <f>G446+I446</f>
        <v/>
      </c>
      <c r="K446" s="119" t="n">
        <v>0</v>
      </c>
      <c r="L446" s="120" t="n">
        <v>0</v>
      </c>
      <c r="M446" s="120" t="n">
        <v>0</v>
      </c>
      <c r="N446" s="120">
        <f>J446-K446-L446-M446</f>
        <v/>
      </c>
      <c r="O446" s="256" t="n"/>
      <c r="P446" s="256" t="n"/>
      <c r="Q446" s="256" t="n"/>
    </row>
    <row r="447">
      <c r="A447">
        <f>IF(DAY(D447)=DAY($L$1+1),A446+1,A446)</f>
        <v/>
      </c>
      <c r="B447" s="46">
        <f>IF(DAY(D447)=DAY($L$1+1),1,B446+1)</f>
        <v/>
      </c>
      <c r="C447" s="46">
        <f>IF(DAY(D447)=DAY($L$1+1),1,C446+1)</f>
        <v/>
      </c>
      <c r="D447" s="2">
        <f>D446+1</f>
        <v/>
      </c>
      <c r="E447" s="8">
        <f>IF(DAY(D447)=DAY($L$1+1),TRUNC((N446),8),E446)</f>
        <v/>
      </c>
      <c r="F447" s="49">
        <f>TRUNC(((1+VLOOKUP(A447,IPCA!$A$2:$C$140,3,0)))^(C447/(EDATE(D447-C447,1)-(D447-C447))),8)</f>
        <v/>
      </c>
      <c r="G447" s="49">
        <f>TRUNC((E447*F447),8)</f>
        <v/>
      </c>
      <c r="H447" s="49">
        <f>ROUND(((1+$H$4)^(30/360))^(C447/(EDATE(D447-B447,1)-(D447-B447))),9)</f>
        <v/>
      </c>
      <c r="I447" s="49">
        <f>TRUNC((G447*H447-G447),8)</f>
        <v/>
      </c>
      <c r="J447" s="49">
        <f>G447+I447</f>
        <v/>
      </c>
      <c r="K447" s="121">
        <f>K446*L444</f>
        <v/>
      </c>
      <c r="L447" s="121">
        <f>L446*L444</f>
        <v/>
      </c>
      <c r="M447" s="121">
        <f>M446*L444</f>
        <v/>
      </c>
      <c r="N447" s="121">
        <f>N446*L444</f>
        <v/>
      </c>
      <c r="O447" s="256" t="n"/>
      <c r="P447" s="256" t="n"/>
      <c r="Q447" s="256" t="n"/>
    </row>
    <row r="448">
      <c r="A448">
        <f>IF(DAY(D448)=DAY($L$1+1),A447+1,A447)</f>
        <v/>
      </c>
      <c r="B448" s="46">
        <f>IF(DAY(D448)=DAY($L$1+1),1,B447+1)</f>
        <v/>
      </c>
      <c r="C448" s="46">
        <f>IF(DAY(D448)=DAY($L$1+1),1,C447+1)</f>
        <v/>
      </c>
      <c r="D448" s="2">
        <f>D447+1</f>
        <v/>
      </c>
      <c r="E448" s="8">
        <f>IF(DAY(D448)=DAY($L$1+1),TRUNC((N447),8),E447)</f>
        <v/>
      </c>
      <c r="F448" s="49">
        <f>TRUNC(((1+VLOOKUP(A448,IPCA!$A$2:$C$140,3,0)))^(C448/(EDATE(D448-C448,1)-(D448-C448))),8)</f>
        <v/>
      </c>
      <c r="G448" s="49">
        <f>TRUNC((E448*F448),8)</f>
        <v/>
      </c>
      <c r="H448" s="49">
        <f>ROUND(((1+$H$4)^(30/360))^(C448/(EDATE(D448-B448,1)-(D448-B448))),9)</f>
        <v/>
      </c>
      <c r="I448" s="49">
        <f>TRUNC((G448*H448-G448),8)</f>
        <v/>
      </c>
      <c r="J448" s="49">
        <f>G448+I448</f>
        <v/>
      </c>
      <c r="K448" s="256" t="n"/>
      <c r="L448" s="256" t="n"/>
      <c r="M448" s="256" t="n"/>
      <c r="N448" s="256" t="n"/>
      <c r="O448" s="256" t="n"/>
      <c r="P448" s="256" t="n"/>
      <c r="Q448" s="256" t="n"/>
    </row>
    <row r="449">
      <c r="A449">
        <f>IF(DAY(D449)=DAY($L$1+1),A448+1,A448)</f>
        <v/>
      </c>
      <c r="B449" s="46">
        <f>IF(DAY(D449)=DAY($L$1+1),1,B448+1)</f>
        <v/>
      </c>
      <c r="C449" s="46">
        <f>IF(DAY(D449)=DAY($L$1+1),1,C448+1)</f>
        <v/>
      </c>
      <c r="D449" s="2">
        <f>D448+1</f>
        <v/>
      </c>
      <c r="E449" s="8">
        <f>IF(DAY(D449)=DAY($L$1+1),TRUNC((#REF!),8),E448)</f>
        <v/>
      </c>
      <c r="F449" s="49">
        <f>TRUNC(((1+VLOOKUP(A449,IPCA!$A$2:$C$140,3,0)))^(C449/(EDATE(D449-C449,1)-(D449-C449))),8)</f>
        <v/>
      </c>
      <c r="G449" s="49">
        <f>TRUNC((E449*F449),8)</f>
        <v/>
      </c>
      <c r="H449" s="49">
        <f>ROUND(((1+$H$4)^(30/360))^(C449/(EDATE(D449-B449,1)-(D449-B449))),9)</f>
        <v/>
      </c>
      <c r="I449" s="49">
        <f>TRUNC((G449*H449-G449),8)</f>
        <v/>
      </c>
      <c r="J449" s="49">
        <f>G449+I449</f>
        <v/>
      </c>
      <c r="K449" s="256" t="n"/>
      <c r="L449" s="256" t="n"/>
      <c r="M449" s="256" t="n"/>
      <c r="N449" s="256" t="n"/>
      <c r="O449" s="256" t="n"/>
      <c r="P449" s="256" t="n"/>
      <c r="Q449" s="256" t="n"/>
    </row>
    <row r="450">
      <c r="A450">
        <f>IF(DAY(D450)=DAY($L$1+1),A449+1,A449)</f>
        <v/>
      </c>
      <c r="B450" s="46">
        <f>IF(DAY(D450)=DAY($L$1+1),1,B449+1)</f>
        <v/>
      </c>
      <c r="C450" s="46">
        <f>IF(DAY(D450)=DAY($L$1+1),1,C449+1)</f>
        <v/>
      </c>
      <c r="D450" s="2">
        <f>D449+1</f>
        <v/>
      </c>
      <c r="E450" s="8">
        <f>IF(DAY(D450)=DAY($L$1+1),TRUNC((#REF!),8),E449)</f>
        <v/>
      </c>
      <c r="F450" s="49">
        <f>TRUNC(((1+VLOOKUP(A450,IPCA!$A$2:$C$140,3,0)))^(C450/(EDATE(D450-C450,1)-(D450-C450))),8)</f>
        <v/>
      </c>
      <c r="G450" s="49">
        <f>TRUNC((E450*F450),8)</f>
        <v/>
      </c>
      <c r="H450" s="49">
        <f>ROUND(((1+$H$4)^(30/360))^(C450/(EDATE(D450-B450,1)-(D450-B450))),9)</f>
        <v/>
      </c>
      <c r="I450" s="49">
        <f>TRUNC((G450*H450-G450),8)</f>
        <v/>
      </c>
      <c r="J450" s="49">
        <f>G450+I450</f>
        <v/>
      </c>
      <c r="K450" s="256" t="n"/>
      <c r="L450" s="256" t="n"/>
      <c r="M450" s="256" t="n"/>
      <c r="N450" s="256" t="n"/>
      <c r="O450" s="256" t="n"/>
      <c r="P450" s="256" t="n"/>
      <c r="Q450" s="256" t="n"/>
    </row>
    <row r="451">
      <c r="A451">
        <f>IF(DAY(D451)=DAY($L$1+1),A450+1,A450)</f>
        <v/>
      </c>
      <c r="B451" s="46">
        <f>IF(DAY(D451)=DAY($L$1+1),1,B450+1)</f>
        <v/>
      </c>
      <c r="C451" s="46">
        <f>IF(DAY(D451)=DAY($L$1+1),1,C450+1)</f>
        <v/>
      </c>
      <c r="D451" s="2">
        <f>D450+1</f>
        <v/>
      </c>
      <c r="E451" s="8">
        <f>IF(DAY(D451)=DAY($L$1+1),TRUNC((#REF!),8),E450)</f>
        <v/>
      </c>
      <c r="F451" s="49">
        <f>TRUNC(((1+VLOOKUP(A451,IPCA!$A$2:$C$140,3,0)))^(C451/(EDATE(D451-C451,1)-(D451-C451))),8)</f>
        <v/>
      </c>
      <c r="G451" s="49">
        <f>TRUNC((E451*F451),8)</f>
        <v/>
      </c>
      <c r="H451" s="49">
        <f>ROUND(((1+$H$4)^(30/360))^(C451/(EDATE(D451-B451,1)-(D451-B451))),9)</f>
        <v/>
      </c>
      <c r="I451" s="49">
        <f>TRUNC((G451*H451-G451),8)</f>
        <v/>
      </c>
      <c r="J451" s="49">
        <f>G451+I451</f>
        <v/>
      </c>
      <c r="K451" s="256" t="n"/>
      <c r="L451" s="256" t="n"/>
      <c r="M451" s="256" t="n"/>
      <c r="N451" s="256" t="n"/>
      <c r="O451" s="256" t="n"/>
      <c r="P451" s="256" t="n"/>
      <c r="Q451" s="256" t="n"/>
    </row>
    <row r="452">
      <c r="A452">
        <f>IF(DAY(D452)=DAY($L$1+1),A451+1,A451)</f>
        <v/>
      </c>
      <c r="B452" s="46">
        <f>IF(DAY(D452)=DAY($L$1+1),1,B451+1)</f>
        <v/>
      </c>
      <c r="C452" s="46">
        <f>IF(DAY(D452)=DAY($L$1+1),1,C451+1)</f>
        <v/>
      </c>
      <c r="D452" s="2">
        <f>D451+1</f>
        <v/>
      </c>
      <c r="E452" s="8">
        <f>IF(DAY(D452)=DAY($L$1+1),TRUNC((#REF!),8),E451)</f>
        <v/>
      </c>
      <c r="F452" s="49">
        <f>TRUNC(((1+VLOOKUP(A452,IPCA!$A$2:$C$140,3,0)))^(C452/(EDATE(D452-C452,1)-(D452-C452))),8)</f>
        <v/>
      </c>
      <c r="G452" s="49">
        <f>TRUNC((E452*F452),8)</f>
        <v/>
      </c>
      <c r="H452" s="49">
        <f>ROUND(((1+$H$4)^(30/360))^(C452/(EDATE(D452-B452,1)-(D452-B452))),9)</f>
        <v/>
      </c>
      <c r="I452" s="49">
        <f>TRUNC((G452*H452-G452),8)</f>
        <v/>
      </c>
      <c r="J452" s="49">
        <f>G452+I452</f>
        <v/>
      </c>
      <c r="K452" s="256" t="n"/>
      <c r="L452" s="256" t="n"/>
      <c r="M452" s="256" t="n"/>
      <c r="N452" s="256" t="n"/>
      <c r="O452" s="256" t="n"/>
      <c r="P452" s="256" t="n"/>
      <c r="Q452" s="256" t="n"/>
    </row>
    <row r="453">
      <c r="A453">
        <f>IF(DAY(D453)=DAY($L$1+1),A452+1,A452)</f>
        <v/>
      </c>
      <c r="B453" s="46">
        <f>IF(DAY(D453)=DAY($L$1+1),1,B452+1)</f>
        <v/>
      </c>
      <c r="C453" s="46">
        <f>IF(DAY(D453)=DAY($L$1+1),1,C452+1)</f>
        <v/>
      </c>
      <c r="D453" s="2">
        <f>D452+1</f>
        <v/>
      </c>
      <c r="E453" s="8">
        <f>IF(DAY(D453)=DAY($L$1+1),TRUNC((#REF!),8),E452)</f>
        <v/>
      </c>
      <c r="F453" s="49">
        <f>TRUNC(((1+VLOOKUP(A453,IPCA!$A$2:$C$140,3,0)))^(C453/(EDATE(D453-C453,1)-(D453-C453))),8)</f>
        <v/>
      </c>
      <c r="G453" s="49">
        <f>TRUNC((E453*F453),8)</f>
        <v/>
      </c>
      <c r="H453" s="49">
        <f>ROUND(((1+$H$4)^(30/360))^(C453/(EDATE(D453-B453,1)-(D453-B453))),9)</f>
        <v/>
      </c>
      <c r="I453" s="49">
        <f>TRUNC((G453*H453-G453),8)</f>
        <v/>
      </c>
      <c r="J453" s="49">
        <f>G453+I453</f>
        <v/>
      </c>
      <c r="K453" s="256" t="n"/>
      <c r="L453" s="256" t="n"/>
      <c r="M453" s="256" t="n"/>
      <c r="N453" s="256" t="n"/>
      <c r="O453" s="256" t="n"/>
      <c r="P453" s="256" t="n"/>
      <c r="Q453" s="256" t="n"/>
    </row>
    <row r="454">
      <c r="A454">
        <f>IF(DAY(D454)=DAY($L$1+1),A453+1,A453)</f>
        <v/>
      </c>
      <c r="B454" s="46">
        <f>IF(DAY(D454)=DAY($L$1+1),1,B453+1)</f>
        <v/>
      </c>
      <c r="C454" s="46">
        <f>IF(DAY(D454)=DAY($L$1+1),1,C453+1)</f>
        <v/>
      </c>
      <c r="D454" s="2">
        <f>D453+1</f>
        <v/>
      </c>
      <c r="E454" s="8">
        <f>IF(DAY(D454)=DAY($L$1+1),TRUNC((#REF!),8),E453)</f>
        <v/>
      </c>
      <c r="F454" s="49">
        <f>TRUNC(((1+VLOOKUP(A454,IPCA!$A$2:$C$140,3,0)))^(C454/(EDATE(D454-C454,1)-(D454-C454))),8)</f>
        <v/>
      </c>
      <c r="G454" s="49">
        <f>TRUNC((E454*F454),8)</f>
        <v/>
      </c>
      <c r="H454" s="49">
        <f>ROUND(((1+$H$4)^(30/360))^(C454/(EDATE(D454-B454,1)-(D454-B454))),9)</f>
        <v/>
      </c>
      <c r="I454" s="49">
        <f>TRUNC((G454*H454-G454),8)</f>
        <v/>
      </c>
      <c r="J454" s="49">
        <f>G454+I454</f>
        <v/>
      </c>
      <c r="K454" s="256" t="n"/>
      <c r="L454" s="256" t="n"/>
      <c r="M454" s="256" t="n"/>
      <c r="N454" s="256" t="n"/>
      <c r="O454" s="256" t="n"/>
      <c r="P454" s="256" t="n"/>
      <c r="Q454" s="256" t="n"/>
    </row>
    <row r="455">
      <c r="A455">
        <f>IF(DAY(D455)=DAY($L$1+1),A454+1,A454)</f>
        <v/>
      </c>
      <c r="B455" s="46">
        <f>IF(DAY(D455)=DAY($L$1+1),1,B454+1)</f>
        <v/>
      </c>
      <c r="C455" s="46">
        <f>IF(DAY(D455)=DAY($L$1+1),1,C454+1)</f>
        <v/>
      </c>
      <c r="D455" s="2">
        <f>D454+1</f>
        <v/>
      </c>
      <c r="E455" s="8">
        <f>IF(DAY(D455)=DAY($L$1+1),TRUNC((#REF!),8),E454)</f>
        <v/>
      </c>
      <c r="F455" s="49">
        <f>TRUNC(((1+VLOOKUP(A455,IPCA!$A$2:$C$140,3,0)))^(C455/(EDATE(D455-C455,1)-(D455-C455))),8)</f>
        <v/>
      </c>
      <c r="G455" s="49">
        <f>TRUNC((E455*F455),8)</f>
        <v/>
      </c>
      <c r="H455" s="49">
        <f>ROUND(((1+$H$4)^(30/360))^(C455/(EDATE(D455-B455,1)-(D455-B455))),9)</f>
        <v/>
      </c>
      <c r="I455" s="49">
        <f>TRUNC((G455*H455-G455),8)</f>
        <v/>
      </c>
      <c r="J455" s="49">
        <f>G455+I455</f>
        <v/>
      </c>
      <c r="K455" s="256" t="n"/>
      <c r="L455" s="256" t="n"/>
      <c r="M455" s="256" t="n"/>
      <c r="N455" s="256" t="n"/>
      <c r="O455" s="256" t="n"/>
      <c r="P455" s="256" t="n"/>
      <c r="Q455" s="256" t="n"/>
    </row>
    <row r="456">
      <c r="A456">
        <f>IF(DAY(D456)=DAY($L$1+1),A455+1,A455)</f>
        <v/>
      </c>
      <c r="B456" s="46">
        <f>IF(DAY(D456)=DAY($L$1+1),1,B455+1)</f>
        <v/>
      </c>
      <c r="C456" s="46">
        <f>IF(DAY(D456)=DAY($L$1+1),1,C455+1)</f>
        <v/>
      </c>
      <c r="D456" s="2">
        <f>D455+1</f>
        <v/>
      </c>
      <c r="E456" s="8">
        <f>IF(DAY(D456)=DAY($L$1+1),TRUNC((#REF!),8),E455)</f>
        <v/>
      </c>
      <c r="F456" s="49">
        <f>TRUNC(((1+VLOOKUP(A456,IPCA!$A$2:$C$140,3,0)))^(C456/(EDATE(D456-C456,1)-(D456-C456))),8)</f>
        <v/>
      </c>
      <c r="G456" s="49">
        <f>TRUNC((E456*F456),8)</f>
        <v/>
      </c>
      <c r="H456" s="49">
        <f>ROUND(((1+$H$4)^(30/360))^(C456/(EDATE(D456-B456,1)-(D456-B456))),9)</f>
        <v/>
      </c>
      <c r="I456" s="49">
        <f>TRUNC((G456*H456-G456),8)</f>
        <v/>
      </c>
      <c r="J456" s="49">
        <f>G456+I456</f>
        <v/>
      </c>
      <c r="K456" s="256" t="n"/>
      <c r="L456" s="256" t="n"/>
      <c r="M456" s="256" t="n"/>
      <c r="N456" s="256" t="n"/>
      <c r="O456" s="256" t="n"/>
      <c r="P456" s="256" t="n"/>
      <c r="Q456" s="256" t="n"/>
    </row>
    <row r="457">
      <c r="A457">
        <f>IF(DAY(D457)=DAY($L$1+1),A456+1,A456)</f>
        <v/>
      </c>
      <c r="B457" s="46">
        <f>IF(DAY(D457)=DAY($L$1+1),1,B456+1)</f>
        <v/>
      </c>
      <c r="C457" s="46">
        <f>IF(DAY(D457)=DAY($L$1+1),1,C456+1)</f>
        <v/>
      </c>
      <c r="D457" s="2">
        <f>D456+1</f>
        <v/>
      </c>
      <c r="E457" s="8">
        <f>IF(DAY(D457)=DAY($L$1+1),TRUNC((N456),8),E456)</f>
        <v/>
      </c>
      <c r="F457" s="49">
        <f>TRUNC(((1+VLOOKUP(A457,IPCA!$A$2:$C$140,3,0)))^(C457/(EDATE(D457-C457,1)-(D457-C457))),8)</f>
        <v/>
      </c>
      <c r="G457" s="49">
        <f>TRUNC((E457*F457),8)</f>
        <v/>
      </c>
      <c r="H457" s="49">
        <f>ROUND(((1+$H$4)^(30/360))^(C457/(EDATE(D457-B457,1)-(D457-B457))),9)</f>
        <v/>
      </c>
      <c r="I457" s="49">
        <f>TRUNC((G457*H457-G457),8)</f>
        <v/>
      </c>
      <c r="J457" s="49">
        <f>G457+I457</f>
        <v/>
      </c>
      <c r="K457" s="256" t="n"/>
      <c r="L457" s="256" t="n"/>
      <c r="M457" s="256" t="n"/>
      <c r="N457" s="256" t="n"/>
      <c r="O457" s="256" t="n"/>
      <c r="P457" s="256" t="n"/>
      <c r="Q457" s="256" t="n"/>
    </row>
    <row r="458">
      <c r="A458">
        <f>IF(DAY(D458)=DAY($L$1+1),A457+1,A457)</f>
        <v/>
      </c>
      <c r="B458" s="46">
        <f>IF(DAY(D458)=DAY($L$1+1),1,B457+1)</f>
        <v/>
      </c>
      <c r="C458" s="46">
        <f>IF(DAY(D458)=DAY($L$1+1),1,C457+1)</f>
        <v/>
      </c>
      <c r="D458" s="2">
        <f>D457+1</f>
        <v/>
      </c>
      <c r="E458" s="8">
        <f>IF(DAY(D458)=DAY($L$1+1),TRUNC((N457),8),E457)</f>
        <v/>
      </c>
      <c r="F458" s="49">
        <f>TRUNC(((1+VLOOKUP(A458,IPCA!$A$2:$C$140,3,0)))^(C458/(EDATE(D458-C458,1)-(D458-C458))),8)</f>
        <v/>
      </c>
      <c r="G458" s="49">
        <f>TRUNC((E458*F458),8)</f>
        <v/>
      </c>
      <c r="H458" s="49">
        <f>ROUND(((1+$H$4)^(30/360))^(C458/(EDATE(D458-B458,1)-(D458-B458))),9)</f>
        <v/>
      </c>
      <c r="I458" s="49">
        <f>TRUNC((G458*H458-G458),8)</f>
        <v/>
      </c>
      <c r="J458" s="49">
        <f>G458+I458</f>
        <v/>
      </c>
      <c r="K458" s="256" t="n"/>
      <c r="L458" s="256" t="n"/>
      <c r="M458" s="256" t="n"/>
      <c r="N458" s="256" t="n"/>
      <c r="O458" s="256" t="n"/>
      <c r="P458" s="256" t="n"/>
      <c r="Q458" s="256" t="n"/>
    </row>
    <row r="459">
      <c r="A459">
        <f>IF(DAY(D459)=DAY($L$1+1),A458+1,A458)</f>
        <v/>
      </c>
      <c r="B459" s="46">
        <f>IF(DAY(D459)=DAY($L$1+1),1,B458+1)</f>
        <v/>
      </c>
      <c r="C459" s="46">
        <f>IF(DAY(D459)=DAY($L$1+1),1,C458+1)</f>
        <v/>
      </c>
      <c r="D459" s="2">
        <f>D458+1</f>
        <v/>
      </c>
      <c r="E459" s="8">
        <f>IF(DAY(D459)=DAY($L$1+1),TRUNC((N458),8),E458)</f>
        <v/>
      </c>
      <c r="F459" s="49">
        <f>TRUNC(((1+VLOOKUP(A459,IPCA!$A$2:$C$140,3,0)))^(C459/(EDATE(D459-C459,1)-(D459-C459))),8)</f>
        <v/>
      </c>
      <c r="G459" s="49">
        <f>TRUNC((E459*F459),8)</f>
        <v/>
      </c>
      <c r="H459" s="49">
        <f>ROUND(((1+$H$4)^(30/360))^(C459/(EDATE(D459-B459,1)-(D459-B459))),9)</f>
        <v/>
      </c>
      <c r="I459" s="49">
        <f>TRUNC((G459*H459-G459),8)</f>
        <v/>
      </c>
      <c r="J459" s="49">
        <f>G459+I459</f>
        <v/>
      </c>
      <c r="K459" s="256" t="n"/>
      <c r="L459" s="256" t="n"/>
      <c r="M459" s="256" t="n"/>
      <c r="N459" s="256" t="n"/>
      <c r="O459" s="256" t="n"/>
      <c r="P459" s="256" t="n"/>
      <c r="Q459" s="256" t="n"/>
    </row>
    <row r="460">
      <c r="A460">
        <f>IF(DAY(D460)=DAY($L$1+1),A459+1,A459)</f>
        <v/>
      </c>
      <c r="B460" s="46">
        <f>IF(DAY(D460)=DAY($L$1+1),1,B459+1)</f>
        <v/>
      </c>
      <c r="C460" s="46">
        <f>IF(DAY(D460)=DAY($L$1+1),1,C459+1)</f>
        <v/>
      </c>
      <c r="D460" s="2">
        <f>D459+1</f>
        <v/>
      </c>
      <c r="E460" s="8">
        <f>IF(DAY(D460)=DAY($L$1+1),TRUNC((N459),8),E459)</f>
        <v/>
      </c>
      <c r="F460" s="49">
        <f>TRUNC(((1+VLOOKUP(A460,IPCA!$A$2:$C$140,3,0)))^(C460/(EDATE(D460-C460,1)-(D460-C460))),8)</f>
        <v/>
      </c>
      <c r="G460" s="49">
        <f>TRUNC((E460*F460),8)</f>
        <v/>
      </c>
      <c r="H460" s="49">
        <f>ROUND(((1+$H$4)^(30/360))^(C460/(EDATE(D460-B460,1)-(D460-B460))),9)</f>
        <v/>
      </c>
      <c r="I460" s="49">
        <f>TRUNC((G460*H460-G460),8)</f>
        <v/>
      </c>
      <c r="J460" s="49">
        <f>G460+I460</f>
        <v/>
      </c>
      <c r="K460" s="256" t="n"/>
      <c r="L460" s="256" t="n"/>
      <c r="M460" s="256" t="n"/>
      <c r="N460" s="256" t="n"/>
      <c r="O460" s="256" t="n"/>
      <c r="P460" s="256" t="n"/>
      <c r="Q460" s="256" t="n"/>
    </row>
    <row r="461">
      <c r="A461">
        <f>IF(DAY(D461)=DAY($L$1+1),A460+1,A460)</f>
        <v/>
      </c>
      <c r="B461" s="46">
        <f>IF(DAY(D461)=DAY($L$1+1),1,B460+1)</f>
        <v/>
      </c>
      <c r="C461" s="46">
        <f>IF(DAY(D461)=DAY($L$1+1),1,C460+1)</f>
        <v/>
      </c>
      <c r="D461" s="2">
        <f>D460+1</f>
        <v/>
      </c>
      <c r="E461" s="8">
        <f>IF(DAY(D461)=DAY($L$1+1),TRUNC((N460),8),E460)</f>
        <v/>
      </c>
      <c r="F461" s="49">
        <f>TRUNC(((1+VLOOKUP(A461,IPCA!$A$2:$C$140,3,0)))^(C461/(EDATE(D461-C461,1)-(D461-C461))),8)</f>
        <v/>
      </c>
      <c r="G461" s="49">
        <f>TRUNC((E461*F461),8)</f>
        <v/>
      </c>
      <c r="H461" s="49">
        <f>ROUND(((1+$H$4)^(30/360))^(C461/(EDATE(D461-B461,1)-(D461-B461))),9)</f>
        <v/>
      </c>
      <c r="I461" s="49">
        <f>TRUNC((G461*H461-G461),8)</f>
        <v/>
      </c>
      <c r="J461" s="49">
        <f>G461+I461</f>
        <v/>
      </c>
      <c r="K461" s="123" t="n"/>
      <c r="L461" s="271" t="n"/>
      <c r="M461" s="256" t="n"/>
      <c r="N461" s="256" t="n"/>
      <c r="O461" s="256" t="n"/>
      <c r="P461" s="256" t="n"/>
      <c r="Q461" s="256" t="n"/>
    </row>
    <row r="462">
      <c r="A462">
        <f>IF(DAY(D462)=DAY($L$1+1),A461+1,A461)</f>
        <v/>
      </c>
      <c r="B462" s="46">
        <f>IF(DAY(D462)=DAY($L$1+1),1,B461+1)</f>
        <v/>
      </c>
      <c r="C462" s="46">
        <f>IF(DAY(D462)=DAY($L$1+1),1,C461+1)</f>
        <v/>
      </c>
      <c r="D462" s="2">
        <f>D461+1</f>
        <v/>
      </c>
      <c r="E462" s="8">
        <f>IF(DAY(D462)=DAY($L$1+1),TRUNC((N461),8),E461)</f>
        <v/>
      </c>
      <c r="F462" s="49">
        <f>TRUNC(((1+VLOOKUP(A462,IPCA!$A$2:$C$140,3,0)))^(C462/(EDATE(D462-C462,1)-(D462-C462))),8)</f>
        <v/>
      </c>
      <c r="G462" s="49">
        <f>TRUNC((E462*F462),8)</f>
        <v/>
      </c>
      <c r="H462" s="49">
        <f>ROUND(((1+$H$4)^(30/360))^(C462/(EDATE(D462-B462,1)-(D462-B462))),9)</f>
        <v/>
      </c>
      <c r="I462" s="49">
        <f>TRUNC((G462*H462-G462),8)</f>
        <v/>
      </c>
      <c r="J462" s="49">
        <f>G462+I462</f>
        <v/>
      </c>
      <c r="K462" s="256" t="n"/>
      <c r="L462" s="256" t="n"/>
      <c r="M462" s="256" t="n"/>
      <c r="N462" s="256" t="n"/>
      <c r="O462" s="256" t="n"/>
      <c r="P462" s="256" t="n"/>
      <c r="Q462" s="256" t="n"/>
    </row>
    <row r="463">
      <c r="A463">
        <f>IF(DAY(D463)=DAY($L$1+1),A462+1,A462)</f>
        <v/>
      </c>
      <c r="B463" s="46">
        <f>IF(DAY(D463)=DAY($L$1+1),1,B462+1)</f>
        <v/>
      </c>
      <c r="C463" s="46">
        <f>IF(DAY(D463)=DAY($L$1+1),1,C462+1)</f>
        <v/>
      </c>
      <c r="D463" s="2">
        <f>D462+1</f>
        <v/>
      </c>
      <c r="E463" s="8">
        <f>IF(DAY(D463)=DAY($L$1+1),TRUNC((N462),8),E462)</f>
        <v/>
      </c>
      <c r="F463" s="49">
        <f>TRUNC(((1+VLOOKUP(A463,IPCA!$A$2:$C$140,3,0)))^(C463/(EDATE(D463-C463,1)-(D463-C463))),8)</f>
        <v/>
      </c>
      <c r="G463" s="49">
        <f>TRUNC((E463*F463),8)</f>
        <v/>
      </c>
      <c r="H463" s="49">
        <f>ROUND(((1+$H$4)^(30/360))^(C463/(EDATE(D463-B463,1)-(D463-B463))),9)</f>
        <v/>
      </c>
      <c r="I463" s="49">
        <f>TRUNC((G463*H463-G463),8)</f>
        <v/>
      </c>
      <c r="J463" s="49">
        <f>G463+I463</f>
        <v/>
      </c>
      <c r="K463" s="256" t="n"/>
      <c r="L463" s="256" t="n"/>
      <c r="M463" s="256" t="n"/>
      <c r="N463" s="256" t="n"/>
      <c r="O463" s="256" t="n"/>
      <c r="P463" s="256" t="n"/>
      <c r="Q463" s="256" t="n"/>
    </row>
    <row r="464">
      <c r="A464">
        <f>IF(DAY(D464)=DAY($L$1+1),A463+1,A463)</f>
        <v/>
      </c>
      <c r="B464" s="46">
        <f>IF(DAY(D464)=DAY($L$1+1),1,B463+1)</f>
        <v/>
      </c>
      <c r="C464" s="46">
        <f>IF(DAY(D464)=DAY($L$1+1),1,C463+1)</f>
        <v/>
      </c>
      <c r="D464" s="2">
        <f>D463+1</f>
        <v/>
      </c>
      <c r="E464" s="8">
        <f>IF(DAY(D464)=DAY($L$1+1),TRUNC((N463),8),E463)</f>
        <v/>
      </c>
      <c r="F464" s="49">
        <f>TRUNC(((1+VLOOKUP(A464,IPCA!$A$2:$C$140,3,0)))^(C464/(EDATE(D464-C464,1)-(D464-C464))),8)</f>
        <v/>
      </c>
      <c r="G464" s="49">
        <f>TRUNC((E464*F464),8)</f>
        <v/>
      </c>
      <c r="H464" s="49">
        <f>ROUND(((1+$H$4)^(30/360))^(C464/(EDATE(D464-B464,1)-(D464-B464))),9)</f>
        <v/>
      </c>
      <c r="I464" s="49">
        <f>TRUNC((G464*H464-G464),8)</f>
        <v/>
      </c>
      <c r="J464" s="49">
        <f>G464+I464</f>
        <v/>
      </c>
      <c r="K464" s="256" t="n"/>
      <c r="L464" s="256" t="n"/>
      <c r="M464" s="256" t="n"/>
      <c r="N464" s="256" t="n"/>
      <c r="O464" s="256" t="n"/>
      <c r="P464" s="256" t="n"/>
      <c r="Q464" s="256" t="n"/>
    </row>
    <row r="465">
      <c r="A465">
        <f>IF(DAY(D465)=DAY($L$1+1),A464+1,A464)</f>
        <v/>
      </c>
      <c r="B465" s="46">
        <f>IF(DAY(D465)=DAY($L$1+1),1,B464+1)</f>
        <v/>
      </c>
      <c r="C465" s="46">
        <f>IF(DAY(D465)=DAY($L$1+1),1,C464+1)</f>
        <v/>
      </c>
      <c r="D465" s="2">
        <f>D464+1</f>
        <v/>
      </c>
      <c r="E465" s="8">
        <f>IF(DAY(D465)=DAY($L$1+1),TRUNC((N464),8),E464)</f>
        <v/>
      </c>
      <c r="F465" s="49">
        <f>TRUNC(((1+VLOOKUP(A465,IPCA!$A$2:$C$140,3,0)))^(C465/(EDATE(D465-C465,1)-(D465-C465))),8)</f>
        <v/>
      </c>
      <c r="G465" s="49">
        <f>TRUNC((E465*F465),8)</f>
        <v/>
      </c>
      <c r="H465" s="49">
        <f>ROUND(((1+$H$4)^(30/360))^(C465/(EDATE(D465-B465,1)-(D465-B465))),9)</f>
        <v/>
      </c>
      <c r="I465" s="49">
        <f>TRUNC((G465*H465-G465),8)</f>
        <v/>
      </c>
      <c r="J465" s="49">
        <f>G465+I465</f>
        <v/>
      </c>
      <c r="K465" s="256" t="n"/>
      <c r="L465" s="256" t="n"/>
      <c r="M465" s="256" t="n"/>
      <c r="N465" s="256" t="n"/>
      <c r="O465" s="256" t="n"/>
      <c r="P465" s="256" t="n"/>
      <c r="Q465" s="256" t="n"/>
    </row>
    <row r="466">
      <c r="A466">
        <f>IF(DAY(D466)=DAY($L$1+1),A465+1,A465)</f>
        <v/>
      </c>
      <c r="B466" s="46">
        <f>IF(DAY(D466)=DAY($L$1+1),1,B465+1)</f>
        <v/>
      </c>
      <c r="C466" s="46">
        <f>IF(DAY(D466)=DAY($L$1+1),1,C465+1)</f>
        <v/>
      </c>
      <c r="D466" s="2">
        <f>D465+1</f>
        <v/>
      </c>
      <c r="E466" s="8">
        <f>IF(DAY(D466)=DAY($L$1+1),TRUNC((N465),8),E465)</f>
        <v/>
      </c>
      <c r="F466" s="49">
        <f>TRUNC(((1+VLOOKUP(A466,IPCA!$A$2:$C$140,3,0)))^(C466/(EDATE(D466-C466,1)-(D466-C466))),8)</f>
        <v/>
      </c>
      <c r="G466" s="49">
        <f>TRUNC((E466*F466),8)</f>
        <v/>
      </c>
      <c r="H466" s="49">
        <f>ROUND(((1+$H$4)^(30/360))^(C466/(EDATE(D466-B466,1)-(D466-B466))),9)</f>
        <v/>
      </c>
      <c r="I466" s="49">
        <f>TRUNC((G466*H466-G466),8)</f>
        <v/>
      </c>
      <c r="J466" s="49">
        <f>G466+I466</f>
        <v/>
      </c>
      <c r="K466" s="256" t="n"/>
      <c r="L466" s="256" t="n"/>
      <c r="M466" s="256" t="n"/>
      <c r="N466" s="256" t="n"/>
      <c r="O466" s="256" t="n"/>
      <c r="P466" s="256" t="n"/>
      <c r="Q466" s="256" t="n"/>
    </row>
    <row r="467">
      <c r="A467">
        <f>IF(DAY(D467)=DAY($L$1+1),A466+1,A466)</f>
        <v/>
      </c>
      <c r="B467" s="46">
        <f>IF(DAY(D467)=DAY($L$1+1),1,B466+1)</f>
        <v/>
      </c>
      <c r="C467" s="46">
        <f>IF(DAY(D467)=DAY($L$1+1),1,C466+1)</f>
        <v/>
      </c>
      <c r="D467" s="2">
        <f>D466+1</f>
        <v/>
      </c>
      <c r="E467" s="8">
        <f>IF(DAY(D467)=DAY($L$1+1),TRUNC((N466),8),E466)</f>
        <v/>
      </c>
      <c r="F467" s="49">
        <f>TRUNC(((1+VLOOKUP(A467,IPCA!$A$2:$C$140,3,0)))^(C467/(EDATE(D467-C467,1)-(D467-C467))),8)</f>
        <v/>
      </c>
      <c r="G467" s="49">
        <f>TRUNC((E467*F467),8)</f>
        <v/>
      </c>
      <c r="H467" s="49">
        <f>ROUND(((1+$H$4)^(30/360))^(C467/(EDATE(D467-B467,1)-(D467-B467))),9)</f>
        <v/>
      </c>
      <c r="I467" s="49">
        <f>TRUNC((G467*H467-G467),8)</f>
        <v/>
      </c>
      <c r="J467" s="49">
        <f>G467+I467</f>
        <v/>
      </c>
      <c r="K467" s="256" t="n"/>
      <c r="L467" s="256" t="n"/>
      <c r="M467" s="256" t="n"/>
      <c r="N467" s="256" t="n"/>
      <c r="O467" s="256" t="n"/>
      <c r="P467" s="256" t="n"/>
      <c r="Q467" s="256" t="n"/>
    </row>
    <row r="468">
      <c r="A468">
        <f>IF(DAY(D468)=DAY($L$1+1),A467+1,A467)</f>
        <v/>
      </c>
      <c r="B468" s="46">
        <f>IF(DAY(D468)=DAY($L$1+1),1,B467+1)</f>
        <v/>
      </c>
      <c r="C468" s="46">
        <f>IF(DAY(D468)=DAY($L$1+1),1,C467+1)</f>
        <v/>
      </c>
      <c r="D468" s="2">
        <f>D467+1</f>
        <v/>
      </c>
      <c r="E468" s="8">
        <f>IF(DAY(D468)=DAY($L$1+1),TRUNC((N467),8),E467)</f>
        <v/>
      </c>
      <c r="F468" s="49">
        <f>TRUNC(((1+VLOOKUP(A468,IPCA!$A$2:$C$140,3,0)))^(C468/(EDATE(D468-C468,1)-(D468-C468))),8)</f>
        <v/>
      </c>
      <c r="G468" s="49">
        <f>TRUNC((E468*F468),8)</f>
        <v/>
      </c>
      <c r="H468" s="49">
        <f>ROUND(((1+$H$4)^(30/360))^(C468/(EDATE(D468-B468,1)-(D468-B468))),9)</f>
        <v/>
      </c>
      <c r="I468" s="49">
        <f>TRUNC((G468*H468-G468),8)</f>
        <v/>
      </c>
      <c r="J468" s="49">
        <f>G468+I468</f>
        <v/>
      </c>
      <c r="K468" s="256" t="n"/>
      <c r="L468" s="256" t="n"/>
      <c r="M468" s="256" t="n"/>
      <c r="N468" s="256" t="n"/>
      <c r="O468" s="256" t="n"/>
      <c r="P468" s="256" t="n"/>
      <c r="Q468" s="256" t="n"/>
    </row>
    <row r="469">
      <c r="A469">
        <f>IF(DAY(D469)=DAY($L$1+1),A468+1,A468)</f>
        <v/>
      </c>
      <c r="B469" s="46">
        <f>IF(DAY(D469)=DAY($L$1+1),1,B468+1)</f>
        <v/>
      </c>
      <c r="C469" s="46">
        <f>IF(DAY(D469)=DAY($L$1+1),1,C468+1)</f>
        <v/>
      </c>
      <c r="D469" s="2">
        <f>D468+1</f>
        <v/>
      </c>
      <c r="E469" s="8">
        <f>IF(DAY(D469)=DAY($L$1+1),TRUNC((N468),8),E468)</f>
        <v/>
      </c>
      <c r="F469" s="49">
        <f>TRUNC(((1+VLOOKUP(A469,IPCA!$A$2:$C$140,3,0)))^(C469/(EDATE(D469-C469,1)-(D469-C469))),8)</f>
        <v/>
      </c>
      <c r="G469" s="49">
        <f>TRUNC((E469*F469),8)</f>
        <v/>
      </c>
      <c r="H469" s="49">
        <f>ROUND(((1+$H$4)^(30/360))^(C469/(EDATE(D469-B469,1)-(D469-B469))),9)</f>
        <v/>
      </c>
      <c r="I469" s="49">
        <f>TRUNC((G469*H469-G469),8)</f>
        <v/>
      </c>
      <c r="J469" s="49">
        <f>G469+I469</f>
        <v/>
      </c>
      <c r="K469" s="256" t="n"/>
      <c r="L469" s="256" t="n"/>
      <c r="M469" s="256" t="n"/>
      <c r="N469" s="256" t="n"/>
      <c r="O469" s="256" t="n"/>
      <c r="P469" s="256" t="n"/>
      <c r="Q469" s="256" t="n"/>
    </row>
    <row r="470">
      <c r="A470">
        <f>IF(DAY(D470)=DAY($L$1+1),A469+1,A469)</f>
        <v/>
      </c>
      <c r="B470" s="46">
        <f>IF(DAY(D470)=DAY($L$1+1),1,B469+1)</f>
        <v/>
      </c>
      <c r="C470" s="46">
        <f>IF(DAY(D470)=DAY($L$1+1),1,C469+1)</f>
        <v/>
      </c>
      <c r="D470" s="2">
        <f>D469+1</f>
        <v/>
      </c>
      <c r="E470" s="8">
        <f>IF(DAY(D470)=DAY($L$1+1),TRUNC((N469),8),E469)</f>
        <v/>
      </c>
      <c r="F470" s="49">
        <f>TRUNC(((1+VLOOKUP(A470,IPCA!$A$2:$C$140,3,0)))^(C470/(EDATE(D470-C470,1)-(D470-C470))),8)</f>
        <v/>
      </c>
      <c r="G470" s="49">
        <f>TRUNC((E470*F470),8)</f>
        <v/>
      </c>
      <c r="H470" s="49">
        <f>ROUND(((1+$H$4)^(30/360))^(C470/(EDATE(D470-B470,1)-(D470-B470))),9)</f>
        <v/>
      </c>
      <c r="I470" s="49">
        <f>TRUNC((G470*H470-G470),8)</f>
        <v/>
      </c>
      <c r="J470" s="49">
        <f>G470+I470</f>
        <v/>
      </c>
      <c r="K470" s="256" t="n"/>
      <c r="L470" s="256" t="n"/>
      <c r="M470" s="256" t="n"/>
      <c r="N470" s="256" t="n"/>
      <c r="O470" s="256" t="n"/>
      <c r="P470" s="256" t="n"/>
      <c r="Q470" s="256" t="n"/>
    </row>
    <row r="471">
      <c r="A471">
        <f>IF(DAY(D471)=DAY($L$1+1),A470+1,A470)</f>
        <v/>
      </c>
      <c r="B471" s="46">
        <f>IF(DAY(D471)=DAY($L$1+1),1,B470+1)</f>
        <v/>
      </c>
      <c r="C471" s="46">
        <f>IF(DAY(D471)=DAY($L$1+1),1,C470+1)</f>
        <v/>
      </c>
      <c r="D471" s="2">
        <f>D470+1</f>
        <v/>
      </c>
      <c r="E471" s="8">
        <f>IF(DAY(D471)=DAY($L$1+1),TRUNC((N470),8),E470)</f>
        <v/>
      </c>
      <c r="F471" s="49">
        <f>TRUNC(((1+VLOOKUP(A471,IPCA!$A$2:$C$140,3,0)))^(C471/(EDATE(D471-C471,1)-(D471-C471))),8)</f>
        <v/>
      </c>
      <c r="G471" s="49">
        <f>TRUNC((E471*F471),8)</f>
        <v/>
      </c>
      <c r="H471" s="49">
        <f>ROUND(((1+$H$4)^(30/360))^(C471/(EDATE(D471-B471,1)-(D471-B471))),9)</f>
        <v/>
      </c>
      <c r="I471" s="49">
        <f>TRUNC((G471*H471-G471),8)</f>
        <v/>
      </c>
      <c r="J471" s="49">
        <f>G471+I471</f>
        <v/>
      </c>
      <c r="K471" s="256" t="n"/>
      <c r="L471" s="256" t="n"/>
      <c r="M471" s="256" t="n"/>
      <c r="N471" s="256" t="n"/>
      <c r="O471" s="256" t="n"/>
      <c r="P471" s="256" t="n"/>
      <c r="Q471" s="256" t="n"/>
    </row>
    <row r="472">
      <c r="A472">
        <f>IF(DAY(D472)=DAY($L$1+1),A471+1,A471)</f>
        <v/>
      </c>
      <c r="B472" s="46">
        <f>IF(DAY(D472)=DAY($L$1+1),1,B471+1)</f>
        <v/>
      </c>
      <c r="C472" s="46">
        <f>IF(DAY(D472)=DAY($L$1+1),1,C471+1)</f>
        <v/>
      </c>
      <c r="D472" s="2">
        <f>D471+1</f>
        <v/>
      </c>
      <c r="E472" s="8">
        <f>IF(DAY(D472)=DAY($L$1+1),TRUNC((N471),8),E471)</f>
        <v/>
      </c>
      <c r="F472" s="49">
        <f>TRUNC(((1+VLOOKUP(A472,IPCA!$A$2:$C$140,3,0)))^(C472/(EDATE(D472-C472,1)-(D472-C472))),8)</f>
        <v/>
      </c>
      <c r="G472" s="49">
        <f>TRUNC((E472*F472),8)</f>
        <v/>
      </c>
      <c r="H472" s="49">
        <f>ROUND(((1+$H$4)^(30/360))^(C472/(EDATE(D472-B472,1)-(D472-B472))),9)</f>
        <v/>
      </c>
      <c r="I472" s="49">
        <f>TRUNC((G472*H472-G472),8)</f>
        <v/>
      </c>
      <c r="J472" s="49">
        <f>G472+I472</f>
        <v/>
      </c>
      <c r="K472" s="256" t="n"/>
      <c r="L472" s="256" t="n"/>
      <c r="M472" s="256" t="n"/>
      <c r="N472" s="256" t="n"/>
      <c r="O472" s="256" t="n"/>
      <c r="P472" s="256" t="n"/>
      <c r="Q472" s="256" t="n"/>
    </row>
    <row r="473">
      <c r="A473">
        <f>IF(DAY(D473)=DAY($L$1+1),A472+1,A472)</f>
        <v/>
      </c>
      <c r="B473" s="46">
        <f>IF(DAY(D473)=DAY($L$1+1),1,B472+1)</f>
        <v/>
      </c>
      <c r="C473" s="46">
        <f>IF(DAY(D473)=DAY($L$1+1),1,C472+1)</f>
        <v/>
      </c>
      <c r="D473" s="2">
        <f>D472+1</f>
        <v/>
      </c>
      <c r="E473" s="8">
        <f>IF(DAY(D473)=DAY($L$1+1),TRUNC((N472),8),E472)</f>
        <v/>
      </c>
      <c r="F473" s="49">
        <f>TRUNC(((1+VLOOKUP(A473,IPCA!$A$2:$C$140,3,0)))^(C473/(EDATE(D473-C473,1)-(D473-C473))),8)</f>
        <v/>
      </c>
      <c r="G473" s="49">
        <f>TRUNC((E473*F473),8)</f>
        <v/>
      </c>
      <c r="H473" s="49">
        <f>ROUND(((1+$H$4)^(30/360))^(C473/(EDATE(D473-B473,1)-(D473-B473))),9)</f>
        <v/>
      </c>
      <c r="I473" s="49">
        <f>TRUNC((G473*H473-G473),8)</f>
        <v/>
      </c>
      <c r="J473" s="49">
        <f>G473+I473</f>
        <v/>
      </c>
      <c r="K473" s="256" t="n"/>
      <c r="L473" s="256" t="n"/>
      <c r="M473" s="256" t="n"/>
      <c r="N473" s="256" t="n"/>
      <c r="O473" s="256" t="n"/>
      <c r="P473" s="256" t="n"/>
      <c r="Q473" s="256" t="n"/>
    </row>
    <row r="474">
      <c r="A474">
        <f>IF(DAY(D474)=DAY($L$1+1),A473+1,A473)</f>
        <v/>
      </c>
      <c r="B474" s="46">
        <f>IF(DAY(D474)=DAY($L$1+1),1,B473+1)</f>
        <v/>
      </c>
      <c r="C474" s="46">
        <f>IF(DAY(D474)=DAY($L$1+1),1,C473+1)</f>
        <v/>
      </c>
      <c r="D474" s="2">
        <f>D473+1</f>
        <v/>
      </c>
      <c r="E474" s="8">
        <f>IF(DAY(D474)=DAY($L$1+1),TRUNC((N473),8),E473)</f>
        <v/>
      </c>
      <c r="F474" s="49">
        <f>TRUNC(((1+VLOOKUP(A474,IPCA!$A$2:$C$140,3,0)))^(C474/(EDATE(D474-C474,1)-(D474-C474))),8)</f>
        <v/>
      </c>
      <c r="G474" s="49">
        <f>TRUNC((E474*F474),8)</f>
        <v/>
      </c>
      <c r="H474" s="49">
        <f>ROUND(((1+$H$4)^(30/360))^(C474/(EDATE(D474-B474,1)-(D474-B474))),9)</f>
        <v/>
      </c>
      <c r="I474" s="49">
        <f>TRUNC((G474*H474-G474),8)</f>
        <v/>
      </c>
      <c r="J474" s="49">
        <f>G474+I474</f>
        <v/>
      </c>
      <c r="K474" s="256" t="inlineStr">
        <is>
          <t>Cri Integralizado</t>
        </is>
      </c>
      <c r="L474" s="270">
        <f>L444</f>
        <v/>
      </c>
      <c r="M474" s="256" t="n"/>
      <c r="N474" s="256" t="n"/>
      <c r="O474" s="256" t="n"/>
      <c r="P474" s="256" t="n"/>
      <c r="Q474" s="256" t="n"/>
    </row>
    <row r="475">
      <c r="A475">
        <f>IF(DAY(D475)=DAY($L$1+1),A474+1,A474)</f>
        <v/>
      </c>
      <c r="B475" s="46">
        <f>IF(DAY(D475)=DAY($L$1+1),1,B474+1)</f>
        <v/>
      </c>
      <c r="C475" s="46">
        <f>IF(DAY(D475)=DAY($L$1+1),1,C474+1)</f>
        <v/>
      </c>
      <c r="D475" s="2">
        <f>D474+1</f>
        <v/>
      </c>
      <c r="E475" s="8">
        <f>IF(DAY(D475)=DAY($L$1+1),TRUNC((N474),8),E474)</f>
        <v/>
      </c>
      <c r="F475" s="49">
        <f>TRUNC(((1+VLOOKUP(A475,IPCA!$A$2:$C$140,3,0)))^(C475/(EDATE(D475-C475,1)-(D475-C475))),8)</f>
        <v/>
      </c>
      <c r="G475" s="49">
        <f>TRUNC((E475*F475),8)</f>
        <v/>
      </c>
      <c r="H475" s="49">
        <f>ROUND(((1+$H$4)^(30/360))^(C475/(EDATE(D475-B475,1)-(D475-B475))),9)</f>
        <v/>
      </c>
      <c r="I475" s="49">
        <f>TRUNC((G475*H475-G475),8)</f>
        <v/>
      </c>
      <c r="J475" s="49">
        <f>G475+I475</f>
        <v/>
      </c>
      <c r="K475" s="118" t="inlineStr">
        <is>
          <t>JUROS</t>
        </is>
      </c>
      <c r="L475" s="118" t="inlineStr">
        <is>
          <t>AMORTIZAÇÃO</t>
        </is>
      </c>
      <c r="M475" s="118" t="inlineStr">
        <is>
          <t>AMEX</t>
        </is>
      </c>
      <c r="N475" s="118" t="inlineStr">
        <is>
          <t>RESIDUAL</t>
        </is>
      </c>
      <c r="O475" s="256" t="n"/>
      <c r="P475" s="256" t="n"/>
      <c r="Q475" s="256" t="n"/>
    </row>
    <row r="476">
      <c r="A476">
        <f>IF(DAY(D476)=DAY($L$1+1),A475+1,A475)</f>
        <v/>
      </c>
      <c r="B476" s="111">
        <f>IF(DAY(D476)=DAY($L$1+1),1,B475+1)</f>
        <v/>
      </c>
      <c r="C476" s="111">
        <f>IF(DAY(D476)=DAY($L$1+1),1,C475+1)</f>
        <v/>
      </c>
      <c r="D476" s="112">
        <f>D475+1</f>
        <v/>
      </c>
      <c r="E476" s="113">
        <f>IF(DAY(D476)=DAY($L$1+1),TRUNC((N475),8),E475)</f>
        <v/>
      </c>
      <c r="F476" s="114">
        <f>TRUNC(((1+VLOOKUP(A476,IPCA!$A$2:$C$140,3,0)))^(C476/(EDATE(D476-C476,1)-(D476-C476))),8)</f>
        <v/>
      </c>
      <c r="G476" s="114">
        <f>TRUNC((E476*F476),8)</f>
        <v/>
      </c>
      <c r="H476" s="114">
        <f>ROUND(((1+$H$4)^(30/360))^(C476/(EDATE(D476-B476,1)-(D476-B476))),9)</f>
        <v/>
      </c>
      <c r="I476" s="114">
        <f>TRUNC((G476*H476-G476),8)</f>
        <v/>
      </c>
      <c r="J476" s="114">
        <f>G476+I476</f>
        <v/>
      </c>
      <c r="K476" s="119" t="n">
        <v>0</v>
      </c>
      <c r="L476" s="120" t="n">
        <v>0</v>
      </c>
      <c r="M476" s="120" t="n">
        <v>0</v>
      </c>
      <c r="N476" s="120">
        <f>J476-K476-L476-M476</f>
        <v/>
      </c>
      <c r="O476" s="256" t="n"/>
      <c r="P476" s="256" t="n"/>
      <c r="Q476" s="256" t="n"/>
    </row>
    <row r="477">
      <c r="A477">
        <f>IF(DAY(D477)=DAY($L$1+1),A476+1,A476)</f>
        <v/>
      </c>
      <c r="B477" s="46">
        <f>IF(DAY(D477)=DAY($L$1+1),1,B476+1)</f>
        <v/>
      </c>
      <c r="C477" s="46">
        <f>IF(DAY(D477)=DAY($L$1+1),1,C476+1)</f>
        <v/>
      </c>
      <c r="D477" s="2">
        <f>D476+1</f>
        <v/>
      </c>
      <c r="E477" s="8">
        <f>IF(DAY(D477)=DAY($L$1+1),TRUNC((N476),8),E476)</f>
        <v/>
      </c>
      <c r="F477" s="49">
        <f>TRUNC(((1+VLOOKUP(A477,IPCA!$A$2:$C$140,3,0)))^(C477/(EDATE(D477-C477,1)-(D477-C477))),8)</f>
        <v/>
      </c>
      <c r="G477" s="49">
        <f>TRUNC((E477*F477),8)</f>
        <v/>
      </c>
      <c r="H477" s="49">
        <f>ROUND(((1+$H$4)^(30/360))^(C477/(EDATE(D477-B477,1)-(D477-B477))),9)</f>
        <v/>
      </c>
      <c r="I477" s="49">
        <f>TRUNC((G477*H477-G477),8)</f>
        <v/>
      </c>
      <c r="J477" s="49">
        <f>G477+I477</f>
        <v/>
      </c>
      <c r="K477" s="121">
        <f>K476*L474</f>
        <v/>
      </c>
      <c r="L477" s="121">
        <f>L476*L474</f>
        <v/>
      </c>
      <c r="M477" s="121">
        <f>M476*L474</f>
        <v/>
      </c>
      <c r="N477" s="121">
        <f>N476*L474</f>
        <v/>
      </c>
      <c r="O477" s="256" t="n"/>
      <c r="P477" s="256" t="n"/>
      <c r="Q477" s="256" t="n"/>
    </row>
    <row r="478">
      <c r="A478">
        <f>IF(DAY(D478)=DAY($L$1+1),A477+1,A477)</f>
        <v/>
      </c>
      <c r="B478" s="46">
        <f>IF(DAY(D478)=DAY($L$1+1),1,B477+1)</f>
        <v/>
      </c>
      <c r="C478" s="46">
        <f>IF(DAY(D478)=DAY($L$1+1),1,C477+1)</f>
        <v/>
      </c>
      <c r="D478" s="2">
        <f>D477+1</f>
        <v/>
      </c>
      <c r="E478" s="8">
        <f>IF(DAY(D478)=DAY($L$1+1),TRUNC((N477),8),E477)</f>
        <v/>
      </c>
      <c r="F478" s="49">
        <f>TRUNC(((1+VLOOKUP(A478,IPCA!$A$2:$C$140,3,0)))^(C478/(EDATE(D478-C478,1)-(D478-C478))),8)</f>
        <v/>
      </c>
      <c r="G478" s="49">
        <f>TRUNC((E478*F478),8)</f>
        <v/>
      </c>
      <c r="H478" s="49">
        <f>ROUND(((1+$H$4)^(30/360))^(C478/(EDATE(D478-B478,1)-(D478-B478))),9)</f>
        <v/>
      </c>
      <c r="I478" s="49">
        <f>TRUNC((G478*H478-G478),8)</f>
        <v/>
      </c>
      <c r="J478" s="49">
        <f>G478+I478</f>
        <v/>
      </c>
      <c r="K478" s="256" t="n"/>
      <c r="L478" s="256" t="n"/>
      <c r="M478" s="256" t="n"/>
      <c r="N478" s="256" t="n"/>
      <c r="O478" s="256" t="n"/>
      <c r="P478" s="256" t="n"/>
      <c r="Q478" s="256" t="n"/>
    </row>
    <row r="479">
      <c r="A479">
        <f>IF(DAY(D479)=DAY($L$1+1),A478+1,A478)</f>
        <v/>
      </c>
      <c r="B479" s="46">
        <f>IF(DAY(D479)=DAY($L$1+1),1,B478+1)</f>
        <v/>
      </c>
      <c r="C479" s="46">
        <f>IF(DAY(D479)=DAY($L$1+1),1,C478+1)</f>
        <v/>
      </c>
      <c r="D479" s="2">
        <f>D478+1</f>
        <v/>
      </c>
      <c r="E479" s="8">
        <f>IF(DAY(D479)=DAY($L$1+1),TRUNC((#REF!),8),E478)</f>
        <v/>
      </c>
      <c r="F479" s="49">
        <f>TRUNC(((1+VLOOKUP(A479,IPCA!$A$2:$C$140,3,0)))^(C479/(EDATE(D479-C479,1)-(D479-C479))),8)</f>
        <v/>
      </c>
      <c r="G479" s="49">
        <f>TRUNC((E479*F479),8)</f>
        <v/>
      </c>
      <c r="H479" s="49">
        <f>ROUND(((1+$H$4)^(30/360))^(C479/(EDATE(D479-B479,1)-(D479-B479))),9)</f>
        <v/>
      </c>
      <c r="I479" s="49">
        <f>TRUNC((G479*H479-G479),8)</f>
        <v/>
      </c>
      <c r="J479" s="49">
        <f>G479+I479</f>
        <v/>
      </c>
      <c r="K479" s="256" t="n"/>
      <c r="L479" s="256" t="n"/>
      <c r="M479" s="256" t="n"/>
      <c r="N479" s="256" t="n"/>
      <c r="O479" s="256" t="n"/>
      <c r="P479" s="256" t="n"/>
      <c r="Q479" s="256" t="n"/>
    </row>
    <row r="480">
      <c r="A480">
        <f>IF(DAY(D480)=DAY($L$1+1),A479+1,A479)</f>
        <v/>
      </c>
      <c r="B480" s="46">
        <f>IF(DAY(D480)=DAY($L$1+1),1,B479+1)</f>
        <v/>
      </c>
      <c r="C480" s="46">
        <f>IF(DAY(D480)=DAY($L$1+1),1,C479+1)</f>
        <v/>
      </c>
      <c r="D480" s="2">
        <f>D479+1</f>
        <v/>
      </c>
      <c r="E480" s="8">
        <f>IF(DAY(D480)=DAY($L$1+1),TRUNC((#REF!),8),E479)</f>
        <v/>
      </c>
      <c r="F480" s="49">
        <f>TRUNC(((1+VLOOKUP(A480,IPCA!$A$2:$C$140,3,0)))^(C480/(EDATE(D480-C480,1)-(D480-C480))),8)</f>
        <v/>
      </c>
      <c r="G480" s="49">
        <f>TRUNC((E480*F480),8)</f>
        <v/>
      </c>
      <c r="H480" s="49">
        <f>ROUND(((1+$H$4)^(30/360))^(C480/(EDATE(D480-B480,1)-(D480-B480))),9)</f>
        <v/>
      </c>
      <c r="I480" s="49">
        <f>TRUNC((G480*H480-G480),8)</f>
        <v/>
      </c>
      <c r="J480" s="49">
        <f>G480+I480</f>
        <v/>
      </c>
      <c r="K480" s="256" t="n"/>
      <c r="L480" s="256" t="n"/>
      <c r="M480" s="256" t="n"/>
      <c r="N480" s="256" t="n"/>
      <c r="O480" s="256" t="n"/>
      <c r="P480" s="256" t="n"/>
      <c r="Q480" s="256" t="n"/>
    </row>
    <row r="481">
      <c r="A481">
        <f>IF(DAY(D481)=DAY($L$1+1),A480+1,A480)</f>
        <v/>
      </c>
      <c r="B481" s="46">
        <f>IF(DAY(D481)=DAY($L$1+1),1,B480+1)</f>
        <v/>
      </c>
      <c r="C481" s="46">
        <f>IF(DAY(D481)=DAY($L$1+1),1,C480+1)</f>
        <v/>
      </c>
      <c r="D481" s="2">
        <f>D480+1</f>
        <v/>
      </c>
      <c r="E481" s="8">
        <f>IF(DAY(D481)=DAY($L$1+1),TRUNC((#REF!),8),E480)</f>
        <v/>
      </c>
      <c r="F481" s="49">
        <f>TRUNC(((1+VLOOKUP(A481,IPCA!$A$2:$C$140,3,0)))^(C481/(EDATE(D481-C481,1)-(D481-C481))),8)</f>
        <v/>
      </c>
      <c r="G481" s="49">
        <f>TRUNC((E481*F481),8)</f>
        <v/>
      </c>
      <c r="H481" s="49">
        <f>ROUND(((1+$H$4)^(30/360))^(C481/(EDATE(D481-B481,1)-(D481-B481))),9)</f>
        <v/>
      </c>
      <c r="I481" s="49">
        <f>TRUNC((G481*H481-G481),8)</f>
        <v/>
      </c>
      <c r="J481" s="49">
        <f>G481+I481</f>
        <v/>
      </c>
      <c r="K481" s="256" t="n"/>
      <c r="L481" s="256" t="n"/>
      <c r="M481" s="256" t="n"/>
      <c r="N481" s="256" t="n"/>
      <c r="O481" s="256" t="n"/>
      <c r="P481" s="256" t="n"/>
      <c r="Q481" s="256" t="n"/>
    </row>
    <row r="482">
      <c r="A482">
        <f>IF(DAY(D482)=DAY($L$1+1),A481+1,A481)</f>
        <v/>
      </c>
      <c r="B482" s="46">
        <f>IF(DAY(D482)=DAY($L$1+1),1,B481+1)</f>
        <v/>
      </c>
      <c r="C482" s="46">
        <f>IF(DAY(D482)=DAY($L$1+1),1,C481+1)</f>
        <v/>
      </c>
      <c r="D482" s="2">
        <f>D481+1</f>
        <v/>
      </c>
      <c r="E482" s="8">
        <f>IF(DAY(D482)=DAY($L$1+1),TRUNC((#REF!),8),E481)</f>
        <v/>
      </c>
      <c r="F482" s="49">
        <f>TRUNC(((1+VLOOKUP(A482,IPCA!$A$2:$C$140,3,0)))^(C482/(EDATE(D482-C482,1)-(D482-C482))),8)</f>
        <v/>
      </c>
      <c r="G482" s="49">
        <f>TRUNC((E482*F482),8)</f>
        <v/>
      </c>
      <c r="H482" s="49">
        <f>ROUND(((1+$H$4)^(30/360))^(C482/(EDATE(D482-B482,1)-(D482-B482))),9)</f>
        <v/>
      </c>
      <c r="I482" s="49">
        <f>TRUNC((G482*H482-G482),8)</f>
        <v/>
      </c>
      <c r="J482" s="49">
        <f>G482+I482</f>
        <v/>
      </c>
      <c r="K482" s="256" t="n"/>
      <c r="L482" s="256" t="n"/>
      <c r="M482" s="256" t="n"/>
      <c r="N482" s="256" t="n"/>
      <c r="O482" s="256" t="n"/>
      <c r="P482" s="256" t="n"/>
      <c r="Q482" s="256" t="n"/>
    </row>
    <row r="483">
      <c r="A483">
        <f>IF(DAY(D483)=DAY($L$1+1),A482+1,A482)</f>
        <v/>
      </c>
      <c r="B483" s="46">
        <f>IF(DAY(D483)=DAY($L$1+1),1,B482+1)</f>
        <v/>
      </c>
      <c r="C483" s="46">
        <f>IF(DAY(D483)=DAY($L$1+1),1,C482+1)</f>
        <v/>
      </c>
      <c r="D483" s="2">
        <f>D482+1</f>
        <v/>
      </c>
      <c r="E483" s="8">
        <f>IF(DAY(D483)=DAY($L$1+1),TRUNC((#REF!),8),E482)</f>
        <v/>
      </c>
      <c r="F483" s="49">
        <f>TRUNC(((1+VLOOKUP(A483,IPCA!$A$2:$C$140,3,0)))^(C483/(EDATE(D483-C483,1)-(D483-C483))),8)</f>
        <v/>
      </c>
      <c r="G483" s="49">
        <f>TRUNC((E483*F483),8)</f>
        <v/>
      </c>
      <c r="H483" s="49">
        <f>ROUND(((1+$H$4)^(30/360))^(C483/(EDATE(D483-B483,1)-(D483-B483))),9)</f>
        <v/>
      </c>
      <c r="I483" s="49">
        <f>TRUNC((G483*H483-G483),8)</f>
        <v/>
      </c>
      <c r="J483" s="49">
        <f>G483+I483</f>
        <v/>
      </c>
      <c r="K483" s="256" t="n"/>
      <c r="L483" s="256" t="n"/>
      <c r="M483" s="256" t="n"/>
      <c r="N483" s="256" t="n"/>
      <c r="O483" s="256" t="n"/>
      <c r="P483" s="256" t="n"/>
      <c r="Q483" s="256" t="n"/>
    </row>
    <row r="484">
      <c r="A484">
        <f>IF(DAY(D484)=DAY($L$1+1),A483+1,A483)</f>
        <v/>
      </c>
      <c r="B484" s="46">
        <f>IF(DAY(D484)=DAY($L$1+1),1,B483+1)</f>
        <v/>
      </c>
      <c r="C484" s="46">
        <f>IF(DAY(D484)=DAY($L$1+1),1,C483+1)</f>
        <v/>
      </c>
      <c r="D484" s="2">
        <f>D483+1</f>
        <v/>
      </c>
      <c r="E484" s="8">
        <f>IF(DAY(D484)=DAY($L$1+1),TRUNC((#REF!),8),E483)</f>
        <v/>
      </c>
      <c r="F484" s="49">
        <f>TRUNC(((1+VLOOKUP(A484,IPCA!$A$2:$C$140,3,0)))^(C484/(EDATE(D484-C484,1)-(D484-C484))),8)</f>
        <v/>
      </c>
      <c r="G484" s="49">
        <f>TRUNC((E484*F484),8)</f>
        <v/>
      </c>
      <c r="H484" s="49">
        <f>ROUND(((1+$H$4)^(30/360))^(C484/(EDATE(D484-B484,1)-(D484-B484))),9)</f>
        <v/>
      </c>
      <c r="I484" s="49">
        <f>TRUNC((G484*H484-G484),8)</f>
        <v/>
      </c>
      <c r="J484" s="49">
        <f>G484+I484</f>
        <v/>
      </c>
      <c r="K484" s="256" t="n"/>
      <c r="L484" s="256" t="n"/>
      <c r="M484" s="256" t="n"/>
      <c r="N484" s="256" t="n"/>
      <c r="O484" s="256" t="n"/>
      <c r="P484" s="256" t="n"/>
      <c r="Q484" s="256" t="n"/>
    </row>
    <row r="485">
      <c r="A485">
        <f>IF(DAY(D485)=DAY($L$1+1),A484+1,A484)</f>
        <v/>
      </c>
      <c r="B485" s="46">
        <f>IF(DAY(D485)=DAY($L$1+1),1,B484+1)</f>
        <v/>
      </c>
      <c r="C485" s="46">
        <f>IF(DAY(D485)=DAY($L$1+1),1,C484+1)</f>
        <v/>
      </c>
      <c r="D485" s="2">
        <f>D484+1</f>
        <v/>
      </c>
      <c r="E485" s="8">
        <f>IF(DAY(D485)=DAY($L$1+1),TRUNC((#REF!),8),E484)</f>
        <v/>
      </c>
      <c r="F485" s="49">
        <f>TRUNC(((1+VLOOKUP(A485,IPCA!$A$2:$C$140,3,0)))^(C485/(EDATE(D485-C485,1)-(D485-C485))),8)</f>
        <v/>
      </c>
      <c r="G485" s="49">
        <f>TRUNC((E485*F485),8)</f>
        <v/>
      </c>
      <c r="H485" s="49">
        <f>ROUND(((1+$H$4)^(30/360))^(C485/(EDATE(D485-B485,1)-(D485-B485))),9)</f>
        <v/>
      </c>
      <c r="I485" s="49">
        <f>TRUNC((G485*H485-G485),8)</f>
        <v/>
      </c>
      <c r="J485" s="49">
        <f>G485+I485</f>
        <v/>
      </c>
      <c r="K485" s="256" t="n"/>
      <c r="L485" s="256" t="n"/>
      <c r="M485" s="256" t="n"/>
      <c r="N485" s="256" t="n"/>
      <c r="O485" s="256" t="n"/>
      <c r="P485" s="256" t="n"/>
      <c r="Q485" s="256" t="n"/>
    </row>
    <row r="486">
      <c r="A486">
        <f>IF(DAY(D486)=DAY($L$1+1),A485+1,A485)</f>
        <v/>
      </c>
      <c r="B486" s="46">
        <f>IF(DAY(D486)=DAY($L$1+1),1,B485+1)</f>
        <v/>
      </c>
      <c r="C486" s="46">
        <f>IF(DAY(D486)=DAY($L$1+1),1,C485+1)</f>
        <v/>
      </c>
      <c r="D486" s="2">
        <f>D485+1</f>
        <v/>
      </c>
      <c r="E486" s="8">
        <f>IF(DAY(D486)=DAY($L$1+1),TRUNC((#REF!),8),E485)</f>
        <v/>
      </c>
      <c r="F486" s="49">
        <f>TRUNC(((1+VLOOKUP(A486,IPCA!$A$2:$C$140,3,0)))^(C486/(EDATE(D486-C486,1)-(D486-C486))),8)</f>
        <v/>
      </c>
      <c r="G486" s="49">
        <f>TRUNC((E486*F486),8)</f>
        <v/>
      </c>
      <c r="H486" s="49">
        <f>ROUND(((1+$H$4)^(30/360))^(C486/(EDATE(D486-B486,1)-(D486-B486))),9)</f>
        <v/>
      </c>
      <c r="I486" s="49">
        <f>TRUNC((G486*H486-G486),8)</f>
        <v/>
      </c>
      <c r="J486" s="49">
        <f>G486+I486</f>
        <v/>
      </c>
      <c r="K486" s="256" t="n"/>
      <c r="L486" s="256" t="n"/>
      <c r="M486" s="256" t="n"/>
      <c r="N486" s="256" t="n"/>
      <c r="O486" s="256" t="n"/>
      <c r="P486" s="256" t="n"/>
      <c r="Q486" s="256" t="n"/>
    </row>
    <row r="487">
      <c r="A487">
        <f>IF(DAY(D487)=DAY($L$1+1),A486+1,A486)</f>
        <v/>
      </c>
      <c r="B487" s="46">
        <f>IF(DAY(D487)=DAY($L$1+1),1,B486+1)</f>
        <v/>
      </c>
      <c r="C487" s="46">
        <f>IF(DAY(D487)=DAY($L$1+1),1,C486+1)</f>
        <v/>
      </c>
      <c r="D487" s="2">
        <f>D486+1</f>
        <v/>
      </c>
      <c r="E487" s="8">
        <f>IF(DAY(D487)=DAY($L$1+1),TRUNC((N486),8),E486)</f>
        <v/>
      </c>
      <c r="F487" s="49">
        <f>TRUNC(((1+VLOOKUP(A487,IPCA!$A$2:$C$140,3,0)))^(C487/(EDATE(D487-C487,1)-(D487-C487))),8)</f>
        <v/>
      </c>
      <c r="G487" s="49">
        <f>TRUNC((E487*F487),8)</f>
        <v/>
      </c>
      <c r="H487" s="49">
        <f>ROUND(((1+$H$4)^(30/360))^(C487/(EDATE(D487-B487,1)-(D487-B487))),9)</f>
        <v/>
      </c>
      <c r="I487" s="49">
        <f>TRUNC((G487*H487-G487),8)</f>
        <v/>
      </c>
      <c r="J487" s="49">
        <f>G487+I487</f>
        <v/>
      </c>
      <c r="K487" s="256" t="n"/>
      <c r="L487" s="256" t="n"/>
      <c r="M487" s="256" t="n"/>
      <c r="N487" s="256" t="n"/>
      <c r="O487" s="256" t="n"/>
      <c r="P487" s="256" t="n"/>
      <c r="Q487" s="256" t="n"/>
    </row>
    <row r="488">
      <c r="A488">
        <f>IF(DAY(D488)=DAY($L$1+1),A487+1,A487)</f>
        <v/>
      </c>
      <c r="B488" s="46">
        <f>IF(DAY(D488)=DAY($L$1+1),1,B487+1)</f>
        <v/>
      </c>
      <c r="C488" s="46">
        <f>IF(DAY(D488)=DAY($L$1+1),1,C487+1)</f>
        <v/>
      </c>
      <c r="D488" s="2">
        <f>D487+1</f>
        <v/>
      </c>
      <c r="E488" s="8">
        <f>IF(DAY(D488)=DAY($L$1+1),TRUNC((N487),8),E487)</f>
        <v/>
      </c>
      <c r="F488" s="49">
        <f>TRUNC(((1+VLOOKUP(A488,IPCA!$A$2:$C$140,3,0)))^(C488/(EDATE(D488-C488,1)-(D488-C488))),8)</f>
        <v/>
      </c>
      <c r="G488" s="49">
        <f>TRUNC((E488*F488),8)</f>
        <v/>
      </c>
      <c r="H488" s="49">
        <f>ROUND(((1+$H$4)^(30/360))^(C488/(EDATE(D488-B488,1)-(D488-B488))),9)</f>
        <v/>
      </c>
      <c r="I488" s="49">
        <f>TRUNC((G488*H488-G488),8)</f>
        <v/>
      </c>
      <c r="J488" s="49">
        <f>G488+I488</f>
        <v/>
      </c>
      <c r="K488" s="256" t="n"/>
      <c r="L488" s="256" t="n"/>
      <c r="M488" s="256" t="n"/>
      <c r="N488" s="256" t="n"/>
      <c r="O488" s="256" t="n"/>
      <c r="P488" s="256" t="n"/>
      <c r="Q488" s="256" t="n"/>
    </row>
    <row r="489">
      <c r="A489">
        <f>IF(DAY(D489)=DAY($L$1+1),A488+1,A488)</f>
        <v/>
      </c>
      <c r="B489" s="46">
        <f>IF(DAY(D489)=DAY($L$1+1),1,B488+1)</f>
        <v/>
      </c>
      <c r="C489" s="46">
        <f>IF(DAY(D489)=DAY($L$1+1),1,C488+1)</f>
        <v/>
      </c>
      <c r="D489" s="2">
        <f>D488+1</f>
        <v/>
      </c>
      <c r="E489" s="8">
        <f>IF(DAY(D489)=DAY($L$1+1),TRUNC((N488),8),E488)</f>
        <v/>
      </c>
      <c r="F489" s="49">
        <f>TRUNC(((1+VLOOKUP(A489,IPCA!$A$2:$C$140,3,0)))^(C489/(EDATE(D489-C489,1)-(D489-C489))),8)</f>
        <v/>
      </c>
      <c r="G489" s="49">
        <f>TRUNC((E489*F489),8)</f>
        <v/>
      </c>
      <c r="H489" s="49">
        <f>ROUND(((1+$H$4)^(30/360))^(C489/(EDATE(D489-B489,1)-(D489-B489))),9)</f>
        <v/>
      </c>
      <c r="I489" s="49">
        <f>TRUNC((G489*H489-G489),8)</f>
        <v/>
      </c>
      <c r="J489" s="49">
        <f>G489+I489</f>
        <v/>
      </c>
      <c r="K489" s="256" t="n"/>
      <c r="L489" s="256" t="n"/>
      <c r="M489" s="256" t="n"/>
      <c r="N489" s="256" t="n"/>
      <c r="O489" s="256" t="n"/>
      <c r="P489" s="256" t="n"/>
      <c r="Q489" s="256" t="n"/>
    </row>
    <row r="490">
      <c r="A490">
        <f>IF(DAY(D490)=DAY($L$1+1),A489+1,A489)</f>
        <v/>
      </c>
      <c r="B490" s="46">
        <f>IF(DAY(D490)=DAY($L$1+1),1,B489+1)</f>
        <v/>
      </c>
      <c r="C490" s="46">
        <f>IF(DAY(D490)=DAY($L$1+1),1,C489+1)</f>
        <v/>
      </c>
      <c r="D490" s="2">
        <f>D489+1</f>
        <v/>
      </c>
      <c r="E490" s="8">
        <f>IF(DAY(D490)=DAY($L$1+1),TRUNC((N489),8),E489)</f>
        <v/>
      </c>
      <c r="F490" s="49">
        <f>TRUNC(((1+VLOOKUP(A490,IPCA!$A$2:$C$140,3,0)))^(C490/(EDATE(D490-C490,1)-(D490-C490))),8)</f>
        <v/>
      </c>
      <c r="G490" s="49">
        <f>TRUNC((E490*F490),8)</f>
        <v/>
      </c>
      <c r="H490" s="49">
        <f>ROUND(((1+$H$4)^(30/360))^(C490/(EDATE(D490-B490,1)-(D490-B490))),9)</f>
        <v/>
      </c>
      <c r="I490" s="49">
        <f>TRUNC((G490*H490-G490),8)</f>
        <v/>
      </c>
      <c r="J490" s="49">
        <f>G490+I490</f>
        <v/>
      </c>
      <c r="K490" s="256" t="n"/>
      <c r="L490" s="256" t="n"/>
      <c r="M490" s="256" t="n"/>
      <c r="N490" s="256" t="n"/>
      <c r="O490" s="256" t="n"/>
      <c r="P490" s="256" t="n"/>
      <c r="Q490" s="256" t="n"/>
    </row>
    <row r="491">
      <c r="A491">
        <f>IF(DAY(D491)=DAY($L$1+1),A490+1,A490)</f>
        <v/>
      </c>
      <c r="B491" s="46">
        <f>IF(DAY(D491)=DAY($L$1+1),1,B490+1)</f>
        <v/>
      </c>
      <c r="C491" s="46">
        <f>IF(DAY(D491)=DAY($L$1+1),1,C490+1)</f>
        <v/>
      </c>
      <c r="D491" s="2">
        <f>D490+1</f>
        <v/>
      </c>
      <c r="E491" s="8">
        <f>IF(DAY(D491)=DAY($L$1+1),TRUNC((N490),8),E490)</f>
        <v/>
      </c>
      <c r="F491" s="49">
        <f>TRUNC(((1+VLOOKUP(A491,IPCA!$A$2:$C$140,3,0)))^(C491/(EDATE(D491-C491,1)-(D491-C491))),8)</f>
        <v/>
      </c>
      <c r="G491" s="49">
        <f>TRUNC((E491*F491),8)</f>
        <v/>
      </c>
      <c r="H491" s="49">
        <f>ROUND(((1+$H$4)^(30/360))^(C491/(EDATE(D491-B491,1)-(D491-B491))),9)</f>
        <v/>
      </c>
      <c r="I491" s="49">
        <f>TRUNC((G491*H491-G491),8)</f>
        <v/>
      </c>
      <c r="J491" s="49">
        <f>G491+I491</f>
        <v/>
      </c>
      <c r="K491" s="256" t="n"/>
      <c r="L491" s="256" t="n"/>
      <c r="M491" s="256" t="n"/>
      <c r="N491" s="256" t="n"/>
      <c r="O491" s="256" t="n"/>
      <c r="P491" s="256" t="n"/>
      <c r="Q491" s="256" t="n"/>
    </row>
    <row r="492">
      <c r="A492">
        <f>IF(DAY(D492)=DAY($L$1+1),A491+1,A491)</f>
        <v/>
      </c>
      <c r="B492" s="46">
        <f>IF(DAY(D492)=DAY($L$1+1),1,B491+1)</f>
        <v/>
      </c>
      <c r="C492" s="46">
        <f>IF(DAY(D492)=DAY($L$1+1),1,C491+1)</f>
        <v/>
      </c>
      <c r="D492" s="2">
        <f>D491+1</f>
        <v/>
      </c>
      <c r="E492" s="8">
        <f>IF(DAY(D492)=DAY($L$1+1),TRUNC((N491),8),E491)</f>
        <v/>
      </c>
      <c r="F492" s="49">
        <f>TRUNC(((1+VLOOKUP(A492,IPCA!$A$2:$C$140,3,0)))^(C492/(EDATE(D492-C492,1)-(D492-C492))),8)</f>
        <v/>
      </c>
      <c r="G492" s="49">
        <f>TRUNC((E492*F492),8)</f>
        <v/>
      </c>
      <c r="H492" s="49">
        <f>ROUND(((1+$H$4)^(30/360))^(C492/(EDATE(D492-B492,1)-(D492-B492))),9)</f>
        <v/>
      </c>
      <c r="I492" s="49">
        <f>TRUNC((G492*H492-G492),8)</f>
        <v/>
      </c>
      <c r="J492" s="49">
        <f>G492+I492</f>
        <v/>
      </c>
      <c r="K492" s="123" t="n"/>
      <c r="L492" s="271" t="n"/>
      <c r="M492" s="256" t="n"/>
      <c r="N492" s="256" t="n"/>
      <c r="O492" s="256" t="n"/>
      <c r="P492" s="256" t="n"/>
      <c r="Q492" s="256" t="n"/>
    </row>
    <row r="493">
      <c r="A493">
        <f>IF(DAY(D493)=DAY($L$1+1),A492+1,A492)</f>
        <v/>
      </c>
      <c r="B493" s="46">
        <f>IF(DAY(D493)=DAY($L$1+1),1,B492+1)</f>
        <v/>
      </c>
      <c r="C493" s="46">
        <f>IF(DAY(D493)=DAY($L$1+1),1,C492+1)</f>
        <v/>
      </c>
      <c r="D493" s="2">
        <f>D492+1</f>
        <v/>
      </c>
      <c r="E493" s="8">
        <f>IF(DAY(D493)=DAY($L$1+1),TRUNC((N492),8),E492)</f>
        <v/>
      </c>
      <c r="F493" s="49">
        <f>TRUNC(((1+VLOOKUP(A493,IPCA!$A$2:$C$140,3,0)))^(C493/(EDATE(D493-C493,1)-(D493-C493))),8)</f>
        <v/>
      </c>
      <c r="G493" s="49">
        <f>TRUNC((E493*F493),8)</f>
        <v/>
      </c>
      <c r="H493" s="49">
        <f>ROUND(((1+$H$4)^(30/360))^(C493/(EDATE(D493-B493,1)-(D493-B493))),9)</f>
        <v/>
      </c>
      <c r="I493" s="49">
        <f>TRUNC((G493*H493-G493),8)</f>
        <v/>
      </c>
      <c r="J493" s="49">
        <f>G493+I493</f>
        <v/>
      </c>
      <c r="K493" s="256" t="n"/>
      <c r="L493" s="256" t="n"/>
      <c r="M493" s="256" t="n"/>
      <c r="N493" s="256" t="n"/>
      <c r="O493" s="256" t="n"/>
      <c r="P493" s="256" t="n"/>
      <c r="Q493" s="256" t="n"/>
    </row>
    <row r="494">
      <c r="A494">
        <f>IF(DAY(D494)=DAY($L$1+1),A493+1,A493)</f>
        <v/>
      </c>
      <c r="B494" s="46">
        <f>IF(DAY(D494)=DAY($L$1+1),1,B493+1)</f>
        <v/>
      </c>
      <c r="C494" s="46">
        <f>IF(DAY(D494)=DAY($L$1+1),1,C493+1)</f>
        <v/>
      </c>
      <c r="D494" s="2">
        <f>D493+1</f>
        <v/>
      </c>
      <c r="E494" s="8">
        <f>IF(DAY(D494)=DAY($L$1+1),TRUNC((N493),8),E493)</f>
        <v/>
      </c>
      <c r="F494" s="49">
        <f>TRUNC(((1+VLOOKUP(A494,IPCA!$A$2:$C$140,3,0)))^(C494/(EDATE(D494-C494,1)-(D494-C494))),8)</f>
        <v/>
      </c>
      <c r="G494" s="49">
        <f>TRUNC((E494*F494),8)</f>
        <v/>
      </c>
      <c r="H494" s="49">
        <f>ROUND(((1+$H$4)^(30/360))^(C494/(EDATE(D494-B494,1)-(D494-B494))),9)</f>
        <v/>
      </c>
      <c r="I494" s="49">
        <f>TRUNC((G494*H494-G494),8)</f>
        <v/>
      </c>
      <c r="J494" s="49">
        <f>G494+I494</f>
        <v/>
      </c>
      <c r="K494" s="256" t="n"/>
      <c r="L494" s="256" t="n"/>
      <c r="M494" s="256" t="n"/>
      <c r="N494" s="256" t="n"/>
      <c r="O494" s="256" t="n"/>
      <c r="P494" s="256" t="n"/>
      <c r="Q494" s="256" t="n"/>
    </row>
    <row r="495">
      <c r="A495">
        <f>IF(DAY(D495)=DAY($L$1+1),A494+1,A494)</f>
        <v/>
      </c>
      <c r="B495" s="46">
        <f>IF(DAY(D495)=DAY($L$1+1),1,B494+1)</f>
        <v/>
      </c>
      <c r="C495" s="46">
        <f>IF(DAY(D495)=DAY($L$1+1),1,C494+1)</f>
        <v/>
      </c>
      <c r="D495" s="2">
        <f>D494+1</f>
        <v/>
      </c>
      <c r="E495" s="8">
        <f>IF(DAY(D495)=DAY($L$1+1),TRUNC((N494),8),E494)</f>
        <v/>
      </c>
      <c r="F495" s="49">
        <f>TRUNC(((1+VLOOKUP(A495,IPCA!$A$2:$C$140,3,0)))^(C495/(EDATE(D495-C495,1)-(D495-C495))),8)</f>
        <v/>
      </c>
      <c r="G495" s="49">
        <f>TRUNC((E495*F495),8)</f>
        <v/>
      </c>
      <c r="H495" s="49">
        <f>ROUND(((1+$H$4)^(30/360))^(C495/(EDATE(D495-B495,1)-(D495-B495))),9)</f>
        <v/>
      </c>
      <c r="I495" s="49">
        <f>TRUNC((G495*H495-G495),8)</f>
        <v/>
      </c>
      <c r="J495" s="49">
        <f>G495+I495</f>
        <v/>
      </c>
      <c r="K495" s="256" t="n"/>
      <c r="L495" s="256" t="n"/>
      <c r="M495" s="256" t="n"/>
      <c r="N495" s="256" t="n"/>
      <c r="O495" s="256" t="n"/>
      <c r="P495" s="256" t="n"/>
      <c r="Q495" s="256" t="n"/>
    </row>
    <row r="496">
      <c r="A496">
        <f>IF(DAY(D496)=DAY($L$1+1),A495+1,A495)</f>
        <v/>
      </c>
      <c r="B496" s="46">
        <f>IF(DAY(D496)=DAY($L$1+1),1,B495+1)</f>
        <v/>
      </c>
      <c r="C496" s="46">
        <f>IF(DAY(D496)=DAY($L$1+1),1,C495+1)</f>
        <v/>
      </c>
      <c r="D496" s="2">
        <f>D495+1</f>
        <v/>
      </c>
      <c r="E496" s="8">
        <f>IF(DAY(D496)=DAY($L$1+1),TRUNC((N495),8),E495)</f>
        <v/>
      </c>
      <c r="F496" s="49">
        <f>TRUNC(((1+VLOOKUP(A496,IPCA!$A$2:$C$140,3,0)))^(C496/(EDATE(D496-C496,1)-(D496-C496))),8)</f>
        <v/>
      </c>
      <c r="G496" s="49">
        <f>TRUNC((E496*F496),8)</f>
        <v/>
      </c>
      <c r="H496" s="49">
        <f>ROUND(((1+$H$4)^(30/360))^(C496/(EDATE(D496-B496,1)-(D496-B496))),9)</f>
        <v/>
      </c>
      <c r="I496" s="49">
        <f>TRUNC((G496*H496-G496),8)</f>
        <v/>
      </c>
      <c r="J496" s="49">
        <f>G496+I496</f>
        <v/>
      </c>
      <c r="K496" s="256" t="n"/>
      <c r="L496" s="256" t="n"/>
      <c r="M496" s="256" t="n"/>
      <c r="N496" s="256" t="n"/>
      <c r="O496" s="256" t="n"/>
      <c r="P496" s="256" t="n"/>
      <c r="Q496" s="256" t="n"/>
    </row>
    <row r="497">
      <c r="A497">
        <f>IF(DAY(D497)=DAY($L$1+1),A496+1,A496)</f>
        <v/>
      </c>
      <c r="B497" s="46">
        <f>IF(DAY(D497)=DAY($L$1+1),1,B496+1)</f>
        <v/>
      </c>
      <c r="C497" s="46">
        <f>IF(DAY(D497)=DAY($L$1+1),1,C496+1)</f>
        <v/>
      </c>
      <c r="D497" s="2">
        <f>D496+1</f>
        <v/>
      </c>
      <c r="E497" s="8">
        <f>IF(DAY(D497)=DAY($L$1+1),TRUNC((N496),8),E496)</f>
        <v/>
      </c>
      <c r="F497" s="49">
        <f>TRUNC(((1+VLOOKUP(A497,IPCA!$A$2:$C$140,3,0)))^(C497/(EDATE(D497-C497,1)-(D497-C497))),8)</f>
        <v/>
      </c>
      <c r="G497" s="49">
        <f>TRUNC((E497*F497),8)</f>
        <v/>
      </c>
      <c r="H497" s="49">
        <f>ROUND(((1+$H$4)^(30/360))^(C497/(EDATE(D497-B497,1)-(D497-B497))),9)</f>
        <v/>
      </c>
      <c r="I497" s="49">
        <f>TRUNC((G497*H497-G497),8)</f>
        <v/>
      </c>
      <c r="J497" s="49">
        <f>G497+I497</f>
        <v/>
      </c>
      <c r="K497" s="256" t="n"/>
      <c r="L497" s="256" t="n"/>
      <c r="M497" s="256" t="n"/>
      <c r="N497" s="256" t="n"/>
      <c r="O497" s="256" t="n"/>
      <c r="P497" s="256" t="n"/>
      <c r="Q497" s="256" t="n"/>
    </row>
    <row r="498">
      <c r="A498">
        <f>IF(DAY(D498)=DAY($L$1+1),A497+1,A497)</f>
        <v/>
      </c>
      <c r="B498" s="221">
        <f>IF(DAY(D498)=DAY($L$1+1),1,B497+1)</f>
        <v/>
      </c>
      <c r="C498" s="221">
        <f>IF(DAY(D498)=DAY($L$1+1),1,C497+1)</f>
        <v/>
      </c>
      <c r="D498" s="222">
        <f>D497+1</f>
        <v/>
      </c>
      <c r="E498" s="223">
        <f>IF(DAY(D498)=DAY($L$1+1),TRUNC((N497),8),E497)</f>
        <v/>
      </c>
      <c r="F498" s="224">
        <f>TRUNC(((1+VLOOKUP(A498,IPCA!$A$2:$C$140,3,0)))^(C498/(EDATE(D498-C498,1)-(D498-C498))),8)</f>
        <v/>
      </c>
      <c r="G498" s="224">
        <f>TRUNC((E498*F498),8)</f>
        <v/>
      </c>
      <c r="H498" s="224">
        <f>ROUND(((1+$H$4)^(30/360))^(C498/(EDATE(D498-B498,1)-(D498-B498))),9)</f>
        <v/>
      </c>
      <c r="I498" s="224">
        <f>TRUNC((G498*H498-G498),8)</f>
        <v/>
      </c>
      <c r="J498" s="224">
        <f>G498+I498</f>
        <v/>
      </c>
      <c r="K498" s="225" t="n">
        <v>2536896</v>
      </c>
      <c r="L498" s="256" t="n"/>
      <c r="M498" s="256" t="n"/>
      <c r="N498" s="256" t="n"/>
      <c r="O498" s="256" t="n"/>
      <c r="P498" s="256" t="n"/>
      <c r="Q498" s="256" t="n"/>
    </row>
    <row r="499">
      <c r="A499">
        <f>IF(DAY(D499)=DAY($L$1+1),A498+1,A498)</f>
        <v/>
      </c>
      <c r="B499" s="46">
        <f>IF(DAY(D499)=DAY($L$1+1),1,B498+1)</f>
        <v/>
      </c>
      <c r="C499" s="46">
        <f>IF(DAY(D499)=DAY($L$1+1),1,C498+1)</f>
        <v/>
      </c>
      <c r="D499" s="2">
        <f>D498+1</f>
        <v/>
      </c>
      <c r="E499" s="8">
        <f>IF(DAY(D499)=DAY($L$1+1),TRUNC((N498),8),E498)</f>
        <v/>
      </c>
      <c r="F499" s="49">
        <f>TRUNC(((1+VLOOKUP(A499,IPCA!$A$2:$C$140,3,0)))^(C499/(EDATE(D499-C499,1)-(D499-C499))),8)</f>
        <v/>
      </c>
      <c r="G499" s="49">
        <f>TRUNC((E499*F499),8)</f>
        <v/>
      </c>
      <c r="H499" s="49">
        <f>ROUND(((1+$H$4)^(30/360))^(C499/(EDATE(D499-B499,1)-(D499-B499))),9)</f>
        <v/>
      </c>
      <c r="I499" s="49">
        <f>TRUNC((G499*H499-G499),8)</f>
        <v/>
      </c>
      <c r="J499" s="49">
        <f>G499+I499</f>
        <v/>
      </c>
      <c r="K499" s="256" t="n"/>
      <c r="L499" s="256" t="n"/>
      <c r="M499" s="256" t="n"/>
      <c r="N499" s="256" t="n"/>
      <c r="O499" s="256" t="n"/>
      <c r="P499" s="256" t="n"/>
      <c r="Q499" s="256" t="n"/>
    </row>
    <row r="500">
      <c r="A500">
        <f>IF(DAY(D500)=DAY($L$1+1),A499+1,A499)</f>
        <v/>
      </c>
      <c r="B500" s="46">
        <f>IF(DAY(D500)=DAY($L$1+1),1,B499+1)</f>
        <v/>
      </c>
      <c r="C500" s="46">
        <f>IF(DAY(D500)=DAY($L$1+1),1,C499+1)</f>
        <v/>
      </c>
      <c r="D500" s="2">
        <f>D499+1</f>
        <v/>
      </c>
      <c r="E500" s="8">
        <f>IF(DAY(D500)=DAY($L$1+1),TRUNC((N499),8),E499)</f>
        <v/>
      </c>
      <c r="F500" s="49">
        <f>TRUNC(((1+VLOOKUP(A500,IPCA!$A$2:$C$140,3,0)))^(C500/(EDATE(D500-C500,1)-(D500-C500))),8)</f>
        <v/>
      </c>
      <c r="G500" s="49">
        <f>TRUNC((E500*F500),8)</f>
        <v/>
      </c>
      <c r="H500" s="49">
        <f>ROUND(((1+$H$4)^(30/360))^(C500/(EDATE(D500-B500,1)-(D500-B500))),9)</f>
        <v/>
      </c>
      <c r="I500" s="49">
        <f>TRUNC((G500*H500-G500),8)</f>
        <v/>
      </c>
      <c r="J500" s="49">
        <f>G500+I500</f>
        <v/>
      </c>
      <c r="K500" s="256" t="n"/>
      <c r="L500" s="256" t="n"/>
      <c r="M500" s="256" t="n"/>
      <c r="N500" s="256" t="n"/>
      <c r="O500" s="256" t="n"/>
      <c r="P500" s="256" t="n"/>
      <c r="Q500" s="256" t="n"/>
    </row>
    <row r="501">
      <c r="A501">
        <f>IF(DAY(D501)=DAY($L$1+1),A500+1,A500)</f>
        <v/>
      </c>
      <c r="B501" s="46">
        <f>IF(DAY(D501)=DAY($L$1+1),1,B500+1)</f>
        <v/>
      </c>
      <c r="C501" s="46">
        <f>IF(DAY(D501)=DAY($L$1+1),1,C500+1)</f>
        <v/>
      </c>
      <c r="D501" s="2">
        <f>D500+1</f>
        <v/>
      </c>
      <c r="E501" s="8">
        <f>IF(DAY(D501)=DAY($L$1+1),TRUNC((N500),8),E500)</f>
        <v/>
      </c>
      <c r="F501" s="49">
        <f>TRUNC(((1+VLOOKUP(A501,IPCA!$A$2:$C$140,3,0)))^(C501/(EDATE(D501-C501,1)-(D501-C501))),8)</f>
        <v/>
      </c>
      <c r="G501" s="49">
        <f>TRUNC((E501*F501),8)</f>
        <v/>
      </c>
      <c r="H501" s="49">
        <f>ROUND(((1+$H$4)^(30/360))^(C501/(EDATE(D501-B501,1)-(D501-B501))),9)</f>
        <v/>
      </c>
      <c r="I501" s="49">
        <f>TRUNC((G501*H501-G501),8)</f>
        <v/>
      </c>
      <c r="J501" s="49">
        <f>G501+I501</f>
        <v/>
      </c>
      <c r="K501" s="256" t="n"/>
      <c r="L501" s="256" t="n"/>
      <c r="M501" s="256" t="n"/>
      <c r="N501" s="256" t="n"/>
      <c r="O501" s="256" t="n"/>
      <c r="P501" s="256" t="n"/>
      <c r="Q501" s="256" t="n"/>
    </row>
    <row r="502">
      <c r="A502">
        <f>IF(DAY(D502)=DAY($L$1+1),A501+1,A501)</f>
        <v/>
      </c>
      <c r="B502" s="46">
        <f>IF(DAY(D502)=DAY($L$1+1),1,B501+1)</f>
        <v/>
      </c>
      <c r="C502" s="46">
        <f>IF(DAY(D502)=DAY($L$1+1),1,C501+1)</f>
        <v/>
      </c>
      <c r="D502" s="2">
        <f>D501+1</f>
        <v/>
      </c>
      <c r="E502" s="8">
        <f>IF(DAY(D502)=DAY($L$1+1),TRUNC((N501),8),E501)</f>
        <v/>
      </c>
      <c r="F502" s="49">
        <f>TRUNC(((1+VLOOKUP(A502,IPCA!$A$2:$C$140,3,0)))^(C502/(EDATE(D502-C502,1)-(D502-C502))),8)</f>
        <v/>
      </c>
      <c r="G502" s="49">
        <f>TRUNC((E502*F502),8)</f>
        <v/>
      </c>
      <c r="H502" s="49">
        <f>ROUND(((1+$H$4)^(30/360))^(C502/(EDATE(D502-B502,1)-(D502-B502))),9)</f>
        <v/>
      </c>
      <c r="I502" s="49">
        <f>TRUNC((G502*H502-G502),8)</f>
        <v/>
      </c>
      <c r="J502" s="49">
        <f>G502+I502</f>
        <v/>
      </c>
      <c r="K502" s="256" t="n"/>
      <c r="L502" s="256" t="n"/>
      <c r="M502" s="256" t="n"/>
      <c r="N502" s="256" t="n"/>
      <c r="O502" s="256" t="n"/>
      <c r="P502" s="256" t="n"/>
      <c r="Q502" s="256" t="n"/>
    </row>
    <row r="503">
      <c r="A503">
        <f>IF(DAY(D503)=DAY($L$1+1),A502+1,A502)</f>
        <v/>
      </c>
      <c r="B503" s="46">
        <f>IF(DAY(D503)=DAY($L$1+1),1,B502+1)</f>
        <v/>
      </c>
      <c r="C503" s="46">
        <f>IF(DAY(D503)=DAY($L$1+1),1,C502+1)</f>
        <v/>
      </c>
      <c r="D503" s="2">
        <f>D502+1</f>
        <v/>
      </c>
      <c r="E503" s="8">
        <f>IF(DAY(D503)=DAY($L$1+1),TRUNC((N502),8),E502)</f>
        <v/>
      </c>
      <c r="F503" s="49">
        <f>TRUNC(((1+VLOOKUP(A503,IPCA!$A$2:$C$140,3,0)))^(C503/(EDATE(D503-C503,1)-(D503-C503))),8)</f>
        <v/>
      </c>
      <c r="G503" s="49">
        <f>TRUNC((E503*F503),8)</f>
        <v/>
      </c>
      <c r="H503" s="49">
        <f>ROUND(((1+$H$4)^(30/360))^(C503/(EDATE(D503-B503,1)-(D503-B503))),9)</f>
        <v/>
      </c>
      <c r="I503" s="49">
        <f>TRUNC((G503*H503-G503),8)</f>
        <v/>
      </c>
      <c r="J503" s="49">
        <f>G503+I503</f>
        <v/>
      </c>
      <c r="K503" s="256" t="n"/>
      <c r="L503" s="256" t="n"/>
      <c r="M503" s="256" t="n"/>
      <c r="N503" s="256" t="n"/>
      <c r="O503" s="256" t="n"/>
      <c r="P503" s="256" t="n"/>
      <c r="Q503" s="256" t="n"/>
    </row>
    <row r="504">
      <c r="A504">
        <f>IF(DAY(D504)=DAY($L$1+1),A503+1,A503)</f>
        <v/>
      </c>
      <c r="B504" s="46">
        <f>IF(DAY(D504)=DAY($L$1+1),1,B503+1)</f>
        <v/>
      </c>
      <c r="C504" s="46">
        <f>IF(DAY(D504)=DAY($L$1+1),1,C503+1)</f>
        <v/>
      </c>
      <c r="D504" s="2">
        <f>D503+1</f>
        <v/>
      </c>
      <c r="E504" s="8">
        <f>IF(DAY(D504)=DAY($L$1+1),TRUNC((N503),8),E503)</f>
        <v/>
      </c>
      <c r="F504" s="49">
        <f>TRUNC(((1+VLOOKUP(A504,IPCA!$A$2:$C$140,3,0)))^(C504/(EDATE(D504-C504,1)-(D504-C504))),8)</f>
        <v/>
      </c>
      <c r="G504" s="49">
        <f>TRUNC((E504*F504),8)</f>
        <v/>
      </c>
      <c r="H504" s="49">
        <f>ROUND(((1+$H$4)^(30/360))^(C504/(EDATE(D504-B504,1)-(D504-B504))),9)</f>
        <v/>
      </c>
      <c r="I504" s="49">
        <f>TRUNC((G504*H504-G504),8)</f>
        <v/>
      </c>
      <c r="J504" s="49">
        <f>G504+I504</f>
        <v/>
      </c>
      <c r="K504" s="256" t="n"/>
      <c r="L504" s="256" t="n"/>
      <c r="M504" s="256" t="n"/>
      <c r="N504" s="256" t="n"/>
      <c r="O504" s="256" t="n"/>
      <c r="P504" s="256" t="n"/>
      <c r="Q504" s="256" t="n"/>
    </row>
    <row r="505">
      <c r="A505">
        <f>IF(DAY(D505)=DAY($L$1+1),A504+1,A504)</f>
        <v/>
      </c>
      <c r="B505" s="46">
        <f>IF(DAY(D505)=DAY($L$1+1),1,B504+1)</f>
        <v/>
      </c>
      <c r="C505" s="46">
        <f>IF(DAY(D505)=DAY($L$1+1),1,C504+1)</f>
        <v/>
      </c>
      <c r="D505" s="2">
        <f>D504+1</f>
        <v/>
      </c>
      <c r="E505" s="8">
        <f>IF(DAY(D505)=DAY($L$1+1),TRUNC((N504),8),E504)</f>
        <v/>
      </c>
      <c r="F505" s="49">
        <f>TRUNC(((1+VLOOKUP(A505,IPCA!$A$2:$C$140,3,0)))^(C505/(EDATE(D505-C505,1)-(D505-C505))),8)</f>
        <v/>
      </c>
      <c r="G505" s="49">
        <f>TRUNC((E505*F505),8)</f>
        <v/>
      </c>
      <c r="H505" s="49">
        <f>ROUND(((1+$H$4)^(30/360))^(C505/(EDATE(D505-B505,1)-(D505-B505))),9)</f>
        <v/>
      </c>
      <c r="I505" s="49">
        <f>TRUNC((G505*H505-G505),8)</f>
        <v/>
      </c>
      <c r="J505" s="49">
        <f>G505+I505</f>
        <v/>
      </c>
      <c r="K505" s="256" t="inlineStr">
        <is>
          <t>Cri Integralizado</t>
        </is>
      </c>
      <c r="L505" s="270">
        <f>L474+K498</f>
        <v/>
      </c>
      <c r="M505" s="256" t="n"/>
      <c r="N505" s="256" t="n"/>
      <c r="O505" s="256" t="n"/>
      <c r="P505" s="256" t="n"/>
      <c r="Q505" s="256" t="n"/>
    </row>
    <row r="506">
      <c r="A506">
        <f>IF(DAY(D506)=DAY($L$1+1),A505+1,A505)</f>
        <v/>
      </c>
      <c r="B506" s="46">
        <f>IF(DAY(D506)=DAY($L$1+1),1,B505+1)</f>
        <v/>
      </c>
      <c r="C506" s="46">
        <f>IF(DAY(D506)=DAY($L$1+1),1,C505+1)</f>
        <v/>
      </c>
      <c r="D506" s="47">
        <f>D505+1</f>
        <v/>
      </c>
      <c r="E506" s="8">
        <f>IF(DAY(D506)=DAY($L$1+1),TRUNC((N505),8),E505)</f>
        <v/>
      </c>
      <c r="F506" s="49">
        <f>TRUNC(((1+VLOOKUP(A506,IPCA!$A$2:$C$140,3,0)))^(C506/(EDATE(D506-C506,1)-(D506-C506))),8)</f>
        <v/>
      </c>
      <c r="G506" s="49">
        <f>TRUNC((E506*F506),8)</f>
        <v/>
      </c>
      <c r="H506" s="49">
        <f>ROUND(((1+$H$4)^(30/360))^(C506/(EDATE(D506-B506,1)-(D506-B506))),9)</f>
        <v/>
      </c>
      <c r="I506" s="49">
        <f>TRUNC((G506*H506-G506),8)</f>
        <v/>
      </c>
      <c r="J506" s="49">
        <f>G506+I506</f>
        <v/>
      </c>
      <c r="K506" s="118" t="inlineStr">
        <is>
          <t>JUROS</t>
        </is>
      </c>
      <c r="L506" s="118" t="inlineStr">
        <is>
          <t>AMORTIZAÇÃO</t>
        </is>
      </c>
      <c r="M506" s="118" t="inlineStr">
        <is>
          <t>AMEX</t>
        </is>
      </c>
      <c r="N506" s="118" t="inlineStr">
        <is>
          <t>RESIDUAL</t>
        </is>
      </c>
      <c r="O506" s="256" t="n"/>
      <c r="P506" s="256" t="n"/>
      <c r="Q506" s="256" t="n"/>
    </row>
    <row r="507">
      <c r="A507">
        <f>IF(DAY(D507)=DAY($L$1+1),A506+1,A506)</f>
        <v/>
      </c>
      <c r="B507" s="111">
        <f>IF(DAY(D507)=DAY($L$1+1),1,B506+1)</f>
        <v/>
      </c>
      <c r="C507" s="111">
        <f>IF(DAY(D507)=DAY($L$1+1),1,C506+1)</f>
        <v/>
      </c>
      <c r="D507" s="112">
        <f>D506+1</f>
        <v/>
      </c>
      <c r="E507" s="113">
        <f>IF(DAY(D507)=DAY($L$1+1),TRUNC((N506),8),E506)</f>
        <v/>
      </c>
      <c r="F507" s="114">
        <f>TRUNC(((1+VLOOKUP(A507,IPCA!$A$2:$C$140,3,0)))^(C507/(EDATE(D507-C507,1)-(D507-C507))),8)</f>
        <v/>
      </c>
      <c r="G507" s="114">
        <f>TRUNC((E507*F507),8)</f>
        <v/>
      </c>
      <c r="H507" s="114">
        <f>ROUND(((1+$H$4)^(30/360))^(C507/(EDATE(D507-B507,1)-(D507-B507))),9)</f>
        <v/>
      </c>
      <c r="I507" s="114">
        <f>TRUNC((G507*H507-G507),8)</f>
        <v/>
      </c>
      <c r="J507" s="114">
        <f>G507+I507</f>
        <v/>
      </c>
      <c r="K507" s="119" t="n">
        <v>0</v>
      </c>
      <c r="L507" s="120" t="n">
        <v>0</v>
      </c>
      <c r="M507" s="120" t="n">
        <v>0</v>
      </c>
      <c r="N507" s="120">
        <f>J507-K507-L507-M507</f>
        <v/>
      </c>
      <c r="O507" s="256" t="n"/>
      <c r="P507" s="256" t="n"/>
      <c r="Q507" s="256" t="n"/>
    </row>
    <row r="508">
      <c r="A508">
        <f>IF(DAY(D508)=DAY($L$1+1),A507+1,A507)</f>
        <v/>
      </c>
      <c r="B508" s="46">
        <f>IF(DAY(D508)=DAY($L$1+1),1,B507+1)</f>
        <v/>
      </c>
      <c r="C508" s="46">
        <f>IF(DAY(D508)=DAY($L$1+1),1,C507+1)</f>
        <v/>
      </c>
      <c r="D508" s="2">
        <f>D507+1</f>
        <v/>
      </c>
      <c r="E508" s="8">
        <f>IF(DAY(D508)=DAY($L$1+1),TRUNC((N507),8),E507)</f>
        <v/>
      </c>
      <c r="F508" s="49">
        <f>TRUNC(((1+VLOOKUP(A508,IPCA!$A$2:$C$140,3,0)))^(C508/(EDATE(D508-C508,1)-(D508-C508))),8)</f>
        <v/>
      </c>
      <c r="G508" s="49">
        <f>TRUNC((E508*F508),8)</f>
        <v/>
      </c>
      <c r="H508" s="49">
        <f>ROUND(((1+$H$4)^(30/360))^(C508/(EDATE(D508-B508,1)-(D508-B508))),9)</f>
        <v/>
      </c>
      <c r="I508" s="49">
        <f>TRUNC((G508*H508-G508),8)</f>
        <v/>
      </c>
      <c r="J508" s="49">
        <f>G508+I508</f>
        <v/>
      </c>
      <c r="K508" s="121">
        <f>K507*L505</f>
        <v/>
      </c>
      <c r="L508" s="121">
        <f>L507*L505</f>
        <v/>
      </c>
      <c r="M508" s="121">
        <f>M507*L505</f>
        <v/>
      </c>
      <c r="N508" s="121">
        <f>N507*L505</f>
        <v/>
      </c>
      <c r="O508" s="256" t="n"/>
      <c r="P508" s="256" t="n"/>
      <c r="Q508" s="256" t="n"/>
    </row>
    <row r="509">
      <c r="A509">
        <f>IF(DAY(D509)=DAY($L$1+1),A508+1,A508)</f>
        <v/>
      </c>
      <c r="B509" s="46">
        <f>IF(DAY(D509)=DAY($L$1+1),1,B508+1)</f>
        <v/>
      </c>
      <c r="C509" s="46">
        <f>IF(DAY(D509)=DAY($L$1+1),1,C508+1)</f>
        <v/>
      </c>
      <c r="D509" s="2">
        <f>D508+1</f>
        <v/>
      </c>
      <c r="E509" s="8">
        <f>IF(DAY(D509)=DAY($L$1+1),TRUNC((N508),8),E508)</f>
        <v/>
      </c>
      <c r="F509" s="49">
        <f>TRUNC(((1+VLOOKUP(A509,IPCA!$A$2:$C$140,3,0)))^(C509/(EDATE(D509-C509,1)-(D509-C509))),8)</f>
        <v/>
      </c>
      <c r="G509" s="49">
        <f>TRUNC((E509*F509),8)</f>
        <v/>
      </c>
      <c r="H509" s="49">
        <f>ROUND(((1+$H$4)^(30/360))^(C509/(EDATE(D509-B509,1)-(D509-B509))),9)</f>
        <v/>
      </c>
      <c r="I509" s="49">
        <f>TRUNC((G509*H509-G509),8)</f>
        <v/>
      </c>
      <c r="J509" s="49">
        <f>G509+I509</f>
        <v/>
      </c>
      <c r="K509" s="256" t="n"/>
      <c r="L509" s="125" t="n"/>
      <c r="M509" s="126" t="n"/>
      <c r="N509" s="127" t="n"/>
      <c r="O509" s="256" t="n"/>
      <c r="P509" s="256" t="n"/>
      <c r="Q509" s="256" t="n"/>
    </row>
    <row r="510">
      <c r="A510">
        <f>IF(DAY(D510)=DAY($L$1+1),A509+1,A509)</f>
        <v/>
      </c>
      <c r="B510" s="46">
        <f>IF(DAY(D510)=DAY($L$1+1),1,B509+1)</f>
        <v/>
      </c>
      <c r="C510" s="46">
        <f>IF(DAY(D510)=DAY($L$1+1),1,C509+1)</f>
        <v/>
      </c>
      <c r="D510" s="2">
        <f>D509+1</f>
        <v/>
      </c>
      <c r="E510" s="8">
        <f>IF(DAY(D510)=DAY($L$1+1),TRUNC((N509),8),E509)</f>
        <v/>
      </c>
      <c r="F510" s="49">
        <f>TRUNC(((1+VLOOKUP(A510,IPCA!$A$2:$C$140,3,0)))^(C510/(EDATE(D510-C510,1)-(D510-C510))),8)</f>
        <v/>
      </c>
      <c r="G510" s="49">
        <f>TRUNC((E510*F510),8)</f>
        <v/>
      </c>
      <c r="H510" s="49">
        <f>ROUND(((1+$H$4)^(30/360))^(C510/(EDATE(D510-B510,1)-(D510-B510))),9)</f>
        <v/>
      </c>
      <c r="I510" s="49">
        <f>TRUNC((G510*H510-G510),8)</f>
        <v/>
      </c>
      <c r="J510" s="49">
        <f>G510+I510</f>
        <v/>
      </c>
      <c r="K510" s="256" t="n"/>
      <c r="L510" s="256" t="n"/>
      <c r="M510" s="256" t="n"/>
      <c r="N510" s="256" t="n"/>
      <c r="O510" s="256" t="n"/>
      <c r="P510" s="256" t="n"/>
      <c r="Q510" s="256" t="n"/>
    </row>
    <row r="511">
      <c r="A511">
        <f>IF(DAY(D511)=DAY($L$1+1),A510+1,A510)</f>
        <v/>
      </c>
      <c r="B511" s="46">
        <f>IF(DAY(D511)=DAY($L$1+1),1,B510+1)</f>
        <v/>
      </c>
      <c r="C511" s="46">
        <f>IF(DAY(D511)=DAY($L$1+1),1,C510+1)</f>
        <v/>
      </c>
      <c r="D511" s="2">
        <f>D510+1</f>
        <v/>
      </c>
      <c r="E511" s="8">
        <f>IF(DAY(D511)=DAY($L$1+1),TRUNC((#REF!),8),E510)</f>
        <v/>
      </c>
      <c r="F511" s="49">
        <f>TRUNC(((1+VLOOKUP(A511,IPCA!$A$2:$C$140,3,0)))^(C511/(EDATE(D511-C511,1)-(D511-C511))),8)</f>
        <v/>
      </c>
      <c r="G511" s="49">
        <f>TRUNC((E511*F511),8)</f>
        <v/>
      </c>
      <c r="H511" s="49">
        <f>ROUND(((1+$H$4)^(30/360))^(C511/(EDATE(D511-B511,1)-(D511-B511))),9)</f>
        <v/>
      </c>
      <c r="I511" s="49">
        <f>TRUNC((G511*H511-G511),8)</f>
        <v/>
      </c>
      <c r="J511" s="49">
        <f>G511+I511</f>
        <v/>
      </c>
      <c r="K511" s="256" t="n"/>
      <c r="L511" s="256" t="n"/>
      <c r="M511" s="256" t="n"/>
      <c r="N511" s="256" t="n"/>
      <c r="O511" s="256" t="n"/>
      <c r="P511" s="256" t="n"/>
      <c r="Q511" s="256" t="n"/>
    </row>
    <row r="512">
      <c r="A512">
        <f>IF(DAY(D512)=DAY($L$1+1),A511+1,A511)</f>
        <v/>
      </c>
      <c r="B512" s="46">
        <f>IF(DAY(D512)=DAY($L$1+1),1,B511+1)</f>
        <v/>
      </c>
      <c r="C512" s="46">
        <f>IF(DAY(D512)=DAY($L$1+1),1,C511+1)</f>
        <v/>
      </c>
      <c r="D512" s="2">
        <f>D511+1</f>
        <v/>
      </c>
      <c r="E512" s="8">
        <f>IF(DAY(D512)=DAY($L$1+1),TRUNC((#REF!),8),E511)</f>
        <v/>
      </c>
      <c r="F512" s="49">
        <f>TRUNC(((1+VLOOKUP(A512,IPCA!$A$2:$C$140,3,0)))^(C512/(EDATE(D512-C512,1)-(D512-C512))),8)</f>
        <v/>
      </c>
      <c r="G512" s="49">
        <f>TRUNC((E512*F512),8)</f>
        <v/>
      </c>
      <c r="H512" s="49">
        <f>ROUND(((1+$H$4)^(30/360))^(C512/(EDATE(D512-B512,1)-(D512-B512))),9)</f>
        <v/>
      </c>
      <c r="I512" s="49">
        <f>TRUNC((G512*H512-G512),8)</f>
        <v/>
      </c>
      <c r="J512" s="49">
        <f>G512+I512</f>
        <v/>
      </c>
      <c r="K512" s="256" t="n"/>
      <c r="L512" s="256" t="n"/>
      <c r="M512" s="256" t="n"/>
      <c r="N512" s="256" t="n"/>
      <c r="O512" s="256" t="n"/>
      <c r="P512" s="256" t="n"/>
      <c r="Q512" s="256" t="n"/>
    </row>
    <row r="513">
      <c r="A513">
        <f>IF(DAY(D513)=DAY($L$1+1),A512+1,A512)</f>
        <v/>
      </c>
      <c r="B513" s="46">
        <f>IF(DAY(D513)=DAY($L$1+1),1,B512+1)</f>
        <v/>
      </c>
      <c r="C513" s="46">
        <f>IF(DAY(D513)=DAY($L$1+1),1,C512+1)</f>
        <v/>
      </c>
      <c r="D513" s="2">
        <f>D512+1</f>
        <v/>
      </c>
      <c r="E513" s="8">
        <f>IF(DAY(D513)=DAY($L$1+1),TRUNC((#REF!),8),E512)</f>
        <v/>
      </c>
      <c r="F513" s="49">
        <f>TRUNC(((1+VLOOKUP(A513,IPCA!$A$2:$C$140,3,0)))^(C513/(EDATE(D513-C513,1)-(D513-C513))),8)</f>
        <v/>
      </c>
      <c r="G513" s="49">
        <f>TRUNC((E513*F513),8)</f>
        <v/>
      </c>
      <c r="H513" s="49">
        <f>ROUND(((1+$H$4)^(30/360))^(C513/(EDATE(D513-B513,1)-(D513-B513))),9)</f>
        <v/>
      </c>
      <c r="I513" s="49">
        <f>TRUNC((G513*H513-G513),8)</f>
        <v/>
      </c>
      <c r="J513" s="49">
        <f>G513+I513</f>
        <v/>
      </c>
      <c r="K513" s="256" t="n"/>
      <c r="L513" s="256" t="n"/>
      <c r="M513" s="256" t="n"/>
      <c r="N513" s="256" t="n"/>
      <c r="O513" s="256" t="n"/>
      <c r="P513" s="256" t="n"/>
      <c r="Q513" s="256" t="n"/>
    </row>
    <row r="514">
      <c r="A514">
        <f>IF(DAY(D514)=DAY($L$1+1),A513+1,A513)</f>
        <v/>
      </c>
      <c r="B514" s="46">
        <f>IF(DAY(D514)=DAY($L$1+1),1,B513+1)</f>
        <v/>
      </c>
      <c r="C514" s="46">
        <f>IF(DAY(D514)=DAY($L$1+1),1,C513+1)</f>
        <v/>
      </c>
      <c r="D514" s="2">
        <f>D513+1</f>
        <v/>
      </c>
      <c r="E514" s="8">
        <f>IF(DAY(D514)=DAY($L$1+1),TRUNC((#REF!),8),E513)</f>
        <v/>
      </c>
      <c r="F514" s="49">
        <f>TRUNC(((1+VLOOKUP(A514,IPCA!$A$2:$C$140,3,0)))^(C514/(EDATE(D514-C514,1)-(D514-C514))),8)</f>
        <v/>
      </c>
      <c r="G514" s="49">
        <f>TRUNC((E514*F514),8)</f>
        <v/>
      </c>
      <c r="H514" s="49">
        <f>ROUND(((1+$H$4)^(30/360))^(C514/(EDATE(D514-B514,1)-(D514-B514))),9)</f>
        <v/>
      </c>
      <c r="I514" s="49">
        <f>TRUNC((G514*H514-G514),8)</f>
        <v/>
      </c>
      <c r="J514" s="49">
        <f>G514+I514</f>
        <v/>
      </c>
      <c r="K514" s="256" t="n"/>
      <c r="L514" s="256" t="n"/>
      <c r="M514" s="256" t="n"/>
      <c r="N514" s="256" t="n"/>
      <c r="O514" s="256" t="n"/>
      <c r="P514" s="256" t="n"/>
      <c r="Q514" s="256" t="n"/>
    </row>
    <row r="515">
      <c r="A515">
        <f>IF(DAY(D515)=DAY($L$1+1),A514+1,A514)</f>
        <v/>
      </c>
      <c r="B515" s="46">
        <f>IF(DAY(D515)=DAY($L$1+1),1,B514+1)</f>
        <v/>
      </c>
      <c r="C515" s="46">
        <f>IF(DAY(D515)=DAY($L$1+1),1,C514+1)</f>
        <v/>
      </c>
      <c r="D515" s="2">
        <f>D514+1</f>
        <v/>
      </c>
      <c r="E515" s="8">
        <f>IF(DAY(D515)=DAY($L$1+1),TRUNC((#REF!),8),E514)</f>
        <v/>
      </c>
      <c r="F515" s="49">
        <f>TRUNC(((1+VLOOKUP(A515,IPCA!$A$2:$C$140,3,0)))^(C515/(EDATE(D515-C515,1)-(D515-C515))),8)</f>
        <v/>
      </c>
      <c r="G515" s="49">
        <f>TRUNC((E515*F515),8)</f>
        <v/>
      </c>
      <c r="H515" s="49">
        <f>ROUND(((1+$H$4)^(30/360))^(C515/(EDATE(D515-B515,1)-(D515-B515))),9)</f>
        <v/>
      </c>
      <c r="I515" s="49">
        <f>TRUNC((G515*H515-G515),8)</f>
        <v/>
      </c>
      <c r="J515" s="49">
        <f>G515+I515</f>
        <v/>
      </c>
      <c r="K515" s="256" t="n"/>
      <c r="L515" s="256" t="n"/>
      <c r="M515" s="256" t="n"/>
      <c r="N515" s="256" t="n"/>
      <c r="O515" s="256" t="n"/>
      <c r="P515" s="256" t="n"/>
      <c r="Q515" s="256" t="n"/>
    </row>
    <row r="516">
      <c r="A516">
        <f>IF(DAY(D516)=DAY($L$1+1),A515+1,A515)</f>
        <v/>
      </c>
      <c r="B516" s="46">
        <f>IF(DAY(D516)=DAY($L$1+1),1,B515+1)</f>
        <v/>
      </c>
      <c r="C516" s="46">
        <f>IF(DAY(D516)=DAY($L$1+1),1,C515+1)</f>
        <v/>
      </c>
      <c r="D516" s="2">
        <f>D515+1</f>
        <v/>
      </c>
      <c r="E516" s="8">
        <f>IF(DAY(D516)=DAY($L$1+1),TRUNC((#REF!),8),E515)</f>
        <v/>
      </c>
      <c r="F516" s="49">
        <f>TRUNC(((1+VLOOKUP(A516,IPCA!$A$2:$C$140,3,0)))^(C516/(EDATE(D516-C516,1)-(D516-C516))),8)</f>
        <v/>
      </c>
      <c r="G516" s="49">
        <f>TRUNC((E516*F516),8)</f>
        <v/>
      </c>
      <c r="H516" s="49">
        <f>ROUND(((1+$H$4)^(30/360))^(C516/(EDATE(D516-B516,1)-(D516-B516))),9)</f>
        <v/>
      </c>
      <c r="I516" s="49">
        <f>TRUNC((G516*H516-G516),8)</f>
        <v/>
      </c>
      <c r="J516" s="49">
        <f>G516+I516</f>
        <v/>
      </c>
      <c r="K516" s="256" t="n"/>
      <c r="L516" s="256" t="n"/>
      <c r="M516" s="256" t="n"/>
      <c r="N516" s="256" t="n"/>
      <c r="O516" s="256" t="n"/>
      <c r="P516" s="256" t="n"/>
      <c r="Q516" s="256" t="n"/>
    </row>
    <row r="517">
      <c r="A517">
        <f>IF(DAY(D517)=DAY($L$1+1),A516+1,A516)</f>
        <v/>
      </c>
      <c r="B517" s="46">
        <f>IF(DAY(D517)=DAY($L$1+1),1,B516+1)</f>
        <v/>
      </c>
      <c r="C517" s="46">
        <f>IF(DAY(D517)=DAY($L$1+1),1,C516+1)</f>
        <v/>
      </c>
      <c r="D517" s="2">
        <f>D516+1</f>
        <v/>
      </c>
      <c r="E517" s="8">
        <f>IF(DAY(D517)=DAY($L$1+1),TRUNC((#REF!),8),E516)</f>
        <v/>
      </c>
      <c r="F517" s="49">
        <f>TRUNC(((1+VLOOKUP(A517,IPCA!$A$2:$C$140,3,0)))^(C517/(EDATE(D517-C517,1)-(D517-C517))),8)</f>
        <v/>
      </c>
      <c r="G517" s="49">
        <f>TRUNC((E517*F517),8)</f>
        <v/>
      </c>
      <c r="H517" s="49">
        <f>ROUND(((1+$H$4)^(30/360))^(C517/(EDATE(D517-B517,1)-(D517-B517))),9)</f>
        <v/>
      </c>
      <c r="I517" s="49">
        <f>TRUNC((G517*H517-G517),8)</f>
        <v/>
      </c>
      <c r="J517" s="49">
        <f>G517+I517</f>
        <v/>
      </c>
      <c r="K517" s="256" t="n"/>
      <c r="L517" s="256" t="n"/>
      <c r="M517" s="256" t="n"/>
      <c r="N517" s="256" t="n"/>
      <c r="O517" s="256" t="n"/>
      <c r="P517" s="256" t="n"/>
      <c r="Q517" s="256" t="n"/>
    </row>
    <row r="518">
      <c r="A518">
        <f>IF(DAY(D518)=DAY($L$1+1),A517+1,A517)</f>
        <v/>
      </c>
      <c r="B518" s="46">
        <f>IF(DAY(D518)=DAY($L$1+1),1,B517+1)</f>
        <v/>
      </c>
      <c r="C518" s="46">
        <f>IF(DAY(D518)=DAY($L$1+1),1,C517+1)</f>
        <v/>
      </c>
      <c r="D518" s="2">
        <f>D517+1</f>
        <v/>
      </c>
      <c r="E518" s="8">
        <f>IF(DAY(D518)=DAY($L$1+1),TRUNC((#REF!),8),E517)</f>
        <v/>
      </c>
      <c r="F518" s="49">
        <f>TRUNC(((1+VLOOKUP(A518,IPCA!$A$2:$C$140,3,0)))^(C518/(EDATE(D518-C518,1)-(D518-C518))),8)</f>
        <v/>
      </c>
      <c r="G518" s="49">
        <f>TRUNC((E518*F518),8)</f>
        <v/>
      </c>
      <c r="H518" s="49">
        <f>ROUND(((1+$H$4)^(30/360))^(C518/(EDATE(D518-B518,1)-(D518-B518))),9)</f>
        <v/>
      </c>
      <c r="I518" s="49">
        <f>TRUNC((G518*H518-G518),8)</f>
        <v/>
      </c>
      <c r="J518" s="49">
        <f>G518+I518</f>
        <v/>
      </c>
      <c r="K518" s="256" t="n"/>
      <c r="L518" s="256" t="n"/>
      <c r="M518" s="256" t="n"/>
      <c r="N518" s="256" t="n"/>
      <c r="O518" s="256" t="n"/>
      <c r="P518" s="256" t="n"/>
      <c r="Q518" s="256" t="n"/>
    </row>
    <row r="519">
      <c r="A519">
        <f>IF(DAY(D519)=DAY($L$1+1),A518+1,A518)</f>
        <v/>
      </c>
      <c r="B519" s="46">
        <f>IF(DAY(D519)=DAY($L$1+1),1,B518+1)</f>
        <v/>
      </c>
      <c r="C519" s="46">
        <f>IF(DAY(D519)=DAY($L$1+1),1,C518+1)</f>
        <v/>
      </c>
      <c r="D519" s="2">
        <f>D518+1</f>
        <v/>
      </c>
      <c r="E519" s="8">
        <f>IF(DAY(D519)=DAY($L$1+1),TRUNC((#REF!),8),E518)</f>
        <v/>
      </c>
      <c r="F519" s="49">
        <f>TRUNC(((1+VLOOKUP(A519,IPCA!$A$2:$C$140,3,0)))^(C519/(EDATE(D519-C519,1)-(D519-C519))),8)</f>
        <v/>
      </c>
      <c r="G519" s="49">
        <f>TRUNC((E519*F519),8)</f>
        <v/>
      </c>
      <c r="H519" s="49">
        <f>ROUND(((1+$H$4)^(30/360))^(C519/(EDATE(D519-B519,1)-(D519-B519))),9)</f>
        <v/>
      </c>
      <c r="I519" s="49">
        <f>TRUNC((G519*H519-G519),8)</f>
        <v/>
      </c>
      <c r="J519" s="49">
        <f>G519+I519</f>
        <v/>
      </c>
      <c r="K519" s="256" t="n"/>
      <c r="L519" s="256" t="n"/>
      <c r="M519" s="256" t="n"/>
      <c r="N519" s="256" t="n"/>
      <c r="O519" s="256" t="n"/>
      <c r="P519" s="256" t="n"/>
      <c r="Q519" s="256" t="n"/>
    </row>
    <row r="520">
      <c r="A520">
        <f>IF(DAY(D520)=DAY($L$1+1),A519+1,A519)</f>
        <v/>
      </c>
      <c r="B520" s="46">
        <f>IF(DAY(D520)=DAY($L$1+1),1,B519+1)</f>
        <v/>
      </c>
      <c r="C520" s="46">
        <f>IF(DAY(D520)=DAY($L$1+1),1,C519+1)</f>
        <v/>
      </c>
      <c r="D520" s="2">
        <f>D519+1</f>
        <v/>
      </c>
      <c r="E520" s="8">
        <f>IF(DAY(D520)=DAY($L$1+1),TRUNC((N519),8),E519)</f>
        <v/>
      </c>
      <c r="F520" s="49">
        <f>TRUNC(((1+VLOOKUP(A520,IPCA!$A$2:$C$140,3,0)))^(C520/(EDATE(D520-C520,1)-(D520-C520))),8)</f>
        <v/>
      </c>
      <c r="G520" s="49">
        <f>TRUNC((E520*F520),8)</f>
        <v/>
      </c>
      <c r="H520" s="49">
        <f>ROUND(((1+$H$4)^(30/360))^(C520/(EDATE(D520-B520,1)-(D520-B520))),9)</f>
        <v/>
      </c>
      <c r="I520" s="49">
        <f>TRUNC((G520*H520-G520),8)</f>
        <v/>
      </c>
      <c r="J520" s="49">
        <f>G520+I520</f>
        <v/>
      </c>
      <c r="K520" s="256" t="n"/>
      <c r="L520" s="256" t="n"/>
      <c r="M520" s="256" t="n"/>
      <c r="N520" s="256" t="n"/>
      <c r="O520" s="256" t="n"/>
      <c r="P520" s="256" t="n"/>
      <c r="Q520" s="256" t="n"/>
    </row>
    <row r="521">
      <c r="A521">
        <f>IF(DAY(D521)=DAY($L$1+1),A520+1,A520)</f>
        <v/>
      </c>
      <c r="B521" s="46">
        <f>IF(DAY(D521)=DAY($L$1+1),1,B520+1)</f>
        <v/>
      </c>
      <c r="C521" s="46">
        <f>IF(DAY(D521)=DAY($L$1+1),1,C520+1)</f>
        <v/>
      </c>
      <c r="D521" s="2">
        <f>D520+1</f>
        <v/>
      </c>
      <c r="E521" s="8">
        <f>IF(DAY(D521)=DAY($L$1+1),TRUNC((N520),8),E520)</f>
        <v/>
      </c>
      <c r="F521" s="49">
        <f>TRUNC(((1+VLOOKUP(A521,IPCA!$A$2:$C$140,3,0)))^(C521/(EDATE(D521-C521,1)-(D521-C521))),8)</f>
        <v/>
      </c>
      <c r="G521" s="49">
        <f>TRUNC((E521*F521),8)</f>
        <v/>
      </c>
      <c r="H521" s="49">
        <f>ROUND(((1+$H$4)^(30/360))^(C521/(EDATE(D521-B521,1)-(D521-B521))),9)</f>
        <v/>
      </c>
      <c r="I521" s="49">
        <f>TRUNC((G521*H521-G521),8)</f>
        <v/>
      </c>
      <c r="J521" s="49">
        <f>G521+I521</f>
        <v/>
      </c>
      <c r="K521" s="256" t="n"/>
      <c r="L521" s="256" t="n"/>
      <c r="M521" s="256" t="n"/>
      <c r="N521" s="256" t="n"/>
      <c r="O521" s="256" t="n"/>
      <c r="P521" s="256" t="n"/>
      <c r="Q521" s="256" t="n"/>
    </row>
    <row r="522">
      <c r="A522">
        <f>IF(DAY(D522)=DAY($L$1+1),A521+1,A521)</f>
        <v/>
      </c>
      <c r="B522" s="46">
        <f>IF(DAY(D522)=DAY($L$1+1),1,B521+1)</f>
        <v/>
      </c>
      <c r="C522" s="46">
        <f>IF(DAY(D522)=DAY($L$1+1),1,C521+1)</f>
        <v/>
      </c>
      <c r="D522" s="2">
        <f>D521+1</f>
        <v/>
      </c>
      <c r="E522" s="8">
        <f>IF(DAY(D522)=DAY($L$1+1),TRUNC((N521),8),E521)</f>
        <v/>
      </c>
      <c r="F522" s="49">
        <f>TRUNC(((1+VLOOKUP(A522,IPCA!$A$2:$C$140,3,0)))^(C522/(EDATE(D522-C522,1)-(D522-C522))),8)</f>
        <v/>
      </c>
      <c r="G522" s="49">
        <f>TRUNC((E522*F522),8)</f>
        <v/>
      </c>
      <c r="H522" s="49">
        <f>ROUND(((1+$H$4)^(30/360))^(C522/(EDATE(D522-B522,1)-(D522-B522))),9)</f>
        <v/>
      </c>
      <c r="I522" s="49">
        <f>TRUNC((G522*H522-G522),8)</f>
        <v/>
      </c>
      <c r="J522" s="49">
        <f>G522+I522</f>
        <v/>
      </c>
      <c r="K522" s="123" t="n"/>
      <c r="L522" s="271" t="n"/>
      <c r="M522" s="256" t="n"/>
      <c r="N522" s="256" t="n"/>
      <c r="O522" s="256" t="n"/>
      <c r="P522" s="256" t="n"/>
      <c r="Q522" s="256" t="n"/>
    </row>
    <row r="523">
      <c r="A523">
        <f>IF(DAY(D523)=DAY($L$1+1),A522+1,A522)</f>
        <v/>
      </c>
      <c r="B523" s="46">
        <f>IF(DAY(D523)=DAY($L$1+1),1,B522+1)</f>
        <v/>
      </c>
      <c r="C523" s="46">
        <f>IF(DAY(D523)=DAY($L$1+1),1,C522+1)</f>
        <v/>
      </c>
      <c r="D523" s="2">
        <f>D522+1</f>
        <v/>
      </c>
      <c r="E523" s="8">
        <f>IF(DAY(D523)=DAY($L$1+1),TRUNC((N522),8),E522)</f>
        <v/>
      </c>
      <c r="F523" s="49">
        <f>TRUNC(((1+VLOOKUP(A523,IPCA!$A$2:$C$140,3,0)))^(C523/(EDATE(D523-C523,1)-(D523-C523))),8)</f>
        <v/>
      </c>
      <c r="G523" s="49">
        <f>TRUNC((E523*F523),8)</f>
        <v/>
      </c>
      <c r="H523" s="49">
        <f>ROUND(((1+$H$4)^(30/360))^(C523/(EDATE(D523-B523,1)-(D523-B523))),9)</f>
        <v/>
      </c>
      <c r="I523" s="49">
        <f>TRUNC((G523*H523-G523),8)</f>
        <v/>
      </c>
      <c r="J523" s="49">
        <f>G523+I523</f>
        <v/>
      </c>
      <c r="K523" s="256" t="n"/>
      <c r="L523" s="256" t="n"/>
      <c r="M523" s="256" t="n"/>
      <c r="N523" s="256" t="n"/>
      <c r="O523" s="256" t="n"/>
      <c r="P523" s="256" t="n"/>
      <c r="Q523" s="256" t="n"/>
    </row>
    <row r="524">
      <c r="A524">
        <f>IF(DAY(D524)=DAY($L$1+1),A523+1,A523)</f>
        <v/>
      </c>
      <c r="B524" s="46">
        <f>IF(DAY(D524)=DAY($L$1+1),1,B523+1)</f>
        <v/>
      </c>
      <c r="C524" s="46">
        <f>IF(DAY(D524)=DAY($L$1+1),1,C523+1)</f>
        <v/>
      </c>
      <c r="D524" s="2">
        <f>D523+1</f>
        <v/>
      </c>
      <c r="E524" s="8">
        <f>IF(DAY(D524)=DAY($L$1+1),TRUNC((N523),8),E523)</f>
        <v/>
      </c>
      <c r="F524" s="49">
        <f>TRUNC(((1+VLOOKUP(A524,IPCA!$A$2:$C$140,3,0)))^(C524/(EDATE(D524-C524,1)-(D524-C524))),8)</f>
        <v/>
      </c>
      <c r="G524" s="49">
        <f>TRUNC((E524*F524),8)</f>
        <v/>
      </c>
      <c r="H524" s="49">
        <f>ROUND(((1+$H$4)^(30/360))^(C524/(EDATE(D524-B524,1)-(D524-B524))),9)</f>
        <v/>
      </c>
      <c r="I524" s="49">
        <f>TRUNC((G524*H524-G524),8)</f>
        <v/>
      </c>
      <c r="J524" s="49">
        <f>G524+I524</f>
        <v/>
      </c>
      <c r="K524" s="256" t="n"/>
      <c r="L524" s="256" t="n"/>
      <c r="M524" s="256" t="n"/>
      <c r="N524" s="256" t="n"/>
      <c r="O524" s="256" t="n"/>
      <c r="P524" s="256" t="n"/>
      <c r="Q524" s="256" t="n"/>
    </row>
    <row r="525">
      <c r="A525">
        <f>IF(DAY(D525)=DAY($L$1+1),A524+1,A524)</f>
        <v/>
      </c>
      <c r="B525" s="46">
        <f>IF(DAY(D525)=DAY($L$1+1),1,B524+1)</f>
        <v/>
      </c>
      <c r="C525" s="46">
        <f>IF(DAY(D525)=DAY($L$1+1),1,C524+1)</f>
        <v/>
      </c>
      <c r="D525" s="2">
        <f>D524+1</f>
        <v/>
      </c>
      <c r="E525" s="8">
        <f>IF(DAY(D525)=DAY($L$1+1),TRUNC((N524),8),E524)</f>
        <v/>
      </c>
      <c r="F525" s="49">
        <f>TRUNC(((1+VLOOKUP(A525,IPCA!$A$2:$C$140,3,0)))^(C525/(EDATE(D525-C525,1)-(D525-C525))),8)</f>
        <v/>
      </c>
      <c r="G525" s="49">
        <f>TRUNC((E525*F525),8)</f>
        <v/>
      </c>
      <c r="H525" s="49">
        <f>ROUND(((1+$H$4)^(30/360))^(C525/(EDATE(D525-B525,1)-(D525-B525))),9)</f>
        <v/>
      </c>
      <c r="I525" s="49">
        <f>TRUNC((G525*H525-G525),8)</f>
        <v/>
      </c>
      <c r="J525" s="49">
        <f>G525+I525</f>
        <v/>
      </c>
      <c r="K525" s="196" t="n"/>
      <c r="L525" s="256" t="n"/>
      <c r="M525" s="256" t="n"/>
      <c r="N525" s="256" t="n"/>
      <c r="O525" s="256" t="n"/>
      <c r="P525" s="256" t="n"/>
      <c r="Q525" s="256" t="n"/>
    </row>
    <row r="526">
      <c r="A526">
        <f>IF(DAY(D526)=DAY($L$1+1),A525+1,A525)</f>
        <v/>
      </c>
      <c r="B526" s="46">
        <f>IF(DAY(D526)=DAY($L$1+1),1,B525+1)</f>
        <v/>
      </c>
      <c r="C526" s="46">
        <f>IF(DAY(D526)=DAY($L$1+1),1,C525+1)</f>
        <v/>
      </c>
      <c r="D526" s="2">
        <f>D525+1</f>
        <v/>
      </c>
      <c r="E526" s="8">
        <f>IF(DAY(D526)=DAY($L$1+1),TRUNC((N525),8),E525)</f>
        <v/>
      </c>
      <c r="F526" s="49">
        <f>TRUNC(((1+VLOOKUP(A526,IPCA!$A$2:$C$140,3,0)))^(C526/(EDATE(D526-C526,1)-(D526-C526))),8)</f>
        <v/>
      </c>
      <c r="G526" s="49">
        <f>TRUNC((E526*F526),8)</f>
        <v/>
      </c>
      <c r="H526" s="49">
        <f>ROUND(((1+$H$4)^(30/360))^(C526/(EDATE(D526-B526,1)-(D526-B526))),9)</f>
        <v/>
      </c>
      <c r="I526" s="49">
        <f>TRUNC((G526*H526-G526),8)</f>
        <v/>
      </c>
      <c r="J526" s="49">
        <f>G526+I526</f>
        <v/>
      </c>
      <c r="K526" s="256" t="n"/>
      <c r="L526" s="256" t="n"/>
      <c r="M526" s="256" t="n"/>
      <c r="N526" s="256" t="n"/>
      <c r="O526" s="256" t="n"/>
      <c r="P526" s="256" t="n"/>
      <c r="Q526" s="256" t="n"/>
    </row>
    <row r="527">
      <c r="A527">
        <f>IF(DAY(D527)=DAY($L$1+1),A526+1,A526)</f>
        <v/>
      </c>
      <c r="B527" s="46">
        <f>IF(DAY(D527)=DAY($L$1+1),1,B526+1)</f>
        <v/>
      </c>
      <c r="C527" s="46">
        <f>IF(DAY(D527)=DAY($L$1+1),1,C526+1)</f>
        <v/>
      </c>
      <c r="D527" s="2">
        <f>D526+1</f>
        <v/>
      </c>
      <c r="E527" s="8">
        <f>IF(DAY(D527)=DAY($L$1+1),TRUNC((N526),8),E526)</f>
        <v/>
      </c>
      <c r="F527" s="49">
        <f>TRUNC(((1+VLOOKUP(A527,IPCA!$A$2:$C$140,3,0)))^(C527/(EDATE(D527-C527,1)-(D527-C527))),8)</f>
        <v/>
      </c>
      <c r="G527" s="49">
        <f>TRUNC((E527*F527),8)</f>
        <v/>
      </c>
      <c r="H527" s="49">
        <f>ROUND(((1+$H$4)^(30/360))^(C527/(EDATE(D527-B527,1)-(D527-B527))),9)</f>
        <v/>
      </c>
      <c r="I527" s="49">
        <f>TRUNC((G527*H527-G527),8)</f>
        <v/>
      </c>
      <c r="J527" s="49">
        <f>G527+I527</f>
        <v/>
      </c>
      <c r="K527" s="256" t="n"/>
      <c r="L527" s="256" t="n"/>
      <c r="M527" s="256" t="n"/>
      <c r="N527" s="256" t="n"/>
      <c r="O527" s="256" t="n"/>
      <c r="P527" s="256" t="n"/>
      <c r="Q527" s="256" t="n"/>
    </row>
    <row r="528">
      <c r="A528">
        <f>IF(DAY(D528)=DAY($L$1+1),A527+1,A527)</f>
        <v/>
      </c>
      <c r="B528" s="46">
        <f>IF(DAY(D528)=DAY($L$1+1),1,B527+1)</f>
        <v/>
      </c>
      <c r="C528" s="46">
        <f>IF(DAY(D528)=DAY($L$1+1),1,C527+1)</f>
        <v/>
      </c>
      <c r="D528" s="2">
        <f>D527+1</f>
        <v/>
      </c>
      <c r="E528" s="8">
        <f>IF(DAY(D528)=DAY($L$1+1),TRUNC((N527),8),E527)</f>
        <v/>
      </c>
      <c r="F528" s="49">
        <f>TRUNC(((1+VLOOKUP(A528,IPCA!$A$2:$C$140,3,0)))^(C528/(EDATE(D528-C528,1)-(D528-C528))),8)</f>
        <v/>
      </c>
      <c r="G528" s="49">
        <f>TRUNC((E528*F528),8)</f>
        <v/>
      </c>
      <c r="H528" s="49">
        <f>ROUND(((1+$H$4)^(30/360))^(C528/(EDATE(D528-B528,1)-(D528-B528))),9)</f>
        <v/>
      </c>
      <c r="I528" s="49">
        <f>TRUNC((G528*H528-G528),8)</f>
        <v/>
      </c>
      <c r="J528" s="49">
        <f>G528+I528</f>
        <v/>
      </c>
      <c r="K528" s="256" t="n"/>
      <c r="L528" s="256" t="n"/>
      <c r="M528" s="256" t="n"/>
      <c r="N528" s="256" t="n"/>
      <c r="O528" s="256" t="n"/>
      <c r="P528" s="256" t="n"/>
      <c r="Q528" s="256" t="n"/>
    </row>
    <row r="529">
      <c r="A529">
        <f>IF(DAY(D529)=DAY($L$1+1),A528+1,A528)</f>
        <v/>
      </c>
      <c r="B529" s="46">
        <f>IF(DAY(D529)=DAY($L$1+1),1,B528+1)</f>
        <v/>
      </c>
      <c r="C529" s="46">
        <f>IF(DAY(D529)=DAY($L$1+1),1,C528+1)</f>
        <v/>
      </c>
      <c r="D529" s="2">
        <f>D528+1</f>
        <v/>
      </c>
      <c r="E529" s="8">
        <f>IF(DAY(D529)=DAY($L$1+1),TRUNC((N528),8),E528)</f>
        <v/>
      </c>
      <c r="F529" s="49">
        <f>TRUNC(((1+VLOOKUP(A529,IPCA!$A$2:$C$140,3,0)))^(C529/(EDATE(D529-C529,1)-(D529-C529))),8)</f>
        <v/>
      </c>
      <c r="G529" s="49">
        <f>TRUNC((E529*F529),8)</f>
        <v/>
      </c>
      <c r="H529" s="49">
        <f>ROUND(((1+$H$4)^(30/360))^(C529/(EDATE(D529-B529,1)-(D529-B529))),9)</f>
        <v/>
      </c>
      <c r="I529" s="49">
        <f>TRUNC((G529*H529-G529),8)</f>
        <v/>
      </c>
      <c r="J529" s="49">
        <f>G529+I529</f>
        <v/>
      </c>
      <c r="K529" s="256" t="n"/>
      <c r="L529" s="256" t="n"/>
      <c r="M529" s="256" t="n"/>
      <c r="N529" s="256" t="n"/>
      <c r="O529" s="256" t="n"/>
      <c r="P529" s="256" t="n"/>
      <c r="Q529" s="256" t="n"/>
    </row>
    <row r="530">
      <c r="A530">
        <f>IF(DAY(D530)=DAY($L$1+1),A529+1,A529)</f>
        <v/>
      </c>
      <c r="B530" s="221">
        <f>IF(DAY(D530)=DAY($L$1+1),1,B529+1)</f>
        <v/>
      </c>
      <c r="C530" s="221">
        <f>IF(DAY(D530)=DAY($L$1+1),1,C529+1)</f>
        <v/>
      </c>
      <c r="D530" s="222">
        <f>D529+1</f>
        <v/>
      </c>
      <c r="E530" s="223">
        <f>IF(DAY(D530)=DAY($L$1+1),TRUNC((N529),8),E529)</f>
        <v/>
      </c>
      <c r="F530" s="224">
        <f>TRUNC(((1+VLOOKUP(A530,IPCA!$A$2:$C$140,3,0)))^(C530/(EDATE(D530-C530,1)-(D530-C530))),8)</f>
        <v/>
      </c>
      <c r="G530" s="224">
        <f>TRUNC((E530*F530),8)</f>
        <v/>
      </c>
      <c r="H530" s="224">
        <f>ROUND(((1+$H$4)^(30/360))^(C530/(EDATE(D530-B530,1)-(D530-B530))),9)</f>
        <v/>
      </c>
      <c r="I530" s="224">
        <f>TRUNC((G530*H530-G530),8)</f>
        <v/>
      </c>
      <c r="J530" s="224">
        <f>G530+I530</f>
        <v/>
      </c>
      <c r="K530" s="225" t="n">
        <v>2510184</v>
      </c>
      <c r="L530" s="256" t="n"/>
      <c r="M530" s="256" t="n"/>
      <c r="N530" s="256" t="n"/>
      <c r="O530" s="256" t="n"/>
      <c r="P530" s="256" t="n"/>
      <c r="Q530" s="256" t="n"/>
    </row>
    <row r="531">
      <c r="A531">
        <f>IF(DAY(D531)=DAY($L$1+1),A530+1,A530)</f>
        <v/>
      </c>
      <c r="B531" s="46">
        <f>IF(DAY(D531)=DAY($L$1+1),1,B530+1)</f>
        <v/>
      </c>
      <c r="C531" s="46">
        <f>IF(DAY(D531)=DAY($L$1+1),1,C530+1)</f>
        <v/>
      </c>
      <c r="D531" s="2">
        <f>D530+1</f>
        <v/>
      </c>
      <c r="E531" s="8">
        <f>IF(DAY(D531)=DAY($L$1+1),TRUNC((N530),8),E530)</f>
        <v/>
      </c>
      <c r="F531" s="49">
        <f>TRUNC(((1+VLOOKUP(A531,IPCA!$A$2:$C$140,3,0)))^(C531/(EDATE(D531-C531,1)-(D531-C531))),8)</f>
        <v/>
      </c>
      <c r="G531" s="49">
        <f>TRUNC((E531*F531),8)</f>
        <v/>
      </c>
      <c r="H531" s="49">
        <f>ROUND(((1+$H$4)^(30/360))^(C531/(EDATE(D531-B531,1)-(D531-B531))),9)</f>
        <v/>
      </c>
      <c r="I531" s="49">
        <f>TRUNC((G531*H531-G531),8)</f>
        <v/>
      </c>
      <c r="J531" s="49">
        <f>G531+I531</f>
        <v/>
      </c>
      <c r="K531" s="256" t="n"/>
      <c r="L531" s="256" t="n"/>
      <c r="M531" s="256" t="n"/>
      <c r="N531" s="256" t="n"/>
      <c r="O531" s="256" t="n"/>
      <c r="P531" s="256" t="n"/>
      <c r="Q531" s="256" t="n"/>
    </row>
    <row r="532">
      <c r="A532">
        <f>IF(DAY(D532)=DAY($L$1+1),A531+1,A531)</f>
        <v/>
      </c>
      <c r="B532" s="46">
        <f>IF(DAY(D532)=DAY($L$1+1),1,B531+1)</f>
        <v/>
      </c>
      <c r="C532" s="46">
        <f>IF(DAY(D532)=DAY($L$1+1),1,C531+1)</f>
        <v/>
      </c>
      <c r="D532" s="2">
        <f>D531+1</f>
        <v/>
      </c>
      <c r="E532" s="8">
        <f>IF(DAY(D532)=DAY($L$1+1),TRUNC((N531),8),E531)</f>
        <v/>
      </c>
      <c r="F532" s="49">
        <f>TRUNC(((1+VLOOKUP(A532,IPCA!$A$2:$C$140,3,0)))^(C532/(EDATE(D532-C532,1)-(D532-C532))),8)</f>
        <v/>
      </c>
      <c r="G532" s="49">
        <f>TRUNC((E532*F532),8)</f>
        <v/>
      </c>
      <c r="H532" s="49">
        <f>ROUND(((1+$H$4)^(30/360))^(C532/(EDATE(D532-B532,1)-(D532-B532))),9)</f>
        <v/>
      </c>
      <c r="I532" s="49">
        <f>TRUNC((G532*H532-G532),8)</f>
        <v/>
      </c>
      <c r="J532" s="49">
        <f>G532+I532</f>
        <v/>
      </c>
      <c r="K532" s="256" t="n"/>
      <c r="L532" s="256" t="n"/>
      <c r="M532" s="256" t="n"/>
      <c r="N532" s="256" t="n"/>
      <c r="O532" s="256" t="n"/>
      <c r="P532" s="256" t="n"/>
      <c r="Q532" s="256" t="n"/>
    </row>
    <row r="533">
      <c r="A533">
        <f>IF(DAY(D533)=DAY($L$1+1),A532+1,A532)</f>
        <v/>
      </c>
      <c r="B533" s="46">
        <f>IF(DAY(D533)=DAY($L$1+1),1,B532+1)</f>
        <v/>
      </c>
      <c r="C533" s="46">
        <f>IF(DAY(D533)=DAY($L$1+1),1,C532+1)</f>
        <v/>
      </c>
      <c r="D533" s="2">
        <f>D532+1</f>
        <v/>
      </c>
      <c r="E533" s="8">
        <f>IF(DAY(D533)=DAY($L$1+1),TRUNC((N532),8),E532)</f>
        <v/>
      </c>
      <c r="F533" s="49">
        <f>TRUNC(((1+VLOOKUP(A533,IPCA!$A$2:$C$140,3,0)))^(C533/(EDATE(D533-C533,1)-(D533-C533))),8)</f>
        <v/>
      </c>
      <c r="G533" s="49">
        <f>TRUNC((E533*F533),8)</f>
        <v/>
      </c>
      <c r="H533" s="49">
        <f>ROUND(((1+$H$4)^(30/360))^(C533/(EDATE(D533-B533,1)-(D533-B533))),9)</f>
        <v/>
      </c>
      <c r="I533" s="49">
        <f>TRUNC((G533*H533-G533),8)</f>
        <v/>
      </c>
      <c r="J533" s="49">
        <f>G533+I533</f>
        <v/>
      </c>
      <c r="K533" s="256" t="n"/>
      <c r="L533" s="195" t="n"/>
      <c r="M533" s="256" t="n"/>
      <c r="N533" s="256" t="n"/>
      <c r="O533" s="256" t="n"/>
      <c r="P533" s="256" t="n"/>
      <c r="Q533" s="256" t="n"/>
    </row>
    <row r="534">
      <c r="A534">
        <f>IF(DAY(D534)=DAY($L$1+1),A533+1,A533)</f>
        <v/>
      </c>
      <c r="B534" s="46">
        <f>IF(DAY(D534)=DAY($L$1+1),1,B533+1)</f>
        <v/>
      </c>
      <c r="C534" s="46">
        <f>IF(DAY(D534)=DAY($L$1+1),1,C533+1)</f>
        <v/>
      </c>
      <c r="D534" s="2">
        <f>D533+1</f>
        <v/>
      </c>
      <c r="E534" s="8">
        <f>IF(DAY(D534)=DAY($L$1+1),TRUNC((N533),8),E533)</f>
        <v/>
      </c>
      <c r="F534" s="49">
        <f>TRUNC(((1+VLOOKUP(A534,IPCA!$A$2:$C$140,3,0)))^(C534/(EDATE(D534-C534,1)-(D534-C534))),8)</f>
        <v/>
      </c>
      <c r="G534" s="49">
        <f>TRUNC((E534*F534),8)</f>
        <v/>
      </c>
      <c r="H534" s="49">
        <f>ROUND(((1+$H$4)^(30/360))^(C534/(EDATE(D534-B534,1)-(D534-B534))),9)</f>
        <v/>
      </c>
      <c r="I534" s="49">
        <f>TRUNC((G534*H534-G534),8)</f>
        <v/>
      </c>
      <c r="J534" s="49">
        <f>G534+I534</f>
        <v/>
      </c>
      <c r="K534" s="256" t="n"/>
      <c r="L534" s="256" t="n"/>
      <c r="M534" s="256" t="n"/>
      <c r="N534" s="256" t="n"/>
      <c r="O534" s="256" t="n"/>
      <c r="P534" s="256" t="n"/>
      <c r="Q534" s="256" t="n"/>
    </row>
    <row r="535">
      <c r="A535">
        <f>IF(DAY(D535)=DAY($L$1+1),A534+1,A534)</f>
        <v/>
      </c>
      <c r="B535" s="46">
        <f>IF(DAY(D535)=DAY($L$1+1),1,B534+1)</f>
        <v/>
      </c>
      <c r="C535" s="46">
        <f>IF(DAY(D535)=DAY($L$1+1),1,C534+1)</f>
        <v/>
      </c>
      <c r="D535" s="2">
        <f>D534+1</f>
        <v/>
      </c>
      <c r="E535" s="8">
        <f>IF(DAY(D535)=DAY($L$1+1),TRUNC((N534),8),E534)</f>
        <v/>
      </c>
      <c r="F535" s="49">
        <f>TRUNC(((1+VLOOKUP(A535,IPCA!$A$2:$C$140,3,0)))^(C535/(EDATE(D535-C535,1)-(D535-C535))),8)</f>
        <v/>
      </c>
      <c r="G535" s="49">
        <f>TRUNC((E535*F535),8)</f>
        <v/>
      </c>
      <c r="H535" s="49">
        <f>ROUND(((1+$H$4)^(30/360))^(C535/(EDATE(D535-B535,1)-(D535-B535))),9)</f>
        <v/>
      </c>
      <c r="I535" s="49">
        <f>TRUNC((G535*H535-G535),8)</f>
        <v/>
      </c>
      <c r="J535" s="49">
        <f>G535+I535</f>
        <v/>
      </c>
      <c r="K535" s="256" t="inlineStr">
        <is>
          <t>Cri Integralizado</t>
        </is>
      </c>
      <c r="L535" s="270">
        <f>L505+K530</f>
        <v/>
      </c>
      <c r="M535" s="256" t="n"/>
      <c r="N535" s="256" t="n"/>
      <c r="O535" s="256" t="n"/>
      <c r="P535" s="256" t="n"/>
      <c r="Q535" s="256" t="n"/>
    </row>
    <row r="536">
      <c r="A536">
        <f>IF(DAY(D536)=DAY($L$1+1),A535+1,A535)</f>
        <v/>
      </c>
      <c r="B536" s="46">
        <f>IF(DAY(D536)=DAY($L$1+1),1,B535+1)</f>
        <v/>
      </c>
      <c r="C536" s="46">
        <f>IF(DAY(D536)=DAY($L$1+1),1,C535+1)</f>
        <v/>
      </c>
      <c r="D536" s="2">
        <f>D535+1</f>
        <v/>
      </c>
      <c r="E536" s="8">
        <f>IF(DAY(D536)=DAY($L$1+1),TRUNC((N535),8),E535)</f>
        <v/>
      </c>
      <c r="F536" s="49">
        <f>TRUNC(((1+VLOOKUP(A536,IPCA!$A$2:$C$140,3,0)))^(C536/(EDATE(D536-C536,1)-(D536-C536))),8)</f>
        <v/>
      </c>
      <c r="G536" s="49">
        <f>TRUNC((E536*F536),8)</f>
        <v/>
      </c>
      <c r="H536" s="49">
        <f>ROUND(((1+$H$4)^(30/360))^(C536/(EDATE(D536-B536,1)-(D536-B536))),9)</f>
        <v/>
      </c>
      <c r="I536" s="49">
        <f>TRUNC((G536*H536-G536),8)</f>
        <v/>
      </c>
      <c r="J536" s="49">
        <f>G536+I536</f>
        <v/>
      </c>
      <c r="K536" s="118" t="inlineStr">
        <is>
          <t>JUROS</t>
        </is>
      </c>
      <c r="L536" s="118" t="inlineStr">
        <is>
          <t>AMORTIZAÇÃO</t>
        </is>
      </c>
      <c r="M536" s="118" t="inlineStr">
        <is>
          <t>AMEX</t>
        </is>
      </c>
      <c r="N536" s="118" t="inlineStr">
        <is>
          <t>RESIDUAL</t>
        </is>
      </c>
      <c r="O536" s="256" t="n"/>
      <c r="P536" s="256" t="n"/>
      <c r="Q536" s="256" t="n"/>
    </row>
    <row r="537">
      <c r="A537">
        <f>IF(DAY(D537)=DAY($L$1+1),A536+1,A536)</f>
        <v/>
      </c>
      <c r="B537" s="111">
        <f>IF(DAY(D537)=DAY($L$1+1),1,B536+1)</f>
        <v/>
      </c>
      <c r="C537" s="111">
        <f>IF(DAY(D537)=DAY($L$1+1),1,C536+1)</f>
        <v/>
      </c>
      <c r="D537" s="112">
        <f>D536+1</f>
        <v/>
      </c>
      <c r="E537" s="113">
        <f>IF(DAY(D537)=DAY($L$1+1),TRUNC((N536),8),E536)</f>
        <v/>
      </c>
      <c r="F537" s="114">
        <f>TRUNC(((1+VLOOKUP(A537,IPCA!$A$2:$C$140,3,0)))^(C537/(EDATE(D537-C537,1)-(D537-C537))),8)</f>
        <v/>
      </c>
      <c r="G537" s="114">
        <f>TRUNC((E537*F537),8)</f>
        <v/>
      </c>
      <c r="H537" s="114">
        <f>ROUND(((1+$H$4)^(30/360))^(C537/(EDATE(D537-B537,1)-(D537-B537))),9)</f>
        <v/>
      </c>
      <c r="I537" s="114">
        <f>TRUNC((G537*H537-G537),8)</f>
        <v/>
      </c>
      <c r="J537" s="114">
        <f>G537+I537</f>
        <v/>
      </c>
      <c r="K537" s="119" t="n">
        <v>0</v>
      </c>
      <c r="L537" s="120" t="n">
        <v>0</v>
      </c>
      <c r="M537" s="120" t="n">
        <v>0</v>
      </c>
      <c r="N537" s="120">
        <f>J537-K537-L537-M537</f>
        <v/>
      </c>
      <c r="O537" s="256" t="n"/>
      <c r="P537" s="256" t="n"/>
      <c r="Q537" s="256" t="n"/>
    </row>
    <row r="538">
      <c r="A538">
        <f>IF(DAY(D538)=DAY($L$1+1),A537+1,A537)</f>
        <v/>
      </c>
      <c r="B538" s="46">
        <f>IF(DAY(D538)=DAY($L$1+1),1,B537+1)</f>
        <v/>
      </c>
      <c r="C538" s="46">
        <f>IF(DAY(D538)=DAY($L$1+1),1,C537+1)</f>
        <v/>
      </c>
      <c r="D538" s="2">
        <f>D537+1</f>
        <v/>
      </c>
      <c r="E538" s="8">
        <f>IF(DAY(D538)=DAY($L$1+1),TRUNC((N537),8),E537)</f>
        <v/>
      </c>
      <c r="F538" s="49">
        <f>TRUNC(((1+VLOOKUP(A538,IPCA!$A$2:$C$140,3,0)))^(C538/(EDATE(D538-C538,1)-(D538-C538))),8)</f>
        <v/>
      </c>
      <c r="G538" s="49">
        <f>TRUNC((E538*F538),8)</f>
        <v/>
      </c>
      <c r="H538" s="49">
        <f>ROUND(((1+$H$4)^(30/360))^(C538/(EDATE(D538-B538,1)-(D538-B538))),9)</f>
        <v/>
      </c>
      <c r="I538" s="49">
        <f>TRUNC((G538*H538-G538),8)</f>
        <v/>
      </c>
      <c r="J538" s="49">
        <f>G538+I538</f>
        <v/>
      </c>
      <c r="K538" s="121">
        <f>K537*L535</f>
        <v/>
      </c>
      <c r="L538" s="121">
        <f>L537*L535</f>
        <v/>
      </c>
      <c r="M538" s="121">
        <f>M537*L535</f>
        <v/>
      </c>
      <c r="N538" s="121">
        <f>N537*L535</f>
        <v/>
      </c>
      <c r="O538" s="256" t="n"/>
      <c r="P538" s="256" t="n"/>
      <c r="Q538" s="256" t="n"/>
    </row>
    <row r="539">
      <c r="A539">
        <f>IF(DAY(D539)=DAY($L$1+1),A538+1,A538)</f>
        <v/>
      </c>
      <c r="B539" s="46">
        <f>IF(DAY(D539)=DAY($L$1+1),1,B538+1)</f>
        <v/>
      </c>
      <c r="C539" s="46">
        <f>IF(DAY(D539)=DAY($L$1+1),1,C538+1)</f>
        <v/>
      </c>
      <c r="D539" s="2">
        <f>D538+1</f>
        <v/>
      </c>
      <c r="E539" s="8">
        <f>IF(DAY(D539)=DAY($L$1+1),TRUNC((N538),8),E538)</f>
        <v/>
      </c>
      <c r="F539" s="49">
        <f>TRUNC(((1+VLOOKUP(A539,IPCA!$A$2:$C$140,3,0)))^(C539/(EDATE(D539-C539,1)-(D539-C539))),8)</f>
        <v/>
      </c>
      <c r="G539" s="49">
        <f>TRUNC((E539*F539),8)</f>
        <v/>
      </c>
      <c r="H539" s="49">
        <f>ROUND(((1+$H$4)^(30/360))^(C539/(EDATE(D539-B539,1)-(D539-B539))),9)</f>
        <v/>
      </c>
      <c r="I539" s="49">
        <f>TRUNC((G539*H539-G539),8)</f>
        <v/>
      </c>
      <c r="J539" s="49">
        <f>G539+I539</f>
        <v/>
      </c>
      <c r="K539" s="256" t="n"/>
      <c r="L539" s="256" t="n"/>
      <c r="M539" s="256" t="n"/>
      <c r="N539" s="256" t="n"/>
      <c r="O539" s="256" t="n"/>
      <c r="P539" s="256" t="n"/>
      <c r="Q539" s="256" t="n"/>
    </row>
    <row r="540">
      <c r="A540">
        <f>IF(DAY(D540)=DAY($L$1+1),A539+1,A539)</f>
        <v/>
      </c>
      <c r="B540" s="46">
        <f>IF(DAY(D540)=DAY($L$1+1),1,B539+1)</f>
        <v/>
      </c>
      <c r="C540" s="46">
        <f>IF(DAY(D540)=DAY($L$1+1),1,C539+1)</f>
        <v/>
      </c>
      <c r="D540" s="2">
        <f>D539+1</f>
        <v/>
      </c>
      <c r="E540" s="8">
        <f>IF(DAY(D540)=DAY($L$1+1),TRUNC((#REF!),8),E539)</f>
        <v/>
      </c>
      <c r="F540" s="49">
        <f>TRUNC(((1+VLOOKUP(A540,IPCA!$A$2:$C$140,3,0)))^(C540/(EDATE(D540-C540,1)-(D540-C540))),8)</f>
        <v/>
      </c>
      <c r="G540" s="49">
        <f>TRUNC((E540*F540),8)</f>
        <v/>
      </c>
      <c r="H540" s="49">
        <f>ROUND(((1+$H$4)^(30/360))^(C540/(EDATE(D540-B540,1)-(D540-B540))),9)</f>
        <v/>
      </c>
      <c r="I540" s="49">
        <f>TRUNC((G540*H540-G540),8)</f>
        <v/>
      </c>
      <c r="J540" s="49">
        <f>G540+I540</f>
        <v/>
      </c>
      <c r="K540" s="256" t="n"/>
      <c r="L540" s="256" t="n"/>
      <c r="M540" s="256" t="n"/>
      <c r="N540" s="256" t="n"/>
      <c r="O540" s="256" t="n"/>
      <c r="P540" s="256" t="n"/>
      <c r="Q540" s="256" t="n"/>
    </row>
    <row r="541">
      <c r="A541">
        <f>IF(DAY(D541)=DAY($L$1+1),A540+1,A540)</f>
        <v/>
      </c>
      <c r="B541" s="46">
        <f>IF(DAY(D541)=DAY($L$1+1),1,B540+1)</f>
        <v/>
      </c>
      <c r="C541" s="46">
        <f>IF(DAY(D541)=DAY($L$1+1),1,C540+1)</f>
        <v/>
      </c>
      <c r="D541" s="2">
        <f>D540+1</f>
        <v/>
      </c>
      <c r="E541" s="8">
        <f>IF(DAY(D541)=DAY($L$1+1),TRUNC((#REF!),8),E540)</f>
        <v/>
      </c>
      <c r="F541" s="49">
        <f>TRUNC(((1+VLOOKUP(A541,IPCA!$A$2:$C$140,3,0)))^(C541/(EDATE(D541-C541,1)-(D541-C541))),8)</f>
        <v/>
      </c>
      <c r="G541" s="49">
        <f>TRUNC((E541*F541),8)</f>
        <v/>
      </c>
      <c r="H541" s="49">
        <f>ROUND(((1+$H$4)^(30/360))^(C541/(EDATE(D541-B541,1)-(D541-B541))),9)</f>
        <v/>
      </c>
      <c r="I541" s="49">
        <f>TRUNC((G541*H541-G541),8)</f>
        <v/>
      </c>
      <c r="J541" s="49">
        <f>G541+I541</f>
        <v/>
      </c>
      <c r="K541" s="256" t="n"/>
      <c r="L541" s="256" t="n"/>
      <c r="M541" s="256" t="n"/>
      <c r="N541" s="256" t="n"/>
      <c r="O541" s="256" t="n"/>
      <c r="P541" s="256" t="n"/>
      <c r="Q541" s="256" t="n"/>
    </row>
    <row r="542">
      <c r="A542">
        <f>IF(DAY(D542)=DAY($L$1+1),A541+1,A541)</f>
        <v/>
      </c>
      <c r="B542" s="46">
        <f>IF(DAY(D542)=DAY($L$1+1),1,B541+1)</f>
        <v/>
      </c>
      <c r="C542" s="46">
        <f>IF(DAY(D542)=DAY($L$1+1),1,C541+1)</f>
        <v/>
      </c>
      <c r="D542" s="2">
        <f>D541+1</f>
        <v/>
      </c>
      <c r="E542" s="8">
        <f>IF(DAY(D542)=DAY($L$1+1),TRUNC((#REF!),8),E541)</f>
        <v/>
      </c>
      <c r="F542" s="49">
        <f>TRUNC(((1+VLOOKUP(A542,IPCA!$A$2:$C$140,3,0)))^(C542/(EDATE(D542-C542,1)-(D542-C542))),8)</f>
        <v/>
      </c>
      <c r="G542" s="49">
        <f>TRUNC((E542*F542),8)</f>
        <v/>
      </c>
      <c r="H542" s="49">
        <f>ROUND(((1+$H$4)^(30/360))^(C542/(EDATE(D542-B542,1)-(D542-B542))),9)</f>
        <v/>
      </c>
      <c r="I542" s="49">
        <f>TRUNC((G542*H542-G542),8)</f>
        <v/>
      </c>
      <c r="J542" s="49">
        <f>G542+I542</f>
        <v/>
      </c>
      <c r="K542" s="256" t="n"/>
      <c r="L542" s="256" t="n"/>
      <c r="M542" s="256" t="n"/>
      <c r="N542" s="256" t="n"/>
      <c r="O542" s="256" t="n"/>
      <c r="P542" s="256" t="n"/>
      <c r="Q542" s="256" t="n"/>
    </row>
    <row r="543">
      <c r="A543">
        <f>IF(DAY(D543)=DAY($L$1+1),A542+1,A542)</f>
        <v/>
      </c>
      <c r="B543" s="46">
        <f>IF(DAY(D543)=DAY($L$1+1),1,B542+1)</f>
        <v/>
      </c>
      <c r="C543" s="46">
        <f>IF(DAY(D543)=DAY($L$1+1),1,C542+1)</f>
        <v/>
      </c>
      <c r="D543" s="2">
        <f>D542+1</f>
        <v/>
      </c>
      <c r="E543" s="8">
        <f>IF(DAY(D543)=DAY($L$1+1),TRUNC((#REF!),8),E542)</f>
        <v/>
      </c>
      <c r="F543" s="49">
        <f>TRUNC(((1+VLOOKUP(A543,IPCA!$A$2:$C$140,3,0)))^(C543/(EDATE(D543-C543,1)-(D543-C543))),8)</f>
        <v/>
      </c>
      <c r="G543" s="49">
        <f>TRUNC((E543*F543),8)</f>
        <v/>
      </c>
      <c r="H543" s="49">
        <f>ROUND(((1+$H$4)^(30/360))^(C543/(EDATE(D543-B543,1)-(D543-B543))),9)</f>
        <v/>
      </c>
      <c r="I543" s="49">
        <f>TRUNC((G543*H543-G543),8)</f>
        <v/>
      </c>
      <c r="J543" s="49">
        <f>G543+I543</f>
        <v/>
      </c>
      <c r="K543" s="256" t="n"/>
      <c r="L543" s="256" t="n"/>
      <c r="M543" s="256" t="n"/>
      <c r="N543" s="256" t="n"/>
      <c r="O543" s="256" t="n"/>
      <c r="P543" s="256" t="n"/>
      <c r="Q543" s="256" t="n"/>
    </row>
    <row r="544">
      <c r="A544">
        <f>IF(DAY(D544)=DAY($L$1+1),A543+1,A543)</f>
        <v/>
      </c>
      <c r="B544" s="46">
        <f>IF(DAY(D544)=DAY($L$1+1),1,B543+1)</f>
        <v/>
      </c>
      <c r="C544" s="46">
        <f>IF(DAY(D544)=DAY($L$1+1),1,C543+1)</f>
        <v/>
      </c>
      <c r="D544" s="2">
        <f>D543+1</f>
        <v/>
      </c>
      <c r="E544" s="8">
        <f>IF(DAY(D544)=DAY($L$1+1),TRUNC((#REF!),8),E543)</f>
        <v/>
      </c>
      <c r="F544" s="49">
        <f>TRUNC(((1+VLOOKUP(A544,IPCA!$A$2:$C$140,3,0)))^(C544/(EDATE(D544-C544,1)-(D544-C544))),8)</f>
        <v/>
      </c>
      <c r="G544" s="49">
        <f>TRUNC((E544*F544),8)</f>
        <v/>
      </c>
      <c r="H544" s="49">
        <f>ROUND(((1+$H$4)^(30/360))^(C544/(EDATE(D544-B544,1)-(D544-B544))),9)</f>
        <v/>
      </c>
      <c r="I544" s="49">
        <f>TRUNC((G544*H544-G544),8)</f>
        <v/>
      </c>
      <c r="J544" s="49">
        <f>G544+I544</f>
        <v/>
      </c>
      <c r="K544" s="256" t="n"/>
      <c r="L544" s="256" t="n"/>
      <c r="M544" s="256" t="n"/>
      <c r="N544" s="256" t="n"/>
      <c r="O544" s="256" t="n"/>
      <c r="P544" s="256" t="n"/>
      <c r="Q544" s="256" t="n"/>
    </row>
    <row r="545">
      <c r="A545">
        <f>IF(DAY(D545)=DAY($L$1+1),A544+1,A544)</f>
        <v/>
      </c>
      <c r="B545" s="46">
        <f>IF(DAY(D545)=DAY($L$1+1),1,B544+1)</f>
        <v/>
      </c>
      <c r="C545" s="46">
        <f>IF(DAY(D545)=DAY($L$1+1),1,C544+1)</f>
        <v/>
      </c>
      <c r="D545" s="2">
        <f>D544+1</f>
        <v/>
      </c>
      <c r="E545" s="8">
        <f>IF(DAY(D545)=DAY($L$1+1),TRUNC((#REF!),8),E544)</f>
        <v/>
      </c>
      <c r="F545" s="49">
        <f>TRUNC(((1+VLOOKUP(A545,IPCA!$A$2:$C$140,3,0)))^(C545/(EDATE(D545-C545,1)-(D545-C545))),8)</f>
        <v/>
      </c>
      <c r="G545" s="49">
        <f>TRUNC((E545*F545),8)</f>
        <v/>
      </c>
      <c r="H545" s="49">
        <f>ROUND(((1+$H$4)^(30/360))^(C545/(EDATE(D545-B545,1)-(D545-B545))),9)</f>
        <v/>
      </c>
      <c r="I545" s="49">
        <f>TRUNC((G545*H545-G545),8)</f>
        <v/>
      </c>
      <c r="J545" s="49">
        <f>G545+I545</f>
        <v/>
      </c>
      <c r="K545" s="256" t="n"/>
      <c r="L545" s="256" t="n"/>
      <c r="M545" s="256" t="n"/>
      <c r="N545" s="256" t="n"/>
      <c r="O545" s="256" t="n"/>
      <c r="P545" s="256" t="n"/>
      <c r="Q545" s="256" t="n"/>
    </row>
    <row r="546">
      <c r="A546">
        <f>IF(DAY(D546)=DAY($L$1+1),A545+1,A545)</f>
        <v/>
      </c>
      <c r="B546" s="46">
        <f>IF(DAY(D546)=DAY($L$1+1),1,B545+1)</f>
        <v/>
      </c>
      <c r="C546" s="46">
        <f>IF(DAY(D546)=DAY($L$1+1),1,C545+1)</f>
        <v/>
      </c>
      <c r="D546" s="2">
        <f>D545+1</f>
        <v/>
      </c>
      <c r="E546" s="8">
        <f>IF(DAY(D546)=DAY($L$1+1),TRUNC((#REF!),8),E545)</f>
        <v/>
      </c>
      <c r="F546" s="49">
        <f>TRUNC(((1+VLOOKUP(A546,IPCA!$A$2:$C$140,3,0)))^(C546/(EDATE(D546-C546,1)-(D546-C546))),8)</f>
        <v/>
      </c>
      <c r="G546" s="49">
        <f>TRUNC((E546*F546),8)</f>
        <v/>
      </c>
      <c r="H546" s="49">
        <f>ROUND(((1+$H$4)^(30/360))^(C546/(EDATE(D546-B546,1)-(D546-B546))),9)</f>
        <v/>
      </c>
      <c r="I546" s="49">
        <f>TRUNC((G546*H546-G546),8)</f>
        <v/>
      </c>
      <c r="J546" s="49">
        <f>G546+I546</f>
        <v/>
      </c>
      <c r="K546" s="256" t="n"/>
      <c r="L546" s="256" t="n"/>
      <c r="M546" s="256" t="n"/>
      <c r="N546" s="256" t="n"/>
      <c r="O546" s="256" t="n"/>
      <c r="P546" s="256" t="n"/>
      <c r="Q546" s="256" t="n"/>
    </row>
    <row r="547">
      <c r="A547">
        <f>IF(DAY(D547)=DAY($L$1+1),A546+1,A546)</f>
        <v/>
      </c>
      <c r="B547" s="46">
        <f>IF(DAY(D547)=DAY($L$1+1),1,B546+1)</f>
        <v/>
      </c>
      <c r="C547" s="46">
        <f>IF(DAY(D547)=DAY($L$1+1),1,C546+1)</f>
        <v/>
      </c>
      <c r="D547" s="2">
        <f>D546+1</f>
        <v/>
      </c>
      <c r="E547" s="8">
        <f>IF(DAY(D547)=DAY($L$1+1),TRUNC((N546),8),E546)</f>
        <v/>
      </c>
      <c r="F547" s="49">
        <f>TRUNC(((1+VLOOKUP(A547,IPCA!$A$2:$C$140,3,0)))^(C547/(EDATE(D547-C547,1)-(D547-C547))),8)</f>
        <v/>
      </c>
      <c r="G547" s="49">
        <f>TRUNC((E547*F547),8)</f>
        <v/>
      </c>
      <c r="H547" s="49">
        <f>ROUND(((1+$H$4)^(30/360))^(C547/(EDATE(D547-B547,1)-(D547-B547))),9)</f>
        <v/>
      </c>
      <c r="I547" s="49">
        <f>TRUNC((G547*H547-G547),8)</f>
        <v/>
      </c>
      <c r="J547" s="49">
        <f>G547+I547</f>
        <v/>
      </c>
      <c r="K547" s="256" t="n"/>
      <c r="L547" s="256" t="n"/>
      <c r="M547" s="256" t="n"/>
      <c r="N547" s="256" t="n"/>
      <c r="O547" s="256" t="n"/>
      <c r="P547" s="256" t="n"/>
      <c r="Q547" s="256" t="n"/>
    </row>
    <row r="548">
      <c r="A548">
        <f>IF(DAY(D548)=DAY($L$1+1),A547+1,A547)</f>
        <v/>
      </c>
      <c r="B548" s="46">
        <f>IF(DAY(D548)=DAY($L$1+1),1,B547+1)</f>
        <v/>
      </c>
      <c r="C548" s="46">
        <f>IF(DAY(D548)=DAY($L$1+1),1,C547+1)</f>
        <v/>
      </c>
      <c r="D548" s="2">
        <f>D547+1</f>
        <v/>
      </c>
      <c r="E548" s="8">
        <f>IF(DAY(D548)=DAY($L$1+1),TRUNC((N547),8),E547)</f>
        <v/>
      </c>
      <c r="F548" s="49">
        <f>TRUNC(((1+VLOOKUP(A548,IPCA!$A$2:$C$140,3,0)))^(C548/(EDATE(D548-C548,1)-(D548-C548))),8)</f>
        <v/>
      </c>
      <c r="G548" s="49">
        <f>TRUNC((E548*F548),8)</f>
        <v/>
      </c>
      <c r="H548" s="49">
        <f>ROUND(((1+$H$4)^(30/360))^(C548/(EDATE(D548-B548,1)-(D548-B548))),9)</f>
        <v/>
      </c>
      <c r="I548" s="49">
        <f>TRUNC((G548*H548-G548),8)</f>
        <v/>
      </c>
      <c r="J548" s="49">
        <f>G548+I548</f>
        <v/>
      </c>
      <c r="K548" s="256" t="n"/>
      <c r="L548" s="256" t="n"/>
      <c r="M548" s="256" t="n"/>
      <c r="N548" s="256" t="n"/>
      <c r="O548" s="256" t="n"/>
      <c r="P548" s="256" t="n"/>
      <c r="Q548" s="256" t="n"/>
    </row>
    <row r="549">
      <c r="A549">
        <f>IF(DAY(D549)=DAY($L$1+1),A548+1,A548)</f>
        <v/>
      </c>
      <c r="B549" s="46">
        <f>IF(DAY(D549)=DAY($L$1+1),1,B548+1)</f>
        <v/>
      </c>
      <c r="C549" s="46">
        <f>IF(DAY(D549)=DAY($L$1+1),1,C548+1)</f>
        <v/>
      </c>
      <c r="D549" s="2">
        <f>D548+1</f>
        <v/>
      </c>
      <c r="E549" s="8">
        <f>IF(DAY(D549)=DAY($L$1+1),TRUNC((N548),8),E548)</f>
        <v/>
      </c>
      <c r="F549" s="49">
        <f>TRUNC(((1+VLOOKUP(A549,IPCA!$A$2:$C$140,3,0)))^(C549/(EDATE(D549-C549,1)-(D549-C549))),8)</f>
        <v/>
      </c>
      <c r="G549" s="49">
        <f>TRUNC((E549*F549),8)</f>
        <v/>
      </c>
      <c r="H549" s="49">
        <f>ROUND(((1+$H$4)^(30/360))^(C549/(EDATE(D549-B549,1)-(D549-B549))),9)</f>
        <v/>
      </c>
      <c r="I549" s="49">
        <f>TRUNC((G549*H549-G549),8)</f>
        <v/>
      </c>
      <c r="J549" s="49">
        <f>G549+I549</f>
        <v/>
      </c>
      <c r="K549" s="256" t="n"/>
      <c r="L549" s="256" t="n"/>
      <c r="M549" s="256" t="n"/>
      <c r="N549" s="256" t="n"/>
      <c r="O549" s="256" t="n"/>
      <c r="P549" s="256" t="n"/>
      <c r="Q549" s="256" t="n"/>
    </row>
    <row r="550">
      <c r="A550">
        <f>IF(DAY(D550)=DAY($L$1+1),A549+1,A549)</f>
        <v/>
      </c>
      <c r="B550" s="46">
        <f>IF(DAY(D550)=DAY($L$1+1),1,B549+1)</f>
        <v/>
      </c>
      <c r="C550" s="46">
        <f>IF(DAY(D550)=DAY($L$1+1),1,C549+1)</f>
        <v/>
      </c>
      <c r="D550" s="2">
        <f>D549+1</f>
        <v/>
      </c>
      <c r="E550" s="8">
        <f>IF(DAY(D550)=DAY($L$1+1),TRUNC((N549),8),E549)</f>
        <v/>
      </c>
      <c r="F550" s="49">
        <f>TRUNC(((1+VLOOKUP(A550,IPCA!$A$2:$C$140,3,0)))^(C550/(EDATE(D550-C550,1)-(D550-C550))),8)</f>
        <v/>
      </c>
      <c r="G550" s="49">
        <f>TRUNC((E550*F550),8)</f>
        <v/>
      </c>
      <c r="H550" s="49">
        <f>ROUND(((1+$H$4)^(30/360))^(C550/(EDATE(D550-B550,1)-(D550-B550))),9)</f>
        <v/>
      </c>
      <c r="I550" s="49">
        <f>TRUNC((G550*H550-G550),8)</f>
        <v/>
      </c>
      <c r="J550" s="49">
        <f>G550+I550</f>
        <v/>
      </c>
      <c r="K550" s="195" t="n"/>
      <c r="L550" s="256" t="n"/>
      <c r="M550" s="256" t="n"/>
      <c r="N550" s="256" t="n"/>
      <c r="O550" s="256" t="n"/>
      <c r="P550" s="256" t="n"/>
      <c r="Q550" s="256" t="n"/>
    </row>
    <row r="551">
      <c r="A551">
        <f>IF(DAY(D551)=DAY($L$1+1),A550+1,A550)</f>
        <v/>
      </c>
      <c r="B551" s="46">
        <f>IF(DAY(D551)=DAY($L$1+1),1,B550+1)</f>
        <v/>
      </c>
      <c r="C551" s="46">
        <f>IF(DAY(D551)=DAY($L$1+1),1,C550+1)</f>
        <v/>
      </c>
      <c r="D551" s="2">
        <f>D550+1</f>
        <v/>
      </c>
      <c r="E551" s="8">
        <f>IF(DAY(D551)=DAY($L$1+1),TRUNC((N550),8),E550)</f>
        <v/>
      </c>
      <c r="F551" s="49">
        <f>TRUNC(((1+VLOOKUP(A551,IPCA!$A$2:$C$140,3,0)))^(C551/(EDATE(D551-C551,1)-(D551-C551))),8)</f>
        <v/>
      </c>
      <c r="G551" s="49">
        <f>TRUNC((E551*F551),8)</f>
        <v/>
      </c>
      <c r="H551" s="49">
        <f>ROUND(((1+$H$4)^(30/360))^(C551/(EDATE(D551-B551,1)-(D551-B551))),9)</f>
        <v/>
      </c>
      <c r="I551" s="49">
        <f>TRUNC((G551*H551-G551),8)</f>
        <v/>
      </c>
      <c r="J551" s="49">
        <f>G551+I551</f>
        <v/>
      </c>
      <c r="K551" s="256" t="inlineStr">
        <is>
          <t>R$ 1.20352997</t>
        </is>
      </c>
      <c r="L551" s="256" t="n"/>
      <c r="M551" s="256" t="n"/>
      <c r="N551" s="256" t="n"/>
      <c r="O551" s="256" t="n"/>
      <c r="P551" s="256" t="n"/>
      <c r="Q551" s="256" t="n"/>
    </row>
    <row r="552">
      <c r="A552">
        <f>IF(DAY(D552)=DAY($L$1+1),A551+1,A551)</f>
        <v/>
      </c>
      <c r="B552" s="46">
        <f>IF(DAY(D552)=DAY($L$1+1),1,B551+1)</f>
        <v/>
      </c>
      <c r="C552" s="46">
        <f>IF(DAY(D552)=DAY($L$1+1),1,C551+1)</f>
        <v/>
      </c>
      <c r="D552" s="2">
        <f>D551+1</f>
        <v/>
      </c>
      <c r="E552" s="8">
        <f>IF(DAY(D552)=DAY($L$1+1),TRUNC((N551),8),E551)</f>
        <v/>
      </c>
      <c r="F552" s="49">
        <f>TRUNC(((1+VLOOKUP(A552,IPCA!$A$2:$C$140,3,0)))^(C552/(EDATE(D552-C552,1)-(D552-C552))),8)</f>
        <v/>
      </c>
      <c r="G552" s="49">
        <f>TRUNC((E552*F552),8)</f>
        <v/>
      </c>
      <c r="H552" s="49">
        <f>ROUND(((1+$H$4)^(30/360))^(C552/(EDATE(D552-B552,1)-(D552-B552))),9)</f>
        <v/>
      </c>
      <c r="I552" s="49">
        <f>TRUNC((G552*H552-G552),8)</f>
        <v/>
      </c>
      <c r="J552" s="49">
        <f>G552+I552</f>
        <v/>
      </c>
      <c r="K552" s="256" t="n"/>
      <c r="L552" s="256" t="n"/>
      <c r="M552" s="256" t="n"/>
      <c r="N552" s="256" t="n"/>
      <c r="O552" s="256" t="n"/>
      <c r="P552" s="256" t="n"/>
      <c r="Q552" s="256" t="n"/>
    </row>
    <row r="553">
      <c r="A553">
        <f>IF(DAY(D553)=DAY($L$1+1),A552+1,A552)</f>
        <v/>
      </c>
      <c r="B553" s="46">
        <f>IF(DAY(D553)=DAY($L$1+1),1,B552+1)</f>
        <v/>
      </c>
      <c r="C553" s="46">
        <f>IF(DAY(D553)=DAY($L$1+1),1,C552+1)</f>
        <v/>
      </c>
      <c r="D553" s="2">
        <f>D552+1</f>
        <v/>
      </c>
      <c r="E553" s="8">
        <f>IF(DAY(D553)=DAY($L$1+1),TRUNC((N552),8),E552)</f>
        <v/>
      </c>
      <c r="F553" s="49">
        <f>TRUNC(((1+VLOOKUP(A553,IPCA!$A$2:$C$140,3,0)))^(C553/(EDATE(D553-C553,1)-(D553-C553))),8)</f>
        <v/>
      </c>
      <c r="G553" s="49">
        <f>TRUNC((E553*F553),8)</f>
        <v/>
      </c>
      <c r="H553" s="49">
        <f>ROUND(((1+$H$4)^(30/360))^(C553/(EDATE(D553-B553,1)-(D553-B553))),9)</f>
        <v/>
      </c>
      <c r="I553" s="49">
        <f>TRUNC((G553*H553-G553),8)</f>
        <v/>
      </c>
      <c r="J553" s="49">
        <f>G553+I553</f>
        <v/>
      </c>
      <c r="K553" s="123" t="n"/>
      <c r="L553" s="271" t="n"/>
      <c r="M553" s="256" t="n"/>
      <c r="N553" s="256" t="n"/>
      <c r="O553" s="256" t="n"/>
      <c r="P553" s="256" t="n"/>
      <c r="Q553" s="256" t="n"/>
    </row>
    <row r="554">
      <c r="A554">
        <f>IF(DAY(D554)=DAY($L$1+1),A553+1,A553)</f>
        <v/>
      </c>
      <c r="B554" s="46">
        <f>IF(DAY(D554)=DAY($L$1+1),1,B553+1)</f>
        <v/>
      </c>
      <c r="C554" s="46">
        <f>IF(DAY(D554)=DAY($L$1+1),1,C553+1)</f>
        <v/>
      </c>
      <c r="D554" s="2">
        <f>D553+1</f>
        <v/>
      </c>
      <c r="E554" s="8">
        <f>IF(DAY(D554)=DAY($L$1+1),TRUNC((N553),8),E553)</f>
        <v/>
      </c>
      <c r="F554" s="49">
        <f>TRUNC(((1+VLOOKUP(A554,IPCA!$A$2:$C$140,3,0)))^(C554/(EDATE(D554-C554,1)-(D554-C554))),8)</f>
        <v/>
      </c>
      <c r="G554" s="49">
        <f>TRUNC((E554*F554),8)</f>
        <v/>
      </c>
      <c r="H554" s="49">
        <f>ROUND(((1+$H$4)^(30/360))^(C554/(EDATE(D554-B554,1)-(D554-B554))),9)</f>
        <v/>
      </c>
      <c r="I554" s="49">
        <f>TRUNC((G554*H554-G554),8)</f>
        <v/>
      </c>
      <c r="J554" s="49">
        <f>G554+I554</f>
        <v/>
      </c>
      <c r="K554" s="256" t="n"/>
      <c r="L554" s="256" t="n"/>
      <c r="M554" s="256" t="n"/>
      <c r="N554" s="256" t="n"/>
      <c r="O554" s="256" t="n"/>
      <c r="P554" s="256" t="n"/>
      <c r="Q554" s="256" t="n"/>
    </row>
    <row r="555">
      <c r="A555">
        <f>IF(DAY(D555)=DAY($L$1+1),A554+1,A554)</f>
        <v/>
      </c>
      <c r="B555" s="46">
        <f>IF(DAY(D555)=DAY($L$1+1),1,B554+1)</f>
        <v/>
      </c>
      <c r="C555" s="46">
        <f>IF(DAY(D555)=DAY($L$1+1),1,C554+1)</f>
        <v/>
      </c>
      <c r="D555" s="2">
        <f>D554+1</f>
        <v/>
      </c>
      <c r="E555" s="8">
        <f>IF(DAY(D555)=DAY($L$1+1),TRUNC((N554),8),E554)</f>
        <v/>
      </c>
      <c r="F555" s="49">
        <f>TRUNC(((1+VLOOKUP(A555,IPCA!$A$2:$C$140,3,0)))^(C555/(EDATE(D555-C555,1)-(D555-C555))),8)</f>
        <v/>
      </c>
      <c r="G555" s="49">
        <f>TRUNC((E555*F555),8)</f>
        <v/>
      </c>
      <c r="H555" s="49">
        <f>ROUND(((1+$H$4)^(30/360))^(C555/(EDATE(D555-B555,1)-(D555-B555))),9)</f>
        <v/>
      </c>
      <c r="I555" s="49">
        <f>TRUNC((G555*H555-G555),8)</f>
        <v/>
      </c>
      <c r="J555" s="49">
        <f>G555+I555</f>
        <v/>
      </c>
      <c r="K555" s="256" t="n"/>
      <c r="L555" s="256" t="n"/>
      <c r="M555" s="256" t="n"/>
      <c r="N555" s="256" t="n"/>
      <c r="O555" s="256" t="n"/>
      <c r="P555" s="256" t="n"/>
      <c r="Q555" s="256" t="n"/>
    </row>
    <row r="556">
      <c r="A556">
        <f>IF(DAY(D556)=DAY($L$1+1),A555+1,A555)</f>
        <v/>
      </c>
      <c r="B556" s="46">
        <f>IF(DAY(D556)=DAY($L$1+1),1,B555+1)</f>
        <v/>
      </c>
      <c r="C556" s="46">
        <f>IF(DAY(D556)=DAY($L$1+1),1,C555+1)</f>
        <v/>
      </c>
      <c r="D556" s="2">
        <f>D555+1</f>
        <v/>
      </c>
      <c r="E556" s="8">
        <f>IF(DAY(D556)=DAY($L$1+1),TRUNC((N555),8),E555)</f>
        <v/>
      </c>
      <c r="F556" s="49">
        <f>TRUNC(((1+VLOOKUP(A556,IPCA!$A$2:$C$140,3,0)))^(C556/(EDATE(D556-C556,1)-(D556-C556))),8)</f>
        <v/>
      </c>
      <c r="G556" s="49">
        <f>TRUNC((E556*F556),8)</f>
        <v/>
      </c>
      <c r="H556" s="49">
        <f>ROUND(((1+$H$4)^(30/360))^(C556/(EDATE(D556-B556,1)-(D556-B556))),9)</f>
        <v/>
      </c>
      <c r="I556" s="49">
        <f>TRUNC((G556*H556-G556),8)</f>
        <v/>
      </c>
      <c r="J556" s="49">
        <f>G556+I556</f>
        <v/>
      </c>
      <c r="K556" s="256" t="n"/>
      <c r="L556" s="256" t="n"/>
      <c r="M556" s="256" t="n"/>
      <c r="N556" s="256" t="n"/>
      <c r="O556" s="256" t="n"/>
      <c r="P556" s="256" t="n"/>
      <c r="Q556" s="256" t="n"/>
    </row>
    <row r="557">
      <c r="A557">
        <f>IF(DAY(D557)=DAY($L$1+1),A556+1,A556)</f>
        <v/>
      </c>
      <c r="B557" s="46">
        <f>IF(DAY(D557)=DAY($L$1+1),1,B556+1)</f>
        <v/>
      </c>
      <c r="C557" s="46">
        <f>IF(DAY(D557)=DAY($L$1+1),1,C556+1)</f>
        <v/>
      </c>
      <c r="D557" s="2">
        <f>D556+1</f>
        <v/>
      </c>
      <c r="E557" s="8">
        <f>IF(DAY(D557)=DAY($L$1+1),TRUNC((N556),8),E556)</f>
        <v/>
      </c>
      <c r="F557" s="49">
        <f>TRUNC(((1+VLOOKUP(A557,IPCA!$A$2:$C$140,3,0)))^(C557/(EDATE(D557-C557,1)-(D557-C557))),8)</f>
        <v/>
      </c>
      <c r="G557" s="49">
        <f>TRUNC((E557*F557),8)</f>
        <v/>
      </c>
      <c r="H557" s="49">
        <f>ROUND(((1+$H$4)^(30/360))^(C557/(EDATE(D557-B557,1)-(D557-B557))),9)</f>
        <v/>
      </c>
      <c r="I557" s="49">
        <f>TRUNC((G557*H557-G557),8)</f>
        <v/>
      </c>
      <c r="J557" s="49">
        <f>G557+I557</f>
        <v/>
      </c>
      <c r="K557" s="256" t="n"/>
      <c r="L557" s="256" t="n"/>
      <c r="M557" s="256" t="n"/>
      <c r="N557" s="256" t="n"/>
      <c r="O557" s="256" t="n"/>
      <c r="P557" s="256" t="n"/>
      <c r="Q557" s="256" t="n"/>
    </row>
    <row r="558">
      <c r="A558">
        <f>IF(DAY(D558)=DAY($L$1+1),A557+1,A557)</f>
        <v/>
      </c>
      <c r="B558" s="46">
        <f>IF(DAY(D558)=DAY($L$1+1),1,B557+1)</f>
        <v/>
      </c>
      <c r="C558" s="46">
        <f>IF(DAY(D558)=DAY($L$1+1),1,C557+1)</f>
        <v/>
      </c>
      <c r="D558" s="2">
        <f>D557+1</f>
        <v/>
      </c>
      <c r="E558" s="8">
        <f>IF(DAY(D558)=DAY($L$1+1),TRUNC((N557),8),E557)</f>
        <v/>
      </c>
      <c r="F558" s="49">
        <f>TRUNC(((1+VLOOKUP(A558,IPCA!$A$2:$C$140,3,0)))^(C558/(EDATE(D558-C558,1)-(D558-C558))),8)</f>
        <v/>
      </c>
      <c r="G558" s="49">
        <f>TRUNC((E558*F558),8)</f>
        <v/>
      </c>
      <c r="H558" s="49">
        <f>ROUND(((1+$H$4)^(30/360))^(C558/(EDATE(D558-B558,1)-(D558-B558))),9)</f>
        <v/>
      </c>
      <c r="I558" s="49">
        <f>TRUNC((G558*H558-G558),8)</f>
        <v/>
      </c>
      <c r="J558" s="49">
        <f>G558+I558</f>
        <v/>
      </c>
      <c r="K558" s="256" t="n"/>
      <c r="L558" s="256" t="n"/>
      <c r="M558" s="256" t="n"/>
      <c r="N558" s="256" t="n"/>
      <c r="O558" s="256" t="n"/>
      <c r="P558" s="256" t="n"/>
      <c r="Q558" s="256" t="n"/>
    </row>
    <row r="559">
      <c r="A559">
        <f>IF(DAY(D559)=DAY($L$1+1),A558+1,A558)</f>
        <v/>
      </c>
      <c r="B559" s="46">
        <f>IF(DAY(D559)=DAY($L$1+1),1,B558+1)</f>
        <v/>
      </c>
      <c r="C559" s="46">
        <f>IF(DAY(D559)=DAY($L$1+1),1,C558+1)</f>
        <v/>
      </c>
      <c r="D559" s="2">
        <f>D558+1</f>
        <v/>
      </c>
      <c r="E559" s="8">
        <f>IF(DAY(D559)=DAY($L$1+1),TRUNC((N558),8),E558)</f>
        <v/>
      </c>
      <c r="F559" s="49">
        <f>TRUNC(((1+VLOOKUP(A559,IPCA!$A$2:$C$140,3,0)))^(C559/(EDATE(D559-C559,1)-(D559-C559))),8)</f>
        <v/>
      </c>
      <c r="G559" s="49">
        <f>TRUNC((E559*F559),8)</f>
        <v/>
      </c>
      <c r="H559" s="49">
        <f>ROUND(((1+$H$4)^(30/360))^(C559/(EDATE(D559-B559,1)-(D559-B559))),9)</f>
        <v/>
      </c>
      <c r="I559" s="49">
        <f>TRUNC((G559*H559-G559),8)</f>
        <v/>
      </c>
      <c r="J559" s="49">
        <f>G559+I559</f>
        <v/>
      </c>
      <c r="K559" s="256" t="n"/>
      <c r="L559" s="256" t="n"/>
      <c r="M559" s="256" t="n"/>
      <c r="N559" s="256" t="n"/>
      <c r="O559" s="256" t="n"/>
      <c r="P559" s="256" t="n"/>
      <c r="Q559" s="256" t="n"/>
    </row>
    <row r="560">
      <c r="A560">
        <f>IF(DAY(D560)=DAY($L$1+1),A559+1,A559)</f>
        <v/>
      </c>
      <c r="B560" s="221">
        <f>IF(DAY(D560)=DAY($L$1+1),1,B559+1)</f>
        <v/>
      </c>
      <c r="C560" s="221">
        <f>IF(DAY(D560)=DAY($L$1+1),1,C559+1)</f>
        <v/>
      </c>
      <c r="D560" s="222">
        <f>D559+1</f>
        <v/>
      </c>
      <c r="E560" s="223">
        <f>IF(DAY(D560)=DAY($L$1+1),TRUNC((N559),8),E559)</f>
        <v/>
      </c>
      <c r="F560" s="224">
        <f>TRUNC(((1+VLOOKUP(A560,IPCA!$A$2:$C$140,3,0)))^(C560/(EDATE(D560-C560,1)-(D560-C560))),8)</f>
        <v/>
      </c>
      <c r="G560" s="224">
        <f>TRUNC((E560*F560),8)</f>
        <v/>
      </c>
      <c r="H560" s="224">
        <f>ROUND(((1+$H$4)^(30/360))^(C560/(EDATE(D560-B560,1)-(D560-B560))),9)</f>
        <v/>
      </c>
      <c r="I560" s="224">
        <f>TRUNC((G560*H560-G560),8)</f>
        <v/>
      </c>
      <c r="J560" s="224">
        <f>G560+I560</f>
        <v/>
      </c>
      <c r="K560" s="225" t="n">
        <v>3313576</v>
      </c>
      <c r="L560" s="256" t="n"/>
      <c r="M560" s="256" t="n"/>
      <c r="N560" s="256" t="n"/>
      <c r="O560" s="256" t="n"/>
      <c r="P560" s="256" t="n"/>
      <c r="Q560" s="256" t="n"/>
    </row>
    <row r="561">
      <c r="A561">
        <f>IF(DAY(D561)=DAY($L$1+1),A560+1,A560)</f>
        <v/>
      </c>
      <c r="B561" s="46">
        <f>IF(DAY(D561)=DAY($L$1+1),1,B560+1)</f>
        <v/>
      </c>
      <c r="C561" s="46">
        <f>IF(DAY(D561)=DAY($L$1+1),1,C560+1)</f>
        <v/>
      </c>
      <c r="D561" s="2">
        <f>D560+1</f>
        <v/>
      </c>
      <c r="E561" s="8">
        <f>IF(DAY(D561)=DAY($L$1+1),TRUNC((N560),8),E560)</f>
        <v/>
      </c>
      <c r="F561" s="49">
        <f>TRUNC(((1+VLOOKUP(A561,IPCA!$A$2:$C$140,3,0)))^(C561/(EDATE(D561-C561,1)-(D561-C561))),8)</f>
        <v/>
      </c>
      <c r="G561" s="49">
        <f>TRUNC((E561*F561),8)</f>
        <v/>
      </c>
      <c r="H561" s="49">
        <f>ROUND(((1+$H$4)^(30/360))^(C561/(EDATE(D561-B561,1)-(D561-B561))),9)</f>
        <v/>
      </c>
      <c r="I561" s="49">
        <f>TRUNC((G561*H561-G561),8)</f>
        <v/>
      </c>
      <c r="J561" s="49">
        <f>G561+I561</f>
        <v/>
      </c>
      <c r="K561" s="256" t="n"/>
      <c r="L561" s="256" t="n"/>
      <c r="M561" s="256" t="n"/>
      <c r="N561" s="256" t="n"/>
      <c r="O561" s="256" t="n"/>
      <c r="P561" s="256" t="n"/>
      <c r="Q561" s="256" t="n"/>
    </row>
    <row r="562">
      <c r="A562">
        <f>IF(DAY(D562)=DAY($L$1+1),A561+1,A561)</f>
        <v/>
      </c>
      <c r="B562" s="46">
        <f>IF(DAY(D562)=DAY($L$1+1),1,B561+1)</f>
        <v/>
      </c>
      <c r="C562" s="46">
        <f>IF(DAY(D562)=DAY($L$1+1),1,C561+1)</f>
        <v/>
      </c>
      <c r="D562" s="2">
        <f>D561+1</f>
        <v/>
      </c>
      <c r="E562" s="8">
        <f>IF(DAY(D562)=DAY($L$1+1),TRUNC((N561),8),E561)</f>
        <v/>
      </c>
      <c r="F562" s="49">
        <f>TRUNC(((1+VLOOKUP(A562,IPCA!$A$2:$C$140,3,0)))^(C562/(EDATE(D562-C562,1)-(D562-C562))),8)</f>
        <v/>
      </c>
      <c r="G562" s="49">
        <f>TRUNC((E562*F562),8)</f>
        <v/>
      </c>
      <c r="H562" s="49">
        <f>ROUND(((1+$H$4)^(30/360))^(C562/(EDATE(D562-B562,1)-(D562-B562))),9)</f>
        <v/>
      </c>
      <c r="I562" s="49">
        <f>TRUNC((G562*H562-G562),8)</f>
        <v/>
      </c>
      <c r="J562" s="49">
        <f>G562+I562</f>
        <v/>
      </c>
      <c r="K562" s="256" t="n"/>
      <c r="L562" s="256" t="n"/>
      <c r="M562" s="256" t="n"/>
      <c r="N562" s="256" t="n"/>
      <c r="O562" s="256" t="n"/>
      <c r="P562" s="256" t="n"/>
      <c r="Q562" s="256" t="n"/>
    </row>
    <row r="563">
      <c r="A563">
        <f>IF(DAY(D563)=DAY($L$1+1),A562+1,A562)</f>
        <v/>
      </c>
      <c r="B563" s="46">
        <f>IF(DAY(D563)=DAY($L$1+1),1,B562+1)</f>
        <v/>
      </c>
      <c r="C563" s="46">
        <f>IF(DAY(D563)=DAY($L$1+1),1,C562+1)</f>
        <v/>
      </c>
      <c r="D563" s="2">
        <f>D562+1</f>
        <v/>
      </c>
      <c r="E563" s="8">
        <f>IF(DAY(D563)=DAY($L$1+1),TRUNC((N562),8),E562)</f>
        <v/>
      </c>
      <c r="F563" s="49">
        <f>TRUNC(((1+VLOOKUP(A563,IPCA!$A$2:$C$140,3,0)))^(C563/(EDATE(D563-C563,1)-(D563-C563))),8)</f>
        <v/>
      </c>
      <c r="G563" s="49">
        <f>TRUNC((E563*F563),8)</f>
        <v/>
      </c>
      <c r="H563" s="49">
        <f>ROUND(((1+$H$4)^(30/360))^(C563/(EDATE(D563-B563,1)-(D563-B563))),9)</f>
        <v/>
      </c>
      <c r="I563" s="49">
        <f>TRUNC((G563*H563-G563),8)</f>
        <v/>
      </c>
      <c r="J563" s="49">
        <f>G563+I563</f>
        <v/>
      </c>
      <c r="K563" s="256" t="n"/>
      <c r="L563" s="256" t="n"/>
      <c r="M563" s="256" t="n"/>
      <c r="N563" s="256" t="n"/>
      <c r="O563" s="256" t="n"/>
      <c r="P563" s="256" t="n"/>
      <c r="Q563" s="256" t="n"/>
    </row>
    <row r="564">
      <c r="A564">
        <f>IF(DAY(D564)=DAY($L$1+1),A563+1,A563)</f>
        <v/>
      </c>
      <c r="B564" s="46">
        <f>IF(DAY(D564)=DAY($L$1+1),1,B563+1)</f>
        <v/>
      </c>
      <c r="C564" s="46">
        <f>IF(DAY(D564)=DAY($L$1+1),1,C563+1)</f>
        <v/>
      </c>
      <c r="D564" s="2">
        <f>D563+1</f>
        <v/>
      </c>
      <c r="E564" s="8">
        <f>IF(DAY(D564)=DAY($L$1+1),TRUNC((N563),8),E563)</f>
        <v/>
      </c>
      <c r="F564" s="49">
        <f>TRUNC(((1+VLOOKUP(A564,IPCA!$A$2:$C$140,3,0)))^(C564/(EDATE(D564-C564,1)-(D564-C564))),8)</f>
        <v/>
      </c>
      <c r="G564" s="49">
        <f>TRUNC((E564*F564),8)</f>
        <v/>
      </c>
      <c r="H564" s="49">
        <f>ROUND(((1+$H$4)^(30/360))^(C564/(EDATE(D564-B564,1)-(D564-B564))),9)</f>
        <v/>
      </c>
      <c r="I564" s="49">
        <f>TRUNC((G564*H564-G564),8)</f>
        <v/>
      </c>
      <c r="J564" s="49">
        <f>G564+I564</f>
        <v/>
      </c>
      <c r="K564" s="256" t="n"/>
      <c r="L564" s="256" t="n"/>
      <c r="M564" s="256" t="n"/>
      <c r="N564" s="256" t="n"/>
      <c r="O564" s="256" t="n"/>
      <c r="P564" s="256" t="n"/>
      <c r="Q564" s="256" t="n"/>
    </row>
    <row r="565">
      <c r="A565">
        <f>IF(DAY(D565)=DAY($L$1+1),A564+1,A564)</f>
        <v/>
      </c>
      <c r="B565" s="46">
        <f>IF(DAY(D565)=DAY($L$1+1),1,B564+1)</f>
        <v/>
      </c>
      <c r="C565" s="46">
        <f>IF(DAY(D565)=DAY($L$1+1),1,C564+1)</f>
        <v/>
      </c>
      <c r="D565" s="2">
        <f>D564+1</f>
        <v/>
      </c>
      <c r="E565" s="8">
        <f>IF(DAY(D565)=DAY($L$1+1),TRUNC((N564),8),E564)</f>
        <v/>
      </c>
      <c r="F565" s="49">
        <f>TRUNC(((1+VLOOKUP(A565,IPCA!$A$2:$C$140,3,0)))^(C565/(EDATE(D565-C565,1)-(D565-C565))),8)</f>
        <v/>
      </c>
      <c r="G565" s="49">
        <f>TRUNC((E565*F565),8)</f>
        <v/>
      </c>
      <c r="H565" s="49">
        <f>ROUND(((1+$H$4)^(30/360))^(C565/(EDATE(D565-B565,1)-(D565-B565))),9)</f>
        <v/>
      </c>
      <c r="I565" s="49">
        <f>TRUNC((G565*H565-G565),8)</f>
        <v/>
      </c>
      <c r="J565" s="49">
        <f>G565+I565</f>
        <v/>
      </c>
      <c r="K565" s="256" t="n"/>
      <c r="L565" s="256" t="n"/>
      <c r="M565" s="256" t="n"/>
      <c r="N565" s="256" t="n"/>
      <c r="O565" s="256" t="n"/>
      <c r="P565" s="256" t="n"/>
      <c r="Q565" s="256" t="n"/>
    </row>
    <row r="566">
      <c r="A566">
        <f>IF(DAY(D566)=DAY($L$1+1),A565+1,A565)</f>
        <v/>
      </c>
      <c r="B566" s="46">
        <f>IF(DAY(D566)=DAY($L$1+1),1,B565+1)</f>
        <v/>
      </c>
      <c r="C566" s="46">
        <f>IF(DAY(D566)=DAY($L$1+1),1,C565+1)</f>
        <v/>
      </c>
      <c r="D566" s="2">
        <f>D565+1</f>
        <v/>
      </c>
      <c r="E566" s="8">
        <f>IF(DAY(D566)=DAY($L$1+1),TRUNC((N565),8),E565)</f>
        <v/>
      </c>
      <c r="F566" s="49">
        <f>TRUNC(((1+VLOOKUP(A566,IPCA!$A$2:$C$140,3,0)))^(C566/(EDATE(D566-C566,1)-(D566-C566))),8)</f>
        <v/>
      </c>
      <c r="G566" s="49">
        <f>TRUNC((E566*F566),8)</f>
        <v/>
      </c>
      <c r="H566" s="49">
        <f>ROUND(((1+$H$4)^(30/360))^(C566/(EDATE(D566-B566,1)-(D566-B566))),9)</f>
        <v/>
      </c>
      <c r="I566" s="49">
        <f>TRUNC((G566*H566-G566),8)</f>
        <v/>
      </c>
      <c r="J566" s="49">
        <f>G566+I566</f>
        <v/>
      </c>
      <c r="K566" s="256" t="inlineStr">
        <is>
          <t>Cri Integralizado</t>
        </is>
      </c>
      <c r="L566" s="270">
        <f>L535+K560</f>
        <v/>
      </c>
      <c r="M566" s="256" t="n"/>
      <c r="N566" s="256" t="n"/>
      <c r="O566" s="256" t="n"/>
      <c r="P566" s="256" t="n"/>
      <c r="Q566" s="256" t="n"/>
    </row>
    <row r="567">
      <c r="A567">
        <f>IF(DAY(D567)=DAY($L$1+1),A566+1,A566)</f>
        <v/>
      </c>
      <c r="B567" s="46">
        <f>IF(DAY(D567)=DAY($L$1+1),1,B566+1)</f>
        <v/>
      </c>
      <c r="C567" s="46">
        <f>IF(DAY(D567)=DAY($L$1+1),1,C566+1)</f>
        <v/>
      </c>
      <c r="D567" s="47">
        <f>D566+1</f>
        <v/>
      </c>
      <c r="E567" s="8">
        <f>IF(DAY(D567)=DAY($L$1+1),TRUNC((N566),8),E566)</f>
        <v/>
      </c>
      <c r="F567" s="49">
        <f>TRUNC(((1+VLOOKUP(A567,IPCA!$A$2:$C$140,3,0)))^(C567/(EDATE(D567-C567,1)-(D567-C567))),8)</f>
        <v/>
      </c>
      <c r="G567" s="49">
        <f>TRUNC((E567*F567),8)</f>
        <v/>
      </c>
      <c r="H567" s="49">
        <f>ROUND(((1+$H$4)^(30/360))^(C567/(EDATE(D567-B567,1)-(D567-B567))),9)</f>
        <v/>
      </c>
      <c r="I567" s="49">
        <f>TRUNC((G567*H567-G567),8)</f>
        <v/>
      </c>
      <c r="J567" s="49">
        <f>G567+I567</f>
        <v/>
      </c>
      <c r="K567" s="118" t="inlineStr">
        <is>
          <t>JUROS</t>
        </is>
      </c>
      <c r="L567" s="118" t="inlineStr">
        <is>
          <t>AMORTIZAÇÃO</t>
        </is>
      </c>
      <c r="M567" s="118" t="inlineStr">
        <is>
          <t>AMEX</t>
        </is>
      </c>
      <c r="N567" s="118" t="inlineStr">
        <is>
          <t>RESIDUAL</t>
        </is>
      </c>
      <c r="O567" s="256" t="n"/>
      <c r="P567" s="256" t="n"/>
      <c r="Q567" s="256" t="n"/>
    </row>
    <row r="568">
      <c r="A568">
        <f>IF(DAY(D568)=DAY($L$1+1),A567+1,A567)</f>
        <v/>
      </c>
      <c r="B568" s="111">
        <f>IF(DAY(D568)=DAY($L$1+1),1,B567+1)</f>
        <v/>
      </c>
      <c r="C568" s="111">
        <f>IF(DAY(D568)=DAY($L$1+1),1,C567+1)</f>
        <v/>
      </c>
      <c r="D568" s="112">
        <f>D567+1</f>
        <v/>
      </c>
      <c r="E568" s="113">
        <f>IF(DAY(D568)=DAY($L$1+1),TRUNC((N567),8),E567)</f>
        <v/>
      </c>
      <c r="F568" s="114">
        <f>TRUNC(((1+VLOOKUP(A568,IPCA!$A$2:$C$140,3,0)))^(C568/(EDATE(D568-C568,1)-(D568-C568))),8)</f>
        <v/>
      </c>
      <c r="G568" s="114">
        <f>TRUNC((E568*F568),8)</f>
        <v/>
      </c>
      <c r="H568" s="114">
        <f>ROUND(((1+$H$4)^(30/360))^(C568/(EDATE(D568-B568,1)-(D568-B568))),9)</f>
        <v/>
      </c>
      <c r="I568" s="114">
        <f>TRUNC((G568*H568-G568),8)</f>
        <v/>
      </c>
      <c r="J568" s="114">
        <f>G568+I568</f>
        <v/>
      </c>
      <c r="K568" s="119" t="n">
        <v>0</v>
      </c>
      <c r="L568" s="120" t="n">
        <v>0</v>
      </c>
      <c r="M568" s="120" t="n">
        <v>0</v>
      </c>
      <c r="N568" s="120">
        <f>J568-K568-L568-M568</f>
        <v/>
      </c>
      <c r="O568" s="256" t="n"/>
      <c r="P568" s="256" t="n"/>
      <c r="Q568" s="256" t="n"/>
    </row>
    <row r="569">
      <c r="A569">
        <f>IF(DAY(D569)=DAY($L$1+1),A568+1,A568)</f>
        <v/>
      </c>
      <c r="B569" s="46">
        <f>IF(DAY(D569)=DAY($L$1+1),1,B568+1)</f>
        <v/>
      </c>
      <c r="C569" s="46">
        <f>IF(DAY(D569)=DAY($L$1+1),1,C568+1)</f>
        <v/>
      </c>
      <c r="D569" s="2">
        <f>D568+1</f>
        <v/>
      </c>
      <c r="E569" s="8">
        <f>IF(DAY(D569)=DAY($L$1+1),TRUNC((N568),8),E568)</f>
        <v/>
      </c>
      <c r="F569" s="49">
        <f>TRUNC(((1+VLOOKUP(A569,IPCA!$A$2:$C$140,3,0)))^(C569/(EDATE(D569-C569,1)-(D569-C569))),8)</f>
        <v/>
      </c>
      <c r="G569" s="49">
        <f>TRUNC((E569*F569),8)</f>
        <v/>
      </c>
      <c r="H569" s="49">
        <f>ROUND(((1+$H$4)^(30/360))^(C569/(EDATE(D569-B569,1)-(D569-B569))),9)</f>
        <v/>
      </c>
      <c r="I569" s="49">
        <f>TRUNC((G569*H569-G569),8)</f>
        <v/>
      </c>
      <c r="J569" s="49">
        <f>G569+I569</f>
        <v/>
      </c>
      <c r="K569" s="121">
        <f>K568*L566</f>
        <v/>
      </c>
      <c r="L569" s="121">
        <f>L568*L566</f>
        <v/>
      </c>
      <c r="M569" s="121">
        <f>M568*L566</f>
        <v/>
      </c>
      <c r="N569" s="121">
        <f>N568*L566</f>
        <v/>
      </c>
      <c r="O569" s="256" t="n"/>
      <c r="P569" s="256" t="n"/>
      <c r="Q569" s="256" t="n"/>
    </row>
    <row r="570">
      <c r="A570">
        <f>IF(DAY(D570)=DAY($L$1+1),A569+1,A569)</f>
        <v/>
      </c>
      <c r="B570" s="46">
        <f>IF(DAY(D570)=DAY($L$1+1),1,B569+1)</f>
        <v/>
      </c>
      <c r="C570" s="46">
        <f>IF(DAY(D570)=DAY($L$1+1),1,C569+1)</f>
        <v/>
      </c>
      <c r="D570" s="2">
        <f>D569+1</f>
        <v/>
      </c>
      <c r="E570" s="8">
        <f>IF(DAY(D570)=DAY($L$1+1),TRUNC((N569),8),E569)</f>
        <v/>
      </c>
      <c r="F570" s="49">
        <f>TRUNC(((1+VLOOKUP(A570,IPCA!$A$2:$C$140,3,0)))^(C570/(EDATE(D570-C570,1)-(D570-C570))),8)</f>
        <v/>
      </c>
      <c r="G570" s="49">
        <f>TRUNC((E570*F570),8)</f>
        <v/>
      </c>
      <c r="H570" s="49">
        <f>ROUND(((1+$H$4)^(30/360))^(C570/(EDATE(D570-B570,1)-(D570-B570))),9)</f>
        <v/>
      </c>
      <c r="I570" s="49">
        <f>TRUNC((G570*H570-G570),8)</f>
        <v/>
      </c>
      <c r="J570" s="49">
        <f>G570+I570</f>
        <v/>
      </c>
      <c r="K570" s="256" t="n"/>
      <c r="L570" s="256" t="n"/>
      <c r="M570" s="256" t="n"/>
      <c r="N570" s="256" t="n"/>
      <c r="O570" s="256" t="n"/>
      <c r="P570" s="256" t="n"/>
      <c r="Q570" s="256" t="n"/>
    </row>
    <row r="571">
      <c r="A571">
        <f>IF(DAY(D571)=DAY($L$1+1),A570+1,A570)</f>
        <v/>
      </c>
      <c r="B571" s="46">
        <f>IF(DAY(D571)=DAY($L$1+1),1,B570+1)</f>
        <v/>
      </c>
      <c r="C571" s="46">
        <f>IF(DAY(D571)=DAY($L$1+1),1,C570+1)</f>
        <v/>
      </c>
      <c r="D571" s="2">
        <f>D570+1</f>
        <v/>
      </c>
      <c r="E571" s="8">
        <f>IF(DAY(D571)=DAY($L$1+1),TRUNC((#REF!),8),E570)</f>
        <v/>
      </c>
      <c r="F571" s="49">
        <f>TRUNC(((1+VLOOKUP(A571,IPCA!$A$2:$C$140,3,0)))^(C571/(EDATE(D571-C571,1)-(D571-C571))),8)</f>
        <v/>
      </c>
      <c r="G571" s="49">
        <f>TRUNC((E571*F571),8)</f>
        <v/>
      </c>
      <c r="H571" s="49">
        <f>ROUND(((1+$H$4)^(30/360))^(C571/(EDATE(D571-B571,1)-(D571-B571))),9)</f>
        <v/>
      </c>
      <c r="I571" s="49">
        <f>TRUNC((G571*H571-G571),8)</f>
        <v/>
      </c>
      <c r="J571" s="49">
        <f>G571+I571</f>
        <v/>
      </c>
      <c r="K571" s="256" t="n"/>
      <c r="L571" s="256" t="n"/>
      <c r="M571" s="256" t="n"/>
      <c r="N571" s="256" t="n"/>
      <c r="O571" s="256" t="n"/>
      <c r="P571" s="256" t="n"/>
      <c r="Q571" s="256" t="n"/>
    </row>
    <row r="572">
      <c r="A572">
        <f>IF(DAY(D572)=DAY($L$1+1),A571+1,A571)</f>
        <v/>
      </c>
      <c r="B572" s="46">
        <f>IF(DAY(D572)=DAY($L$1+1),1,B571+1)</f>
        <v/>
      </c>
      <c r="C572" s="46">
        <f>IF(DAY(D572)=DAY($L$1+1),1,C571+1)</f>
        <v/>
      </c>
      <c r="D572" s="2">
        <f>D571+1</f>
        <v/>
      </c>
      <c r="E572" s="8">
        <f>IF(DAY(D572)=DAY($L$1+1),TRUNC((#REF!),8),E571)</f>
        <v/>
      </c>
      <c r="F572" s="49">
        <f>TRUNC(((1+VLOOKUP(A572,IPCA!$A$2:$C$140,3,0)))^(C572/(EDATE(D572-C572,1)-(D572-C572))),8)</f>
        <v/>
      </c>
      <c r="G572" s="49">
        <f>TRUNC((E572*F572),8)</f>
        <v/>
      </c>
      <c r="H572" s="49">
        <f>ROUND(((1+$H$4)^(30/360))^(C572/(EDATE(D572-B572,1)-(D572-B572))),9)</f>
        <v/>
      </c>
      <c r="I572" s="49">
        <f>TRUNC((G572*H572-G572),8)</f>
        <v/>
      </c>
      <c r="J572" s="49">
        <f>G572+I572</f>
        <v/>
      </c>
      <c r="K572" s="256" t="n"/>
      <c r="L572" s="256" t="n"/>
      <c r="M572" s="256" t="n"/>
      <c r="N572" s="256" t="n"/>
      <c r="O572" s="256" t="n"/>
      <c r="P572" s="256" t="n"/>
      <c r="Q572" s="256" t="n"/>
    </row>
    <row r="573">
      <c r="A573">
        <f>IF(DAY(D573)=DAY($L$1+1),A572+1,A572)</f>
        <v/>
      </c>
      <c r="B573" s="46">
        <f>IF(DAY(D573)=DAY($L$1+1),1,B572+1)</f>
        <v/>
      </c>
      <c r="C573" s="46">
        <f>IF(DAY(D573)=DAY($L$1+1),1,C572+1)</f>
        <v/>
      </c>
      <c r="D573" s="2">
        <f>D572+1</f>
        <v/>
      </c>
      <c r="E573" s="8">
        <f>IF(DAY(D573)=DAY($L$1+1),TRUNC((#REF!),8),E572)</f>
        <v/>
      </c>
      <c r="F573" s="49">
        <f>TRUNC(((1+VLOOKUP(A573,IPCA!$A$2:$C$140,3,0)))^(C573/(EDATE(D573-C573,1)-(D573-C573))),8)</f>
        <v/>
      </c>
      <c r="G573" s="49">
        <f>TRUNC((E573*F573),8)</f>
        <v/>
      </c>
      <c r="H573" s="49">
        <f>ROUND(((1+$H$4)^(30/360))^(C573/(EDATE(D573-B573,1)-(D573-B573))),9)</f>
        <v/>
      </c>
      <c r="I573" s="49">
        <f>TRUNC((G573*H573-G573),8)</f>
        <v/>
      </c>
      <c r="J573" s="49">
        <f>G573+I573</f>
        <v/>
      </c>
      <c r="K573" s="256" t="n"/>
      <c r="L573" s="256" t="n"/>
      <c r="M573" s="256" t="n"/>
      <c r="N573" s="256" t="n"/>
      <c r="O573" s="256" t="n"/>
      <c r="P573" s="256" t="n"/>
      <c r="Q573" s="256" t="n"/>
    </row>
    <row r="574">
      <c r="A574">
        <f>IF(DAY(D574)=DAY($L$1+1),A573+1,A573)</f>
        <v/>
      </c>
      <c r="B574" s="46">
        <f>IF(DAY(D574)=DAY($L$1+1),1,B573+1)</f>
        <v/>
      </c>
      <c r="C574" s="46">
        <f>IF(DAY(D574)=DAY($L$1+1),1,C573+1)</f>
        <v/>
      </c>
      <c r="D574" s="2">
        <f>D573+1</f>
        <v/>
      </c>
      <c r="E574" s="8">
        <f>IF(DAY(D574)=DAY($L$1+1),TRUNC((#REF!),8),E573)</f>
        <v/>
      </c>
      <c r="F574" s="49">
        <f>TRUNC(((1+VLOOKUP(A574,IPCA!$A$2:$C$140,3,0)))^(C574/(EDATE(D574-C574,1)-(D574-C574))),8)</f>
        <v/>
      </c>
      <c r="G574" s="49">
        <f>TRUNC((E574*F574),8)</f>
        <v/>
      </c>
      <c r="H574" s="49">
        <f>ROUND(((1+$H$4)^(30/360))^(C574/(EDATE(D574-B574,1)-(D574-B574))),9)</f>
        <v/>
      </c>
      <c r="I574" s="49">
        <f>TRUNC((G574*H574-G574),8)</f>
        <v/>
      </c>
      <c r="J574" s="49">
        <f>G574+I574</f>
        <v/>
      </c>
      <c r="K574" s="256" t="n"/>
      <c r="L574" s="256" t="n"/>
      <c r="M574" s="256" t="n"/>
      <c r="N574" s="256" t="n"/>
      <c r="O574" s="256" t="n"/>
      <c r="P574" s="256" t="n"/>
      <c r="Q574" s="256" t="n"/>
    </row>
    <row r="575">
      <c r="A575">
        <f>IF(DAY(D575)=DAY($L$1+1),A574+1,A574)</f>
        <v/>
      </c>
      <c r="B575" s="46">
        <f>IF(DAY(D575)=DAY($L$1+1),1,B574+1)</f>
        <v/>
      </c>
      <c r="C575" s="46">
        <f>IF(DAY(D575)=DAY($L$1+1),1,C574+1)</f>
        <v/>
      </c>
      <c r="D575" s="2">
        <f>D574+1</f>
        <v/>
      </c>
      <c r="E575" s="8">
        <f>IF(DAY(D575)=DAY($L$1+1),TRUNC((#REF!),8),E574)</f>
        <v/>
      </c>
      <c r="F575" s="49">
        <f>TRUNC(((1+VLOOKUP(A575,IPCA!$A$2:$C$140,3,0)))^(C575/(EDATE(D575-C575,1)-(D575-C575))),8)</f>
        <v/>
      </c>
      <c r="G575" s="49">
        <f>TRUNC((E575*F575),8)</f>
        <v/>
      </c>
      <c r="H575" s="49">
        <f>ROUND(((1+$H$4)^(30/360))^(C575/(EDATE(D575-B575,1)-(D575-B575))),9)</f>
        <v/>
      </c>
      <c r="I575" s="49">
        <f>TRUNC((G575*H575-G575),8)</f>
        <v/>
      </c>
      <c r="J575" s="49">
        <f>G575+I575</f>
        <v/>
      </c>
      <c r="K575" s="256" t="n"/>
      <c r="L575" s="256" t="n"/>
      <c r="M575" s="256" t="n"/>
      <c r="N575" s="256" t="n"/>
      <c r="O575" s="256" t="n"/>
      <c r="P575" s="256" t="n"/>
      <c r="Q575" s="256" t="n"/>
    </row>
    <row r="576">
      <c r="A576">
        <f>IF(DAY(D576)=DAY($L$1+1),A575+1,A575)</f>
        <v/>
      </c>
      <c r="B576" s="46">
        <f>IF(DAY(D576)=DAY($L$1+1),1,B575+1)</f>
        <v/>
      </c>
      <c r="C576" s="46">
        <f>IF(DAY(D576)=DAY($L$1+1),1,C575+1)</f>
        <v/>
      </c>
      <c r="D576" s="2">
        <f>D575+1</f>
        <v/>
      </c>
      <c r="E576" s="8">
        <f>IF(DAY(D576)=DAY($L$1+1),TRUNC((#REF!),8),E575)</f>
        <v/>
      </c>
      <c r="F576" s="49">
        <f>TRUNC(((1+VLOOKUP(A576,IPCA!$A$2:$C$140,3,0)))^(C576/(EDATE(D576-C576,1)-(D576-C576))),8)</f>
        <v/>
      </c>
      <c r="G576" s="49">
        <f>TRUNC((E576*F576),8)</f>
        <v/>
      </c>
      <c r="H576" s="49">
        <f>ROUND(((1+$H$4)^(30/360))^(C576/(EDATE(D576-B576,1)-(D576-B576))),9)</f>
        <v/>
      </c>
      <c r="I576" s="49">
        <f>TRUNC((G576*H576-G576),8)</f>
        <v/>
      </c>
      <c r="J576" s="49">
        <f>G576+I576</f>
        <v/>
      </c>
      <c r="K576" s="256" t="n"/>
      <c r="L576" s="256" t="n"/>
      <c r="M576" s="256" t="n"/>
      <c r="N576" s="256" t="n"/>
      <c r="O576" s="256" t="n"/>
      <c r="P576" s="256" t="n"/>
      <c r="Q576" s="256" t="n"/>
    </row>
    <row r="577">
      <c r="A577">
        <f>IF(DAY(D577)=DAY($L$1+1),A576+1,A576)</f>
        <v/>
      </c>
      <c r="B577" s="46">
        <f>IF(DAY(D577)=DAY($L$1+1),1,B576+1)</f>
        <v/>
      </c>
      <c r="C577" s="46">
        <f>IF(DAY(D577)=DAY($L$1+1),1,C576+1)</f>
        <v/>
      </c>
      <c r="D577" s="2">
        <f>D576+1</f>
        <v/>
      </c>
      <c r="E577" s="8">
        <f>IF(DAY(D577)=DAY($L$1+1),TRUNC((#REF!),8),E576)</f>
        <v/>
      </c>
      <c r="F577" s="49">
        <f>TRUNC(((1+VLOOKUP(A577,IPCA!$A$2:$C$140,3,0)))^(C577/(EDATE(D577-C577,1)-(D577-C577))),8)</f>
        <v/>
      </c>
      <c r="G577" s="49">
        <f>TRUNC((E577*F577),8)</f>
        <v/>
      </c>
      <c r="H577" s="49">
        <f>ROUND(((1+$H$4)^(30/360))^(C577/(EDATE(D577-B577,1)-(D577-B577))),9)</f>
        <v/>
      </c>
      <c r="I577" s="49">
        <f>TRUNC((G577*H577-G577),8)</f>
        <v/>
      </c>
      <c r="J577" s="49">
        <f>G577+I577</f>
        <v/>
      </c>
      <c r="K577" s="256" t="n"/>
      <c r="L577" s="256" t="n"/>
      <c r="M577" s="256" t="n"/>
      <c r="N577" s="256" t="n"/>
      <c r="O577" s="256" t="n"/>
      <c r="P577" s="256" t="n"/>
      <c r="Q577" s="256" t="n"/>
    </row>
    <row r="578">
      <c r="A578">
        <f>IF(DAY(D578)=DAY($L$1+1),A577+1,A577)</f>
        <v/>
      </c>
      <c r="B578" s="46">
        <f>IF(DAY(D578)=DAY($L$1+1),1,B577+1)</f>
        <v/>
      </c>
      <c r="C578" s="46">
        <f>IF(DAY(D578)=DAY($L$1+1),1,C577+1)</f>
        <v/>
      </c>
      <c r="D578" s="2">
        <f>D577+1</f>
        <v/>
      </c>
      <c r="E578" s="8">
        <f>IF(DAY(D578)=DAY($L$1+1),TRUNC((#REF!),8),E577)</f>
        <v/>
      </c>
      <c r="F578" s="49">
        <f>TRUNC(((1+VLOOKUP(A578,IPCA!$A$2:$C$140,3,0)))^(C578/(EDATE(D578-C578,1)-(D578-C578))),8)</f>
        <v/>
      </c>
      <c r="G578" s="49">
        <f>TRUNC((E578*F578),8)</f>
        <v/>
      </c>
      <c r="H578" s="49">
        <f>ROUND(((1+$H$4)^(30/360))^(C578/(EDATE(D578-B578,1)-(D578-B578))),9)</f>
        <v/>
      </c>
      <c r="I578" s="49">
        <f>TRUNC((G578*H578-G578),8)</f>
        <v/>
      </c>
      <c r="J578" s="49">
        <f>G578+I578</f>
        <v/>
      </c>
      <c r="K578" s="256" t="n"/>
      <c r="L578" s="256" t="n"/>
      <c r="M578" s="256" t="n"/>
      <c r="N578" s="256" t="n"/>
      <c r="O578" s="256" t="n"/>
      <c r="P578" s="256" t="n"/>
      <c r="Q578" s="256" t="n"/>
    </row>
    <row r="579">
      <c r="A579">
        <f>IF(DAY(D579)=DAY($L$1+1),A578+1,A578)</f>
        <v/>
      </c>
      <c r="B579" s="46">
        <f>IF(DAY(D579)=DAY($L$1+1),1,B578+1)</f>
        <v/>
      </c>
      <c r="C579" s="46">
        <f>IF(DAY(D579)=DAY($L$1+1),1,C578+1)</f>
        <v/>
      </c>
      <c r="D579" s="2">
        <f>D578+1</f>
        <v/>
      </c>
      <c r="E579" s="8">
        <f>IF(DAY(D579)=DAY($L$1+1),TRUNC((#REF!),8),E578)</f>
        <v/>
      </c>
      <c r="F579" s="49">
        <f>TRUNC(((1+VLOOKUP(A579,IPCA!$A$2:$C$140,3,0)))^(C579/(EDATE(D579-C579,1)-(D579-C579))),8)</f>
        <v/>
      </c>
      <c r="G579" s="49">
        <f>TRUNC((E579*F579),8)</f>
        <v/>
      </c>
      <c r="H579" s="49">
        <f>ROUND(((1+$H$4)^(30/360))^(C579/(EDATE(D579-B579,1)-(D579-B579))),9)</f>
        <v/>
      </c>
      <c r="I579" s="49">
        <f>TRUNC((G579*H579-G579),8)</f>
        <v/>
      </c>
      <c r="J579" s="49">
        <f>G579+I579</f>
        <v/>
      </c>
      <c r="K579" s="256" t="n"/>
      <c r="L579" s="256" t="n"/>
      <c r="M579" s="256" t="n"/>
      <c r="N579" s="256" t="n"/>
      <c r="O579" s="256" t="n"/>
      <c r="P579" s="256" t="n"/>
      <c r="Q579" s="256" t="n"/>
    </row>
    <row r="580">
      <c r="A580">
        <f>IF(DAY(D580)=DAY($L$1+1),A579+1,A579)</f>
        <v/>
      </c>
      <c r="B580" s="46">
        <f>IF(DAY(D580)=DAY($L$1+1),1,B579+1)</f>
        <v/>
      </c>
      <c r="C580" s="46">
        <f>IF(DAY(D580)=DAY($L$1+1),1,C579+1)</f>
        <v/>
      </c>
      <c r="D580" s="2">
        <f>D579+1</f>
        <v/>
      </c>
      <c r="E580" s="8">
        <f>IF(DAY(D580)=DAY($L$1+1),TRUNC((#REF!),8),E579)</f>
        <v/>
      </c>
      <c r="F580" s="49">
        <f>TRUNC(((1+VLOOKUP(A580,IPCA!$A$2:$C$140,3,0)))^(C580/(EDATE(D580-C580,1)-(D580-C580))),8)</f>
        <v/>
      </c>
      <c r="G580" s="49">
        <f>TRUNC((E580*F580),8)</f>
        <v/>
      </c>
      <c r="H580" s="49">
        <f>ROUND(((1+$H$4)^(30/360))^(C580/(EDATE(D580-B580,1)-(D580-B580))),9)</f>
        <v/>
      </c>
      <c r="I580" s="49">
        <f>TRUNC((G580*H580-G580),8)</f>
        <v/>
      </c>
      <c r="J580" s="49">
        <f>G580+I580</f>
        <v/>
      </c>
      <c r="K580" s="256" t="n"/>
      <c r="L580" s="256" t="n"/>
      <c r="M580" s="256" t="n"/>
      <c r="N580" s="256" t="n"/>
      <c r="O580" s="256" t="n"/>
      <c r="P580" s="256" t="n"/>
      <c r="Q580" s="256" t="n"/>
    </row>
    <row r="581">
      <c r="A581">
        <f>IF(DAY(D581)=DAY($L$1+1),A580+1,A580)</f>
        <v/>
      </c>
      <c r="B581" s="46">
        <f>IF(DAY(D581)=DAY($L$1+1),1,B580+1)</f>
        <v/>
      </c>
      <c r="C581" s="46">
        <f>IF(DAY(D581)=DAY($L$1+1),1,C580+1)</f>
        <v/>
      </c>
      <c r="D581" s="2">
        <f>D580+1</f>
        <v/>
      </c>
      <c r="E581" s="8">
        <f>IF(DAY(D581)=DAY($L$1+1),TRUNC((#REF!),8),E580)</f>
        <v/>
      </c>
      <c r="F581" s="49">
        <f>TRUNC(((1+VLOOKUP(A581,IPCA!$A$2:$C$140,3,0)))^(C581/(EDATE(D581-C581,1)-(D581-C581))),8)</f>
        <v/>
      </c>
      <c r="G581" s="49">
        <f>TRUNC((E581*F581),8)</f>
        <v/>
      </c>
      <c r="H581" s="49">
        <f>ROUND(((1+$H$4)^(30/360))^(C581/(EDATE(D581-B581,1)-(D581-B581))),9)</f>
        <v/>
      </c>
      <c r="I581" s="49">
        <f>TRUNC((G581*H581-G581),8)</f>
        <v/>
      </c>
      <c r="J581" s="49">
        <f>G581+I581</f>
        <v/>
      </c>
      <c r="K581" s="256" t="n"/>
      <c r="L581" s="256" t="n"/>
      <c r="M581" s="256" t="n"/>
      <c r="N581" s="256" t="n"/>
      <c r="O581" s="256" t="n"/>
      <c r="P581" s="256" t="n"/>
      <c r="Q581" s="256" t="n"/>
    </row>
    <row r="582">
      <c r="A582">
        <f>IF(DAY(D582)=DAY($L$1+1),A581+1,A581)</f>
        <v/>
      </c>
      <c r="B582" s="46">
        <f>IF(DAY(D582)=DAY($L$1+1),1,B581+1)</f>
        <v/>
      </c>
      <c r="C582" s="46">
        <f>IF(DAY(D582)=DAY($L$1+1),1,C581+1)</f>
        <v/>
      </c>
      <c r="D582" s="2">
        <f>D581+1</f>
        <v/>
      </c>
      <c r="E582" s="8">
        <f>IF(DAY(D582)=DAY($L$1+1),TRUNC((#REF!),8),E581)</f>
        <v/>
      </c>
      <c r="F582" s="49">
        <f>TRUNC(((1+VLOOKUP(A582,IPCA!$A$2:$C$140,3,0)))^(C582/(EDATE(D582-C582,1)-(D582-C582))),8)</f>
        <v/>
      </c>
      <c r="G582" s="49">
        <f>TRUNC((E582*F582),8)</f>
        <v/>
      </c>
      <c r="H582" s="49">
        <f>ROUND(((1+$H$4)^(30/360))^(C582/(EDATE(D582-B582,1)-(D582-B582))),9)</f>
        <v/>
      </c>
      <c r="I582" s="49">
        <f>TRUNC((G582*H582-G582),8)</f>
        <v/>
      </c>
      <c r="J582" s="49">
        <f>G582+I582</f>
        <v/>
      </c>
      <c r="K582" s="256" t="n"/>
      <c r="L582" s="256" t="n"/>
      <c r="M582" s="256" t="n"/>
      <c r="N582" s="256" t="n"/>
      <c r="O582" s="256" t="n"/>
      <c r="P582" s="256" t="n"/>
      <c r="Q582" s="256" t="n"/>
    </row>
    <row r="583">
      <c r="A583">
        <f>IF(DAY(D583)=DAY($L$1+1),A582+1,A582)</f>
        <v/>
      </c>
      <c r="B583" s="46">
        <f>IF(DAY(D583)=DAY($L$1+1),1,B582+1)</f>
        <v/>
      </c>
      <c r="C583" s="46">
        <f>IF(DAY(D583)=DAY($L$1+1),1,C582+1)</f>
        <v/>
      </c>
      <c r="D583" s="2">
        <f>D582+1</f>
        <v/>
      </c>
      <c r="E583" s="8">
        <f>IF(DAY(D583)=DAY($L$1+1),TRUNC((N582),8),E582)</f>
        <v/>
      </c>
      <c r="F583" s="49">
        <f>TRUNC(((1+VLOOKUP(A583,IPCA!$A$2:$C$140,3,0)))^(C583/(EDATE(D583-C583,1)-(D583-C583))),8)</f>
        <v/>
      </c>
      <c r="G583" s="49">
        <f>TRUNC((E583*F583),8)</f>
        <v/>
      </c>
      <c r="H583" s="49">
        <f>ROUND(((1+$H$4)^(30/360))^(C583/(EDATE(D583-B583,1)-(D583-B583))),9)</f>
        <v/>
      </c>
      <c r="I583" s="49">
        <f>TRUNC((G583*H583-G583),8)</f>
        <v/>
      </c>
      <c r="J583" s="49">
        <f>G583+I583</f>
        <v/>
      </c>
      <c r="K583" s="256" t="n"/>
      <c r="L583" s="256" t="n"/>
      <c r="M583" s="256" t="n"/>
      <c r="N583" s="256" t="n"/>
      <c r="O583" s="256" t="n"/>
      <c r="P583" s="256" t="n"/>
      <c r="Q583" s="256" t="n"/>
    </row>
    <row r="584">
      <c r="A584">
        <f>IF(DAY(D584)=DAY($L$1+1),A583+1,A583)</f>
        <v/>
      </c>
      <c r="B584" s="46">
        <f>IF(DAY(D584)=DAY($L$1+1),1,B583+1)</f>
        <v/>
      </c>
      <c r="C584" s="46">
        <f>IF(DAY(D584)=DAY($L$1+1),1,C583+1)</f>
        <v/>
      </c>
      <c r="D584" s="2">
        <f>D583+1</f>
        <v/>
      </c>
      <c r="E584" s="8">
        <f>IF(DAY(D584)=DAY($L$1+1),TRUNC((N583),8),E583)</f>
        <v/>
      </c>
      <c r="F584" s="49">
        <f>TRUNC(((1+VLOOKUP(A584,IPCA!$A$2:$C$140,3,0)))^(C584/(EDATE(D584-C584,1)-(D584-C584))),8)</f>
        <v/>
      </c>
      <c r="G584" s="49">
        <f>TRUNC((E584*F584),8)</f>
        <v/>
      </c>
      <c r="H584" s="49">
        <f>ROUND(((1+$H$4)^(30/360))^(C584/(EDATE(D584-B584,1)-(D584-B584))),9)</f>
        <v/>
      </c>
      <c r="I584" s="49">
        <f>TRUNC((G584*H584-G584),8)</f>
        <v/>
      </c>
      <c r="J584" s="49">
        <f>G584+I584</f>
        <v/>
      </c>
      <c r="K584" s="123" t="n"/>
      <c r="L584" s="271" t="n"/>
      <c r="M584" s="256" t="n"/>
      <c r="N584" s="256" t="n"/>
      <c r="O584" s="256" t="n"/>
      <c r="P584" s="256" t="n"/>
      <c r="Q584" s="256" t="n"/>
    </row>
    <row r="585">
      <c r="A585">
        <f>IF(DAY(D585)=DAY($L$1+1),A584+1,A584)</f>
        <v/>
      </c>
      <c r="B585" s="46">
        <f>IF(DAY(D585)=DAY($L$1+1),1,B584+1)</f>
        <v/>
      </c>
      <c r="C585" s="46">
        <f>IF(DAY(D585)=DAY($L$1+1),1,C584+1)</f>
        <v/>
      </c>
      <c r="D585" s="2">
        <f>D584+1</f>
        <v/>
      </c>
      <c r="E585" s="8">
        <f>IF(DAY(D585)=DAY($L$1+1),TRUNC((N584),8),E584)</f>
        <v/>
      </c>
      <c r="F585" s="49">
        <f>TRUNC(((1+VLOOKUP(A585,IPCA!$A$2:$C$140,3,0)))^(C585/(EDATE(D585-C585,1)-(D585-C585))),8)</f>
        <v/>
      </c>
      <c r="G585" s="49">
        <f>TRUNC((E585*F585),8)</f>
        <v/>
      </c>
      <c r="H585" s="49">
        <f>ROUND(((1+$H$4)^(30/360))^(C585/(EDATE(D585-B585,1)-(D585-B585))),9)</f>
        <v/>
      </c>
      <c r="I585" s="49">
        <f>TRUNC((G585*H585-G585),8)</f>
        <v/>
      </c>
      <c r="J585" s="49">
        <f>G585+I585</f>
        <v/>
      </c>
      <c r="K585" s="256" t="n"/>
      <c r="L585" s="256" t="n"/>
      <c r="M585" s="256" t="n"/>
      <c r="N585" s="256" t="n"/>
      <c r="O585" s="256" t="n"/>
      <c r="P585" s="256" t="n"/>
      <c r="Q585" s="256" t="n"/>
    </row>
    <row r="586">
      <c r="A586">
        <f>IF(DAY(D586)=DAY($L$1+1),A585+1,A585)</f>
        <v/>
      </c>
      <c r="B586" s="46">
        <f>IF(DAY(D586)=DAY($L$1+1),1,B585+1)</f>
        <v/>
      </c>
      <c r="C586" s="46">
        <f>IF(DAY(D586)=DAY($L$1+1),1,C585+1)</f>
        <v/>
      </c>
      <c r="D586" s="2">
        <f>D585+1</f>
        <v/>
      </c>
      <c r="E586" s="8">
        <f>IF(DAY(D586)=DAY($L$1+1),TRUNC((N585),8),E585)</f>
        <v/>
      </c>
      <c r="F586" s="49">
        <f>TRUNC(((1+VLOOKUP(A586,IPCA!$A$2:$C$140,3,0)))^(C586/(EDATE(D586-C586,1)-(D586-C586))),8)</f>
        <v/>
      </c>
      <c r="G586" s="49">
        <f>TRUNC((E586*F586),8)</f>
        <v/>
      </c>
      <c r="H586" s="49">
        <f>ROUND(((1+$H$4)^(30/360))^(C586/(EDATE(D586-B586,1)-(D586-B586))),9)</f>
        <v/>
      </c>
      <c r="I586" s="49">
        <f>TRUNC((G586*H586-G586),8)</f>
        <v/>
      </c>
      <c r="J586" s="49">
        <f>G586+I586</f>
        <v/>
      </c>
      <c r="K586" s="256" t="n"/>
      <c r="L586" s="256" t="n"/>
      <c r="M586" s="256" t="n"/>
      <c r="N586" s="256" t="n"/>
      <c r="O586" s="256" t="n"/>
      <c r="P586" s="256" t="n"/>
      <c r="Q586" s="256" t="n"/>
    </row>
    <row r="587">
      <c r="A587">
        <f>IF(DAY(D587)=DAY($L$1+1),A586+1,A586)</f>
        <v/>
      </c>
      <c r="B587" s="46">
        <f>IF(DAY(D587)=DAY($L$1+1),1,B586+1)</f>
        <v/>
      </c>
      <c r="C587" s="46">
        <f>IF(DAY(D587)=DAY($L$1+1),1,C586+1)</f>
        <v/>
      </c>
      <c r="D587" s="2">
        <f>D586+1</f>
        <v/>
      </c>
      <c r="E587" s="8">
        <f>IF(DAY(D587)=DAY($L$1+1),TRUNC((N586),8),E586)</f>
        <v/>
      </c>
      <c r="F587" s="49">
        <f>TRUNC(((1+VLOOKUP(A587,IPCA!$A$2:$C$140,3,0)))^(C587/(EDATE(D587-C587,1)-(D587-C587))),8)</f>
        <v/>
      </c>
      <c r="G587" s="49">
        <f>TRUNC((E587*F587),8)</f>
        <v/>
      </c>
      <c r="H587" s="49">
        <f>ROUND(((1+$H$4)^(30/360))^(C587/(EDATE(D587-B587,1)-(D587-B587))),9)</f>
        <v/>
      </c>
      <c r="I587" s="49">
        <f>TRUNC((G587*H587-G587),8)</f>
        <v/>
      </c>
      <c r="J587" s="49">
        <f>G587+I587</f>
        <v/>
      </c>
      <c r="K587" s="256" t="n"/>
      <c r="L587" s="256" t="n"/>
      <c r="M587" s="256" t="n"/>
      <c r="N587" s="256" t="n"/>
      <c r="O587" s="256" t="n"/>
      <c r="P587" s="256" t="n"/>
      <c r="Q587" s="256" t="n"/>
    </row>
    <row r="588">
      <c r="A588">
        <f>IF(DAY(D588)=DAY($L$1+1),A587+1,A587)</f>
        <v/>
      </c>
      <c r="B588" s="46">
        <f>IF(DAY(D588)=DAY($L$1+1),1,B587+1)</f>
        <v/>
      </c>
      <c r="C588" s="46">
        <f>IF(DAY(D588)=DAY($L$1+1),1,C587+1)</f>
        <v/>
      </c>
      <c r="D588" s="2">
        <f>D587+1</f>
        <v/>
      </c>
      <c r="E588" s="8">
        <f>IF(DAY(D588)=DAY($L$1+1),TRUNC((N587),8),E587)</f>
        <v/>
      </c>
      <c r="F588" s="49">
        <f>TRUNC(((1+VLOOKUP(A588,IPCA!$A$2:$C$140,3,0)))^(C588/(EDATE(D588-C588,1)-(D588-C588))),8)</f>
        <v/>
      </c>
      <c r="G588" s="49">
        <f>TRUNC((E588*F588),8)</f>
        <v/>
      </c>
      <c r="H588" s="49">
        <f>ROUND(((1+$H$4)^(30/360))^(C588/(EDATE(D588-B588,1)-(D588-B588))),9)</f>
        <v/>
      </c>
      <c r="I588" s="49">
        <f>TRUNC((G588*H588-G588),8)</f>
        <v/>
      </c>
      <c r="J588" s="49">
        <f>G588+I588</f>
        <v/>
      </c>
      <c r="K588" s="256" t="n"/>
      <c r="L588" s="256" t="n"/>
      <c r="M588" s="256" t="n"/>
      <c r="N588" s="256" t="n"/>
      <c r="O588" s="256" t="n"/>
      <c r="P588" s="256" t="n"/>
      <c r="Q588" s="256" t="n"/>
    </row>
    <row r="589">
      <c r="A589">
        <f>IF(DAY(D589)=DAY($L$1+1),A588+1,A588)</f>
        <v/>
      </c>
      <c r="B589" s="46">
        <f>IF(DAY(D589)=DAY($L$1+1),1,B588+1)</f>
        <v/>
      </c>
      <c r="C589" s="46">
        <f>IF(DAY(D589)=DAY($L$1+1),1,C588+1)</f>
        <v/>
      </c>
      <c r="D589" s="2">
        <f>D588+1</f>
        <v/>
      </c>
      <c r="E589" s="8">
        <f>IF(DAY(D589)=DAY($L$1+1),TRUNC((N588),8),E588)</f>
        <v/>
      </c>
      <c r="F589" s="49">
        <f>TRUNC(((1+VLOOKUP(A589,IPCA!$A$2:$C$140,3,0)))^(C589/(EDATE(D589-C589,1)-(D589-C589))),8)</f>
        <v/>
      </c>
      <c r="G589" s="49">
        <f>TRUNC((E589*F589),8)</f>
        <v/>
      </c>
      <c r="H589" s="49">
        <f>ROUND(((1+$H$4)^(30/360))^(C589/(EDATE(D589-B589,1)-(D589-B589))),9)</f>
        <v/>
      </c>
      <c r="I589" s="49">
        <f>TRUNC((G589*H589-G589),8)</f>
        <v/>
      </c>
      <c r="J589" s="49">
        <f>G589+I589</f>
        <v/>
      </c>
      <c r="K589" s="256" t="n"/>
      <c r="L589" s="256" t="n"/>
      <c r="M589" s="256" t="n"/>
      <c r="N589" s="256" t="n"/>
      <c r="O589" s="256" t="n"/>
      <c r="P589" s="256" t="n"/>
      <c r="Q589" s="256" t="n"/>
    </row>
    <row r="590">
      <c r="A590">
        <f>IF(DAY(D590)=DAY($L$1+1),A589+1,A589)</f>
        <v/>
      </c>
      <c r="B590" s="46">
        <f>IF(DAY(D590)=DAY($L$1+1),1,B589+1)</f>
        <v/>
      </c>
      <c r="C590" s="46">
        <f>IF(DAY(D590)=DAY($L$1+1),1,C589+1)</f>
        <v/>
      </c>
      <c r="D590" s="2">
        <f>D589+1</f>
        <v/>
      </c>
      <c r="E590" s="8">
        <f>IF(DAY(D590)=DAY($L$1+1),TRUNC((N589),8),E589)</f>
        <v/>
      </c>
      <c r="F590" s="49">
        <f>TRUNC(((1+VLOOKUP(A590,IPCA!$A$2:$C$140,3,0)))^(C590/(EDATE(D590-C590,1)-(D590-C590))),8)</f>
        <v/>
      </c>
      <c r="G590" s="49">
        <f>TRUNC((E590*F590),8)</f>
        <v/>
      </c>
      <c r="H590" s="49">
        <f>ROUND(((1+$H$4)^(30/360))^(C590/(EDATE(D590-B590,1)-(D590-B590))),9)</f>
        <v/>
      </c>
      <c r="I590" s="49">
        <f>TRUNC((G590*H590-G590),8)</f>
        <v/>
      </c>
      <c r="J590" s="49">
        <f>G590+I590</f>
        <v/>
      </c>
      <c r="K590" s="256" t="n"/>
      <c r="L590" s="256" t="n"/>
      <c r="M590" s="256" t="n"/>
      <c r="N590" s="256" t="n"/>
      <c r="O590" s="256" t="n"/>
      <c r="P590" s="256" t="n"/>
      <c r="Q590" s="256" t="n"/>
    </row>
    <row r="591">
      <c r="A591">
        <f>IF(DAY(D591)=DAY($L$1+1),A590+1,A590)</f>
        <v/>
      </c>
      <c r="B591" s="46">
        <f>IF(DAY(D591)=DAY($L$1+1),1,B590+1)</f>
        <v/>
      </c>
      <c r="C591" s="46">
        <f>IF(DAY(D591)=DAY($L$1+1),1,C590+1)</f>
        <v/>
      </c>
      <c r="D591" s="2">
        <f>D590+1</f>
        <v/>
      </c>
      <c r="E591" s="8">
        <f>IF(DAY(D591)=DAY($L$1+1),TRUNC((N590),8),E590)</f>
        <v/>
      </c>
      <c r="F591" s="49">
        <f>TRUNC(((1+VLOOKUP(A591,IPCA!$A$2:$C$140,3,0)))^(C591/(EDATE(D591-C591,1)-(D591-C591))),8)</f>
        <v/>
      </c>
      <c r="G591" s="49">
        <f>TRUNC((E591*F591),8)</f>
        <v/>
      </c>
      <c r="H591" s="49">
        <f>ROUND(((1+$H$4)^(30/360))^(C591/(EDATE(D591-B591,1)-(D591-B591))),9)</f>
        <v/>
      </c>
      <c r="I591" s="49">
        <f>TRUNC((G591*H591-G591),8)</f>
        <v/>
      </c>
      <c r="J591" s="49">
        <f>G591+I591</f>
        <v/>
      </c>
      <c r="K591" s="256" t="n"/>
      <c r="L591" s="256" t="n"/>
      <c r="M591" s="256" t="n"/>
      <c r="N591" s="256" t="n"/>
      <c r="O591" s="256" t="n"/>
      <c r="P591" s="256" t="n"/>
      <c r="Q591" s="256" t="n"/>
    </row>
    <row r="592">
      <c r="A592">
        <f>IF(DAY(D592)=DAY($L$1+1),A591+1,A591)</f>
        <v/>
      </c>
      <c r="B592" s="46">
        <f>IF(DAY(D592)=DAY($L$1+1),1,B591+1)</f>
        <v/>
      </c>
      <c r="C592" s="46">
        <f>IF(DAY(D592)=DAY($L$1+1),1,C591+1)</f>
        <v/>
      </c>
      <c r="D592" s="2">
        <f>D591+1</f>
        <v/>
      </c>
      <c r="E592" s="8">
        <f>IF(DAY(D592)=DAY($L$1+1),TRUNC((N591),8),E591)</f>
        <v/>
      </c>
      <c r="F592" s="49">
        <f>TRUNC(((1+VLOOKUP(A592,IPCA!$A$2:$C$140,3,0)))^(C592/(EDATE(D592-C592,1)-(D592-C592))),8)</f>
        <v/>
      </c>
      <c r="G592" s="49">
        <f>TRUNC((E592*F592),8)</f>
        <v/>
      </c>
      <c r="H592" s="49">
        <f>ROUND(((1+$H$4)^(30/360))^(C592/(EDATE(D592-B592,1)-(D592-B592))),9)</f>
        <v/>
      </c>
      <c r="I592" s="49">
        <f>TRUNC((G592*H592-G592),8)</f>
        <v/>
      </c>
      <c r="J592" s="49">
        <f>G592+I592</f>
        <v/>
      </c>
      <c r="K592" s="256" t="n"/>
      <c r="L592" s="256" t="n"/>
      <c r="M592" s="256" t="n"/>
      <c r="N592" s="256" t="n"/>
      <c r="O592" s="256" t="n"/>
      <c r="P592" s="256" t="n"/>
      <c r="Q592" s="256" t="n"/>
    </row>
    <row r="593">
      <c r="A593">
        <f>IF(DAY(D593)=DAY($L$1+1),A592+1,A592)</f>
        <v/>
      </c>
      <c r="B593" s="46">
        <f>IF(DAY(D593)=DAY($L$1+1),1,B592+1)</f>
        <v/>
      </c>
      <c r="C593" s="46">
        <f>IF(DAY(D593)=DAY($L$1+1),1,C592+1)</f>
        <v/>
      </c>
      <c r="D593" s="2">
        <f>D592+1</f>
        <v/>
      </c>
      <c r="E593" s="8">
        <f>IF(DAY(D593)=DAY($L$1+1),TRUNC((N592),8),E592)</f>
        <v/>
      </c>
      <c r="F593" s="49">
        <f>TRUNC(((1+VLOOKUP(A593,IPCA!$A$2:$C$140,3,0)))^(C593/(EDATE(D593-C593,1)-(D593-C593))),8)</f>
        <v/>
      </c>
      <c r="G593" s="49">
        <f>TRUNC((E593*F593),8)</f>
        <v/>
      </c>
      <c r="H593" s="49">
        <f>ROUND(((1+$H$4)^(30/360))^(C593/(EDATE(D593-B593,1)-(D593-B593))),9)</f>
        <v/>
      </c>
      <c r="I593" s="49">
        <f>TRUNC((G593*H593-G593),8)</f>
        <v/>
      </c>
      <c r="J593" s="49">
        <f>G593+I593</f>
        <v/>
      </c>
      <c r="K593" s="256" t="n"/>
      <c r="L593" s="256" t="n"/>
      <c r="M593" s="256" t="n"/>
      <c r="N593" s="256" t="n"/>
      <c r="O593" s="256" t="n"/>
      <c r="P593" s="256" t="n"/>
      <c r="Q593" s="256" t="n"/>
    </row>
    <row r="594">
      <c r="A594">
        <f>IF(DAY(D594)=DAY($L$1+1),A593+1,A593)</f>
        <v/>
      </c>
      <c r="B594" s="46">
        <f>IF(DAY(D594)=DAY($L$1+1),1,B593+1)</f>
        <v/>
      </c>
      <c r="C594" s="46">
        <f>IF(DAY(D594)=DAY($L$1+1),1,C593+1)</f>
        <v/>
      </c>
      <c r="D594" s="2">
        <f>D593+1</f>
        <v/>
      </c>
      <c r="E594" s="8">
        <f>IF(DAY(D594)=DAY($L$1+1),TRUNC((N593),8),E593)</f>
        <v/>
      </c>
      <c r="F594" s="49">
        <f>TRUNC(((1+VLOOKUP(A594,IPCA!$A$2:$C$140,3,0)))^(C594/(EDATE(D594-C594,1)-(D594-C594))),8)</f>
        <v/>
      </c>
      <c r="G594" s="49">
        <f>TRUNC((E594*F594),8)</f>
        <v/>
      </c>
      <c r="H594" s="49">
        <f>ROUND(((1+$H$4)^(30/360))^(C594/(EDATE(D594-B594,1)-(D594-B594))),9)</f>
        <v/>
      </c>
      <c r="I594" s="49">
        <f>TRUNC((G594*H594-G594),8)</f>
        <v/>
      </c>
      <c r="J594" s="49">
        <f>G594+I594</f>
        <v/>
      </c>
      <c r="K594" s="256" t="n"/>
      <c r="L594" s="256" t="n"/>
      <c r="M594" s="256" t="n"/>
      <c r="N594" s="256" t="n"/>
      <c r="O594" s="256" t="n"/>
      <c r="P594" s="256" t="n"/>
      <c r="Q594" s="256" t="n"/>
    </row>
    <row r="595">
      <c r="A595">
        <f>IF(DAY(D595)=DAY($L$1+1),A594+1,A594)</f>
        <v/>
      </c>
      <c r="B595" s="46">
        <f>IF(DAY(D595)=DAY($L$1+1),1,B594+1)</f>
        <v/>
      </c>
      <c r="C595" s="46">
        <f>IF(DAY(D595)=DAY($L$1+1),1,C594+1)</f>
        <v/>
      </c>
      <c r="D595" s="2">
        <f>D594+1</f>
        <v/>
      </c>
      <c r="E595" s="8">
        <f>IF(DAY(D595)=DAY($L$1+1),TRUNC((N594),8),E594)</f>
        <v/>
      </c>
      <c r="F595" s="49">
        <f>TRUNC(((1+VLOOKUP(A595,IPCA!$A$2:$C$140,3,0)))^(C595/(EDATE(D595-C595,1)-(D595-C595))),8)</f>
        <v/>
      </c>
      <c r="G595" s="49">
        <f>TRUNC((E595*F595),8)</f>
        <v/>
      </c>
      <c r="H595" s="49">
        <f>ROUND(((1+$H$4)^(30/360))^(C595/(EDATE(D595-B595,1)-(D595-B595))),9)</f>
        <v/>
      </c>
      <c r="I595" s="49">
        <f>TRUNC((G595*H595-G595),8)</f>
        <v/>
      </c>
      <c r="J595" s="49">
        <f>G595+I595</f>
        <v/>
      </c>
      <c r="K595" s="256" t="n"/>
      <c r="L595" s="256" t="n"/>
      <c r="M595" s="256" t="n"/>
      <c r="N595" s="256" t="n"/>
      <c r="O595" s="256" t="n"/>
      <c r="P595" s="256" t="n"/>
      <c r="Q595" s="256" t="n"/>
    </row>
    <row r="596">
      <c r="A596">
        <f>IF(DAY(D596)=DAY($L$1+1),A595+1,A595)</f>
        <v/>
      </c>
      <c r="B596" s="46">
        <f>IF(DAY(D596)=DAY($L$1+1),1,B595+1)</f>
        <v/>
      </c>
      <c r="C596" s="46">
        <f>IF(DAY(D596)=DAY($L$1+1),1,C595+1)</f>
        <v/>
      </c>
      <c r="D596" s="2">
        <f>D595+1</f>
        <v/>
      </c>
      <c r="E596" s="8">
        <f>IF(DAY(D596)=DAY($L$1+1),TRUNC((N595),8),E595)</f>
        <v/>
      </c>
      <c r="F596" s="49">
        <f>TRUNC(((1+VLOOKUP(A596,IPCA!$A$2:$C$140,3,0)))^(C596/(EDATE(D596-C596,1)-(D596-C596))),8)</f>
        <v/>
      </c>
      <c r="G596" s="49">
        <f>TRUNC((E596*F596),8)</f>
        <v/>
      </c>
      <c r="H596" s="49">
        <f>ROUND(((1+$H$4)^(30/360))^(C596/(EDATE(D596-B596,1)-(D596-B596))),9)</f>
        <v/>
      </c>
      <c r="I596" s="49">
        <f>TRUNC((G596*H596-G596),8)</f>
        <v/>
      </c>
      <c r="J596" s="49">
        <f>G596+I596</f>
        <v/>
      </c>
      <c r="K596" s="256" t="n"/>
      <c r="L596" s="256" t="n"/>
      <c r="M596" s="256" t="n"/>
      <c r="N596" s="256" t="n"/>
      <c r="O596" s="256" t="n"/>
      <c r="P596" s="256" t="n"/>
      <c r="Q596" s="256" t="n"/>
    </row>
    <row r="597">
      <c r="A597">
        <f>IF(DAY(D597)=DAY($L$1+1),A596+1,A596)</f>
        <v/>
      </c>
      <c r="B597" s="46">
        <f>IF(DAY(D597)=DAY($L$1+1),1,B596+1)</f>
        <v/>
      </c>
      <c r="C597" s="46">
        <f>IF(DAY(D597)=DAY($L$1+1),1,C596+1)</f>
        <v/>
      </c>
      <c r="D597" s="2">
        <f>D596+1</f>
        <v/>
      </c>
      <c r="E597" s="8">
        <f>IF(DAY(D597)=DAY($L$1+1),TRUNC((N596),8),E596)</f>
        <v/>
      </c>
      <c r="F597" s="49">
        <f>TRUNC(((1+VLOOKUP(A597,IPCA!$A$2:$C$140,3,0)))^(C597/(EDATE(D597-C597,1)-(D597-C597))),8)</f>
        <v/>
      </c>
      <c r="G597" s="49">
        <f>TRUNC((E597*F597),8)</f>
        <v/>
      </c>
      <c r="H597" s="49">
        <f>ROUND(((1+$H$4)^(30/360))^(C597/(EDATE(D597-B597,1)-(D597-B597))),9)</f>
        <v/>
      </c>
      <c r="I597" s="49">
        <f>TRUNC((G597*H597-G597),8)</f>
        <v/>
      </c>
      <c r="J597" s="49">
        <f>G597+I597</f>
        <v/>
      </c>
      <c r="K597" s="256" t="inlineStr">
        <is>
          <t>Cri Integralizado</t>
        </is>
      </c>
      <c r="L597" s="270">
        <f>L566</f>
        <v/>
      </c>
      <c r="M597" s="256" t="n"/>
      <c r="N597" s="256" t="n"/>
      <c r="O597" s="256" t="n"/>
      <c r="P597" s="256" t="n"/>
      <c r="Q597" s="256" t="n"/>
    </row>
    <row r="598">
      <c r="A598">
        <f>IF(DAY(D598)=DAY($L$1+1),A597+1,A597)</f>
        <v/>
      </c>
      <c r="B598" s="46">
        <f>IF(DAY(D598)=DAY($L$1+1),1,B597+1)</f>
        <v/>
      </c>
      <c r="C598" s="46">
        <f>IF(DAY(D598)=DAY($L$1+1),1,C597+1)</f>
        <v/>
      </c>
      <c r="D598" s="47">
        <f>D597+1</f>
        <v/>
      </c>
      <c r="E598" s="8">
        <f>IF(DAY(D598)=DAY($L$1+1),TRUNC((N597),8),E597)</f>
        <v/>
      </c>
      <c r="F598" s="49">
        <f>TRUNC(((1+VLOOKUP(A598,IPCA!$A$2:$C$140,3,0)))^(C598/(EDATE(D598-C598,1)-(D598-C598))),8)</f>
        <v/>
      </c>
      <c r="G598" s="49">
        <f>TRUNC((E598*F598),8)</f>
        <v/>
      </c>
      <c r="H598" s="49">
        <f>ROUND(((1+$H$4)^(30/360))^(C598/(EDATE(D598-B598,1)-(D598-B598))),9)</f>
        <v/>
      </c>
      <c r="I598" s="49">
        <f>TRUNC((G598*H598-G598),8)</f>
        <v/>
      </c>
      <c r="J598" s="49">
        <f>G598+I598</f>
        <v/>
      </c>
      <c r="K598" s="118" t="inlineStr">
        <is>
          <t>JUROS</t>
        </is>
      </c>
      <c r="L598" s="118" t="inlineStr">
        <is>
          <t>AMORTIZAÇÃO</t>
        </is>
      </c>
      <c r="M598" s="118" t="inlineStr">
        <is>
          <t>AMEX</t>
        </is>
      </c>
      <c r="N598" s="118" t="inlineStr">
        <is>
          <t>RESIDUAL</t>
        </is>
      </c>
      <c r="O598" s="256" t="n"/>
      <c r="P598" s="256" t="n"/>
      <c r="Q598" s="256" t="n"/>
    </row>
    <row r="599">
      <c r="A599">
        <f>IF(DAY(D599)=DAY($L$1+1),A598+1,A598)</f>
        <v/>
      </c>
      <c r="B599" s="111">
        <f>IF(DAY(D599)=DAY($L$1+1),1,B598+1)</f>
        <v/>
      </c>
      <c r="C599" s="111">
        <f>IF(DAY(D599)=DAY($L$1+1),1,C598+1)</f>
        <v/>
      </c>
      <c r="D599" s="112">
        <f>D598+1</f>
        <v/>
      </c>
      <c r="E599" s="113">
        <f>IF(DAY(D599)=DAY($L$1+1),TRUNC((N598),8),E598)</f>
        <v/>
      </c>
      <c r="F599" s="114">
        <f>TRUNC(((1+VLOOKUP(A599,IPCA!$A$2:$C$140,3,0)))^(C599/(EDATE(D599-C599,1)-(D599-C599))),8)</f>
        <v/>
      </c>
      <c r="G599" s="114">
        <f>TRUNC((E599*F599),8)</f>
        <v/>
      </c>
      <c r="H599" s="114">
        <f>ROUND(((1+$H$4)^(30/360))^(C599/(EDATE(D599-B599,1)-(D599-B599))),9)</f>
        <v/>
      </c>
      <c r="I599" s="114">
        <f>TRUNC((G599*H599-G599),8)</f>
        <v/>
      </c>
      <c r="J599" s="114">
        <f>G599+I599</f>
        <v/>
      </c>
      <c r="K599" s="119" t="n">
        <v>0</v>
      </c>
      <c r="L599" s="120" t="n">
        <v>0</v>
      </c>
      <c r="M599" s="120" t="n">
        <v>0</v>
      </c>
      <c r="N599" s="120">
        <f>J599-K599-L599-M599</f>
        <v/>
      </c>
      <c r="O599" s="256" t="n"/>
      <c r="P599" s="256" t="n"/>
      <c r="Q599" s="256" t="n"/>
    </row>
    <row r="600">
      <c r="A600">
        <f>IF(DAY(D600)=DAY($L$1+1),A599+1,A599)</f>
        <v/>
      </c>
      <c r="B600" s="46">
        <f>IF(DAY(D600)=DAY($L$1+1),1,B599+1)</f>
        <v/>
      </c>
      <c r="C600" s="46">
        <f>IF(DAY(D600)=DAY($L$1+1),1,C599+1)</f>
        <v/>
      </c>
      <c r="D600" s="2">
        <f>D599+1</f>
        <v/>
      </c>
      <c r="E600" s="8">
        <f>IF(DAY(D600)=DAY($L$1+1),TRUNC((N599),8),E599)</f>
        <v/>
      </c>
      <c r="F600" s="49">
        <f>TRUNC(((1+VLOOKUP(A600,IPCA!$A$2:$C$140,3,0)))^(C600/(EDATE(D600-C600,1)-(D600-C600))),8)</f>
        <v/>
      </c>
      <c r="G600" s="49">
        <f>TRUNC((E600*F600),8)</f>
        <v/>
      </c>
      <c r="H600" s="49">
        <f>ROUND(((1+$H$4)^(30/360))^(C600/(EDATE(D600-B600,1)-(D600-B600))),9)</f>
        <v/>
      </c>
      <c r="I600" s="49">
        <f>TRUNC((G600*H600-G600),8)</f>
        <v/>
      </c>
      <c r="J600" s="49">
        <f>G600+I600</f>
        <v/>
      </c>
      <c r="K600" s="121">
        <f>K599*L597</f>
        <v/>
      </c>
      <c r="L600" s="121">
        <f>L599*L597</f>
        <v/>
      </c>
      <c r="M600" s="121">
        <f>M599*L597</f>
        <v/>
      </c>
      <c r="N600" s="121">
        <f>N599*L597</f>
        <v/>
      </c>
      <c r="O600" s="256" t="n"/>
      <c r="P600" s="256" t="n"/>
      <c r="Q600" s="256" t="n"/>
    </row>
    <row r="601">
      <c r="A601">
        <f>IF(DAY(D601)=DAY($L$1+1),A600+1,A600)</f>
        <v/>
      </c>
      <c r="B601" s="46">
        <f>IF(DAY(D601)=DAY($L$1+1),1,B600+1)</f>
        <v/>
      </c>
      <c r="C601" s="46">
        <f>IF(DAY(D601)=DAY($L$1+1),1,C600+1)</f>
        <v/>
      </c>
      <c r="D601" s="2">
        <f>D600+1</f>
        <v/>
      </c>
      <c r="E601" s="8">
        <f>IF(DAY(D601)=DAY($L$1+1),TRUNC((N600),8),E600)</f>
        <v/>
      </c>
      <c r="F601" s="49">
        <f>TRUNC(((1+VLOOKUP(A601,IPCA!$A$2:$C$140,3,0)))^(C601/(EDATE(D601-C601,1)-(D601-C601))),8)</f>
        <v/>
      </c>
      <c r="G601" s="49">
        <f>TRUNC((E601*F601),8)</f>
        <v/>
      </c>
      <c r="H601" s="49">
        <f>ROUND(((1+$H$4)^(30/360))^(C601/(EDATE(D601-B601,1)-(D601-B601))),9)</f>
        <v/>
      </c>
      <c r="I601" s="49">
        <f>TRUNC((G601*H601-G601),8)</f>
        <v/>
      </c>
      <c r="J601" s="49">
        <f>G601+I601</f>
        <v/>
      </c>
      <c r="K601" s="256" t="n"/>
      <c r="L601" s="256" t="n"/>
      <c r="M601" s="256" t="n"/>
      <c r="N601" s="256" t="n"/>
      <c r="O601" s="256" t="n"/>
      <c r="P601" s="256" t="n"/>
      <c r="Q601" s="256" t="n"/>
    </row>
    <row r="602">
      <c r="A602">
        <f>IF(DAY(D602)=DAY($L$1+1),A601+1,A601)</f>
        <v/>
      </c>
      <c r="B602" s="46">
        <f>IF(DAY(D602)=DAY($L$1+1),1,B601+1)</f>
        <v/>
      </c>
      <c r="C602" s="46">
        <f>IF(DAY(D602)=DAY($L$1+1),1,C601+1)</f>
        <v/>
      </c>
      <c r="D602" s="2">
        <f>D601+1</f>
        <v/>
      </c>
      <c r="E602" s="8">
        <f>IF(DAY(D602)=DAY($L$1+1),TRUNC((#REF!),8),E601)</f>
        <v/>
      </c>
      <c r="F602" s="49">
        <f>TRUNC(((1+VLOOKUP(A602,IPCA!$A$2:$C$140,3,0)))^(C602/(EDATE(D602-C602,1)-(D602-C602))),8)</f>
        <v/>
      </c>
      <c r="G602" s="49">
        <f>TRUNC((E602*F602),8)</f>
        <v/>
      </c>
      <c r="H602" s="49">
        <f>ROUND(((1+$H$4)^(30/360))^(C602/(EDATE(D602-B602,1)-(D602-B602))),9)</f>
        <v/>
      </c>
      <c r="I602" s="49">
        <f>TRUNC((G602*H602-G602),8)</f>
        <v/>
      </c>
      <c r="J602" s="49">
        <f>G602+I602</f>
        <v/>
      </c>
      <c r="K602" s="256" t="n"/>
      <c r="L602" s="256" t="n"/>
      <c r="M602" s="256" t="n"/>
      <c r="N602" s="256" t="n"/>
      <c r="O602" s="256" t="n"/>
      <c r="P602" s="256" t="n"/>
      <c r="Q602" s="256" t="n"/>
    </row>
    <row r="603">
      <c r="A603">
        <f>IF(DAY(D603)=DAY($L$1+1),A602+1,A602)</f>
        <v/>
      </c>
      <c r="B603" s="46">
        <f>IF(DAY(D603)=DAY($L$1+1),1,B602+1)</f>
        <v/>
      </c>
      <c r="C603" s="46">
        <f>IF(DAY(D603)=DAY($L$1+1),1,C602+1)</f>
        <v/>
      </c>
      <c r="D603" s="2">
        <f>D602+1</f>
        <v/>
      </c>
      <c r="E603" s="8">
        <f>IF(DAY(D603)=DAY($L$1+1),TRUNC((#REF!),8),E602)</f>
        <v/>
      </c>
      <c r="F603" s="49">
        <f>TRUNC(((1+VLOOKUP(A603,IPCA!$A$2:$C$140,3,0)))^(C603/(EDATE(D603-C603,1)-(D603-C603))),8)</f>
        <v/>
      </c>
      <c r="G603" s="49">
        <f>TRUNC((E603*F603),8)</f>
        <v/>
      </c>
      <c r="H603" s="49">
        <f>ROUND(((1+$H$4)^(30/360))^(C603/(EDATE(D603-B603,1)-(D603-B603))),9)</f>
        <v/>
      </c>
      <c r="I603" s="49">
        <f>TRUNC((G603*H603-G603),8)</f>
        <v/>
      </c>
      <c r="J603" s="49">
        <f>G603+I603</f>
        <v/>
      </c>
      <c r="K603" s="256" t="n"/>
      <c r="L603" s="256" t="n"/>
      <c r="M603" s="256" t="n"/>
      <c r="N603" s="256" t="n"/>
      <c r="O603" s="256" t="n"/>
      <c r="P603" s="256" t="n"/>
      <c r="Q603" s="256" t="n"/>
    </row>
    <row r="604">
      <c r="A604">
        <f>IF(DAY(D604)=DAY($L$1+1),A603+1,A603)</f>
        <v/>
      </c>
      <c r="B604" s="46">
        <f>IF(DAY(D604)=DAY($L$1+1),1,B603+1)</f>
        <v/>
      </c>
      <c r="C604" s="46">
        <f>IF(DAY(D604)=DAY($L$1+1),1,C603+1)</f>
        <v/>
      </c>
      <c r="D604" s="2">
        <f>D603+1</f>
        <v/>
      </c>
      <c r="E604" s="8">
        <f>IF(DAY(D604)=DAY($L$1+1),TRUNC((#REF!),8),E603)</f>
        <v/>
      </c>
      <c r="F604" s="49">
        <f>TRUNC(((1+VLOOKUP(A604,IPCA!$A$2:$C$140,3,0)))^(C604/(EDATE(D604-C604,1)-(D604-C604))),8)</f>
        <v/>
      </c>
      <c r="G604" s="49">
        <f>TRUNC((E604*F604),8)</f>
        <v/>
      </c>
      <c r="H604" s="49">
        <f>ROUND(((1+$H$4)^(30/360))^(C604/(EDATE(D604-B604,1)-(D604-B604))),9)</f>
        <v/>
      </c>
      <c r="I604" s="49">
        <f>TRUNC((G604*H604-G604),8)</f>
        <v/>
      </c>
      <c r="J604" s="49">
        <f>G604+I604</f>
        <v/>
      </c>
      <c r="K604" s="256" t="n"/>
      <c r="L604" s="256" t="n"/>
      <c r="M604" s="256" t="n"/>
      <c r="N604" s="256" t="n"/>
      <c r="O604" s="256" t="n"/>
      <c r="P604" s="256" t="n"/>
      <c r="Q604" s="256" t="n"/>
    </row>
    <row r="605">
      <c r="A605">
        <f>IF(DAY(D605)=DAY($L$1+1),A604+1,A604)</f>
        <v/>
      </c>
      <c r="B605" s="46">
        <f>IF(DAY(D605)=DAY($L$1+1),1,B604+1)</f>
        <v/>
      </c>
      <c r="C605" s="46">
        <f>IF(DAY(D605)=DAY($L$1+1),1,C604+1)</f>
        <v/>
      </c>
      <c r="D605" s="2">
        <f>D604+1</f>
        <v/>
      </c>
      <c r="E605" s="8">
        <f>IF(DAY(D605)=DAY($L$1+1),TRUNC((#REF!),8),E604)</f>
        <v/>
      </c>
      <c r="F605" s="49">
        <f>TRUNC(((1+VLOOKUP(A605,IPCA!$A$2:$C$140,3,0)))^(C605/(EDATE(D605-C605,1)-(D605-C605))),8)</f>
        <v/>
      </c>
      <c r="G605" s="49">
        <f>TRUNC((E605*F605),8)</f>
        <v/>
      </c>
      <c r="H605" s="49">
        <f>ROUND(((1+$H$4)^(30/360))^(C605/(EDATE(D605-B605,1)-(D605-B605))),9)</f>
        <v/>
      </c>
      <c r="I605" s="49">
        <f>TRUNC((G605*H605-G605),8)</f>
        <v/>
      </c>
      <c r="J605" s="49">
        <f>G605+I605</f>
        <v/>
      </c>
      <c r="K605" s="256" t="n"/>
      <c r="L605" s="256" t="n"/>
      <c r="M605" s="256" t="n"/>
      <c r="N605" s="256" t="n"/>
      <c r="O605" s="256" t="n"/>
      <c r="P605" s="256" t="n"/>
      <c r="Q605" s="256" t="n"/>
    </row>
    <row r="606">
      <c r="A606">
        <f>IF(DAY(D606)=DAY($L$1+1),A605+1,A605)</f>
        <v/>
      </c>
      <c r="B606" s="46">
        <f>IF(DAY(D606)=DAY($L$1+1),1,B605+1)</f>
        <v/>
      </c>
      <c r="C606" s="46">
        <f>IF(DAY(D606)=DAY($L$1+1),1,C605+1)</f>
        <v/>
      </c>
      <c r="D606" s="2">
        <f>D605+1</f>
        <v/>
      </c>
      <c r="E606" s="8">
        <f>IF(DAY(D606)=DAY($L$1+1),TRUNC((#REF!),8),E605)</f>
        <v/>
      </c>
      <c r="F606" s="49">
        <f>TRUNC(((1+VLOOKUP(A606,IPCA!$A$2:$C$140,3,0)))^(C606/(EDATE(D606-C606,1)-(D606-C606))),8)</f>
        <v/>
      </c>
      <c r="G606" s="49">
        <f>TRUNC((E606*F606),8)</f>
        <v/>
      </c>
      <c r="H606" s="49">
        <f>ROUND(((1+$H$4)^(30/360))^(C606/(EDATE(D606-B606,1)-(D606-B606))),9)</f>
        <v/>
      </c>
      <c r="I606" s="49">
        <f>TRUNC((G606*H606-G606),8)</f>
        <v/>
      </c>
      <c r="J606" s="49">
        <f>G606+I606</f>
        <v/>
      </c>
      <c r="K606" s="256" t="n"/>
      <c r="L606" s="256" t="n"/>
      <c r="M606" s="256" t="n"/>
      <c r="N606" s="256" t="n"/>
      <c r="O606" s="256" t="n"/>
      <c r="P606" s="256" t="n"/>
      <c r="Q606" s="256" t="n"/>
    </row>
    <row r="607">
      <c r="A607">
        <f>IF(DAY(D607)=DAY($L$1+1),A606+1,A606)</f>
        <v/>
      </c>
      <c r="B607" s="46">
        <f>IF(DAY(D607)=DAY($L$1+1),1,B606+1)</f>
        <v/>
      </c>
      <c r="C607" s="46">
        <f>IF(DAY(D607)=DAY($L$1+1),1,C606+1)</f>
        <v/>
      </c>
      <c r="D607" s="2">
        <f>D606+1</f>
        <v/>
      </c>
      <c r="E607" s="8">
        <f>IF(DAY(D607)=DAY($L$1+1),TRUNC((#REF!),8),E606)</f>
        <v/>
      </c>
      <c r="F607" s="49">
        <f>TRUNC(((1+VLOOKUP(A607,IPCA!$A$2:$C$140,3,0)))^(C607/(EDATE(D607-C607,1)-(D607-C607))),8)</f>
        <v/>
      </c>
      <c r="G607" s="49">
        <f>TRUNC((E607*F607),8)</f>
        <v/>
      </c>
      <c r="H607" s="49">
        <f>ROUND(((1+$H$4)^(30/360))^(C607/(EDATE(D607-B607,1)-(D607-B607))),9)</f>
        <v/>
      </c>
      <c r="I607" s="49">
        <f>TRUNC((G607*H607-G607),8)</f>
        <v/>
      </c>
      <c r="J607" s="49">
        <f>G607+I607</f>
        <v/>
      </c>
      <c r="K607" s="256" t="n"/>
      <c r="L607" s="256" t="n"/>
      <c r="M607" s="256" t="n"/>
      <c r="N607" s="256" t="n"/>
      <c r="O607" s="256" t="n"/>
      <c r="P607" s="256" t="n"/>
      <c r="Q607" s="256" t="n"/>
    </row>
    <row r="608">
      <c r="A608">
        <f>IF(DAY(D608)=DAY($L$1+1),A607+1,A607)</f>
        <v/>
      </c>
      <c r="B608" s="46">
        <f>IF(DAY(D608)=DAY($L$1+1),1,B607+1)</f>
        <v/>
      </c>
      <c r="C608" s="46">
        <f>IF(DAY(D608)=DAY($L$1+1),1,C607+1)</f>
        <v/>
      </c>
      <c r="D608" s="2">
        <f>D607+1</f>
        <v/>
      </c>
      <c r="E608" s="8">
        <f>IF(DAY(D608)=DAY($L$1+1),TRUNC((#REF!),8),E607)</f>
        <v/>
      </c>
      <c r="F608" s="49">
        <f>TRUNC(((1+VLOOKUP(A608,IPCA!$A$2:$C$140,3,0)))^(C608/(EDATE(D608-C608,1)-(D608-C608))),8)</f>
        <v/>
      </c>
      <c r="G608" s="49">
        <f>TRUNC((E608*F608),8)</f>
        <v/>
      </c>
      <c r="H608" s="49">
        <f>ROUND(((1+$H$4)^(30/360))^(C608/(EDATE(D608-B608,1)-(D608-B608))),9)</f>
        <v/>
      </c>
      <c r="I608" s="49">
        <f>TRUNC((G608*H608-G608),8)</f>
        <v/>
      </c>
      <c r="J608" s="49">
        <f>G608+I608</f>
        <v/>
      </c>
      <c r="K608" s="256" t="n"/>
      <c r="L608" s="256" t="n"/>
      <c r="M608" s="256" t="n"/>
      <c r="N608" s="256" t="n"/>
      <c r="O608" s="256" t="n"/>
      <c r="P608" s="256" t="n"/>
      <c r="Q608" s="256" t="n"/>
    </row>
    <row r="609">
      <c r="A609">
        <f>IF(DAY(D609)=DAY($L$1+1),A608+1,A608)</f>
        <v/>
      </c>
      <c r="B609" s="46">
        <f>IF(DAY(D609)=DAY($L$1+1),1,B608+1)</f>
        <v/>
      </c>
      <c r="C609" s="46">
        <f>IF(DAY(D609)=DAY($L$1+1),1,C608+1)</f>
        <v/>
      </c>
      <c r="D609" s="2">
        <f>D608+1</f>
        <v/>
      </c>
      <c r="E609" s="8">
        <f>IF(DAY(D609)=DAY($L$1+1),TRUNC((#REF!),8),E608)</f>
        <v/>
      </c>
      <c r="F609" s="49">
        <f>TRUNC(((1+VLOOKUP(A609,IPCA!$A$2:$C$140,3,0)))^(C609/(EDATE(D609-C609,1)-(D609-C609))),8)</f>
        <v/>
      </c>
      <c r="G609" s="49">
        <f>TRUNC((E609*F609),8)</f>
        <v/>
      </c>
      <c r="H609" s="49">
        <f>ROUND(((1+$H$4)^(30/360))^(C609/(EDATE(D609-B609,1)-(D609-B609))),9)</f>
        <v/>
      </c>
      <c r="I609" s="49">
        <f>TRUNC((G609*H609-G609),8)</f>
        <v/>
      </c>
      <c r="J609" s="49">
        <f>G609+I609</f>
        <v/>
      </c>
      <c r="K609" s="256" t="n"/>
      <c r="L609" s="256" t="n"/>
      <c r="M609" s="256" t="n"/>
      <c r="N609" s="256" t="n"/>
      <c r="O609" s="256" t="n"/>
      <c r="P609" s="256" t="n"/>
      <c r="Q609" s="256" t="n"/>
    </row>
    <row r="610">
      <c r="A610">
        <f>IF(DAY(D610)=DAY($L$1+1),A609+1,A609)</f>
        <v/>
      </c>
      <c r="B610" s="46">
        <f>IF(DAY(D610)=DAY($L$1+1),1,B609+1)</f>
        <v/>
      </c>
      <c r="C610" s="46">
        <f>IF(DAY(D610)=DAY($L$1+1),1,C609+1)</f>
        <v/>
      </c>
      <c r="D610" s="2">
        <f>D609+1</f>
        <v/>
      </c>
      <c r="E610" s="8">
        <f>IF(DAY(D610)=DAY($L$1+1),TRUNC((N609),8),E609)</f>
        <v/>
      </c>
      <c r="F610" s="49">
        <f>TRUNC(((1+VLOOKUP(A610,IPCA!$A$2:$C$140,3,0)))^(C610/(EDATE(D610-C610,1)-(D610-C610))),8)</f>
        <v/>
      </c>
      <c r="G610" s="49">
        <f>TRUNC((E610*F610),8)</f>
        <v/>
      </c>
      <c r="H610" s="49">
        <f>ROUND(((1+$H$4)^(30/360))^(C610/(EDATE(D610-B610,1)-(D610-B610))),9)</f>
        <v/>
      </c>
      <c r="I610" s="49">
        <f>TRUNC((G610*H610-G610),8)</f>
        <v/>
      </c>
      <c r="J610" s="49">
        <f>G610+I610</f>
        <v/>
      </c>
      <c r="K610" s="256" t="n"/>
      <c r="L610" s="256" t="n"/>
      <c r="M610" s="256" t="n"/>
      <c r="N610" s="256" t="n"/>
      <c r="O610" s="256" t="n"/>
      <c r="P610" s="256" t="n"/>
      <c r="Q610" s="256" t="n"/>
    </row>
    <row r="611">
      <c r="A611">
        <f>IF(DAY(D611)=DAY($L$1+1),A610+1,A610)</f>
        <v/>
      </c>
      <c r="B611" s="46">
        <f>IF(DAY(D611)=DAY($L$1+1),1,B610+1)</f>
        <v/>
      </c>
      <c r="C611" s="46">
        <f>IF(DAY(D611)=DAY($L$1+1),1,C610+1)</f>
        <v/>
      </c>
      <c r="D611" s="2">
        <f>D610+1</f>
        <v/>
      </c>
      <c r="E611" s="8">
        <f>IF(DAY(D611)=DAY($L$1+1),TRUNC((N610),8),E610)</f>
        <v/>
      </c>
      <c r="F611" s="49">
        <f>TRUNC(((1+VLOOKUP(A611,IPCA!$A$2:$C$140,3,0)))^(C611/(EDATE(D611-C611,1)-(D611-C611))),8)</f>
        <v/>
      </c>
      <c r="G611" s="49">
        <f>TRUNC((E611*F611),8)</f>
        <v/>
      </c>
      <c r="H611" s="49">
        <f>ROUND(((1+$H$4)^(30/360))^(C611/(EDATE(D611-B611,1)-(D611-B611))),9)</f>
        <v/>
      </c>
      <c r="I611" s="49">
        <f>TRUNC((G611*H611-G611),8)</f>
        <v/>
      </c>
      <c r="J611" s="49">
        <f>G611+I611</f>
        <v/>
      </c>
      <c r="K611" s="256" t="n"/>
      <c r="L611" s="256" t="n"/>
      <c r="M611" s="256" t="n"/>
      <c r="N611" s="256" t="n"/>
      <c r="O611" s="256" t="n"/>
      <c r="P611" s="256" t="n"/>
      <c r="Q611" s="256" t="n"/>
    </row>
    <row r="612">
      <c r="A612">
        <f>IF(DAY(D612)=DAY($L$1+1),A611+1,A611)</f>
        <v/>
      </c>
      <c r="B612" s="46">
        <f>IF(DAY(D612)=DAY($L$1+1),1,B611+1)</f>
        <v/>
      </c>
      <c r="C612" s="46">
        <f>IF(DAY(D612)=DAY($L$1+1),1,C611+1)</f>
        <v/>
      </c>
      <c r="D612" s="2">
        <f>D611+1</f>
        <v/>
      </c>
      <c r="E612" s="8">
        <f>IF(DAY(D612)=DAY($L$1+1),TRUNC((N611),8),E611)</f>
        <v/>
      </c>
      <c r="F612" s="49">
        <f>TRUNC(((1+VLOOKUP(A612,IPCA!$A$2:$C$140,3,0)))^(C612/(EDATE(D612-C612,1)-(D612-C612))),8)</f>
        <v/>
      </c>
      <c r="G612" s="49">
        <f>TRUNC((E612*F612),8)</f>
        <v/>
      </c>
      <c r="H612" s="49">
        <f>ROUND(((1+$H$4)^(30/360))^(C612/(EDATE(D612-B612,1)-(D612-B612))),9)</f>
        <v/>
      </c>
      <c r="I612" s="49">
        <f>TRUNC((G612*H612-G612),8)</f>
        <v/>
      </c>
      <c r="J612" s="49">
        <f>G612+I612</f>
        <v/>
      </c>
      <c r="K612" s="123" t="n"/>
      <c r="L612" s="271" t="n"/>
      <c r="M612" s="256" t="n"/>
      <c r="N612" s="256" t="n"/>
      <c r="O612" s="256" t="n"/>
      <c r="P612" s="256" t="n"/>
      <c r="Q612" s="256" t="n"/>
    </row>
    <row r="613">
      <c r="A613">
        <f>IF(DAY(D613)=DAY($L$1+1),A612+1,A612)</f>
        <v/>
      </c>
      <c r="B613" s="46">
        <f>IF(DAY(D613)=DAY($L$1+1),1,B612+1)</f>
        <v/>
      </c>
      <c r="C613" s="46">
        <f>IF(DAY(D613)=DAY($L$1+1),1,C612+1)</f>
        <v/>
      </c>
      <c r="D613" s="2">
        <f>D612+1</f>
        <v/>
      </c>
      <c r="E613" s="8">
        <f>IF(DAY(D613)=DAY($L$1+1),TRUNC((N612),8),E612)</f>
        <v/>
      </c>
      <c r="F613" s="49">
        <f>TRUNC(((1+VLOOKUP(A613,IPCA!$A$2:$C$140,3,0)))^(C613/(EDATE(D613-C613,1)-(D613-C613))),8)</f>
        <v/>
      </c>
      <c r="G613" s="49">
        <f>TRUNC((E613*F613),8)</f>
        <v/>
      </c>
      <c r="H613" s="49">
        <f>ROUND(((1+$H$4)^(30/360))^(C613/(EDATE(D613-B613,1)-(D613-B613))),9)</f>
        <v/>
      </c>
      <c r="I613" s="49">
        <f>TRUNC((G613*H613-G613),8)</f>
        <v/>
      </c>
      <c r="J613" s="49">
        <f>G613+I613</f>
        <v/>
      </c>
      <c r="K613" s="256" t="n"/>
      <c r="L613" s="256" t="n"/>
      <c r="M613" s="256" t="n"/>
      <c r="N613" s="256" t="n"/>
      <c r="O613" s="256" t="n"/>
      <c r="P613" s="256" t="n"/>
      <c r="Q613" s="256" t="n"/>
    </row>
    <row r="614">
      <c r="A614">
        <f>IF(DAY(D614)=DAY($L$1+1),A613+1,A613)</f>
        <v/>
      </c>
      <c r="B614" s="46">
        <f>IF(DAY(D614)=DAY($L$1+1),1,B613+1)</f>
        <v/>
      </c>
      <c r="C614" s="46">
        <f>IF(DAY(D614)=DAY($L$1+1),1,C613+1)</f>
        <v/>
      </c>
      <c r="D614" s="2">
        <f>D613+1</f>
        <v/>
      </c>
      <c r="E614" s="8">
        <f>IF(DAY(D614)=DAY($L$1+1),TRUNC((N613),8),E613)</f>
        <v/>
      </c>
      <c r="F614" s="49">
        <f>TRUNC(((1+VLOOKUP(A614,IPCA!$A$2:$C$140,3,0)))^(C614/(EDATE(D614-C614,1)-(D614-C614))),8)</f>
        <v/>
      </c>
      <c r="G614" s="49">
        <f>TRUNC((E614*F614),8)</f>
        <v/>
      </c>
      <c r="H614" s="49">
        <f>ROUND(((1+$H$4)^(30/360))^(C614/(EDATE(D614-B614,1)-(D614-B614))),9)</f>
        <v/>
      </c>
      <c r="I614" s="49">
        <f>TRUNC((G614*H614-G614),8)</f>
        <v/>
      </c>
      <c r="J614" s="49">
        <f>G614+I614</f>
        <v/>
      </c>
      <c r="K614" s="256" t="n"/>
      <c r="L614" s="256" t="n"/>
      <c r="M614" s="256" t="n"/>
      <c r="N614" s="256" t="n"/>
      <c r="O614" s="256" t="n"/>
      <c r="P614" s="256" t="n"/>
      <c r="Q614" s="256" t="n"/>
    </row>
    <row r="615">
      <c r="A615">
        <f>IF(DAY(D615)=DAY($L$1+1),A614+1,A614)</f>
        <v/>
      </c>
      <c r="B615" s="46">
        <f>IF(DAY(D615)=DAY($L$1+1),1,B614+1)</f>
        <v/>
      </c>
      <c r="C615" s="46">
        <f>IF(DAY(D615)=DAY($L$1+1),1,C614+1)</f>
        <v/>
      </c>
      <c r="D615" s="2">
        <f>D614+1</f>
        <v/>
      </c>
      <c r="E615" s="8">
        <f>IF(DAY(D615)=DAY($L$1+1),TRUNC((N614),8),E614)</f>
        <v/>
      </c>
      <c r="F615" s="49">
        <f>TRUNC(((1+VLOOKUP(A615,IPCA!$A$2:$C$140,3,0)))^(C615/(EDATE(D615-C615,1)-(D615-C615))),8)</f>
        <v/>
      </c>
      <c r="G615" s="49">
        <f>TRUNC((E615*F615),8)</f>
        <v/>
      </c>
      <c r="H615" s="49">
        <f>ROUND(((1+$H$4)^(30/360))^(C615/(EDATE(D615-B615,1)-(D615-B615))),9)</f>
        <v/>
      </c>
      <c r="I615" s="49">
        <f>TRUNC((G615*H615-G615),8)</f>
        <v/>
      </c>
      <c r="J615" s="49">
        <f>G615+I615</f>
        <v/>
      </c>
      <c r="K615" s="256" t="n"/>
      <c r="L615" s="256" t="n"/>
      <c r="M615" s="256" t="n"/>
      <c r="N615" s="256" t="n"/>
      <c r="O615" s="256" t="n"/>
      <c r="P615" s="256" t="n"/>
      <c r="Q615" s="256" t="n"/>
    </row>
    <row r="616">
      <c r="A616">
        <f>IF(DAY(D616)=DAY($L$1+1),A615+1,A615)</f>
        <v/>
      </c>
      <c r="B616" s="46">
        <f>IF(DAY(D616)=DAY($L$1+1),1,B615+1)</f>
        <v/>
      </c>
      <c r="C616" s="46">
        <f>IF(DAY(D616)=DAY($L$1+1),1,C615+1)</f>
        <v/>
      </c>
      <c r="D616" s="2">
        <f>D615+1</f>
        <v/>
      </c>
      <c r="E616" s="8">
        <f>IF(DAY(D616)=DAY($L$1+1),TRUNC((N615),8),E615)</f>
        <v/>
      </c>
      <c r="F616" s="49">
        <f>TRUNC(((1+VLOOKUP(A616,IPCA!$A$2:$C$140,3,0)))^(C616/(EDATE(D616-C616,1)-(D616-C616))),8)</f>
        <v/>
      </c>
      <c r="G616" s="49">
        <f>TRUNC((E616*F616),8)</f>
        <v/>
      </c>
      <c r="H616" s="49">
        <f>ROUND(((1+$H$4)^(30/360))^(C616/(EDATE(D616-B616,1)-(D616-B616))),9)</f>
        <v/>
      </c>
      <c r="I616" s="49">
        <f>TRUNC((G616*H616-G616),8)</f>
        <v/>
      </c>
      <c r="J616" s="49">
        <f>G616+I616</f>
        <v/>
      </c>
      <c r="K616" s="256" t="n"/>
      <c r="L616" s="256" t="n"/>
      <c r="M616" s="256" t="n"/>
      <c r="N616" s="256" t="n"/>
      <c r="O616" s="256" t="n"/>
      <c r="P616" s="256" t="n"/>
      <c r="Q616" s="256" t="n"/>
    </row>
    <row r="617">
      <c r="A617">
        <f>IF(DAY(D617)=DAY($L$1+1),A616+1,A616)</f>
        <v/>
      </c>
      <c r="B617" s="46">
        <f>IF(DAY(D617)=DAY($L$1+1),1,B616+1)</f>
        <v/>
      </c>
      <c r="C617" s="46">
        <f>IF(DAY(D617)=DAY($L$1+1),1,C616+1)</f>
        <v/>
      </c>
      <c r="D617" s="2">
        <f>D616+1</f>
        <v/>
      </c>
      <c r="E617" s="8">
        <f>IF(DAY(D617)=DAY($L$1+1),TRUNC((N616),8),E616)</f>
        <v/>
      </c>
      <c r="F617" s="49">
        <f>TRUNC(((1+VLOOKUP(A617,IPCA!$A$2:$C$140,3,0)))^(C617/(EDATE(D617-C617,1)-(D617-C617))),8)</f>
        <v/>
      </c>
      <c r="G617" s="49">
        <f>TRUNC((E617*F617),8)</f>
        <v/>
      </c>
      <c r="H617" s="49">
        <f>ROUND(((1+$H$4)^(30/360))^(C617/(EDATE(D617-B617,1)-(D617-B617))),9)</f>
        <v/>
      </c>
      <c r="I617" s="49">
        <f>TRUNC((G617*H617-G617),8)</f>
        <v/>
      </c>
      <c r="J617" s="49">
        <f>G617+I617</f>
        <v/>
      </c>
      <c r="K617" s="256" t="n"/>
      <c r="L617" s="256" t="n"/>
      <c r="M617" s="256" t="n"/>
      <c r="N617" s="256" t="n"/>
      <c r="O617" s="256" t="n"/>
      <c r="P617" s="256" t="n"/>
      <c r="Q617" s="256" t="n"/>
    </row>
    <row r="618">
      <c r="A618">
        <f>IF(DAY(D618)=DAY($L$1+1),A617+1,A617)</f>
        <v/>
      </c>
      <c r="B618" s="46">
        <f>IF(DAY(D618)=DAY($L$1+1),1,B617+1)</f>
        <v/>
      </c>
      <c r="C618" s="46">
        <f>IF(DAY(D618)=DAY($L$1+1),1,C617+1)</f>
        <v/>
      </c>
      <c r="D618" s="2">
        <f>D617+1</f>
        <v/>
      </c>
      <c r="E618" s="8">
        <f>IF(DAY(D618)=DAY($L$1+1),TRUNC((N617),8),E617)</f>
        <v/>
      </c>
      <c r="F618" s="49">
        <f>TRUNC(((1+VLOOKUP(A618,IPCA!$A$2:$C$140,3,0)))^(C618/(EDATE(D618-C618,1)-(D618-C618))),8)</f>
        <v/>
      </c>
      <c r="G618" s="49">
        <f>TRUNC((E618*F618),8)</f>
        <v/>
      </c>
      <c r="H618" s="49">
        <f>ROUND(((1+$H$4)^(30/360))^(C618/(EDATE(D618-B618,1)-(D618-B618))),9)</f>
        <v/>
      </c>
      <c r="I618" s="49">
        <f>TRUNC((G618*H618-G618),8)</f>
        <v/>
      </c>
      <c r="J618" s="49">
        <f>G618+I618</f>
        <v/>
      </c>
      <c r="K618" s="256" t="n"/>
      <c r="L618" s="256" t="n"/>
      <c r="M618" s="256" t="n"/>
      <c r="N618" s="256" t="n"/>
      <c r="O618" s="256" t="n"/>
      <c r="P618" s="256" t="n"/>
      <c r="Q618" s="256" t="n"/>
    </row>
    <row r="619">
      <c r="A619">
        <f>IF(DAY(D619)=DAY($L$1+1),A618+1,A618)</f>
        <v/>
      </c>
      <c r="B619" s="46">
        <f>IF(DAY(D619)=DAY($L$1+1),1,B618+1)</f>
        <v/>
      </c>
      <c r="C619" s="46">
        <f>IF(DAY(D619)=DAY($L$1+1),1,C618+1)</f>
        <v/>
      </c>
      <c r="D619" s="2">
        <f>D618+1</f>
        <v/>
      </c>
      <c r="E619" s="8">
        <f>IF(DAY(D619)=DAY($L$1+1),TRUNC((N618),8),E618)</f>
        <v/>
      </c>
      <c r="F619" s="49">
        <f>TRUNC(((1+VLOOKUP(A619,IPCA!$A$2:$C$140,3,0)))^(C619/(EDATE(D619-C619,1)-(D619-C619))),8)</f>
        <v/>
      </c>
      <c r="G619" s="49">
        <f>TRUNC((E619*F619),8)</f>
        <v/>
      </c>
      <c r="H619" s="49">
        <f>ROUND(((1+$H$4)^(30/360))^(C619/(EDATE(D619-B619,1)-(D619-B619))),9)</f>
        <v/>
      </c>
      <c r="I619" s="49">
        <f>TRUNC((G619*H619-G619),8)</f>
        <v/>
      </c>
      <c r="J619" s="49">
        <f>G619+I619</f>
        <v/>
      </c>
      <c r="K619" s="256" t="n"/>
      <c r="L619" s="256" t="n"/>
      <c r="M619" s="256" t="n"/>
      <c r="N619" s="256" t="n"/>
      <c r="O619" s="256" t="n"/>
      <c r="P619" s="256" t="n"/>
      <c r="Q619" s="256" t="n"/>
    </row>
    <row r="620">
      <c r="A620">
        <f>IF(DAY(D620)=DAY($L$1+1),A619+1,A619)</f>
        <v/>
      </c>
      <c r="B620" s="46">
        <f>IF(DAY(D620)=DAY($L$1+1),1,B619+1)</f>
        <v/>
      </c>
      <c r="C620" s="46">
        <f>IF(DAY(D620)=DAY($L$1+1),1,C619+1)</f>
        <v/>
      </c>
      <c r="D620" s="2">
        <f>D619+1</f>
        <v/>
      </c>
      <c r="E620" s="8">
        <f>IF(DAY(D620)=DAY($L$1+1),TRUNC((N619),8),E619)</f>
        <v/>
      </c>
      <c r="F620" s="49">
        <f>TRUNC(((1+VLOOKUP(A620,IPCA!$A$2:$C$140,3,0)))^(C620/(EDATE(D620-C620,1)-(D620-C620))),8)</f>
        <v/>
      </c>
      <c r="G620" s="49">
        <f>TRUNC((E620*F620),8)</f>
        <v/>
      </c>
      <c r="H620" s="49">
        <f>ROUND(((1+$H$4)^(30/360))^(C620/(EDATE(D620-B620,1)-(D620-B620))),9)</f>
        <v/>
      </c>
      <c r="I620" s="49">
        <f>TRUNC((G620*H620-G620),8)</f>
        <v/>
      </c>
      <c r="J620" s="49">
        <f>G620+I620</f>
        <v/>
      </c>
      <c r="K620" s="256" t="n"/>
      <c r="L620" s="256" t="n"/>
      <c r="M620" s="256" t="n"/>
      <c r="N620" s="256" t="n"/>
      <c r="O620" s="256" t="n"/>
      <c r="P620" s="256" t="n"/>
      <c r="Q620" s="256" t="n"/>
    </row>
    <row r="621">
      <c r="A621">
        <f>IF(DAY(D621)=DAY($L$1+1),A620+1,A620)</f>
        <v/>
      </c>
      <c r="B621" s="46">
        <f>IF(DAY(D621)=DAY($L$1+1),1,B620+1)</f>
        <v/>
      </c>
      <c r="C621" s="46">
        <f>IF(DAY(D621)=DAY($L$1+1),1,C620+1)</f>
        <v/>
      </c>
      <c r="D621" s="2">
        <f>D620+1</f>
        <v/>
      </c>
      <c r="E621" s="8">
        <f>IF(DAY(D621)=DAY($L$1+1),TRUNC((N620),8),E620)</f>
        <v/>
      </c>
      <c r="F621" s="49">
        <f>TRUNC(((1+VLOOKUP(A621,IPCA!$A$2:$C$140,3,0)))^(C621/(EDATE(D621-C621,1)-(D621-C621))),8)</f>
        <v/>
      </c>
      <c r="G621" s="49">
        <f>TRUNC((E621*F621),8)</f>
        <v/>
      </c>
      <c r="H621" s="49">
        <f>ROUND(((1+$H$4)^(30/360))^(C621/(EDATE(D621-B621,1)-(D621-B621))),9)</f>
        <v/>
      </c>
      <c r="I621" s="49">
        <f>TRUNC((G621*H621-G621),8)</f>
        <v/>
      </c>
      <c r="J621" s="49">
        <f>G621+I621</f>
        <v/>
      </c>
      <c r="K621" s="256" t="n"/>
      <c r="L621" s="256" t="n"/>
      <c r="M621" s="256" t="n"/>
      <c r="N621" s="256" t="n"/>
      <c r="O621" s="256" t="n"/>
      <c r="P621" s="256" t="n"/>
      <c r="Q621" s="256" t="n"/>
    </row>
    <row r="622">
      <c r="A622">
        <f>IF(DAY(D622)=DAY($L$1+1),A621+1,A621)</f>
        <v/>
      </c>
      <c r="B622" s="46">
        <f>IF(DAY(D622)=DAY($L$1+1),1,B621+1)</f>
        <v/>
      </c>
      <c r="C622" s="46">
        <f>IF(DAY(D622)=DAY($L$1+1),1,C621+1)</f>
        <v/>
      </c>
      <c r="D622" s="2">
        <f>D621+1</f>
        <v/>
      </c>
      <c r="E622" s="8">
        <f>IF(DAY(D622)=DAY($L$1+1),TRUNC((N621),8),E621)</f>
        <v/>
      </c>
      <c r="F622" s="49">
        <f>TRUNC(((1+VLOOKUP(A622,IPCA!$A$2:$C$140,3,0)))^(C622/(EDATE(D622-C622,1)-(D622-C622))),8)</f>
        <v/>
      </c>
      <c r="G622" s="49">
        <f>TRUNC((E622*F622),8)</f>
        <v/>
      </c>
      <c r="H622" s="49">
        <f>ROUND(((1+$H$4)^(30/360))^(C622/(EDATE(D622-B622,1)-(D622-B622))),9)</f>
        <v/>
      </c>
      <c r="I622" s="49">
        <f>TRUNC((G622*H622-G622),8)</f>
        <v/>
      </c>
      <c r="J622" s="49">
        <f>G622+I622</f>
        <v/>
      </c>
      <c r="K622" s="256" t="n"/>
      <c r="L622" s="256" t="n"/>
      <c r="M622" s="256" t="n"/>
      <c r="N622" s="256" t="n"/>
      <c r="O622" s="256" t="n"/>
      <c r="P622" s="256" t="n"/>
      <c r="Q622" s="256" t="n"/>
    </row>
    <row r="623">
      <c r="A623">
        <f>IF(DAY(D623)=DAY($L$1+1),A622+1,A622)</f>
        <v/>
      </c>
      <c r="B623" s="46">
        <f>IF(DAY(D623)=DAY($L$1+1),1,B622+1)</f>
        <v/>
      </c>
      <c r="C623" s="46">
        <f>IF(DAY(D623)=DAY($L$1+1),1,C622+1)</f>
        <v/>
      </c>
      <c r="D623" s="2">
        <f>D622+1</f>
        <v/>
      </c>
      <c r="E623" s="8">
        <f>IF(DAY(D623)=DAY($L$1+1),TRUNC((N622),8),E622)</f>
        <v/>
      </c>
      <c r="F623" s="49">
        <f>TRUNC(((1+VLOOKUP(A623,IPCA!$A$2:$C$140,3,0)))^(C623/(EDATE(D623-C623,1)-(D623-C623))),8)</f>
        <v/>
      </c>
      <c r="G623" s="49">
        <f>TRUNC((E623*F623),8)</f>
        <v/>
      </c>
      <c r="H623" s="49">
        <f>ROUND(((1+$H$4)^(30/360))^(C623/(EDATE(D623-B623,1)-(D623-B623))),9)</f>
        <v/>
      </c>
      <c r="I623" s="49">
        <f>TRUNC((G623*H623-G623),8)</f>
        <v/>
      </c>
      <c r="J623" s="49">
        <f>G623+I623</f>
        <v/>
      </c>
      <c r="K623" s="256" t="n"/>
      <c r="L623" s="256" t="n"/>
      <c r="M623" s="256" t="n"/>
      <c r="N623" s="256" t="n"/>
      <c r="O623" s="256" t="n"/>
      <c r="P623" s="256" t="n"/>
      <c r="Q623" s="256" t="n"/>
    </row>
    <row r="624">
      <c r="A624">
        <f>IF(DAY(D624)=DAY($L$1+1),A623+1,A623)</f>
        <v/>
      </c>
      <c r="B624" s="46">
        <f>IF(DAY(D624)=DAY($L$1+1),1,B623+1)</f>
        <v/>
      </c>
      <c r="C624" s="46">
        <f>IF(DAY(D624)=DAY($L$1+1),1,C623+1)</f>
        <v/>
      </c>
      <c r="D624" s="2">
        <f>D623+1</f>
        <v/>
      </c>
      <c r="E624" s="8">
        <f>IF(DAY(D624)=DAY($L$1+1),TRUNC((N623),8),E623)</f>
        <v/>
      </c>
      <c r="F624" s="49">
        <f>TRUNC(((1+VLOOKUP(A624,IPCA!$A$2:$C$140,3,0)))^(C624/(EDATE(D624-C624,1)-(D624-C624))),8)</f>
        <v/>
      </c>
      <c r="G624" s="49">
        <f>TRUNC((E624*F624),8)</f>
        <v/>
      </c>
      <c r="H624" s="49">
        <f>ROUND(((1+$H$4)^(30/360))^(C624/(EDATE(D624-B624,1)-(D624-B624))),9)</f>
        <v/>
      </c>
      <c r="I624" s="49">
        <f>TRUNC((G624*H624-G624),8)</f>
        <v/>
      </c>
      <c r="J624" s="49">
        <f>G624+I624</f>
        <v/>
      </c>
      <c r="K624" s="256" t="n"/>
      <c r="L624" s="256" t="n"/>
      <c r="M624" s="256" t="n"/>
      <c r="N624" s="256" t="n"/>
      <c r="O624" s="256" t="n"/>
      <c r="P624" s="256" t="n"/>
      <c r="Q624" s="256" t="n"/>
    </row>
    <row r="625">
      <c r="A625">
        <f>IF(DAY(D625)=DAY($L$1+1),A624+1,A624)</f>
        <v/>
      </c>
      <c r="B625" s="46">
        <f>IF(DAY(D625)=DAY($L$1+1),1,B624+1)</f>
        <v/>
      </c>
      <c r="C625" s="46">
        <f>IF(DAY(D625)=DAY($L$1+1),1,C624+1)</f>
        <v/>
      </c>
      <c r="D625" s="2">
        <f>D624+1</f>
        <v/>
      </c>
      <c r="E625" s="8">
        <f>IF(DAY(D625)=DAY($L$1+1),TRUNC((N624),8),E624)</f>
        <v/>
      </c>
      <c r="F625" s="49">
        <f>TRUNC(((1+VLOOKUP(A625,IPCA!$A$2:$C$140,3,0)))^(C625/(EDATE(D625-C625,1)-(D625-C625))),8)</f>
        <v/>
      </c>
      <c r="G625" s="49">
        <f>TRUNC((E625*F625),8)</f>
        <v/>
      </c>
      <c r="H625" s="49">
        <f>ROUND(((1+$H$4)^(30/360))^(C625/(EDATE(D625-B625,1)-(D625-B625))),9)</f>
        <v/>
      </c>
      <c r="I625" s="49">
        <f>TRUNC((G625*H625-G625),8)</f>
        <v/>
      </c>
      <c r="J625" s="49">
        <f>G625+I625</f>
        <v/>
      </c>
      <c r="K625" s="256" t="n"/>
      <c r="L625" s="256" t="n"/>
      <c r="M625" s="256" t="n"/>
      <c r="N625" s="256" t="n"/>
      <c r="O625" s="256" t="n"/>
      <c r="P625" s="256" t="n"/>
      <c r="Q625" s="256" t="n"/>
    </row>
    <row r="626">
      <c r="A626">
        <f>IF(DAY(D626)=DAY($L$1+1),A625+1,A625)</f>
        <v/>
      </c>
      <c r="B626" s="46">
        <f>IF(DAY(D626)=DAY($L$1+1),1,B625+1)</f>
        <v/>
      </c>
      <c r="C626" s="46">
        <f>IF(DAY(D626)=DAY($L$1+1),1,C625+1)</f>
        <v/>
      </c>
      <c r="D626" s="2">
        <f>D625+1</f>
        <v/>
      </c>
      <c r="E626" s="8">
        <f>IF(DAY(D626)=DAY($L$1+1),TRUNC((N625),8),E625)</f>
        <v/>
      </c>
      <c r="F626" s="49">
        <f>TRUNC(((1+VLOOKUP(A626,IPCA!$A$2:$C$140,3,0)))^(C626/(EDATE(D626-C626,1)-(D626-C626))),8)</f>
        <v/>
      </c>
      <c r="G626" s="49">
        <f>TRUNC((E626*F626),8)</f>
        <v/>
      </c>
      <c r="H626" s="49">
        <f>ROUND(((1+$H$4)^(30/360))^(C626/(EDATE(D626-B626,1)-(D626-B626))),9)</f>
        <v/>
      </c>
      <c r="I626" s="49">
        <f>TRUNC((G626*H626-G626),8)</f>
        <v/>
      </c>
      <c r="J626" s="49">
        <f>G626+I626</f>
        <v/>
      </c>
      <c r="K626" s="256" t="inlineStr">
        <is>
          <t>Cri Integralizado</t>
        </is>
      </c>
      <c r="L626" s="270">
        <f>L597</f>
        <v/>
      </c>
      <c r="M626" s="256" t="n"/>
      <c r="N626" s="256" t="n"/>
      <c r="O626" s="256" t="n"/>
      <c r="P626" s="256" t="n"/>
      <c r="Q626" s="256" t="n"/>
    </row>
    <row r="627">
      <c r="A627">
        <f>IF(DAY(D627)=DAY($L$1+1),A626+1,A626)</f>
        <v/>
      </c>
      <c r="B627" s="46">
        <f>IF(DAY(D627)=DAY($L$1+1),1,B626+1)</f>
        <v/>
      </c>
      <c r="C627" s="46">
        <f>IF(DAY(D627)=DAY($L$1+1),1,C626+1)</f>
        <v/>
      </c>
      <c r="D627" s="47">
        <f>D626+1</f>
        <v/>
      </c>
      <c r="E627" s="8">
        <f>IF(DAY(D627)=DAY($L$1+1),TRUNC((N626),8),E626)</f>
        <v/>
      </c>
      <c r="F627" s="49">
        <f>TRUNC(((1+VLOOKUP(A627,IPCA!$A$2:$C$140,3,0)))^(C627/(EDATE(D627-C627,1)-(D627-C627))),8)</f>
        <v/>
      </c>
      <c r="G627" s="49">
        <f>TRUNC((E627*F627),8)</f>
        <v/>
      </c>
      <c r="H627" s="49">
        <f>ROUND(((1+$H$4)^(30/360))^(C627/(EDATE(D627-B627,1)-(D627-B627))),9)</f>
        <v/>
      </c>
      <c r="I627" s="49">
        <f>TRUNC((G627*H627-G627),8)</f>
        <v/>
      </c>
      <c r="J627" s="49">
        <f>G627+I627</f>
        <v/>
      </c>
      <c r="K627" s="118" t="inlineStr">
        <is>
          <t>JUROS</t>
        </is>
      </c>
      <c r="L627" s="118" t="inlineStr">
        <is>
          <t>AMORTIZAÇÃO</t>
        </is>
      </c>
      <c r="M627" s="118" t="inlineStr">
        <is>
          <t>AMEX</t>
        </is>
      </c>
      <c r="N627" s="118" t="inlineStr">
        <is>
          <t>RESIDUAL</t>
        </is>
      </c>
      <c r="O627" s="256" t="n"/>
      <c r="P627" s="256" t="n"/>
      <c r="Q627" s="256" t="n"/>
    </row>
    <row r="628">
      <c r="A628">
        <f>IF(DAY(D628)=DAY($L$1+1),A627+1,A627)</f>
        <v/>
      </c>
      <c r="B628" s="111">
        <f>IF(DAY(D628)=DAY($L$1+1),1,B627+1)</f>
        <v/>
      </c>
      <c r="C628" s="111">
        <f>IF(DAY(D628)=DAY($L$1+1),1,C627+1)</f>
        <v/>
      </c>
      <c r="D628" s="112">
        <f>D627+1</f>
        <v/>
      </c>
      <c r="E628" s="113">
        <f>IF(DAY(D628)=DAY($L$1+1),TRUNC((N627),8),E627)</f>
        <v/>
      </c>
      <c r="F628" s="114">
        <f>TRUNC(((1+VLOOKUP(A628,IPCA!$A$2:$C$140,3,0)))^(C628/(EDATE(D628-C628,1)-(D628-C628))),8)</f>
        <v/>
      </c>
      <c r="G628" s="114">
        <f>TRUNC((E628*F628),8)</f>
        <v/>
      </c>
      <c r="H628" s="114">
        <f>ROUND(((1+$H$4)^(30/360))^(C628/(EDATE(D628-B628,1)-(D628-B628))),9)</f>
        <v/>
      </c>
      <c r="I628" s="114">
        <f>TRUNC((G628*H628-G628),8)</f>
        <v/>
      </c>
      <c r="J628" s="114">
        <f>G628+I628</f>
        <v/>
      </c>
      <c r="K628" s="119" t="n">
        <v>0</v>
      </c>
      <c r="L628" s="120" t="n">
        <v>0</v>
      </c>
      <c r="M628" s="120" t="n">
        <v>0</v>
      </c>
      <c r="N628" s="120">
        <f>J628-K628-L628-M628</f>
        <v/>
      </c>
      <c r="O628" s="256" t="n"/>
      <c r="P628" s="256" t="n"/>
      <c r="Q628" s="256" t="n"/>
    </row>
    <row r="629">
      <c r="A629">
        <f>IF(DAY(D629)=DAY($L$1+1),A628+1,A628)</f>
        <v/>
      </c>
      <c r="B629" s="46">
        <f>IF(DAY(D629)=DAY($L$1+1),1,B628+1)</f>
        <v/>
      </c>
      <c r="C629" s="46">
        <f>IF(DAY(D629)=DAY($L$1+1),1,C628+1)</f>
        <v/>
      </c>
      <c r="D629" s="2">
        <f>D628+1</f>
        <v/>
      </c>
      <c r="E629" s="8">
        <f>IF(DAY(D629)=DAY($L$1+1),TRUNC((N628),8),E628)</f>
        <v/>
      </c>
      <c r="F629" s="49">
        <f>TRUNC(((1+VLOOKUP(A629,IPCA!$A$2:$C$140,3,0)))^(C629/(EDATE(D629-C629,1)-(D629-C629))),8)</f>
        <v/>
      </c>
      <c r="G629" s="49">
        <f>TRUNC((E629*F629),8)</f>
        <v/>
      </c>
      <c r="H629" s="49">
        <f>ROUND(((1+$H$4)^(30/360))^(C629/(EDATE(D629-B629,1)-(D629-B629))),9)</f>
        <v/>
      </c>
      <c r="I629" s="49">
        <f>TRUNC((G629*H629-G629),8)</f>
        <v/>
      </c>
      <c r="J629" s="49">
        <f>G629+I629</f>
        <v/>
      </c>
      <c r="K629" s="121">
        <f>K628*L626</f>
        <v/>
      </c>
      <c r="L629" s="121">
        <f>L628*L626</f>
        <v/>
      </c>
      <c r="M629" s="121">
        <f>M628*L626</f>
        <v/>
      </c>
      <c r="N629" s="121">
        <f>N628*L626</f>
        <v/>
      </c>
      <c r="O629" s="256" t="n"/>
      <c r="P629" s="256" t="n"/>
      <c r="Q629" s="256" t="n"/>
    </row>
    <row r="630">
      <c r="A630">
        <f>IF(DAY(D630)=DAY($L$1+1),A629+1,A629)</f>
        <v/>
      </c>
      <c r="B630" s="46">
        <f>IF(DAY(D630)=DAY($L$1+1),1,B629+1)</f>
        <v/>
      </c>
      <c r="C630" s="46">
        <f>IF(DAY(D630)=DAY($L$1+1),1,C629+1)</f>
        <v/>
      </c>
      <c r="D630" s="2">
        <f>D629+1</f>
        <v/>
      </c>
      <c r="E630" s="8">
        <f>IF(DAY(D630)=DAY($L$1+1),TRUNC((N629),8),E629)</f>
        <v/>
      </c>
      <c r="F630" s="49">
        <f>TRUNC(((1+VLOOKUP(A630,IPCA!$A$2:$C$140,3,0)))^(C630/(EDATE(D630-C630,1)-(D630-C630))),8)</f>
        <v/>
      </c>
      <c r="G630" s="49">
        <f>TRUNC((E630*F630),8)</f>
        <v/>
      </c>
      <c r="H630" s="49">
        <f>ROUND(((1+$H$4)^(30/360))^(C630/(EDATE(D630-B630,1)-(D630-B630))),9)</f>
        <v/>
      </c>
      <c r="I630" s="49">
        <f>TRUNC((G630*H630-G630),8)</f>
        <v/>
      </c>
      <c r="J630" s="49">
        <f>G630+I630</f>
        <v/>
      </c>
      <c r="K630" s="256" t="n"/>
      <c r="L630" s="256" t="n"/>
      <c r="M630" s="256" t="n"/>
      <c r="N630" s="256" t="n"/>
      <c r="O630" s="256" t="n"/>
      <c r="P630" s="256" t="n"/>
      <c r="Q630" s="256" t="n"/>
    </row>
    <row r="631">
      <c r="A631">
        <f>IF(DAY(D631)=DAY($L$1+1),A630+1,A630)</f>
        <v/>
      </c>
      <c r="B631" s="46">
        <f>IF(DAY(D631)=DAY($L$1+1),1,B630+1)</f>
        <v/>
      </c>
      <c r="C631" s="46">
        <f>IF(DAY(D631)=DAY($L$1+1),1,C630+1)</f>
        <v/>
      </c>
      <c r="D631" s="2">
        <f>D630+1</f>
        <v/>
      </c>
      <c r="E631" s="8">
        <f>IF(DAY(D631)=DAY($L$1+1),TRUNC((#REF!),8),E630)</f>
        <v/>
      </c>
      <c r="F631" s="49">
        <f>TRUNC(((1+VLOOKUP(A631,IPCA!$A$2:$C$140,3,0)))^(C631/(EDATE(D631-C631,1)-(D631-C631))),8)</f>
        <v/>
      </c>
      <c r="G631" s="49">
        <f>TRUNC((E631*F631),8)</f>
        <v/>
      </c>
      <c r="H631" s="49">
        <f>ROUND(((1+$H$4)^(30/360))^(C631/(EDATE(D631-B631,1)-(D631-B631))),9)</f>
        <v/>
      </c>
      <c r="I631" s="49">
        <f>TRUNC((G631*H631-G631),8)</f>
        <v/>
      </c>
      <c r="J631" s="49">
        <f>G631+I631</f>
        <v/>
      </c>
      <c r="K631" s="256" t="n"/>
      <c r="L631" s="256" t="n"/>
      <c r="M631" s="256" t="n"/>
      <c r="N631" s="256" t="n"/>
      <c r="O631" s="256" t="n"/>
      <c r="P631" s="256" t="n"/>
      <c r="Q631" s="256" t="n"/>
    </row>
    <row r="632">
      <c r="A632">
        <f>IF(DAY(D632)=DAY($L$1+1),A631+1,A631)</f>
        <v/>
      </c>
      <c r="B632" s="46">
        <f>IF(DAY(D632)=DAY($L$1+1),1,B631+1)</f>
        <v/>
      </c>
      <c r="C632" s="46">
        <f>IF(DAY(D632)=DAY($L$1+1),1,C631+1)</f>
        <v/>
      </c>
      <c r="D632" s="2">
        <f>D631+1</f>
        <v/>
      </c>
      <c r="E632" s="8">
        <f>IF(DAY(D632)=DAY($L$1+1),TRUNC((#REF!),8),E631)</f>
        <v/>
      </c>
      <c r="F632" s="49">
        <f>TRUNC(((1+VLOOKUP(A632,IPCA!$A$2:$C$140,3,0)))^(C632/(EDATE(D632-C632,1)-(D632-C632))),8)</f>
        <v/>
      </c>
      <c r="G632" s="49">
        <f>TRUNC((E632*F632),8)</f>
        <v/>
      </c>
      <c r="H632" s="49">
        <f>ROUND(((1+$H$4)^(30/360))^(C632/(EDATE(D632-B632,1)-(D632-B632))),9)</f>
        <v/>
      </c>
      <c r="I632" s="49">
        <f>TRUNC((G632*H632-G632),8)</f>
        <v/>
      </c>
      <c r="J632" s="49">
        <f>G632+I632</f>
        <v/>
      </c>
      <c r="K632" s="256" t="n"/>
      <c r="L632" s="256" t="n"/>
      <c r="M632" s="256" t="n"/>
      <c r="N632" s="256" t="n"/>
      <c r="O632" s="256" t="n"/>
      <c r="P632" s="256" t="n"/>
      <c r="Q632" s="256" t="n"/>
    </row>
    <row r="633">
      <c r="A633">
        <f>IF(DAY(D633)=DAY($L$1+1),A632+1,A632)</f>
        <v/>
      </c>
      <c r="B633" s="46">
        <f>IF(DAY(D633)=DAY($L$1+1),1,B632+1)</f>
        <v/>
      </c>
      <c r="C633" s="46">
        <f>IF(DAY(D633)=DAY($L$1+1),1,C632+1)</f>
        <v/>
      </c>
      <c r="D633" s="2">
        <f>D632+1</f>
        <v/>
      </c>
      <c r="E633" s="8">
        <f>IF(DAY(D633)=DAY($L$1+1),TRUNC((#REF!),8),E632)</f>
        <v/>
      </c>
      <c r="F633" s="49">
        <f>TRUNC(((1+VLOOKUP(A633,IPCA!$A$2:$C$140,3,0)))^(C633/(EDATE(D633-C633,1)-(D633-C633))),8)</f>
        <v/>
      </c>
      <c r="G633" s="49">
        <f>TRUNC((E633*F633),8)</f>
        <v/>
      </c>
      <c r="H633" s="49">
        <f>ROUND(((1+$H$4)^(30/360))^(C633/(EDATE(D633-B633,1)-(D633-B633))),9)</f>
        <v/>
      </c>
      <c r="I633" s="49">
        <f>TRUNC((G633*H633-G633),8)</f>
        <v/>
      </c>
      <c r="J633" s="49">
        <f>G633+I633</f>
        <v/>
      </c>
      <c r="K633" s="256" t="n"/>
      <c r="L633" s="256" t="n"/>
      <c r="M633" s="256" t="n"/>
      <c r="N633" s="256" t="n"/>
      <c r="O633" s="256" t="n"/>
      <c r="P633" s="256" t="n"/>
      <c r="Q633" s="256" t="n"/>
    </row>
    <row r="634">
      <c r="A634">
        <f>IF(DAY(D634)=DAY($L$1+1),A633+1,A633)</f>
        <v/>
      </c>
      <c r="B634" s="46">
        <f>IF(DAY(D634)=DAY($L$1+1),1,B633+1)</f>
        <v/>
      </c>
      <c r="C634" s="46">
        <f>IF(DAY(D634)=DAY($L$1+1),1,C633+1)</f>
        <v/>
      </c>
      <c r="D634" s="2">
        <f>D633+1</f>
        <v/>
      </c>
      <c r="E634" s="8">
        <f>IF(DAY(D634)=DAY($L$1+1),TRUNC((#REF!),8),E633)</f>
        <v/>
      </c>
      <c r="F634" s="49">
        <f>TRUNC(((1+VLOOKUP(A634,IPCA!$A$2:$C$140,3,0)))^(C634/(EDATE(D634-C634,1)-(D634-C634))),8)</f>
        <v/>
      </c>
      <c r="G634" s="49">
        <f>TRUNC((E634*F634),8)</f>
        <v/>
      </c>
      <c r="H634" s="49">
        <f>ROUND(((1+$H$4)^(30/360))^(C634/(EDATE(D634-B634,1)-(D634-B634))),9)</f>
        <v/>
      </c>
      <c r="I634" s="49">
        <f>TRUNC((G634*H634-G634),8)</f>
        <v/>
      </c>
      <c r="J634" s="49">
        <f>G634+I634</f>
        <v/>
      </c>
      <c r="K634" s="256" t="n"/>
      <c r="L634" s="256" t="n"/>
      <c r="M634" s="256" t="n"/>
      <c r="N634" s="256" t="n"/>
      <c r="O634" s="256" t="n"/>
      <c r="P634" s="256" t="n"/>
      <c r="Q634" s="256" t="n"/>
    </row>
    <row r="635">
      <c r="A635">
        <f>IF(DAY(D635)=DAY($L$1+1),A634+1,A634)</f>
        <v/>
      </c>
      <c r="B635" s="46">
        <f>IF(DAY(D635)=DAY($L$1+1),1,B634+1)</f>
        <v/>
      </c>
      <c r="C635" s="46">
        <f>IF(DAY(D635)=DAY($L$1+1),1,C634+1)</f>
        <v/>
      </c>
      <c r="D635" s="2">
        <f>D634+1</f>
        <v/>
      </c>
      <c r="E635" s="8">
        <f>IF(DAY(D635)=DAY($L$1+1),TRUNC((#REF!),8),E634)</f>
        <v/>
      </c>
      <c r="F635" s="49">
        <f>TRUNC(((1+VLOOKUP(A635,IPCA!$A$2:$C$140,3,0)))^(C635/(EDATE(D635-C635,1)-(D635-C635))),8)</f>
        <v/>
      </c>
      <c r="G635" s="49">
        <f>TRUNC((E635*F635),8)</f>
        <v/>
      </c>
      <c r="H635" s="49">
        <f>ROUND(((1+$H$4)^(30/360))^(C635/(EDATE(D635-B635,1)-(D635-B635))),9)</f>
        <v/>
      </c>
      <c r="I635" s="49">
        <f>TRUNC((G635*H635-G635),8)</f>
        <v/>
      </c>
      <c r="J635" s="49">
        <f>G635+I635</f>
        <v/>
      </c>
      <c r="K635" s="256" t="n"/>
      <c r="L635" s="256" t="n"/>
      <c r="M635" s="256" t="n"/>
      <c r="N635" s="256" t="n"/>
      <c r="O635" s="256" t="n"/>
      <c r="P635" s="256" t="n"/>
      <c r="Q635" s="256" t="n"/>
    </row>
    <row r="636">
      <c r="A636">
        <f>IF(DAY(D636)=DAY($L$1+1),A635+1,A635)</f>
        <v/>
      </c>
      <c r="B636" s="228">
        <f>IF(DAY(D636)=DAY($L$1+1),1,B635+1)</f>
        <v/>
      </c>
      <c r="C636" s="228">
        <f>IF(DAY(D636)=DAY($L$1+1),1,C635+1)</f>
        <v/>
      </c>
      <c r="D636" s="229">
        <f>D635+1</f>
        <v/>
      </c>
      <c r="E636" s="230">
        <f>IF(DAY(D636)=DAY($L$1+1),TRUNC((#REF!),8),E635)</f>
        <v/>
      </c>
      <c r="F636" s="231">
        <f>TRUNC(((1+VLOOKUP(A636,IPCA!$A$2:$C$140,3,0)))^(C636/(EDATE(D636-C636,1)-(D636-C636))),8)</f>
        <v/>
      </c>
      <c r="G636" s="231">
        <f>TRUNC((E636*F636),8)</f>
        <v/>
      </c>
      <c r="H636" s="231">
        <f>ROUND(((1+$H$4)^(30/360))^(C636/(EDATE(D636-B636,1)-(D636-B636))),9)</f>
        <v/>
      </c>
      <c r="I636" s="231">
        <f>TRUNC((G636*H636-G636),8)</f>
        <v/>
      </c>
      <c r="J636" s="231">
        <f>G636+I636</f>
        <v/>
      </c>
      <c r="K636" s="232" t="n">
        <v>2006445</v>
      </c>
      <c r="L636" s="256" t="n"/>
      <c r="M636" s="256" t="n"/>
      <c r="N636" s="256" t="n"/>
      <c r="O636" s="256" t="n"/>
      <c r="P636" s="256" t="n"/>
      <c r="Q636" s="256" t="n"/>
    </row>
    <row r="637">
      <c r="A637">
        <f>IF(DAY(D637)=DAY($L$1+1),A636+1,A636)</f>
        <v/>
      </c>
      <c r="B637" s="46">
        <f>IF(DAY(D637)=DAY($L$1+1),1,B636+1)</f>
        <v/>
      </c>
      <c r="C637" s="46">
        <f>IF(DAY(D637)=DAY($L$1+1),1,C636+1)</f>
        <v/>
      </c>
      <c r="D637" s="2">
        <f>D636+1</f>
        <v/>
      </c>
      <c r="E637" s="8">
        <f>IF(DAY(D637)=DAY($L$1+1),TRUNC((#REF!),8),E636)</f>
        <v/>
      </c>
      <c r="F637" s="49">
        <f>TRUNC(((1+VLOOKUP(A637,IPCA!$A$2:$C$140,3,0)))^(C637/(EDATE(D637-C637,1)-(D637-C637))),8)</f>
        <v/>
      </c>
      <c r="G637" s="49">
        <f>TRUNC((E637*F637),8)</f>
        <v/>
      </c>
      <c r="H637" s="49">
        <f>ROUND(((1+$H$4)^(30/360))^(C637/(EDATE(D637-B637,1)-(D637-B637))),9)</f>
        <v/>
      </c>
      <c r="I637" s="49">
        <f>TRUNC((G637*H637-G637),8)</f>
        <v/>
      </c>
      <c r="J637" s="49">
        <f>G637+I637</f>
        <v/>
      </c>
      <c r="K637" s="256" t="n"/>
      <c r="L637" s="256" t="n"/>
      <c r="M637" s="256" t="n"/>
      <c r="N637" s="256" t="n"/>
      <c r="O637" s="256" t="n"/>
      <c r="P637" s="256" t="n"/>
      <c r="Q637" s="256" t="n"/>
    </row>
    <row r="638">
      <c r="A638">
        <f>IF(DAY(D638)=DAY($L$1+1),A637+1,A637)</f>
        <v/>
      </c>
      <c r="B638" s="46">
        <f>IF(DAY(D638)=DAY($L$1+1),1,B637+1)</f>
        <v/>
      </c>
      <c r="C638" s="46">
        <f>IF(DAY(D638)=DAY($L$1+1),1,C637+1)</f>
        <v/>
      </c>
      <c r="D638" s="2">
        <f>D637+1</f>
        <v/>
      </c>
      <c r="E638" s="8">
        <f>IF(DAY(D638)=DAY($L$1+1),TRUNC((#REF!),8),E637)</f>
        <v/>
      </c>
      <c r="F638" s="49">
        <f>TRUNC(((1+VLOOKUP(A638,IPCA!$A$2:$C$140,3,0)))^(C638/(EDATE(D638-C638,1)-(D638-C638))),8)</f>
        <v/>
      </c>
      <c r="G638" s="49">
        <f>TRUNC((E638*F638),8)</f>
        <v/>
      </c>
      <c r="H638" s="49">
        <f>ROUND(((1+$H$4)^(30/360))^(C638/(EDATE(D638-B638,1)-(D638-B638))),9)</f>
        <v/>
      </c>
      <c r="I638" s="49">
        <f>TRUNC((G638*H638-G638),8)</f>
        <v/>
      </c>
      <c r="J638" s="49">
        <f>G638+I638</f>
        <v/>
      </c>
      <c r="K638" s="256" t="n"/>
      <c r="L638" s="256" t="n"/>
      <c r="M638" s="256" t="n"/>
      <c r="N638" s="256" t="n"/>
      <c r="O638" s="256" t="n"/>
      <c r="P638" s="256" t="n"/>
      <c r="Q638" s="256" t="n"/>
    </row>
    <row r="639">
      <c r="A639">
        <f>IF(DAY(D639)=DAY($L$1+1),A638+1,A638)</f>
        <v/>
      </c>
      <c r="B639" s="46">
        <f>IF(DAY(D639)=DAY($L$1+1),1,B638+1)</f>
        <v/>
      </c>
      <c r="C639" s="46">
        <f>IF(DAY(D639)=DAY($L$1+1),1,C638+1)</f>
        <v/>
      </c>
      <c r="D639" s="2">
        <f>D638+1</f>
        <v/>
      </c>
      <c r="E639" s="8">
        <f>IF(DAY(D639)=DAY($L$1+1),TRUNC((#REF!),8),E638)</f>
        <v/>
      </c>
      <c r="F639" s="49">
        <f>TRUNC(((1+VLOOKUP(A639,IPCA!$A$2:$C$140,3,0)))^(C639/(EDATE(D639-C639,1)-(D639-C639))),8)</f>
        <v/>
      </c>
      <c r="G639" s="49">
        <f>TRUNC((E639*F639),8)</f>
        <v/>
      </c>
      <c r="H639" s="49">
        <f>ROUND(((1+$H$4)^(30/360))^(C639/(EDATE(D639-B639,1)-(D639-B639))),9)</f>
        <v/>
      </c>
      <c r="I639" s="49">
        <f>TRUNC((G639*H639-G639),8)</f>
        <v/>
      </c>
      <c r="J639" s="49">
        <f>G639+I639</f>
        <v/>
      </c>
      <c r="K639" s="256" t="n"/>
      <c r="L639" s="256" t="n"/>
      <c r="M639" s="256" t="n"/>
      <c r="N639" s="256" t="n"/>
      <c r="O639" s="256" t="n"/>
      <c r="P639" s="256" t="n"/>
      <c r="Q639" s="256" t="n"/>
    </row>
    <row r="640">
      <c r="A640">
        <f>IF(DAY(D640)=DAY($L$1+1),A639+1,A639)</f>
        <v/>
      </c>
      <c r="B640" s="46">
        <f>IF(DAY(D640)=DAY($L$1+1),1,B639+1)</f>
        <v/>
      </c>
      <c r="C640" s="46">
        <f>IF(DAY(D640)=DAY($L$1+1),1,C639+1)</f>
        <v/>
      </c>
      <c r="D640" s="2">
        <f>D639+1</f>
        <v/>
      </c>
      <c r="E640" s="8">
        <f>IF(DAY(D640)=DAY($L$1+1),TRUNC((#REF!),8),E639)</f>
        <v/>
      </c>
      <c r="F640" s="49">
        <f>TRUNC(((1+VLOOKUP(A640,IPCA!$A$2:$C$140,3,0)))^(C640/(EDATE(D640-C640,1)-(D640-C640))),8)</f>
        <v/>
      </c>
      <c r="G640" s="49">
        <f>TRUNC((E640*F640),8)</f>
        <v/>
      </c>
      <c r="H640" s="49">
        <f>ROUND(((1+$H$4)^(30/360))^(C640/(EDATE(D640-B640,1)-(D640-B640))),9)</f>
        <v/>
      </c>
      <c r="I640" s="49">
        <f>TRUNC((G640*H640-G640),8)</f>
        <v/>
      </c>
      <c r="J640" s="49">
        <f>G640+I640</f>
        <v/>
      </c>
      <c r="K640" s="256" t="n"/>
      <c r="L640" s="256" t="n"/>
      <c r="M640" s="256" t="n"/>
      <c r="N640" s="256" t="n"/>
      <c r="O640" s="256" t="n"/>
      <c r="P640" s="256" t="n"/>
      <c r="Q640" s="256" t="n"/>
    </row>
    <row r="641">
      <c r="A641">
        <f>IF(DAY(D641)=DAY($L$1+1),A640+1,A640)</f>
        <v/>
      </c>
      <c r="B641" s="46">
        <f>IF(DAY(D641)=DAY($L$1+1),1,B640+1)</f>
        <v/>
      </c>
      <c r="C641" s="46">
        <f>IF(DAY(D641)=DAY($L$1+1),1,C640+1)</f>
        <v/>
      </c>
      <c r="D641" s="2">
        <f>D640+1</f>
        <v/>
      </c>
      <c r="E641" s="8">
        <f>IF(DAY(D641)=DAY($L$1+1),TRUNC((#REF!),8),E640)</f>
        <v/>
      </c>
      <c r="F641" s="49">
        <f>TRUNC(((1+VLOOKUP(A641,IPCA!$A$2:$C$140,3,0)))^(C641/(EDATE(D641-C641,1)-(D641-C641))),8)</f>
        <v/>
      </c>
      <c r="G641" s="49">
        <f>TRUNC((E641*F641),8)</f>
        <v/>
      </c>
      <c r="H641" s="49">
        <f>ROUND(((1+$H$4)^(30/360))^(C641/(EDATE(D641-B641,1)-(D641-B641))),9)</f>
        <v/>
      </c>
      <c r="I641" s="49">
        <f>TRUNC((G641*H641-G641),8)</f>
        <v/>
      </c>
      <c r="J641" s="49">
        <f>G641+I641</f>
        <v/>
      </c>
      <c r="K641" s="256" t="n"/>
      <c r="L641" s="256" t="n"/>
      <c r="M641" s="256" t="n"/>
      <c r="N641" s="256" t="n"/>
      <c r="O641" s="256" t="n"/>
      <c r="P641" s="256" t="n"/>
      <c r="Q641" s="256" t="n"/>
    </row>
    <row r="642">
      <c r="A642">
        <f>IF(DAY(D642)=DAY($L$1+1),A641+1,A641)</f>
        <v/>
      </c>
      <c r="B642" s="46">
        <f>IF(DAY(D642)=DAY($L$1+1),1,B641+1)</f>
        <v/>
      </c>
      <c r="C642" s="46">
        <f>IF(DAY(D642)=DAY($L$1+1),1,C641+1)</f>
        <v/>
      </c>
      <c r="D642" s="2">
        <f>D641+1</f>
        <v/>
      </c>
      <c r="E642" s="8">
        <f>IF(DAY(D642)=DAY($L$1+1),TRUNC((#REF!),8),E641)</f>
        <v/>
      </c>
      <c r="F642" s="49">
        <f>TRUNC(((1+VLOOKUP(A642,IPCA!$A$2:$C$140,3,0)))^(C642/(EDATE(D642-C642,1)-(D642-C642))),8)</f>
        <v/>
      </c>
      <c r="G642" s="49">
        <f>TRUNC((E642*F642),8)</f>
        <v/>
      </c>
      <c r="H642" s="49">
        <f>ROUND(((1+$H$4)^(30/360))^(C642/(EDATE(D642-B642,1)-(D642-B642))),9)</f>
        <v/>
      </c>
      <c r="I642" s="49">
        <f>TRUNC((G642*H642-G642),8)</f>
        <v/>
      </c>
      <c r="J642" s="49">
        <f>G642+I642</f>
        <v/>
      </c>
      <c r="K642" s="256" t="n"/>
      <c r="L642" s="256" t="n"/>
      <c r="M642" s="256" t="n"/>
      <c r="N642" s="256" t="n"/>
      <c r="O642" s="256" t="n"/>
      <c r="P642" s="256" t="n"/>
      <c r="Q642" s="256" t="n"/>
    </row>
    <row r="643">
      <c r="A643">
        <f>IF(DAY(D643)=DAY($L$1+1),A642+1,A642)</f>
        <v/>
      </c>
      <c r="B643" s="46">
        <f>IF(DAY(D643)=DAY($L$1+1),1,B642+1)</f>
        <v/>
      </c>
      <c r="C643" s="46">
        <f>IF(DAY(D643)=DAY($L$1+1),1,C642+1)</f>
        <v/>
      </c>
      <c r="D643" s="2">
        <f>D642+1</f>
        <v/>
      </c>
      <c r="E643" s="8">
        <f>IF(DAY(D643)=DAY($L$1+1),TRUNC((#REF!),8),E642)</f>
        <v/>
      </c>
      <c r="F643" s="49">
        <f>TRUNC(((1+VLOOKUP(A643,IPCA!$A$2:$C$140,3,0)))^(C643/(EDATE(D643-C643,1)-(D643-C643))),8)</f>
        <v/>
      </c>
      <c r="G643" s="49">
        <f>TRUNC((E643*F643),8)</f>
        <v/>
      </c>
      <c r="H643" s="49">
        <f>ROUND(((1+$H$4)^(30/360))^(C643/(EDATE(D643-B643,1)-(D643-B643))),9)</f>
        <v/>
      </c>
      <c r="I643" s="49">
        <f>TRUNC((G643*H643-G643),8)</f>
        <v/>
      </c>
      <c r="J643" s="49">
        <f>G643+I643</f>
        <v/>
      </c>
      <c r="K643" s="256" t="n"/>
      <c r="L643" s="256" t="n"/>
      <c r="M643" s="256" t="n"/>
      <c r="N643" s="256" t="n"/>
      <c r="O643" s="256" t="n"/>
      <c r="P643" s="256" t="n"/>
      <c r="Q643" s="256" t="n"/>
    </row>
    <row r="644">
      <c r="A644">
        <f>IF(DAY(D644)=DAY($L$1+1),A643+1,A643)</f>
        <v/>
      </c>
      <c r="B644" s="46">
        <f>IF(DAY(D644)=DAY($L$1+1),1,B643+1)</f>
        <v/>
      </c>
      <c r="C644" s="46">
        <f>IF(DAY(D644)=DAY($L$1+1),1,C643+1)</f>
        <v/>
      </c>
      <c r="D644" s="2">
        <f>D643+1</f>
        <v/>
      </c>
      <c r="E644" s="8">
        <f>IF(DAY(D644)=DAY($L$1+1),TRUNC((#REF!),8),E643)</f>
        <v/>
      </c>
      <c r="F644" s="49">
        <f>TRUNC(((1+VLOOKUP(A644,IPCA!$A$2:$C$140,3,0)))^(C644/(EDATE(D644-C644,1)-(D644-C644))),8)</f>
        <v/>
      </c>
      <c r="G644" s="49">
        <f>TRUNC((E644*F644),8)</f>
        <v/>
      </c>
      <c r="H644" s="49">
        <f>ROUND(((1+$H$4)^(30/360))^(C644/(EDATE(D644-B644,1)-(D644-B644))),9)</f>
        <v/>
      </c>
      <c r="I644" s="49">
        <f>TRUNC((G644*H644-G644),8)</f>
        <v/>
      </c>
      <c r="J644" s="49">
        <f>G644+I644</f>
        <v/>
      </c>
      <c r="K644" s="256" t="n"/>
      <c r="L644" s="256" t="n"/>
      <c r="M644" s="256" t="n"/>
      <c r="N644" s="256" t="n"/>
      <c r="O644" s="256" t="n"/>
      <c r="P644" s="256" t="n"/>
      <c r="Q644" s="256" t="n"/>
    </row>
    <row r="645">
      <c r="A645">
        <f>IF(DAY(D645)=DAY($L$1+1),A644+1,A644)</f>
        <v/>
      </c>
      <c r="B645" s="46">
        <f>IF(DAY(D645)=DAY($L$1+1),1,B644+1)</f>
        <v/>
      </c>
      <c r="C645" s="46">
        <f>IF(DAY(D645)=DAY($L$1+1),1,C644+1)</f>
        <v/>
      </c>
      <c r="D645" s="2">
        <f>D644+1</f>
        <v/>
      </c>
      <c r="E645" s="8">
        <f>IF(DAY(D645)=DAY($L$1+1),TRUNC((#REF!),8),E644)</f>
        <v/>
      </c>
      <c r="F645" s="49">
        <f>TRUNC(((1+VLOOKUP(A645,IPCA!$A$2:$C$140,3,0)))^(C645/(EDATE(D645-C645,1)-(D645-C645))),8)</f>
        <v/>
      </c>
      <c r="G645" s="49">
        <f>TRUNC((E645*F645),8)</f>
        <v/>
      </c>
      <c r="H645" s="49">
        <f>ROUND(((1+$H$4)^(30/360))^(C645/(EDATE(D645-B645,1)-(D645-B645))),9)</f>
        <v/>
      </c>
      <c r="I645" s="49">
        <f>TRUNC((G645*H645-G645),8)</f>
        <v/>
      </c>
      <c r="J645" s="49">
        <f>G645+I645</f>
        <v/>
      </c>
      <c r="K645" s="256" t="n"/>
      <c r="L645" s="256" t="n"/>
      <c r="M645" s="256" t="n"/>
      <c r="N645" s="256" t="n"/>
      <c r="O645" s="256" t="n"/>
      <c r="P645" s="256" t="n"/>
      <c r="Q645" s="256" t="n"/>
    </row>
    <row r="646">
      <c r="A646">
        <f>IF(DAY(D646)=DAY($L$1+1),A645+1,A645)</f>
        <v/>
      </c>
      <c r="B646" s="46">
        <f>IF(DAY(D646)=DAY($L$1+1),1,B645+1)</f>
        <v/>
      </c>
      <c r="C646" s="46">
        <f>IF(DAY(D646)=DAY($L$1+1),1,C645+1)</f>
        <v/>
      </c>
      <c r="D646" s="2">
        <f>D645+1</f>
        <v/>
      </c>
      <c r="E646" s="8">
        <f>IF(DAY(D646)=DAY($L$1+1),TRUNC((#REF!),8),E645)</f>
        <v/>
      </c>
      <c r="F646" s="49">
        <f>TRUNC(((1+VLOOKUP(A646,IPCA!$A$2:$C$140,3,0)))^(C646/(EDATE(D646-C646,1)-(D646-C646))),8)</f>
        <v/>
      </c>
      <c r="G646" s="49">
        <f>TRUNC((E646*F646),8)</f>
        <v/>
      </c>
      <c r="H646" s="49">
        <f>ROUND(((1+$H$4)^(30/360))^(C646/(EDATE(D646-B646,1)-(D646-B646))),9)</f>
        <v/>
      </c>
      <c r="I646" s="49">
        <f>TRUNC((G646*H646-G646),8)</f>
        <v/>
      </c>
      <c r="J646" s="49">
        <f>G646+I646</f>
        <v/>
      </c>
      <c r="K646" s="256" t="n"/>
      <c r="L646" s="256" t="n"/>
      <c r="M646" s="256" t="n"/>
      <c r="N646" s="256" t="n"/>
      <c r="O646" s="256" t="n"/>
      <c r="P646" s="256" t="n"/>
      <c r="Q646" s="256" t="n"/>
    </row>
    <row r="647">
      <c r="A647">
        <f>IF(DAY(D647)=DAY($L$1+1),A646+1,A646)</f>
        <v/>
      </c>
      <c r="B647" s="46">
        <f>IF(DAY(D647)=DAY($L$1+1),1,B646+1)</f>
        <v/>
      </c>
      <c r="C647" s="46">
        <f>IF(DAY(D647)=DAY($L$1+1),1,C646+1)</f>
        <v/>
      </c>
      <c r="D647" s="2">
        <f>D646+1</f>
        <v/>
      </c>
      <c r="E647" s="8">
        <f>IF(DAY(D647)=DAY($L$1+1),TRUNC((#REF!),8),E646)</f>
        <v/>
      </c>
      <c r="F647" s="49">
        <f>TRUNC(((1+VLOOKUP(A647,IPCA!$A$2:$C$140,3,0)))^(C647/(EDATE(D647-C647,1)-(D647-C647))),8)</f>
        <v/>
      </c>
      <c r="G647" s="49">
        <f>TRUNC((E647*F647),8)</f>
        <v/>
      </c>
      <c r="H647" s="49">
        <f>ROUND(((1+$H$4)^(30/360))^(C647/(EDATE(D647-B647,1)-(D647-B647))),9)</f>
        <v/>
      </c>
      <c r="I647" s="49">
        <f>TRUNC((G647*H647-G647),8)</f>
        <v/>
      </c>
      <c r="J647" s="49">
        <f>G647+I647</f>
        <v/>
      </c>
      <c r="K647" s="256" t="n"/>
      <c r="L647" s="256" t="n"/>
      <c r="M647" s="256" t="n"/>
      <c r="N647" s="256" t="n"/>
      <c r="O647" s="256" t="n"/>
      <c r="P647" s="256" t="n"/>
      <c r="Q647" s="256" t="n"/>
    </row>
    <row r="648">
      <c r="A648">
        <f>IF(DAY(D648)=DAY($L$1+1),A647+1,A647)</f>
        <v/>
      </c>
      <c r="B648" s="46">
        <f>IF(DAY(D648)=DAY($L$1+1),1,B647+1)</f>
        <v/>
      </c>
      <c r="C648" s="46">
        <f>IF(DAY(D648)=DAY($L$1+1),1,C647+1)</f>
        <v/>
      </c>
      <c r="D648" s="2">
        <f>D647+1</f>
        <v/>
      </c>
      <c r="E648" s="8">
        <f>IF(DAY(D648)=DAY($L$1+1),TRUNC((#REF!),8),E647)</f>
        <v/>
      </c>
      <c r="F648" s="49">
        <f>TRUNC(((1+VLOOKUP(A648,IPCA!$A$2:$C$140,3,0)))^(C648/(EDATE(D648-C648,1)-(D648-C648))),8)</f>
        <v/>
      </c>
      <c r="G648" s="49">
        <f>TRUNC((E648*F648),8)</f>
        <v/>
      </c>
      <c r="H648" s="49">
        <f>ROUND(((1+$H$4)^(30/360))^(C648/(EDATE(D648-B648,1)-(D648-B648))),9)</f>
        <v/>
      </c>
      <c r="I648" s="49">
        <f>TRUNC((G648*H648-G648),8)</f>
        <v/>
      </c>
      <c r="J648" s="49">
        <f>G648+I648</f>
        <v/>
      </c>
      <c r="K648" s="256" t="n"/>
      <c r="L648" s="256" t="n"/>
      <c r="M648" s="256" t="n"/>
      <c r="N648" s="256" t="n"/>
      <c r="O648" s="256" t="n"/>
      <c r="P648" s="256" t="n"/>
      <c r="Q648" s="256" t="n"/>
    </row>
    <row r="649">
      <c r="A649">
        <f>IF(DAY(D649)=DAY($L$1+1),A648+1,A648)</f>
        <v/>
      </c>
      <c r="B649" s="46">
        <f>IF(DAY(D649)=DAY($L$1+1),1,B648+1)</f>
        <v/>
      </c>
      <c r="C649" s="46">
        <f>IF(DAY(D649)=DAY($L$1+1),1,C648+1)</f>
        <v/>
      </c>
      <c r="D649" s="2">
        <f>D648+1</f>
        <v/>
      </c>
      <c r="E649" s="8">
        <f>IF(DAY(D649)=DAY($L$1+1),TRUNC((#REF!),8),E648)</f>
        <v/>
      </c>
      <c r="F649" s="49">
        <f>TRUNC(((1+VLOOKUP(A649,IPCA!$A$2:$C$140,3,0)))^(C649/(EDATE(D649-C649,1)-(D649-C649))),8)</f>
        <v/>
      </c>
      <c r="G649" s="49">
        <f>TRUNC((E649*F649),8)</f>
        <v/>
      </c>
      <c r="H649" s="49">
        <f>ROUND(((1+$H$4)^(30/360))^(C649/(EDATE(D649-B649,1)-(D649-B649))),9)</f>
        <v/>
      </c>
      <c r="I649" s="49">
        <f>TRUNC((G649*H649-G649),8)</f>
        <v/>
      </c>
      <c r="J649" s="49">
        <f>G649+I649</f>
        <v/>
      </c>
      <c r="K649" s="256" t="n"/>
      <c r="L649" s="256" t="n"/>
      <c r="M649" s="256" t="n"/>
      <c r="N649" s="256" t="n"/>
      <c r="O649" s="256" t="n"/>
      <c r="P649" s="256" t="n"/>
      <c r="Q649" s="256" t="n"/>
    </row>
    <row r="650">
      <c r="A650">
        <f>IF(DAY(D650)=DAY($L$1+1),A649+1,A649)</f>
        <v/>
      </c>
      <c r="B650" s="46">
        <f>IF(DAY(D650)=DAY($L$1+1),1,B649+1)</f>
        <v/>
      </c>
      <c r="C650" s="46">
        <f>IF(DAY(D650)=DAY($L$1+1),1,C649+1)</f>
        <v/>
      </c>
      <c r="D650" s="2">
        <f>D649+1</f>
        <v/>
      </c>
      <c r="E650" s="8">
        <f>IF(DAY(D650)=DAY($L$1+1),TRUNC((#REF!),8),E649)</f>
        <v/>
      </c>
      <c r="F650" s="49">
        <f>TRUNC(((1+VLOOKUP(A650,IPCA!$A$2:$C$140,3,0)))^(C650/(EDATE(D650-C650,1)-(D650-C650))),8)</f>
        <v/>
      </c>
      <c r="G650" s="49">
        <f>TRUNC((E650*F650),8)</f>
        <v/>
      </c>
      <c r="H650" s="49">
        <f>ROUND(((1+$H$4)^(30/360))^(C650/(EDATE(D650-B650,1)-(D650-B650))),9)</f>
        <v/>
      </c>
      <c r="I650" s="49">
        <f>TRUNC((G650*H650-G650),8)</f>
        <v/>
      </c>
      <c r="J650" s="49">
        <f>G650+I650</f>
        <v/>
      </c>
      <c r="K650" s="256" t="n"/>
      <c r="L650" s="256" t="n"/>
      <c r="M650" s="256" t="n"/>
      <c r="N650" s="256" t="n"/>
      <c r="O650" s="256" t="n"/>
      <c r="P650" s="256" t="n"/>
      <c r="Q650" s="256" t="n"/>
    </row>
    <row r="651">
      <c r="A651">
        <f>IF(DAY(D651)=DAY($L$1+1),A650+1,A650)</f>
        <v/>
      </c>
      <c r="B651" s="46">
        <f>IF(DAY(D651)=DAY($L$1+1),1,B650+1)</f>
        <v/>
      </c>
      <c r="C651" s="46">
        <f>IF(DAY(D651)=DAY($L$1+1),1,C650+1)</f>
        <v/>
      </c>
      <c r="D651" s="2">
        <f>D650+1</f>
        <v/>
      </c>
      <c r="E651" s="8">
        <f>IF(DAY(D651)=DAY($L$1+1),TRUNC((#REF!),8),E650)</f>
        <v/>
      </c>
      <c r="F651" s="49">
        <f>TRUNC(((1+VLOOKUP(A651,IPCA!$A$2:$C$140,3,0)))^(C651/(EDATE(D651-C651,1)-(D651-C651))),8)</f>
        <v/>
      </c>
      <c r="G651" s="49">
        <f>TRUNC((E651*F651),8)</f>
        <v/>
      </c>
      <c r="H651" s="49">
        <f>ROUND(((1+$H$4)^(30/360))^(C651/(EDATE(D651-B651,1)-(D651-B651))),9)</f>
        <v/>
      </c>
      <c r="I651" s="49">
        <f>TRUNC((G651*H651-G651),8)</f>
        <v/>
      </c>
      <c r="J651" s="49">
        <f>G651+I651</f>
        <v/>
      </c>
      <c r="K651" s="256" t="n"/>
      <c r="L651" s="256" t="n"/>
      <c r="M651" s="256" t="n"/>
      <c r="N651" s="256" t="n"/>
      <c r="O651" s="256" t="n"/>
      <c r="P651" s="256" t="n"/>
      <c r="Q651" s="256" t="n"/>
    </row>
    <row r="652">
      <c r="A652">
        <f>IF(DAY(D652)=DAY($L$1+1),A651+1,A651)</f>
        <v/>
      </c>
      <c r="B652" s="46">
        <f>IF(DAY(D652)=DAY($L$1+1),1,B651+1)</f>
        <v/>
      </c>
      <c r="C652" s="46">
        <f>IF(DAY(D652)=DAY($L$1+1),1,C651+1)</f>
        <v/>
      </c>
      <c r="D652" s="2">
        <f>D651+1</f>
        <v/>
      </c>
      <c r="E652" s="8">
        <f>IF(DAY(D652)=DAY($L$1+1),TRUNC((#REF!),8),E651)</f>
        <v/>
      </c>
      <c r="F652" s="49">
        <f>TRUNC(((1+VLOOKUP(A652,IPCA!$A$2:$C$140,3,0)))^(C652/(EDATE(D652-C652,1)-(D652-C652))),8)</f>
        <v/>
      </c>
      <c r="G652" s="49">
        <f>TRUNC((E652*F652),8)</f>
        <v/>
      </c>
      <c r="H652" s="49">
        <f>ROUND(((1+$H$4)^(30/360))^(C652/(EDATE(D652-B652,1)-(D652-B652))),9)</f>
        <v/>
      </c>
      <c r="I652" s="49">
        <f>TRUNC((G652*H652-G652),8)</f>
        <v/>
      </c>
      <c r="J652" s="49">
        <f>G652+I652</f>
        <v/>
      </c>
      <c r="K652" s="256" t="n"/>
      <c r="L652" s="256" t="n"/>
      <c r="M652" s="256" t="n"/>
      <c r="N652" s="256" t="n"/>
      <c r="O652" s="256" t="n"/>
      <c r="P652" s="256" t="n"/>
      <c r="Q652" s="256" t="n"/>
    </row>
    <row r="653">
      <c r="A653">
        <f>IF(DAY(D653)=DAY($L$1+1),A652+1,A652)</f>
        <v/>
      </c>
      <c r="B653" s="46">
        <f>IF(DAY(D653)=DAY($L$1+1),1,B652+1)</f>
        <v/>
      </c>
      <c r="C653" s="46">
        <f>IF(DAY(D653)=DAY($L$1+1),1,C652+1)</f>
        <v/>
      </c>
      <c r="D653" s="2">
        <f>D652+1</f>
        <v/>
      </c>
      <c r="E653" s="8">
        <f>IF(DAY(D653)=DAY($L$1+1),TRUNC((#REF!),8),E652)</f>
        <v/>
      </c>
      <c r="F653" s="49">
        <f>TRUNC(((1+VLOOKUP(A653,IPCA!$A$2:$C$140,3,0)))^(C653/(EDATE(D653-C653,1)-(D653-C653))),8)</f>
        <v/>
      </c>
      <c r="G653" s="49">
        <f>TRUNC((E653*F653),8)</f>
        <v/>
      </c>
      <c r="H653" s="49">
        <f>ROUND(((1+$H$4)^(30/360))^(C653/(EDATE(D653-B653,1)-(D653-B653))),9)</f>
        <v/>
      </c>
      <c r="I653" s="49">
        <f>TRUNC((G653*H653-G653),8)</f>
        <v/>
      </c>
      <c r="J653" s="49">
        <f>G653+I653</f>
        <v/>
      </c>
      <c r="K653" s="256" t="n"/>
      <c r="L653" s="256" t="n"/>
      <c r="M653" s="256" t="n"/>
      <c r="N653" s="256" t="n"/>
      <c r="O653" s="256" t="n"/>
      <c r="P653" s="256" t="n"/>
      <c r="Q653" s="256" t="n"/>
    </row>
    <row r="654">
      <c r="A654">
        <f>IF(DAY(D654)=DAY($L$1+1),A653+1,A653)</f>
        <v/>
      </c>
      <c r="B654" s="46">
        <f>IF(DAY(D654)=DAY($L$1+1),1,B653+1)</f>
        <v/>
      </c>
      <c r="C654" s="46">
        <f>IF(DAY(D654)=DAY($L$1+1),1,C653+1)</f>
        <v/>
      </c>
      <c r="D654" s="2">
        <f>D653+1</f>
        <v/>
      </c>
      <c r="E654" s="8">
        <f>IF(DAY(D654)=DAY($L$1+1),TRUNC((#REF!),8),E653)</f>
        <v/>
      </c>
      <c r="F654" s="49">
        <f>TRUNC(((1+VLOOKUP(A654,IPCA!$A$2:$C$140,3,0)))^(C654/(EDATE(D654-C654,1)-(D654-C654))),8)</f>
        <v/>
      </c>
      <c r="G654" s="49">
        <f>TRUNC((E654*F654),8)</f>
        <v/>
      </c>
      <c r="H654" s="49">
        <f>ROUND(((1+$H$4)^(30/360))^(C654/(EDATE(D654-B654,1)-(D654-B654))),9)</f>
        <v/>
      </c>
      <c r="I654" s="49">
        <f>TRUNC((G654*H654-G654),8)</f>
        <v/>
      </c>
      <c r="J654" s="49">
        <f>G654+I654</f>
        <v/>
      </c>
      <c r="K654" s="256" t="n"/>
      <c r="L654" s="256" t="n"/>
      <c r="M654" s="256" t="n"/>
      <c r="N654" s="256" t="n"/>
      <c r="O654" s="256" t="n"/>
      <c r="P654" s="256" t="n"/>
      <c r="Q654" s="256" t="n"/>
    </row>
    <row r="655">
      <c r="A655">
        <f>IF(DAY(D655)=DAY($L$1+1),A654+1,A654)</f>
        <v/>
      </c>
      <c r="B655" s="46">
        <f>IF(DAY(D655)=DAY($L$1+1),1,B654+1)</f>
        <v/>
      </c>
      <c r="C655" s="46">
        <f>IF(DAY(D655)=DAY($L$1+1),1,C654+1)</f>
        <v/>
      </c>
      <c r="D655" s="2">
        <f>D654+1</f>
        <v/>
      </c>
      <c r="E655" s="8">
        <f>IF(DAY(D655)=DAY($L$1+1),TRUNC((#REF!),8),E654)</f>
        <v/>
      </c>
      <c r="F655" s="49">
        <f>TRUNC(((1+VLOOKUP(A655,IPCA!$A$2:$C$140,3,0)))^(C655/(EDATE(D655-C655,1)-(D655-C655))),8)</f>
        <v/>
      </c>
      <c r="G655" s="49">
        <f>TRUNC((E655*F655),8)</f>
        <v/>
      </c>
      <c r="H655" s="49">
        <f>ROUND(((1+$H$4)^(30/360))^(C655/(EDATE(D655-B655,1)-(D655-B655))),9)</f>
        <v/>
      </c>
      <c r="I655" s="49">
        <f>TRUNC((G655*H655-G655),8)</f>
        <v/>
      </c>
      <c r="J655" s="49">
        <f>G655+I655</f>
        <v/>
      </c>
      <c r="K655" s="256" t="n"/>
      <c r="L655" s="256" t="n"/>
      <c r="M655" s="256" t="n"/>
      <c r="N655" s="256" t="n"/>
      <c r="O655" s="256" t="n"/>
      <c r="P655" s="256" t="n"/>
      <c r="Q655" s="256" t="n"/>
    </row>
    <row r="656">
      <c r="A656">
        <f>IF(DAY(D656)=DAY($L$1+1),A655+1,A655)</f>
        <v/>
      </c>
      <c r="B656" s="46">
        <f>IF(DAY(D656)=DAY($L$1+1),1,B655+1)</f>
        <v/>
      </c>
      <c r="C656" s="46">
        <f>IF(DAY(D656)=DAY($L$1+1),1,C655+1)</f>
        <v/>
      </c>
      <c r="D656" s="2">
        <f>D655+1</f>
        <v/>
      </c>
      <c r="E656" s="8">
        <f>IF(DAY(D656)=DAY($L$1+1),TRUNC((#REF!),8),E655)</f>
        <v/>
      </c>
      <c r="F656" s="49">
        <f>TRUNC(((1+VLOOKUP(A656,IPCA!$A$2:$C$140,3,0)))^(C656/(EDATE(D656-C656,1)-(D656-C656))),8)</f>
        <v/>
      </c>
      <c r="G656" s="49">
        <f>TRUNC((E656*F656),8)</f>
        <v/>
      </c>
      <c r="H656" s="49">
        <f>ROUND(((1+$H$4)^(30/360))^(C656/(EDATE(D656-B656,1)-(D656-B656))),9)</f>
        <v/>
      </c>
      <c r="I656" s="49">
        <f>TRUNC((G656*H656-G656),8)</f>
        <v/>
      </c>
      <c r="J656" s="49">
        <f>G656+I656</f>
        <v/>
      </c>
      <c r="K656" s="256" t="n"/>
      <c r="L656" s="256" t="n"/>
      <c r="M656" s="256" t="n"/>
      <c r="N656" s="256" t="n"/>
      <c r="O656" s="256" t="n"/>
      <c r="P656" s="256" t="n"/>
      <c r="Q656" s="256" t="n"/>
    </row>
    <row r="657">
      <c r="A657">
        <f>IF(DAY(D657)=DAY($L$1+1),A656+1,A656)</f>
        <v/>
      </c>
      <c r="B657" s="46">
        <f>IF(DAY(D657)=DAY($L$1+1),1,B656+1)</f>
        <v/>
      </c>
      <c r="C657" s="46">
        <f>IF(DAY(D657)=DAY($L$1+1),1,C656+1)</f>
        <v/>
      </c>
      <c r="D657" s="2">
        <f>D656+1</f>
        <v/>
      </c>
      <c r="E657" s="8">
        <f>IF(DAY(D657)=DAY($L$1+1),TRUNC((N656),8),E656)</f>
        <v/>
      </c>
      <c r="F657" s="49">
        <f>TRUNC(((1+VLOOKUP(A657,IPCA!$A$2:$C$140,3,0)))^(C657/(EDATE(D657-C657,1)-(D657-C657))),8)</f>
        <v/>
      </c>
      <c r="G657" s="49">
        <f>TRUNC((E657*F657),8)</f>
        <v/>
      </c>
      <c r="H657" s="49">
        <f>ROUND(((1+$H$4)^(30/360))^(C657/(EDATE(D657-B657,1)-(D657-B657))),9)</f>
        <v/>
      </c>
      <c r="I657" s="49">
        <f>TRUNC((G657*H657-G657),8)</f>
        <v/>
      </c>
      <c r="J657" s="49">
        <f>G657+I657</f>
        <v/>
      </c>
      <c r="K657" s="256" t="inlineStr">
        <is>
          <t>Cri Integralizado</t>
        </is>
      </c>
      <c r="L657" s="270">
        <f>L626+K636</f>
        <v/>
      </c>
      <c r="M657" s="256" t="n"/>
      <c r="N657" s="256" t="n"/>
      <c r="O657" s="256" t="n"/>
      <c r="P657" s="256" t="n"/>
      <c r="Q657" s="256" t="n"/>
    </row>
    <row r="658">
      <c r="A658">
        <f>IF(DAY(D658)=DAY($L$1+1),A657+1,A657)</f>
        <v/>
      </c>
      <c r="B658" s="46">
        <f>IF(DAY(D658)=DAY($L$1+1),1,B657+1)</f>
        <v/>
      </c>
      <c r="C658" s="46">
        <f>IF(DAY(D658)=DAY($L$1+1),1,C657+1)</f>
        <v/>
      </c>
      <c r="D658" s="47">
        <f>D657+1</f>
        <v/>
      </c>
      <c r="E658" s="8">
        <f>IF(DAY(D658)=DAY($L$1+1),TRUNC((N657),8),E657)</f>
        <v/>
      </c>
      <c r="F658" s="49">
        <f>TRUNC(((1+VLOOKUP(A658,IPCA!$A$2:$C$140,3,0)))^(C658/(EDATE(D658-C658,1)-(D658-C658))),8)</f>
        <v/>
      </c>
      <c r="G658" s="49">
        <f>TRUNC((E658*F658),8)</f>
        <v/>
      </c>
      <c r="H658" s="49">
        <f>ROUND(((1+$H$4)^(30/360))^(C658/(EDATE(D658-B658,1)-(D658-B658))),9)</f>
        <v/>
      </c>
      <c r="I658" s="49">
        <f>TRUNC((G658*H658-G658),8)</f>
        <v/>
      </c>
      <c r="J658" s="49">
        <f>G658+I658</f>
        <v/>
      </c>
      <c r="K658" s="118" t="inlineStr">
        <is>
          <t>JUROS</t>
        </is>
      </c>
      <c r="L658" s="118" t="inlineStr">
        <is>
          <t>AMORTIZAÇÃO</t>
        </is>
      </c>
      <c r="M658" s="118" t="inlineStr">
        <is>
          <t>AMEX</t>
        </is>
      </c>
      <c r="N658" s="118" t="inlineStr">
        <is>
          <t>RESIDUAL</t>
        </is>
      </c>
      <c r="O658" s="256" t="n"/>
      <c r="P658" s="256" t="n"/>
      <c r="Q658" s="256" t="n"/>
    </row>
    <row r="659">
      <c r="A659">
        <f>IF(DAY(D659)=DAY($L$1+1),A658+1,A658)</f>
        <v/>
      </c>
      <c r="B659" s="111">
        <f>IF(DAY(D659)=DAY($L$1+1),1,B658+1)</f>
        <v/>
      </c>
      <c r="C659" s="111">
        <f>IF(DAY(D659)=DAY($L$1+1),1,C658+1)</f>
        <v/>
      </c>
      <c r="D659" s="112">
        <f>D658+1</f>
        <v/>
      </c>
      <c r="E659" s="113">
        <f>IF(DAY(D659)=DAY($L$1+1),TRUNC((N658),8),E658)</f>
        <v/>
      </c>
      <c r="F659" s="114">
        <f>TRUNC(((1+VLOOKUP(A659,IPCA!$A$2:$C$140,3,0)))^(C659/(EDATE(D659-C659,1)-(D659-C659))),8)</f>
        <v/>
      </c>
      <c r="G659" s="114">
        <f>TRUNC((E659*F659),8)</f>
        <v/>
      </c>
      <c r="H659" s="114">
        <f>ROUND(((1+$H$4)^(30/360))^(C659/(EDATE(D659-B659,1)-(D659-B659))),9)</f>
        <v/>
      </c>
      <c r="I659" s="114">
        <f>TRUNC((G659*H659-G659),8)</f>
        <v/>
      </c>
      <c r="J659" s="114">
        <f>G659+I659</f>
        <v/>
      </c>
      <c r="K659" s="119" t="n">
        <v>0</v>
      </c>
      <c r="L659" s="120" t="n">
        <v>0</v>
      </c>
      <c r="M659" s="120" t="n">
        <v>0</v>
      </c>
      <c r="N659" s="120">
        <f>J659-K659-L659-M659</f>
        <v/>
      </c>
      <c r="O659" s="256" t="n"/>
      <c r="P659" s="256" t="n"/>
      <c r="Q659" s="256" t="n"/>
    </row>
    <row r="660">
      <c r="A660">
        <f>IF(DAY(D660)=DAY($L$1+1),A659+1,A659)</f>
        <v/>
      </c>
      <c r="B660" s="228">
        <f>IF(DAY(D660)=DAY($L$1+1),1,B659+1)</f>
        <v/>
      </c>
      <c r="C660" s="228">
        <f>IF(DAY(D660)=DAY($L$1+1),1,C659+1)</f>
        <v/>
      </c>
      <c r="D660" s="229">
        <f>D659+1</f>
        <v/>
      </c>
      <c r="E660" s="230">
        <f>IF(DAY(D660)=DAY($L$1+1),TRUNC((N659),8),E659)</f>
        <v/>
      </c>
      <c r="F660" s="231">
        <f>TRUNC(((1+VLOOKUP(A660,IPCA!$A$2:$C$140,3,0)))^(C660/(EDATE(D660-C660,1)-(D660-C660))),8)</f>
        <v/>
      </c>
      <c r="G660" s="231">
        <f>TRUNC((E660*F660),8)</f>
        <v/>
      </c>
      <c r="H660" s="231">
        <f>ROUND(((1+$H$4)^(30/360))^(C660/(EDATE(D660-B660,1)-(D660-B660))),9)</f>
        <v/>
      </c>
      <c r="I660" s="231">
        <f>TRUNC((G660*H660-G660),8)</f>
        <v/>
      </c>
      <c r="J660" s="231">
        <f>G660+I660</f>
        <v/>
      </c>
      <c r="K660" s="121">
        <f>K659*L657</f>
        <v/>
      </c>
      <c r="L660" s="121">
        <f>L659*L657</f>
        <v/>
      </c>
      <c r="M660" s="121">
        <f>M659*L657</f>
        <v/>
      </c>
      <c r="N660" s="121">
        <f>N659*L657</f>
        <v/>
      </c>
      <c r="O660" s="256" t="n"/>
      <c r="P660" s="256" t="n"/>
      <c r="Q660" s="256" t="n"/>
    </row>
    <row r="661">
      <c r="A661">
        <f>IF(DAY(D661)=DAY($L$1+1),A660+1,A660)</f>
        <v/>
      </c>
      <c r="B661" s="46">
        <f>IF(DAY(D661)=DAY($L$1+1),1,B660+1)</f>
        <v/>
      </c>
      <c r="C661" s="46">
        <f>IF(DAY(D661)=DAY($L$1+1),1,C660+1)</f>
        <v/>
      </c>
      <c r="D661" s="2">
        <f>D660+1</f>
        <v/>
      </c>
      <c r="E661" s="8">
        <f>IF(DAY(D661)=DAY($L$1+1),TRUNC((N660),8),E660)</f>
        <v/>
      </c>
      <c r="F661" s="49">
        <f>TRUNC(((1+VLOOKUP(A661,IPCA!$A$2:$C$140,3,0)))^(C661/(EDATE(D661-C661,1)-(D661-C661))),8)</f>
        <v/>
      </c>
      <c r="G661" s="49">
        <f>TRUNC((E661*F661),8)</f>
        <v/>
      </c>
      <c r="H661" s="49">
        <f>ROUND(((1+$H$4)^(30/360))^(C661/(EDATE(D661-B661,1)-(D661-B661))),9)</f>
        <v/>
      </c>
      <c r="I661" s="49">
        <f>TRUNC((G661*H661-G661),8)</f>
        <v/>
      </c>
      <c r="J661" s="49">
        <f>G661+I661</f>
        <v/>
      </c>
      <c r="K661" s="256" t="n"/>
      <c r="L661" s="256" t="n"/>
      <c r="M661" s="256" t="n"/>
      <c r="N661" s="256" t="n"/>
      <c r="O661" s="256" t="n"/>
      <c r="P661" s="256" t="n"/>
      <c r="Q661" s="256" t="n"/>
    </row>
    <row r="662">
      <c r="A662">
        <f>IF(DAY(D662)=DAY($L$1+1),A661+1,A661)</f>
        <v/>
      </c>
      <c r="B662" s="46">
        <f>IF(DAY(D662)=DAY($L$1+1),1,B661+1)</f>
        <v/>
      </c>
      <c r="C662" s="46">
        <f>IF(DAY(D662)=DAY($L$1+1),1,C661+1)</f>
        <v/>
      </c>
      <c r="D662" s="2">
        <f>D661+1</f>
        <v/>
      </c>
      <c r="E662" s="8">
        <f>IF(DAY(D662)=DAY($L$1+1),TRUNC((#REF!),8),E661)</f>
        <v/>
      </c>
      <c r="F662" s="49">
        <f>TRUNC(((1+VLOOKUP(A662,IPCA!$A$2:$C$140,3,0)))^(C662/(EDATE(D662-C662,1)-(D662-C662))),8)</f>
        <v/>
      </c>
      <c r="G662" s="49">
        <f>TRUNC((E662*F662),8)</f>
        <v/>
      </c>
      <c r="H662" s="49">
        <f>ROUND(((1+$H$4)^(30/360))^(C662/(EDATE(D662-B662,1)-(D662-B662))),9)</f>
        <v/>
      </c>
      <c r="I662" s="49">
        <f>TRUNC((G662*H662-G662),8)</f>
        <v/>
      </c>
      <c r="J662" s="49">
        <f>G662+I662</f>
        <v/>
      </c>
      <c r="K662" s="232" t="n">
        <v>1981975</v>
      </c>
      <c r="L662" s="256" t="n"/>
      <c r="M662" s="256" t="n"/>
      <c r="N662" s="256" t="n"/>
      <c r="O662" s="256" t="n"/>
      <c r="P662" s="256" t="n"/>
      <c r="Q662" s="256" t="n"/>
    </row>
    <row r="663">
      <c r="A663">
        <f>IF(DAY(D663)=DAY($L$1+1),A662+1,A662)</f>
        <v/>
      </c>
      <c r="B663" s="46">
        <f>IF(DAY(D663)=DAY($L$1+1),1,B662+1)</f>
        <v/>
      </c>
      <c r="C663" s="46">
        <f>IF(DAY(D663)=DAY($L$1+1),1,C662+1)</f>
        <v/>
      </c>
      <c r="D663" s="2">
        <f>D662+1</f>
        <v/>
      </c>
      <c r="E663" s="8">
        <f>IF(DAY(D663)=DAY($L$1+1),TRUNC((#REF!),8),E662)</f>
        <v/>
      </c>
      <c r="F663" s="49">
        <f>TRUNC(((1+VLOOKUP(A663,IPCA!$A$2:$C$140,3,0)))^(C663/(EDATE(D663-C663,1)-(D663-C663))),8)</f>
        <v/>
      </c>
      <c r="G663" s="49">
        <f>TRUNC((E663*F663),8)</f>
        <v/>
      </c>
      <c r="H663" s="49">
        <f>ROUND(((1+$H$4)^(30/360))^(C663/(EDATE(D663-B663,1)-(D663-B663))),9)</f>
        <v/>
      </c>
      <c r="I663" s="49">
        <f>TRUNC((G663*H663-G663),8)</f>
        <v/>
      </c>
      <c r="J663" s="49">
        <f>G663+I663</f>
        <v/>
      </c>
      <c r="K663" s="256" t="n"/>
      <c r="L663" s="256" t="n"/>
      <c r="M663" s="256" t="n"/>
      <c r="N663" s="256" t="n"/>
      <c r="O663" s="256" t="n"/>
      <c r="P663" s="256" t="n"/>
      <c r="Q663" s="256" t="n"/>
    </row>
    <row r="664">
      <c r="A664">
        <f>IF(DAY(D664)=DAY($L$1+1),A663+1,A663)</f>
        <v/>
      </c>
      <c r="B664" s="46">
        <f>IF(DAY(D664)=DAY($L$1+1),1,B663+1)</f>
        <v/>
      </c>
      <c r="C664" s="46">
        <f>IF(DAY(D664)=DAY($L$1+1),1,C663+1)</f>
        <v/>
      </c>
      <c r="D664" s="2">
        <f>D663+1</f>
        <v/>
      </c>
      <c r="E664" s="8">
        <f>IF(DAY(D664)=DAY($L$1+1),TRUNC((#REF!),8),E663)</f>
        <v/>
      </c>
      <c r="F664" s="49">
        <f>TRUNC(((1+VLOOKUP(A664,IPCA!$A$2:$C$140,3,0)))^(C664/(EDATE(D664-C664,1)-(D664-C664))),8)</f>
        <v/>
      </c>
      <c r="G664" s="49">
        <f>TRUNC((E664*F664),8)</f>
        <v/>
      </c>
      <c r="H664" s="49">
        <f>ROUND(((1+$H$4)^(30/360))^(C664/(EDATE(D664-B664,1)-(D664-B664))),9)</f>
        <v/>
      </c>
      <c r="I664" s="49">
        <f>TRUNC((G664*H664-G664),8)</f>
        <v/>
      </c>
      <c r="J664" s="49">
        <f>G664+I664</f>
        <v/>
      </c>
      <c r="K664" s="256" t="n"/>
      <c r="L664" s="256" t="n"/>
      <c r="M664" s="256" t="n"/>
      <c r="N664" s="256" t="n"/>
      <c r="O664" s="256" t="n"/>
      <c r="P664" s="256" t="n"/>
      <c r="Q664" s="256" t="n"/>
    </row>
    <row r="665">
      <c r="A665">
        <f>IF(DAY(D665)=DAY($L$1+1),A664+1,A664)</f>
        <v/>
      </c>
      <c r="B665" s="46">
        <f>IF(DAY(D665)=DAY($L$1+1),1,B664+1)</f>
        <v/>
      </c>
      <c r="C665" s="46">
        <f>IF(DAY(D665)=DAY($L$1+1),1,C664+1)</f>
        <v/>
      </c>
      <c r="D665" s="2">
        <f>D664+1</f>
        <v/>
      </c>
      <c r="E665" s="8">
        <f>IF(DAY(D665)=DAY($L$1+1),TRUNC((#REF!),8),E664)</f>
        <v/>
      </c>
      <c r="F665" s="49">
        <f>TRUNC(((1+VLOOKUP(A665,IPCA!$A$2:$C$140,3,0)))^(C665/(EDATE(D665-C665,1)-(D665-C665))),8)</f>
        <v/>
      </c>
      <c r="G665" s="49">
        <f>TRUNC((E665*F665),8)</f>
        <v/>
      </c>
      <c r="H665" s="49">
        <f>ROUND(((1+$H$4)^(30/360))^(C665/(EDATE(D665-B665,1)-(D665-B665))),9)</f>
        <v/>
      </c>
      <c r="I665" s="49">
        <f>TRUNC((G665*H665-G665),8)</f>
        <v/>
      </c>
      <c r="J665" s="49">
        <f>G665+I665</f>
        <v/>
      </c>
      <c r="K665" s="256" t="n"/>
      <c r="L665" s="256" t="n"/>
      <c r="M665" s="256" t="n"/>
      <c r="N665" s="256" t="n"/>
      <c r="O665" s="256" t="n"/>
      <c r="P665" s="256" t="n"/>
      <c r="Q665" s="256" t="n"/>
    </row>
    <row r="666">
      <c r="A666">
        <f>IF(DAY(D666)=DAY($L$1+1),A665+1,A665)</f>
        <v/>
      </c>
      <c r="B666" s="46">
        <f>IF(DAY(D666)=DAY($L$1+1),1,B665+1)</f>
        <v/>
      </c>
      <c r="C666" s="46">
        <f>IF(DAY(D666)=DAY($L$1+1),1,C665+1)</f>
        <v/>
      </c>
      <c r="D666" s="2">
        <f>D665+1</f>
        <v/>
      </c>
      <c r="E666" s="8">
        <f>IF(DAY(D666)=DAY($L$1+1),TRUNC((#REF!),8),E665)</f>
        <v/>
      </c>
      <c r="F666" s="49">
        <f>TRUNC(((1+VLOOKUP(A666,IPCA!$A$2:$C$140,3,0)))^(C666/(EDATE(D666-C666,1)-(D666-C666))),8)</f>
        <v/>
      </c>
      <c r="G666" s="49">
        <f>TRUNC((E666*F666),8)</f>
        <v/>
      </c>
      <c r="H666" s="49">
        <f>ROUND(((1+$H$4)^(30/360))^(C666/(EDATE(D666-B666,1)-(D666-B666))),9)</f>
        <v/>
      </c>
      <c r="I666" s="49">
        <f>TRUNC((G666*H666-G666),8)</f>
        <v/>
      </c>
      <c r="J666" s="49">
        <f>G666+I666</f>
        <v/>
      </c>
      <c r="K666" s="256" t="n"/>
      <c r="L666" s="256" t="n"/>
      <c r="M666" s="256" t="n"/>
      <c r="N666" s="256" t="n"/>
      <c r="O666" s="256" t="n"/>
      <c r="P666" s="256" t="n"/>
      <c r="Q666" s="256" t="n"/>
    </row>
    <row r="667">
      <c r="A667">
        <f>IF(DAY(D667)=DAY($L$1+1),A666+1,A666)</f>
        <v/>
      </c>
      <c r="B667" s="46">
        <f>IF(DAY(D667)=DAY($L$1+1),1,B666+1)</f>
        <v/>
      </c>
      <c r="C667" s="46">
        <f>IF(DAY(D667)=DAY($L$1+1),1,C666+1)</f>
        <v/>
      </c>
      <c r="D667" s="2">
        <f>D666+1</f>
        <v/>
      </c>
      <c r="E667" s="8">
        <f>IF(DAY(D667)=DAY($L$1+1),TRUNC((#REF!),8),E666)</f>
        <v/>
      </c>
      <c r="F667" s="49">
        <f>TRUNC(((1+VLOOKUP(A667,IPCA!$A$2:$C$140,3,0)))^(C667/(EDATE(D667-C667,1)-(D667-C667))),8)</f>
        <v/>
      </c>
      <c r="G667" s="49">
        <f>TRUNC((E667*F667),8)</f>
        <v/>
      </c>
      <c r="H667" s="49">
        <f>ROUND(((1+$H$4)^(30/360))^(C667/(EDATE(D667-B667,1)-(D667-B667))),9)</f>
        <v/>
      </c>
      <c r="I667" s="49">
        <f>TRUNC((G667*H667-G667),8)</f>
        <v/>
      </c>
      <c r="J667" s="49">
        <f>G667+I667</f>
        <v/>
      </c>
      <c r="K667" s="256" t="n"/>
      <c r="L667" s="256" t="n"/>
      <c r="M667" s="256" t="n"/>
      <c r="N667" s="256" t="n"/>
      <c r="O667" s="256" t="n"/>
      <c r="P667" s="256" t="n"/>
      <c r="Q667" s="256" t="n"/>
    </row>
    <row r="668">
      <c r="A668">
        <f>IF(DAY(D668)=DAY($L$1+1),A667+1,A667)</f>
        <v/>
      </c>
      <c r="B668" s="46">
        <f>IF(DAY(D668)=DAY($L$1+1),1,B667+1)</f>
        <v/>
      </c>
      <c r="C668" s="46">
        <f>IF(DAY(D668)=DAY($L$1+1),1,C667+1)</f>
        <v/>
      </c>
      <c r="D668" s="2">
        <f>D667+1</f>
        <v/>
      </c>
      <c r="E668" s="8">
        <f>IF(DAY(D668)=DAY($L$1+1),TRUNC((#REF!),8),E667)</f>
        <v/>
      </c>
      <c r="F668" s="49">
        <f>TRUNC(((1+VLOOKUP(A668,IPCA!$A$2:$C$140,3,0)))^(C668/(EDATE(D668-C668,1)-(D668-C668))),8)</f>
        <v/>
      </c>
      <c r="G668" s="49">
        <f>TRUNC((E668*F668),8)</f>
        <v/>
      </c>
      <c r="H668" s="49">
        <f>ROUND(((1+$H$4)^(30/360))^(C668/(EDATE(D668-B668,1)-(D668-B668))),9)</f>
        <v/>
      </c>
      <c r="I668" s="49">
        <f>TRUNC((G668*H668-G668),8)</f>
        <v/>
      </c>
      <c r="J668" s="49">
        <f>G668+I668</f>
        <v/>
      </c>
      <c r="K668" s="256" t="n"/>
      <c r="L668" s="256" t="n"/>
      <c r="M668" s="256" t="n"/>
      <c r="N668" s="256" t="n"/>
      <c r="O668" s="256" t="n"/>
      <c r="P668" s="256" t="n"/>
      <c r="Q668" s="256" t="n"/>
    </row>
    <row r="669">
      <c r="A669">
        <f>IF(DAY(D669)=DAY($L$1+1),A668+1,A668)</f>
        <v/>
      </c>
      <c r="B669" s="46">
        <f>IF(DAY(D669)=DAY($L$1+1),1,B668+1)</f>
        <v/>
      </c>
      <c r="C669" s="46">
        <f>IF(DAY(D669)=DAY($L$1+1),1,C668+1)</f>
        <v/>
      </c>
      <c r="D669" s="2">
        <f>D668+1</f>
        <v/>
      </c>
      <c r="E669" s="8">
        <f>IF(DAY(D669)=DAY($L$1+1),TRUNC((#REF!),8),E668)</f>
        <v/>
      </c>
      <c r="F669" s="49">
        <f>TRUNC(((1+VLOOKUP(A669,IPCA!$A$2:$C$140,3,0)))^(C669/(EDATE(D669-C669,1)-(D669-C669))),8)</f>
        <v/>
      </c>
      <c r="G669" s="49">
        <f>TRUNC((E669*F669),8)</f>
        <v/>
      </c>
      <c r="H669" s="49">
        <f>ROUND(((1+$H$4)^(30/360))^(C669/(EDATE(D669-B669,1)-(D669-B669))),9)</f>
        <v/>
      </c>
      <c r="I669" s="49">
        <f>TRUNC((G669*H669-G669),8)</f>
        <v/>
      </c>
      <c r="J669" s="49">
        <f>G669+I669</f>
        <v/>
      </c>
      <c r="K669" s="256" t="n"/>
      <c r="L669" s="256" t="n"/>
      <c r="M669" s="256" t="n"/>
      <c r="N669" s="256" t="n"/>
      <c r="O669" s="256" t="n"/>
      <c r="P669" s="256" t="n"/>
      <c r="Q669" s="256" t="n"/>
    </row>
    <row r="670">
      <c r="A670">
        <f>IF(DAY(D670)=DAY($L$1+1),A669+1,A669)</f>
        <v/>
      </c>
      <c r="B670" s="46">
        <f>IF(DAY(D670)=DAY($L$1+1),1,B669+1)</f>
        <v/>
      </c>
      <c r="C670" s="46">
        <f>IF(DAY(D670)=DAY($L$1+1),1,C669+1)</f>
        <v/>
      </c>
      <c r="D670" s="2">
        <f>D669+1</f>
        <v/>
      </c>
      <c r="E670" s="8">
        <f>IF(DAY(D670)=DAY($L$1+1),TRUNC((#REF!),8),E669)</f>
        <v/>
      </c>
      <c r="F670" s="49">
        <f>TRUNC(((1+VLOOKUP(A670,IPCA!$A$2:$C$140,3,0)))^(C670/(EDATE(D670-C670,1)-(D670-C670))),8)</f>
        <v/>
      </c>
      <c r="G670" s="49">
        <f>TRUNC((E670*F670),8)</f>
        <v/>
      </c>
      <c r="H670" s="49">
        <f>ROUND(((1+$H$4)^(30/360))^(C670/(EDATE(D670-B670,1)-(D670-B670))),9)</f>
        <v/>
      </c>
      <c r="I670" s="49">
        <f>TRUNC((G670*H670-G670),8)</f>
        <v/>
      </c>
      <c r="J670" s="49">
        <f>G670+I670</f>
        <v/>
      </c>
      <c r="K670" s="256" t="n"/>
      <c r="L670" s="256" t="n"/>
      <c r="M670" s="256" t="n"/>
      <c r="N670" s="256" t="n"/>
      <c r="O670" s="256" t="n"/>
      <c r="P670" s="256" t="n"/>
      <c r="Q670" s="256" t="n"/>
    </row>
    <row r="671">
      <c r="A671">
        <f>IF(DAY(D671)=DAY($L$1+1),A670+1,A670)</f>
        <v/>
      </c>
      <c r="B671" s="46">
        <f>IF(DAY(D671)=DAY($L$1+1),1,B670+1)</f>
        <v/>
      </c>
      <c r="C671" s="46">
        <f>IF(DAY(D671)=DAY($L$1+1),1,C670+1)</f>
        <v/>
      </c>
      <c r="D671" s="2">
        <f>D670+1</f>
        <v/>
      </c>
      <c r="E671" s="8">
        <f>IF(DAY(D671)=DAY($L$1+1),TRUNC((#REF!),8),E670)</f>
        <v/>
      </c>
      <c r="F671" s="49">
        <f>TRUNC(((1+VLOOKUP(A671,IPCA!$A$2:$C$140,3,0)))^(C671/(EDATE(D671-C671,1)-(D671-C671))),8)</f>
        <v/>
      </c>
      <c r="G671" s="49">
        <f>TRUNC((E671*F671),8)</f>
        <v/>
      </c>
      <c r="H671" s="49">
        <f>ROUND(((1+$H$4)^(30/360))^(C671/(EDATE(D671-B671,1)-(D671-B671))),9)</f>
        <v/>
      </c>
      <c r="I671" s="49">
        <f>TRUNC((G671*H671-G671),8)</f>
        <v/>
      </c>
      <c r="J671" s="49">
        <f>G671+I671</f>
        <v/>
      </c>
      <c r="K671" s="256" t="n"/>
      <c r="L671" s="256" t="n"/>
      <c r="M671" s="256" t="n"/>
      <c r="N671" s="256" t="n"/>
      <c r="O671" s="256" t="n"/>
      <c r="P671" s="256" t="n"/>
      <c r="Q671" s="256" t="n"/>
    </row>
    <row r="672">
      <c r="A672">
        <f>IF(DAY(D672)=DAY($L$1+1),A671+1,A671)</f>
        <v/>
      </c>
      <c r="B672" s="46">
        <f>IF(DAY(D672)=DAY($L$1+1),1,B671+1)</f>
        <v/>
      </c>
      <c r="C672" s="46">
        <f>IF(DAY(D672)=DAY($L$1+1),1,C671+1)</f>
        <v/>
      </c>
      <c r="D672" s="2">
        <f>D671+1</f>
        <v/>
      </c>
      <c r="E672" s="8">
        <f>IF(DAY(D672)=DAY($L$1+1),TRUNC((#REF!),8),E671)</f>
        <v/>
      </c>
      <c r="F672" s="49">
        <f>TRUNC(((1+VLOOKUP(A672,IPCA!$A$2:$C$140,3,0)))^(C672/(EDATE(D672-C672,1)-(D672-C672))),8)</f>
        <v/>
      </c>
      <c r="G672" s="49">
        <f>TRUNC((E672*F672),8)</f>
        <v/>
      </c>
      <c r="H672" s="49">
        <f>ROUND(((1+$H$4)^(30/360))^(C672/(EDATE(D672-B672,1)-(D672-B672))),9)</f>
        <v/>
      </c>
      <c r="I672" s="49">
        <f>TRUNC((G672*H672-G672),8)</f>
        <v/>
      </c>
      <c r="J672" s="49">
        <f>G672+I672</f>
        <v/>
      </c>
      <c r="K672" s="256" t="n"/>
      <c r="L672" s="256" t="n"/>
      <c r="M672" s="256" t="n"/>
      <c r="N672" s="256" t="n"/>
      <c r="O672" s="256" t="n"/>
      <c r="P672" s="256" t="n"/>
      <c r="Q672" s="256" t="n"/>
    </row>
    <row r="673">
      <c r="A673">
        <f>IF(DAY(D673)=DAY($L$1+1),A672+1,A672)</f>
        <v/>
      </c>
      <c r="B673" s="46">
        <f>IF(DAY(D673)=DAY($L$1+1),1,B672+1)</f>
        <v/>
      </c>
      <c r="C673" s="46">
        <f>IF(DAY(D673)=DAY($L$1+1),1,C672+1)</f>
        <v/>
      </c>
      <c r="D673" s="2">
        <f>D672+1</f>
        <v/>
      </c>
      <c r="E673" s="8">
        <f>IF(DAY(D673)=DAY($L$1+1),TRUNC((#REF!),8),E672)</f>
        <v/>
      </c>
      <c r="F673" s="49">
        <f>TRUNC(((1+VLOOKUP(A673,IPCA!$A$2:$C$140,3,0)))^(C673/(EDATE(D673-C673,1)-(D673-C673))),8)</f>
        <v/>
      </c>
      <c r="G673" s="49">
        <f>TRUNC((E673*F673),8)</f>
        <v/>
      </c>
      <c r="H673" s="49">
        <f>ROUND(((1+$H$4)^(30/360))^(C673/(EDATE(D673-B673,1)-(D673-B673))),9)</f>
        <v/>
      </c>
      <c r="I673" s="49">
        <f>TRUNC((G673*H673-G673),8)</f>
        <v/>
      </c>
      <c r="J673" s="49">
        <f>G673+I673</f>
        <v/>
      </c>
      <c r="K673" s="123" t="n"/>
      <c r="L673" s="271" t="n"/>
      <c r="M673" s="256" t="n"/>
      <c r="N673" s="256" t="n"/>
      <c r="O673" s="256" t="n"/>
      <c r="P673" s="256" t="n"/>
      <c r="Q673" s="256" t="n"/>
    </row>
    <row r="674">
      <c r="A674">
        <f>IF(DAY(D674)=DAY($L$1+1),A673+1,A673)</f>
        <v/>
      </c>
      <c r="B674" s="46">
        <f>IF(DAY(D674)=DAY($L$1+1),1,B673+1)</f>
        <v/>
      </c>
      <c r="C674" s="46">
        <f>IF(DAY(D674)=DAY($L$1+1),1,C673+1)</f>
        <v/>
      </c>
      <c r="D674" s="2">
        <f>D673+1</f>
        <v/>
      </c>
      <c r="E674" s="8">
        <f>IF(DAY(D674)=DAY($L$1+1),TRUNC((N673),8),E673)</f>
        <v/>
      </c>
      <c r="F674" s="49">
        <f>TRUNC(((1+VLOOKUP(A674,IPCA!$A$2:$C$140,3,0)))^(C674/(EDATE(D674-C674,1)-(D674-C674))),8)</f>
        <v/>
      </c>
      <c r="G674" s="49">
        <f>TRUNC((E674*F674),8)</f>
        <v/>
      </c>
      <c r="H674" s="49">
        <f>ROUND(((1+$H$4)^(30/360))^(C674/(EDATE(D674-B674,1)-(D674-B674))),9)</f>
        <v/>
      </c>
      <c r="I674" s="49">
        <f>TRUNC((G674*H674-G674),8)</f>
        <v/>
      </c>
      <c r="J674" s="49">
        <f>G674+I674</f>
        <v/>
      </c>
      <c r="K674" s="256" t="n"/>
      <c r="L674" s="256" t="n"/>
      <c r="M674" s="256" t="n"/>
      <c r="N674" s="256" t="n"/>
      <c r="O674" s="256" t="n"/>
      <c r="P674" s="256" t="n"/>
      <c r="Q674" s="256" t="n"/>
    </row>
    <row r="675">
      <c r="A675">
        <f>IF(DAY(D675)=DAY($L$1+1),A674+1,A674)</f>
        <v/>
      </c>
      <c r="B675" s="46">
        <f>IF(DAY(D675)=DAY($L$1+1),1,B674+1)</f>
        <v/>
      </c>
      <c r="C675" s="46">
        <f>IF(DAY(D675)=DAY($L$1+1),1,C674+1)</f>
        <v/>
      </c>
      <c r="D675" s="2">
        <f>D674+1</f>
        <v/>
      </c>
      <c r="E675" s="8">
        <f>IF(DAY(D675)=DAY($L$1+1),TRUNC((N674),8),E674)</f>
        <v/>
      </c>
      <c r="F675" s="49">
        <f>TRUNC(((1+VLOOKUP(A675,IPCA!$A$2:$C$140,3,0)))^(C675/(EDATE(D675-C675,1)-(D675-C675))),8)</f>
        <v/>
      </c>
      <c r="G675" s="49">
        <f>TRUNC((E675*F675),8)</f>
        <v/>
      </c>
      <c r="H675" s="49">
        <f>ROUND(((1+$H$4)^(30/360))^(C675/(EDATE(D675-B675,1)-(D675-B675))),9)</f>
        <v/>
      </c>
      <c r="I675" s="49">
        <f>TRUNC((G675*H675-G675),8)</f>
        <v/>
      </c>
      <c r="J675" s="49">
        <f>G675+I675</f>
        <v/>
      </c>
      <c r="K675" s="256" t="n"/>
      <c r="L675" s="256" t="n"/>
      <c r="M675" s="256" t="n"/>
      <c r="N675" s="256" t="n"/>
      <c r="O675" s="256" t="n"/>
      <c r="P675" s="256" t="n"/>
      <c r="Q675" s="256" t="n"/>
    </row>
    <row r="676">
      <c r="A676">
        <f>IF(DAY(D676)=DAY($L$1+1),A675+1,A675)</f>
        <v/>
      </c>
      <c r="B676" s="46">
        <f>IF(DAY(D676)=DAY($L$1+1),1,B675+1)</f>
        <v/>
      </c>
      <c r="C676" s="46">
        <f>IF(DAY(D676)=DAY($L$1+1),1,C675+1)</f>
        <v/>
      </c>
      <c r="D676" s="2">
        <f>D675+1</f>
        <v/>
      </c>
      <c r="E676" s="8">
        <f>IF(DAY(D676)=DAY($L$1+1),TRUNC((N675),8),E675)</f>
        <v/>
      </c>
      <c r="F676" s="49">
        <f>TRUNC(((1+VLOOKUP(A676,IPCA!$A$2:$C$140,3,0)))^(C676/(EDATE(D676-C676,1)-(D676-C676))),8)</f>
        <v/>
      </c>
      <c r="G676" s="49">
        <f>TRUNC((E676*F676),8)</f>
        <v/>
      </c>
      <c r="H676" s="49">
        <f>ROUND(((1+$H$4)^(30/360))^(C676/(EDATE(D676-B676,1)-(D676-B676))),9)</f>
        <v/>
      </c>
      <c r="I676" s="49">
        <f>TRUNC((G676*H676-G676),8)</f>
        <v/>
      </c>
      <c r="J676" s="49">
        <f>G676+I676</f>
        <v/>
      </c>
      <c r="K676" s="256" t="n"/>
      <c r="L676" s="256" t="n"/>
      <c r="M676" s="256" t="n"/>
      <c r="N676" s="256" t="n"/>
      <c r="O676" s="256" t="n"/>
      <c r="P676" s="256" t="n"/>
      <c r="Q676" s="256" t="n"/>
    </row>
    <row r="677">
      <c r="A677">
        <f>IF(DAY(D677)=DAY($L$1+1),A676+1,A676)</f>
        <v/>
      </c>
      <c r="B677" s="46">
        <f>IF(DAY(D677)=DAY($L$1+1),1,B676+1)</f>
        <v/>
      </c>
      <c r="C677" s="46">
        <f>IF(DAY(D677)=DAY($L$1+1),1,C676+1)</f>
        <v/>
      </c>
      <c r="D677" s="2">
        <f>D676+1</f>
        <v/>
      </c>
      <c r="E677" s="8">
        <f>IF(DAY(D677)=DAY($L$1+1),TRUNC((N676),8),E676)</f>
        <v/>
      </c>
      <c r="F677" s="49">
        <f>TRUNC(((1+VLOOKUP(A677,IPCA!$A$2:$C$140,3,0)))^(C677/(EDATE(D677-C677,1)-(D677-C677))),8)</f>
        <v/>
      </c>
      <c r="G677" s="49">
        <f>TRUNC((E677*F677),8)</f>
        <v/>
      </c>
      <c r="H677" s="49">
        <f>ROUND(((1+$H$4)^(30/360))^(C677/(EDATE(D677-B677,1)-(D677-B677))),9)</f>
        <v/>
      </c>
      <c r="I677" s="49">
        <f>TRUNC((G677*H677-G677),8)</f>
        <v/>
      </c>
      <c r="J677" s="49">
        <f>G677+I677</f>
        <v/>
      </c>
      <c r="K677" s="256" t="n"/>
      <c r="L677" s="256" t="n"/>
      <c r="M677" s="256" t="n"/>
      <c r="N677" s="256" t="n"/>
      <c r="O677" s="256" t="n"/>
      <c r="P677" s="256" t="n"/>
      <c r="Q677" s="256" t="n"/>
    </row>
    <row r="678">
      <c r="A678">
        <f>IF(DAY(D678)=DAY($L$1+1),A677+1,A677)</f>
        <v/>
      </c>
      <c r="B678" s="46">
        <f>IF(DAY(D678)=DAY($L$1+1),1,B677+1)</f>
        <v/>
      </c>
      <c r="C678" s="46">
        <f>IF(DAY(D678)=DAY($L$1+1),1,C677+1)</f>
        <v/>
      </c>
      <c r="D678" s="2">
        <f>D677+1</f>
        <v/>
      </c>
      <c r="E678" s="8">
        <f>IF(DAY(D678)=DAY($L$1+1),TRUNC((N677),8),E677)</f>
        <v/>
      </c>
      <c r="F678" s="49">
        <f>TRUNC(((1+VLOOKUP(A678,IPCA!$A$2:$C$140,3,0)))^(C678/(EDATE(D678-C678,1)-(D678-C678))),8)</f>
        <v/>
      </c>
      <c r="G678" s="49">
        <f>TRUNC((E678*F678),8)</f>
        <v/>
      </c>
      <c r="H678" s="49">
        <f>ROUND(((1+$H$4)^(30/360))^(C678/(EDATE(D678-B678,1)-(D678-B678))),9)</f>
        <v/>
      </c>
      <c r="I678" s="49">
        <f>TRUNC((G678*H678-G678),8)</f>
        <v/>
      </c>
      <c r="J678" s="49">
        <f>G678+I678</f>
        <v/>
      </c>
      <c r="K678" s="256" t="n"/>
      <c r="L678" s="256" t="n"/>
      <c r="M678" s="256" t="n"/>
      <c r="N678" s="256" t="n"/>
      <c r="O678" s="256" t="n"/>
      <c r="P678" s="256" t="n"/>
      <c r="Q678" s="256" t="n"/>
    </row>
    <row r="679">
      <c r="A679">
        <f>IF(DAY(D679)=DAY($L$1+1),A678+1,A678)</f>
        <v/>
      </c>
      <c r="B679" s="46">
        <f>IF(DAY(D679)=DAY($L$1+1),1,B678+1)</f>
        <v/>
      </c>
      <c r="C679" s="46">
        <f>IF(DAY(D679)=DAY($L$1+1),1,C678+1)</f>
        <v/>
      </c>
      <c r="D679" s="2">
        <f>D678+1</f>
        <v/>
      </c>
      <c r="E679" s="8">
        <f>IF(DAY(D679)=DAY($L$1+1),TRUNC((N678),8),E678)</f>
        <v/>
      </c>
      <c r="F679" s="49">
        <f>TRUNC(((1+VLOOKUP(A679,IPCA!$A$2:$C$140,3,0)))^(C679/(EDATE(D679-C679,1)-(D679-C679))),8)</f>
        <v/>
      </c>
      <c r="G679" s="49">
        <f>TRUNC((E679*F679),8)</f>
        <v/>
      </c>
      <c r="H679" s="49">
        <f>ROUND(((1+$H$4)^(30/360))^(C679/(EDATE(D679-B679,1)-(D679-B679))),9)</f>
        <v/>
      </c>
      <c r="I679" s="49">
        <f>TRUNC((G679*H679-G679),8)</f>
        <v/>
      </c>
      <c r="J679" s="49">
        <f>G679+I679</f>
        <v/>
      </c>
      <c r="K679" s="256" t="n"/>
      <c r="L679" s="256" t="n"/>
      <c r="M679" s="256" t="n"/>
      <c r="N679" s="256" t="n"/>
      <c r="O679" s="256" t="n"/>
      <c r="P679" s="256" t="n"/>
      <c r="Q679" s="256" t="n"/>
    </row>
    <row r="680">
      <c r="A680">
        <f>IF(DAY(D680)=DAY($L$1+1),A679+1,A679)</f>
        <v/>
      </c>
      <c r="B680" s="46">
        <f>IF(DAY(D680)=DAY($L$1+1),1,B679+1)</f>
        <v/>
      </c>
      <c r="C680" s="46">
        <f>IF(DAY(D680)=DAY($L$1+1),1,C679+1)</f>
        <v/>
      </c>
      <c r="D680" s="2">
        <f>D679+1</f>
        <v/>
      </c>
      <c r="E680" s="8">
        <f>IF(DAY(D680)=DAY($L$1+1),TRUNC((N679),8),E679)</f>
        <v/>
      </c>
      <c r="F680" s="49">
        <f>TRUNC(((1+VLOOKUP(A680,IPCA!$A$2:$C$140,3,0)))^(C680/(EDATE(D680-C680,1)-(D680-C680))),8)</f>
        <v/>
      </c>
      <c r="G680" s="49">
        <f>TRUNC((E680*F680),8)</f>
        <v/>
      </c>
      <c r="H680" s="49">
        <f>ROUND(((1+$H$4)^(30/360))^(C680/(EDATE(D680-B680,1)-(D680-B680))),9)</f>
        <v/>
      </c>
      <c r="I680" s="49">
        <f>TRUNC((G680*H680-G680),8)</f>
        <v/>
      </c>
      <c r="J680" s="49">
        <f>G680+I680</f>
        <v/>
      </c>
      <c r="K680" s="256" t="n"/>
      <c r="L680" s="256" t="n"/>
      <c r="M680" s="256" t="n"/>
      <c r="N680" s="256" t="n"/>
      <c r="O680" s="256" t="n"/>
      <c r="P680" s="256" t="n"/>
      <c r="Q680" s="256" t="n"/>
    </row>
    <row r="681">
      <c r="A681">
        <f>IF(DAY(D681)=DAY($L$1+1),A680+1,A680)</f>
        <v/>
      </c>
      <c r="B681" s="46">
        <f>IF(DAY(D681)=DAY($L$1+1),1,B680+1)</f>
        <v/>
      </c>
      <c r="C681" s="46">
        <f>IF(DAY(D681)=DAY($L$1+1),1,C680+1)</f>
        <v/>
      </c>
      <c r="D681" s="2">
        <f>D680+1</f>
        <v/>
      </c>
      <c r="E681" s="8">
        <f>IF(DAY(D681)=DAY($L$1+1),TRUNC((N680),8),E680)</f>
        <v/>
      </c>
      <c r="F681" s="49">
        <f>TRUNC(((1+VLOOKUP(A681,IPCA!$A$2:$C$140,3,0)))^(C681/(EDATE(D681-C681,1)-(D681-C681))),8)</f>
        <v/>
      </c>
      <c r="G681" s="49">
        <f>TRUNC((E681*F681),8)</f>
        <v/>
      </c>
      <c r="H681" s="49">
        <f>ROUND(((1+$H$4)^(30/360))^(C681/(EDATE(D681-B681,1)-(D681-B681))),9)</f>
        <v/>
      </c>
      <c r="I681" s="49">
        <f>TRUNC((G681*H681-G681),8)</f>
        <v/>
      </c>
      <c r="J681" s="49">
        <f>G681+I681</f>
        <v/>
      </c>
      <c r="K681" s="256" t="n"/>
      <c r="L681" s="256" t="n"/>
      <c r="M681" s="256" t="n"/>
      <c r="N681" s="256" t="n"/>
      <c r="O681" s="256" t="n"/>
      <c r="P681" s="256" t="n"/>
      <c r="Q681" s="256" t="n"/>
    </row>
    <row r="682">
      <c r="A682">
        <f>IF(DAY(D682)=DAY($L$1+1),A681+1,A681)</f>
        <v/>
      </c>
      <c r="B682" s="46">
        <f>IF(DAY(D682)=DAY($L$1+1),1,B681+1)</f>
        <v/>
      </c>
      <c r="C682" s="46">
        <f>IF(DAY(D682)=DAY($L$1+1),1,C681+1)</f>
        <v/>
      </c>
      <c r="D682" s="2">
        <f>D681+1</f>
        <v/>
      </c>
      <c r="E682" s="8">
        <f>IF(DAY(D682)=DAY($L$1+1),TRUNC((N681),8),E681)</f>
        <v/>
      </c>
      <c r="F682" s="49">
        <f>TRUNC(((1+VLOOKUP(A682,IPCA!$A$2:$C$140,3,0)))^(C682/(EDATE(D682-C682,1)-(D682-C682))),8)</f>
        <v/>
      </c>
      <c r="G682" s="49">
        <f>TRUNC((E682*F682),8)</f>
        <v/>
      </c>
      <c r="H682" s="49">
        <f>ROUND(((1+$H$4)^(30/360))^(C682/(EDATE(D682-B682,1)-(D682-B682))),9)</f>
        <v/>
      </c>
      <c r="I682" s="49">
        <f>TRUNC((G682*H682-G682),8)</f>
        <v/>
      </c>
      <c r="J682" s="49">
        <f>G682+I682</f>
        <v/>
      </c>
      <c r="K682" s="256" t="n"/>
      <c r="L682" s="256" t="n"/>
      <c r="M682" s="256" t="n"/>
      <c r="N682" s="256" t="n"/>
      <c r="O682" s="256" t="n"/>
      <c r="P682" s="256" t="n"/>
      <c r="Q682" s="256" t="n"/>
    </row>
    <row r="683">
      <c r="A683">
        <f>IF(DAY(D683)=DAY($L$1+1),A682+1,A682)</f>
        <v/>
      </c>
      <c r="B683" s="46">
        <f>IF(DAY(D683)=DAY($L$1+1),1,B682+1)</f>
        <v/>
      </c>
      <c r="C683" s="46">
        <f>IF(DAY(D683)=DAY($L$1+1),1,C682+1)</f>
        <v/>
      </c>
      <c r="D683" s="2">
        <f>D682+1</f>
        <v/>
      </c>
      <c r="E683" s="8">
        <f>IF(DAY(D683)=DAY($L$1+1),TRUNC((N682),8),E682)</f>
        <v/>
      </c>
      <c r="F683" s="49">
        <f>TRUNC(((1+VLOOKUP(A683,IPCA!$A$2:$C$140,3,0)))^(C683/(EDATE(D683-C683,1)-(D683-C683))),8)</f>
        <v/>
      </c>
      <c r="G683" s="49">
        <f>TRUNC((E683*F683),8)</f>
        <v/>
      </c>
      <c r="H683" s="49">
        <f>ROUND(((1+$H$4)^(30/360))^(C683/(EDATE(D683-B683,1)-(D683-B683))),9)</f>
        <v/>
      </c>
      <c r="I683" s="49">
        <f>TRUNC((G683*H683-G683),8)</f>
        <v/>
      </c>
      <c r="J683" s="49">
        <f>G683+I683</f>
        <v/>
      </c>
      <c r="K683" s="256" t="n"/>
      <c r="L683" s="256" t="n"/>
      <c r="M683" s="256" t="n"/>
      <c r="N683" s="256" t="n"/>
      <c r="O683" s="256" t="n"/>
      <c r="P683" s="256" t="n"/>
      <c r="Q683" s="256" t="n"/>
    </row>
    <row r="684">
      <c r="A684">
        <f>IF(DAY(D684)=DAY($L$1+1),A683+1,A683)</f>
        <v/>
      </c>
      <c r="B684" s="46">
        <f>IF(DAY(D684)=DAY($L$1+1),1,B683+1)</f>
        <v/>
      </c>
      <c r="C684" s="46">
        <f>IF(DAY(D684)=DAY($L$1+1),1,C683+1)</f>
        <v/>
      </c>
      <c r="D684" s="2">
        <f>D683+1</f>
        <v/>
      </c>
      <c r="E684" s="8">
        <f>IF(DAY(D684)=DAY($L$1+1),TRUNC((N683),8),E683)</f>
        <v/>
      </c>
      <c r="F684" s="49">
        <f>TRUNC(((1+VLOOKUP(A684,IPCA!$A$2:$C$140,3,0)))^(C684/(EDATE(D684-C684,1)-(D684-C684))),8)</f>
        <v/>
      </c>
      <c r="G684" s="49">
        <f>TRUNC((E684*F684),8)</f>
        <v/>
      </c>
      <c r="H684" s="49">
        <f>ROUND(((1+$H$4)^(30/360))^(C684/(EDATE(D684-B684,1)-(D684-B684))),9)</f>
        <v/>
      </c>
      <c r="I684" s="49">
        <f>TRUNC((G684*H684-G684),8)</f>
        <v/>
      </c>
      <c r="J684" s="49">
        <f>G684+I684</f>
        <v/>
      </c>
      <c r="K684" s="256" t="n"/>
      <c r="L684" s="256" t="n"/>
      <c r="M684" s="256" t="n"/>
      <c r="N684" s="256" t="n"/>
      <c r="O684" s="256" t="n"/>
      <c r="P684" s="256" t="n"/>
      <c r="Q684" s="256" t="n"/>
    </row>
    <row r="685">
      <c r="A685">
        <f>IF(DAY(D685)=DAY($L$1+1),A684+1,A684)</f>
        <v/>
      </c>
      <c r="B685" s="46">
        <f>IF(DAY(D685)=DAY($L$1+1),1,B684+1)</f>
        <v/>
      </c>
      <c r="C685" s="46">
        <f>IF(DAY(D685)=DAY($L$1+1),1,C684+1)</f>
        <v/>
      </c>
      <c r="D685" s="2">
        <f>D684+1</f>
        <v/>
      </c>
      <c r="E685" s="8">
        <f>IF(DAY(D685)=DAY($L$1+1),TRUNC((N684),8),E684)</f>
        <v/>
      </c>
      <c r="F685" s="49">
        <f>TRUNC(((1+VLOOKUP(A685,IPCA!$A$2:$C$140,3,0)))^(C685/(EDATE(D685-C685,1)-(D685-C685))),8)</f>
        <v/>
      </c>
      <c r="G685" s="49">
        <f>TRUNC((E685*F685),8)</f>
        <v/>
      </c>
      <c r="H685" s="49">
        <f>ROUND(((1+$H$4)^(30/360))^(C685/(EDATE(D685-B685,1)-(D685-B685))),9)</f>
        <v/>
      </c>
      <c r="I685" s="49">
        <f>TRUNC((G685*H685-G685),8)</f>
        <v/>
      </c>
      <c r="J685" s="49">
        <f>G685+I685</f>
        <v/>
      </c>
      <c r="K685" s="256" t="n"/>
      <c r="L685" s="256" t="n"/>
      <c r="M685" s="256" t="n"/>
      <c r="N685" s="256" t="n"/>
      <c r="O685" s="256" t="n"/>
      <c r="P685" s="256" t="n"/>
      <c r="Q685" s="256" t="n"/>
    </row>
    <row r="686">
      <c r="A686">
        <f>IF(DAY(D686)=DAY($L$1+1),A685+1,A685)</f>
        <v/>
      </c>
      <c r="B686" s="46">
        <f>IF(DAY(D686)=DAY($L$1+1),1,B685+1)</f>
        <v/>
      </c>
      <c r="C686" s="46">
        <f>IF(DAY(D686)=DAY($L$1+1),1,C685+1)</f>
        <v/>
      </c>
      <c r="D686" s="2">
        <f>D685+1</f>
        <v/>
      </c>
      <c r="E686" s="8">
        <f>IF(DAY(D686)=DAY($L$1+1),TRUNC((N685),8),E685)</f>
        <v/>
      </c>
      <c r="F686" s="49">
        <f>TRUNC(((1+VLOOKUP(A686,IPCA!$A$2:$C$140,3,0)))^(C686/(EDATE(D686-C686,1)-(D686-C686))),8)</f>
        <v/>
      </c>
      <c r="G686" s="49">
        <f>TRUNC((E686*F686),8)</f>
        <v/>
      </c>
      <c r="H686" s="49">
        <f>ROUND(((1+$H$4)^(30/360))^(C686/(EDATE(D686-B686,1)-(D686-B686))),9)</f>
        <v/>
      </c>
      <c r="I686" s="49">
        <f>TRUNC((G686*H686-G686),8)</f>
        <v/>
      </c>
      <c r="J686" s="49">
        <f>G686+I686</f>
        <v/>
      </c>
      <c r="K686" s="256" t="n"/>
      <c r="L686" s="256" t="n"/>
      <c r="M686" s="256" t="n"/>
      <c r="N686" s="256" t="n"/>
      <c r="O686" s="256" t="n"/>
      <c r="P686" s="256" t="n"/>
      <c r="Q686" s="256" t="n"/>
    </row>
    <row r="687">
      <c r="A687">
        <f>IF(DAY(D687)=DAY($L$1+1),A686+1,A686)</f>
        <v/>
      </c>
      <c r="B687" s="46">
        <f>IF(DAY(D687)=DAY($L$1+1),1,B686+1)</f>
        <v/>
      </c>
      <c r="C687" s="46">
        <f>IF(DAY(D687)=DAY($L$1+1),1,C686+1)</f>
        <v/>
      </c>
      <c r="D687" s="2">
        <f>D686+1</f>
        <v/>
      </c>
      <c r="E687" s="8">
        <f>IF(DAY(D687)=DAY($L$1+1),TRUNC((N686),8),E686)</f>
        <v/>
      </c>
      <c r="F687" s="49">
        <f>TRUNC(((1+VLOOKUP(A687,IPCA!$A$2:$C$140,3,0)))^(C687/(EDATE(D687-C687,1)-(D687-C687))),8)</f>
        <v/>
      </c>
      <c r="G687" s="49">
        <f>TRUNC((E687*F687),8)</f>
        <v/>
      </c>
      <c r="H687" s="49">
        <f>ROUND(((1+$H$4)^(30/360))^(C687/(EDATE(D687-B687,1)-(D687-B687))),9)</f>
        <v/>
      </c>
      <c r="I687" s="49">
        <f>TRUNC((G687*H687-G687),8)</f>
        <v/>
      </c>
      <c r="J687" s="49">
        <f>G687+I687</f>
        <v/>
      </c>
      <c r="K687" s="256" t="inlineStr">
        <is>
          <t>Cri Integralizado</t>
        </is>
      </c>
      <c r="L687" s="270">
        <f>L657+K662</f>
        <v/>
      </c>
      <c r="M687" s="256" t="n"/>
      <c r="N687" s="256" t="n"/>
      <c r="O687" s="256" t="n"/>
      <c r="P687" s="256" t="n"/>
      <c r="Q687" s="256" t="n"/>
    </row>
    <row r="688">
      <c r="A688">
        <f>IF(DAY(D688)=DAY($L$1+1),A687+1,A687)</f>
        <v/>
      </c>
      <c r="B688" s="46">
        <f>IF(DAY(D688)=DAY($L$1+1),1,B687+1)</f>
        <v/>
      </c>
      <c r="C688" s="46">
        <f>IF(DAY(D688)=DAY($L$1+1),1,C687+1)</f>
        <v/>
      </c>
      <c r="D688" s="47">
        <f>D687+1</f>
        <v/>
      </c>
      <c r="E688" s="8">
        <f>IF(DAY(D688)=DAY($L$1+1),TRUNC((N687),8),E687)</f>
        <v/>
      </c>
      <c r="F688" s="49">
        <f>TRUNC(((1+VLOOKUP(A688,IPCA!$A$2:$C$140,3,0)))^(C688/(EDATE(D688-C688,1)-(D688-C688))),8)</f>
        <v/>
      </c>
      <c r="G688" s="49">
        <f>TRUNC((E688*F688),8)</f>
        <v/>
      </c>
      <c r="H688" s="49">
        <f>ROUND(((1+$H$4)^(30/360))^(C688/(EDATE(D688-B688,1)-(D688-B688))),9)</f>
        <v/>
      </c>
      <c r="I688" s="49">
        <f>TRUNC((G688*H688-G688),8)</f>
        <v/>
      </c>
      <c r="J688" s="49">
        <f>G688+I688</f>
        <v/>
      </c>
      <c r="K688" s="118" t="inlineStr">
        <is>
          <t>JUROS</t>
        </is>
      </c>
      <c r="L688" s="118" t="inlineStr">
        <is>
          <t>AMORTIZAÇÃO</t>
        </is>
      </c>
      <c r="M688" s="118" t="inlineStr">
        <is>
          <t>AMEX</t>
        </is>
      </c>
      <c r="N688" s="118" t="inlineStr">
        <is>
          <t>RESIDUAL</t>
        </is>
      </c>
      <c r="O688" s="256" t="n"/>
      <c r="P688" s="256" t="n"/>
      <c r="Q688" s="256" t="n"/>
    </row>
    <row r="689">
      <c r="A689">
        <f>IF(DAY(D689)=DAY($L$1+1),A688+1,A688)</f>
        <v/>
      </c>
      <c r="B689" s="111">
        <f>IF(DAY(D689)=DAY($L$1+1),1,B688+1)</f>
        <v/>
      </c>
      <c r="C689" s="111">
        <f>IF(DAY(D689)=DAY($L$1+1),1,C688+1)</f>
        <v/>
      </c>
      <c r="D689" s="112">
        <f>D688+1</f>
        <v/>
      </c>
      <c r="E689" s="113">
        <f>IF(DAY(D689)=DAY($L$1+1),TRUNC((N688),8),E688)</f>
        <v/>
      </c>
      <c r="F689" s="114">
        <f>TRUNC(((1+VLOOKUP(A689,IPCA!$A$2:$C$140,3,0)))^(C689/(EDATE(D689-C689,1)-(D689-C689))),8)</f>
        <v/>
      </c>
      <c r="G689" s="114">
        <f>TRUNC((E689*F689),8)</f>
        <v/>
      </c>
      <c r="H689" s="114">
        <f>ROUND(((1+$H$4)^(30/360))^(C689/(EDATE(D689-B689,1)-(D689-B689))),9)</f>
        <v/>
      </c>
      <c r="I689" s="114">
        <f>TRUNC((G689*H689-G689),8)</f>
        <v/>
      </c>
      <c r="J689" s="114">
        <f>G689+I689</f>
        <v/>
      </c>
      <c r="K689" s="119" t="n">
        <v>0</v>
      </c>
      <c r="L689" s="120" t="n">
        <v>0</v>
      </c>
      <c r="M689" s="120" t="n">
        <v>0</v>
      </c>
      <c r="N689" s="120">
        <f>J689-K689-L689-M689</f>
        <v/>
      </c>
      <c r="O689" s="256" t="n"/>
      <c r="P689" s="256" t="n"/>
      <c r="Q689" s="256" t="n"/>
    </row>
    <row r="690">
      <c r="A690">
        <f>IF(DAY(D690)=DAY($L$1+1),A689+1,A689)</f>
        <v/>
      </c>
      <c r="B690" s="46">
        <f>IF(DAY(D690)=DAY($L$1+1),1,B689+1)</f>
        <v/>
      </c>
      <c r="C690" s="46">
        <f>IF(DAY(D690)=DAY($L$1+1),1,C689+1)</f>
        <v/>
      </c>
      <c r="D690" s="2">
        <f>D689+1</f>
        <v/>
      </c>
      <c r="E690" s="8">
        <f>IF(DAY(D690)=DAY($L$1+1),TRUNC((N689),8),E689)</f>
        <v/>
      </c>
      <c r="F690" s="49">
        <f>TRUNC(((1+VLOOKUP(A690,IPCA!$A$2:$C$140,3,0)))^(C690/(EDATE(D690-C690,1)-(D690-C690))),8)</f>
        <v/>
      </c>
      <c r="G690" s="49">
        <f>TRUNC((E690*F690),8)</f>
        <v/>
      </c>
      <c r="H690" s="49">
        <f>ROUND(((1+$H$4)^(30/360))^(C690/(EDATE(D690-B690,1)-(D690-B690))),9)</f>
        <v/>
      </c>
      <c r="I690" s="49">
        <f>TRUNC((G690*H690-G690),8)</f>
        <v/>
      </c>
      <c r="J690" s="49">
        <f>G690+I690</f>
        <v/>
      </c>
      <c r="K690" s="121">
        <f>K689*L687</f>
        <v/>
      </c>
      <c r="L690" s="121">
        <f>L689*L687</f>
        <v/>
      </c>
      <c r="M690" s="121">
        <f>M689*L687</f>
        <v/>
      </c>
      <c r="N690" s="121">
        <f>N689*L687</f>
        <v/>
      </c>
      <c r="O690" s="256" t="n"/>
      <c r="P690" s="256" t="n"/>
      <c r="Q690" s="256" t="n"/>
    </row>
    <row r="691">
      <c r="A691">
        <f>IF(DAY(D691)=DAY($L$1+1),A690+1,A690)</f>
        <v/>
      </c>
      <c r="B691" s="46">
        <f>IF(DAY(D691)=DAY($L$1+1),1,B690+1)</f>
        <v/>
      </c>
      <c r="C691" s="46">
        <f>IF(DAY(D691)=DAY($L$1+1),1,C690+1)</f>
        <v/>
      </c>
      <c r="D691" s="2">
        <f>D690+1</f>
        <v/>
      </c>
      <c r="E691" s="8">
        <f>IF(DAY(D691)=DAY($L$1+1),TRUNC((N690),8),E690)</f>
        <v/>
      </c>
      <c r="F691" s="49">
        <f>TRUNC(((1+VLOOKUP(A691,IPCA!$A$2:$C$140,3,0)))^(C691/(EDATE(D691-C691,1)-(D691-C691))),8)</f>
        <v/>
      </c>
      <c r="G691" s="49">
        <f>TRUNC((E691*F691),8)</f>
        <v/>
      </c>
      <c r="H691" s="49">
        <f>ROUND(((1+$H$4)^(30/360))^(C691/(EDATE(D691-B691,1)-(D691-B691))),9)</f>
        <v/>
      </c>
      <c r="I691" s="49">
        <f>TRUNC((G691*H691-G691),8)</f>
        <v/>
      </c>
      <c r="J691" s="49">
        <f>G691+I691</f>
        <v/>
      </c>
      <c r="K691" s="256" t="n"/>
      <c r="L691" s="256" t="n"/>
      <c r="M691" s="256" t="n"/>
      <c r="N691" s="256" t="n"/>
      <c r="O691" s="256" t="n"/>
      <c r="P691" s="256" t="n"/>
      <c r="Q691" s="256" t="n"/>
    </row>
    <row r="692">
      <c r="A692">
        <f>IF(DAY(D692)=DAY($L$1+1),A691+1,A691)</f>
        <v/>
      </c>
      <c r="B692" s="46">
        <f>IF(DAY(D692)=DAY($L$1+1),1,B691+1)</f>
        <v/>
      </c>
      <c r="C692" s="46">
        <f>IF(DAY(D692)=DAY($L$1+1),1,C691+1)</f>
        <v/>
      </c>
      <c r="D692" s="2">
        <f>D691+1</f>
        <v/>
      </c>
      <c r="E692" s="8">
        <f>IF(DAY(D692)=DAY($L$1+1),TRUNC((#REF!),8),E691)</f>
        <v/>
      </c>
      <c r="F692" s="49">
        <f>TRUNC(((1+VLOOKUP(A692,IPCA!$A$2:$C$140,3,0)))^(C692/(EDATE(D692-C692,1)-(D692-C692))),8)</f>
        <v/>
      </c>
      <c r="G692" s="49">
        <f>TRUNC((E692*F692),8)</f>
        <v/>
      </c>
      <c r="H692" s="49">
        <f>ROUND(((1+$H$4)^(30/360))^(C692/(EDATE(D692-B692,1)-(D692-B692))),9)</f>
        <v/>
      </c>
      <c r="I692" s="49">
        <f>TRUNC((G692*H692-G692),8)</f>
        <v/>
      </c>
      <c r="J692" s="49">
        <f>G692+I692</f>
        <v/>
      </c>
      <c r="K692" s="256" t="n"/>
      <c r="L692" s="256" t="n"/>
      <c r="M692" s="256" t="n"/>
      <c r="N692" s="256" t="n"/>
      <c r="O692" s="256" t="n"/>
      <c r="P692" s="256" t="n"/>
      <c r="Q692" s="256" t="n"/>
    </row>
    <row r="693">
      <c r="A693">
        <f>IF(DAY(D693)=DAY($L$1+1),A692+1,A692)</f>
        <v/>
      </c>
      <c r="B693" s="46">
        <f>IF(DAY(D693)=DAY($L$1+1),1,B692+1)</f>
        <v/>
      </c>
      <c r="C693" s="46">
        <f>IF(DAY(D693)=DAY($L$1+1),1,C692+1)</f>
        <v/>
      </c>
      <c r="D693" s="2">
        <f>D692+1</f>
        <v/>
      </c>
      <c r="E693" s="8">
        <f>IF(DAY(D693)=DAY($L$1+1),TRUNC((#REF!),8),E692)</f>
        <v/>
      </c>
      <c r="F693" s="49">
        <f>TRUNC(((1+VLOOKUP(A693,IPCA!$A$2:$C$140,3,0)))^(C693/(EDATE(D693-C693,1)-(D693-C693))),8)</f>
        <v/>
      </c>
      <c r="G693" s="49">
        <f>TRUNC((E693*F693),8)</f>
        <v/>
      </c>
      <c r="H693" s="49">
        <f>ROUND(((1+$H$4)^(30/360))^(C693/(EDATE(D693-B693,1)-(D693-B693))),9)</f>
        <v/>
      </c>
      <c r="I693" s="49">
        <f>TRUNC((G693*H693-G693),8)</f>
        <v/>
      </c>
      <c r="J693" s="49">
        <f>G693+I693</f>
        <v/>
      </c>
      <c r="K693" s="256" t="n"/>
      <c r="L693" s="256" t="n"/>
      <c r="M693" s="256" t="n"/>
      <c r="N693" s="256" t="n"/>
      <c r="O693" s="256" t="n"/>
      <c r="P693" s="256" t="n"/>
      <c r="Q693" s="256" t="n"/>
    </row>
    <row r="694">
      <c r="A694">
        <f>IF(DAY(D694)=DAY($L$1+1),A693+1,A693)</f>
        <v/>
      </c>
      <c r="B694" s="46">
        <f>IF(DAY(D694)=DAY($L$1+1),1,B693+1)</f>
        <v/>
      </c>
      <c r="C694" s="46">
        <f>IF(DAY(D694)=DAY($L$1+1),1,C693+1)</f>
        <v/>
      </c>
      <c r="D694" s="2">
        <f>D693+1</f>
        <v/>
      </c>
      <c r="E694" s="8">
        <f>IF(DAY(D694)=DAY($L$1+1),TRUNC((#REF!),8),E693)</f>
        <v/>
      </c>
      <c r="F694" s="49">
        <f>TRUNC(((1+VLOOKUP(A694,IPCA!$A$2:$C$140,3,0)))^(C694/(EDATE(D694-C694,1)-(D694-C694))),8)</f>
        <v/>
      </c>
      <c r="G694" s="49">
        <f>TRUNC((E694*F694),8)</f>
        <v/>
      </c>
      <c r="H694" s="49">
        <f>ROUND(((1+$H$4)^(30/360))^(C694/(EDATE(D694-B694,1)-(D694-B694))),9)</f>
        <v/>
      </c>
      <c r="I694" s="49">
        <f>TRUNC((G694*H694-G694),8)</f>
        <v/>
      </c>
      <c r="J694" s="49">
        <f>G694+I694</f>
        <v/>
      </c>
      <c r="K694" s="256" t="n"/>
      <c r="L694" s="256" t="n"/>
      <c r="M694" s="256" t="n"/>
      <c r="N694" s="256" t="n"/>
      <c r="O694" s="256" t="n"/>
      <c r="P694" s="256" t="n"/>
      <c r="Q694" s="256" t="n"/>
    </row>
    <row r="695">
      <c r="A695">
        <f>IF(DAY(D695)=DAY($L$1+1),A694+1,A694)</f>
        <v/>
      </c>
      <c r="B695" s="46">
        <f>IF(DAY(D695)=DAY($L$1+1),1,B694+1)</f>
        <v/>
      </c>
      <c r="C695" s="46">
        <f>IF(DAY(D695)=DAY($L$1+1),1,C694+1)</f>
        <v/>
      </c>
      <c r="D695" s="2">
        <f>D694+1</f>
        <v/>
      </c>
      <c r="E695" s="8">
        <f>IF(DAY(D695)=DAY($L$1+1),TRUNC((#REF!),8),E694)</f>
        <v/>
      </c>
      <c r="F695" s="49">
        <f>TRUNC(((1+VLOOKUP(A695,IPCA!$A$2:$C$140,3,0)))^(C695/(EDATE(D695-C695,1)-(D695-C695))),8)</f>
        <v/>
      </c>
      <c r="G695" s="49">
        <f>TRUNC((E695*F695),8)</f>
        <v/>
      </c>
      <c r="H695" s="49">
        <f>ROUND(((1+$H$4)^(30/360))^(C695/(EDATE(D695-B695,1)-(D695-B695))),9)</f>
        <v/>
      </c>
      <c r="I695" s="49">
        <f>TRUNC((G695*H695-G695),8)</f>
        <v/>
      </c>
      <c r="J695" s="49">
        <f>G695+I695</f>
        <v/>
      </c>
      <c r="K695" s="256" t="n"/>
      <c r="L695" s="256" t="n"/>
      <c r="M695" s="256" t="n"/>
      <c r="N695" s="256" t="n"/>
      <c r="O695" s="256" t="n"/>
      <c r="P695" s="256" t="n"/>
      <c r="Q695" s="256" t="n"/>
    </row>
    <row r="696">
      <c r="A696">
        <f>IF(DAY(D696)=DAY($L$1+1),A695+1,A695)</f>
        <v/>
      </c>
      <c r="B696" s="46">
        <f>IF(DAY(D696)=DAY($L$1+1),1,B695+1)</f>
        <v/>
      </c>
      <c r="C696" s="46">
        <f>IF(DAY(D696)=DAY($L$1+1),1,C695+1)</f>
        <v/>
      </c>
      <c r="D696" s="2">
        <f>D695+1</f>
        <v/>
      </c>
      <c r="E696" s="8">
        <f>IF(DAY(D696)=DAY($L$1+1),TRUNC((#REF!),8),E695)</f>
        <v/>
      </c>
      <c r="F696" s="49">
        <f>TRUNC(((1+VLOOKUP(A696,IPCA!$A$2:$C$140,3,0)))^(C696/(EDATE(D696-C696,1)-(D696-C696))),8)</f>
        <v/>
      </c>
      <c r="G696" s="49">
        <f>TRUNC((E696*F696),8)</f>
        <v/>
      </c>
      <c r="H696" s="49">
        <f>ROUND(((1+$H$4)^(30/360))^(C696/(EDATE(D696-B696,1)-(D696-B696))),9)</f>
        <v/>
      </c>
      <c r="I696" s="49">
        <f>TRUNC((G696*H696-G696),8)</f>
        <v/>
      </c>
      <c r="J696" s="49">
        <f>G696+I696</f>
        <v/>
      </c>
      <c r="K696" s="256" t="n"/>
      <c r="L696" s="256" t="n"/>
      <c r="M696" s="256" t="n"/>
      <c r="N696" s="256" t="n"/>
      <c r="O696" s="256" t="n"/>
      <c r="P696" s="256" t="n"/>
      <c r="Q696" s="256" t="n"/>
    </row>
    <row r="697">
      <c r="A697">
        <f>IF(DAY(D697)=DAY($L$1+1),A696+1,A696)</f>
        <v/>
      </c>
      <c r="B697" s="46">
        <f>IF(DAY(D697)=DAY($L$1+1),1,B696+1)</f>
        <v/>
      </c>
      <c r="C697" s="46">
        <f>IF(DAY(D697)=DAY($L$1+1),1,C696+1)</f>
        <v/>
      </c>
      <c r="D697" s="2">
        <f>D696+1</f>
        <v/>
      </c>
      <c r="E697" s="8">
        <f>IF(DAY(D697)=DAY($L$1+1),TRUNC((#REF!),8),E696)</f>
        <v/>
      </c>
      <c r="F697" s="49">
        <f>TRUNC(((1+VLOOKUP(A697,IPCA!$A$2:$C$140,3,0)))^(C697/(EDATE(D697-C697,1)-(D697-C697))),8)</f>
        <v/>
      </c>
      <c r="G697" s="49">
        <f>TRUNC((E697*F697),8)</f>
        <v/>
      </c>
      <c r="H697" s="49">
        <f>ROUND(((1+$H$4)^(30/360))^(C697/(EDATE(D697-B697,1)-(D697-B697))),9)</f>
        <v/>
      </c>
      <c r="I697" s="49">
        <f>TRUNC((G697*H697-G697),8)</f>
        <v/>
      </c>
      <c r="J697" s="49">
        <f>G697+I697</f>
        <v/>
      </c>
      <c r="K697" s="256" t="n"/>
      <c r="L697" s="256" t="n"/>
      <c r="M697" s="256" t="n"/>
      <c r="N697" s="256" t="n"/>
      <c r="O697" s="256" t="n"/>
      <c r="P697" s="256" t="n"/>
      <c r="Q697" s="256" t="n"/>
    </row>
    <row r="698">
      <c r="A698">
        <f>IF(DAY(D698)=DAY($L$1+1),A697+1,A697)</f>
        <v/>
      </c>
      <c r="B698" s="46">
        <f>IF(DAY(D698)=DAY($L$1+1),1,B697+1)</f>
        <v/>
      </c>
      <c r="C698" s="46">
        <f>IF(DAY(D698)=DAY($L$1+1),1,C697+1)</f>
        <v/>
      </c>
      <c r="D698" s="2">
        <f>D697+1</f>
        <v/>
      </c>
      <c r="E698" s="8">
        <f>IF(DAY(D698)=DAY($L$1+1),TRUNC((#REF!),8),E697)</f>
        <v/>
      </c>
      <c r="F698" s="49">
        <f>TRUNC(((1+VLOOKUP(A698,IPCA!$A$2:$C$140,3,0)))^(C698/(EDATE(D698-C698,1)-(D698-C698))),8)</f>
        <v/>
      </c>
      <c r="G698" s="49">
        <f>TRUNC((E698*F698),8)</f>
        <v/>
      </c>
      <c r="H698" s="49">
        <f>ROUND(((1+$H$4)^(30/360))^(C698/(EDATE(D698-B698,1)-(D698-B698))),9)</f>
        <v/>
      </c>
      <c r="I698" s="49">
        <f>TRUNC((G698*H698-G698),8)</f>
        <v/>
      </c>
      <c r="J698" s="49">
        <f>G698+I698</f>
        <v/>
      </c>
      <c r="K698" s="256" t="n"/>
      <c r="L698" s="256" t="n"/>
      <c r="M698" s="256" t="n"/>
      <c r="N698" s="256" t="n"/>
      <c r="O698" s="256" t="n"/>
      <c r="P698" s="256" t="n"/>
      <c r="Q698" s="256" t="n"/>
    </row>
    <row r="699">
      <c r="A699">
        <f>IF(DAY(D699)=DAY($L$1+1),A698+1,A698)</f>
        <v/>
      </c>
      <c r="B699" s="46">
        <f>IF(DAY(D699)=DAY($L$1+1),1,B698+1)</f>
        <v/>
      </c>
      <c r="C699" s="46">
        <f>IF(DAY(D699)=DAY($L$1+1),1,C698+1)</f>
        <v/>
      </c>
      <c r="D699" s="2">
        <f>D698+1</f>
        <v/>
      </c>
      <c r="E699" s="8">
        <f>IF(DAY(D699)=DAY($L$1+1),TRUNC((#REF!),8),E698)</f>
        <v/>
      </c>
      <c r="F699" s="49">
        <f>TRUNC(((1+VLOOKUP(A699,IPCA!$A$2:$C$140,3,0)))^(C699/(EDATE(D699-C699,1)-(D699-C699))),8)</f>
        <v/>
      </c>
      <c r="G699" s="49">
        <f>TRUNC((E699*F699),8)</f>
        <v/>
      </c>
      <c r="H699" s="49">
        <f>ROUND(((1+$H$4)^(30/360))^(C699/(EDATE(D699-B699,1)-(D699-B699))),9)</f>
        <v/>
      </c>
      <c r="I699" s="49">
        <f>TRUNC((G699*H699-G699),8)</f>
        <v/>
      </c>
      <c r="J699" s="49">
        <f>G699+I699</f>
        <v/>
      </c>
      <c r="K699" s="256" t="n"/>
      <c r="L699" s="256" t="n"/>
      <c r="M699" s="256" t="n"/>
      <c r="N699" s="256" t="n"/>
      <c r="O699" s="256" t="n"/>
      <c r="P699" s="256" t="n"/>
      <c r="Q699" s="256" t="n"/>
    </row>
    <row r="700">
      <c r="A700">
        <f>IF(DAY(D700)=DAY($L$1+1),A699+1,A699)</f>
        <v/>
      </c>
      <c r="B700" s="46">
        <f>IF(DAY(D700)=DAY($L$1+1),1,B699+1)</f>
        <v/>
      </c>
      <c r="C700" s="46">
        <f>IF(DAY(D700)=DAY($L$1+1),1,C699+1)</f>
        <v/>
      </c>
      <c r="D700" s="2">
        <f>D699+1</f>
        <v/>
      </c>
      <c r="E700" s="8">
        <f>IF(DAY(D700)=DAY($L$1+1),TRUNC((#REF!),8),E699)</f>
        <v/>
      </c>
      <c r="F700" s="49">
        <f>TRUNC(((1+VLOOKUP(A700,IPCA!$A$2:$C$140,3,0)))^(C700/(EDATE(D700-C700,1)-(D700-C700))),8)</f>
        <v/>
      </c>
      <c r="G700" s="49">
        <f>TRUNC((E700*F700),8)</f>
        <v/>
      </c>
      <c r="H700" s="49">
        <f>ROUND(((1+$H$4)^(30/360))^(C700/(EDATE(D700-B700,1)-(D700-B700))),9)</f>
        <v/>
      </c>
      <c r="I700" s="49">
        <f>TRUNC((G700*H700-G700),8)</f>
        <v/>
      </c>
      <c r="J700" s="49">
        <f>G700+I700</f>
        <v/>
      </c>
      <c r="K700" s="256" t="n"/>
      <c r="L700" s="256" t="n"/>
      <c r="M700" s="256" t="n"/>
      <c r="N700" s="256" t="n"/>
      <c r="O700" s="256" t="n"/>
      <c r="P700" s="256" t="n"/>
      <c r="Q700" s="256" t="n"/>
    </row>
    <row r="701">
      <c r="A701">
        <f>IF(DAY(D701)=DAY($L$1+1),A700+1,A700)</f>
        <v/>
      </c>
      <c r="B701" s="46">
        <f>IF(DAY(D701)=DAY($L$1+1),1,B700+1)</f>
        <v/>
      </c>
      <c r="C701" s="46">
        <f>IF(DAY(D701)=DAY($L$1+1),1,C700+1)</f>
        <v/>
      </c>
      <c r="D701" s="2">
        <f>D700+1</f>
        <v/>
      </c>
      <c r="E701" s="8">
        <f>IF(DAY(D701)=DAY($L$1+1),TRUNC((#REF!),8),E700)</f>
        <v/>
      </c>
      <c r="F701" s="49">
        <f>TRUNC(((1+VLOOKUP(A701,IPCA!$A$2:$C$140,3,0)))^(C701/(EDATE(D701-C701,1)-(D701-C701))),8)</f>
        <v/>
      </c>
      <c r="G701" s="49">
        <f>TRUNC((E701*F701),8)</f>
        <v/>
      </c>
      <c r="H701" s="49">
        <f>ROUND(((1+$H$4)^(30/360))^(C701/(EDATE(D701-B701,1)-(D701-B701))),9)</f>
        <v/>
      </c>
      <c r="I701" s="49">
        <f>TRUNC((G701*H701-G701),8)</f>
        <v/>
      </c>
      <c r="J701" s="49">
        <f>G701+I701</f>
        <v/>
      </c>
      <c r="K701" s="256" t="n"/>
      <c r="L701" s="256" t="n"/>
      <c r="M701" s="256" t="n"/>
      <c r="N701" s="256" t="n"/>
      <c r="O701" s="256" t="n"/>
      <c r="P701" s="256" t="n"/>
      <c r="Q701" s="256" t="n"/>
    </row>
    <row r="702">
      <c r="A702">
        <f>IF(DAY(D702)=DAY($L$1+1),A701+1,A701)</f>
        <v/>
      </c>
      <c r="B702" s="46">
        <f>IF(DAY(D702)=DAY($L$1+1),1,B701+1)</f>
        <v/>
      </c>
      <c r="C702" s="46">
        <f>IF(DAY(D702)=DAY($L$1+1),1,C701+1)</f>
        <v/>
      </c>
      <c r="D702" s="2">
        <f>D701+1</f>
        <v/>
      </c>
      <c r="E702" s="8">
        <f>IF(DAY(D702)=DAY($L$1+1),TRUNC((#REF!),8),E701)</f>
        <v/>
      </c>
      <c r="F702" s="49">
        <f>TRUNC(((1+VLOOKUP(A702,IPCA!$A$2:$C$140,3,0)))^(C702/(EDATE(D702-C702,1)-(D702-C702))),8)</f>
        <v/>
      </c>
      <c r="G702" s="49">
        <f>TRUNC((E702*F702),8)</f>
        <v/>
      </c>
      <c r="H702" s="49">
        <f>ROUND(((1+$H$4)^(30/360))^(C702/(EDATE(D702-B702,1)-(D702-B702))),9)</f>
        <v/>
      </c>
      <c r="I702" s="49">
        <f>TRUNC((G702*H702-G702),8)</f>
        <v/>
      </c>
      <c r="J702" s="49">
        <f>G702+I702</f>
        <v/>
      </c>
      <c r="K702" s="256" t="n"/>
      <c r="L702" s="256" t="n"/>
      <c r="M702" s="256" t="n"/>
      <c r="N702" s="256" t="n"/>
      <c r="O702" s="256" t="n"/>
      <c r="P702" s="256" t="n"/>
      <c r="Q702" s="256" t="n"/>
    </row>
    <row r="703">
      <c r="A703">
        <f>IF(DAY(D703)=DAY($L$1+1),A702+1,A702)</f>
        <v/>
      </c>
      <c r="B703" s="46">
        <f>IF(DAY(D703)=DAY($L$1+1),1,B702+1)</f>
        <v/>
      </c>
      <c r="C703" s="46">
        <f>IF(DAY(D703)=DAY($L$1+1),1,C702+1)</f>
        <v/>
      </c>
      <c r="D703" s="2">
        <f>D702+1</f>
        <v/>
      </c>
      <c r="E703" s="8">
        <f>IF(DAY(D703)=DAY($L$1+1),TRUNC((#REF!),8),E702)</f>
        <v/>
      </c>
      <c r="F703" s="49">
        <f>TRUNC(((1+VLOOKUP(A703,IPCA!$A$2:$C$140,3,0)))^(C703/(EDATE(D703-C703,1)-(D703-C703))),8)</f>
        <v/>
      </c>
      <c r="G703" s="49">
        <f>TRUNC((E703*F703),8)</f>
        <v/>
      </c>
      <c r="H703" s="49">
        <f>ROUND(((1+$H$4)^(30/360))^(C703/(EDATE(D703-B703,1)-(D703-B703))),9)</f>
        <v/>
      </c>
      <c r="I703" s="49">
        <f>TRUNC((G703*H703-G703),8)</f>
        <v/>
      </c>
      <c r="J703" s="49">
        <f>G703+I703</f>
        <v/>
      </c>
      <c r="K703" s="256" t="n"/>
      <c r="L703" s="256" t="n"/>
      <c r="M703" s="256" t="n"/>
      <c r="N703" s="256" t="n"/>
      <c r="O703" s="256" t="n"/>
      <c r="P703" s="256" t="n"/>
      <c r="Q703" s="256" t="n"/>
    </row>
    <row r="704">
      <c r="A704">
        <f>IF(DAY(D704)=DAY($L$1+1),A703+1,A703)</f>
        <v/>
      </c>
      <c r="B704" s="46">
        <f>IF(DAY(D704)=DAY($L$1+1),1,B703+1)</f>
        <v/>
      </c>
      <c r="C704" s="46">
        <f>IF(DAY(D704)=DAY($L$1+1),1,C703+1)</f>
        <v/>
      </c>
      <c r="D704" s="2">
        <f>D703+1</f>
        <v/>
      </c>
      <c r="E704" s="8">
        <f>IF(DAY(D704)=DAY($L$1+1),TRUNC((#REF!),8),E703)</f>
        <v/>
      </c>
      <c r="F704" s="49">
        <f>TRUNC(((1+VLOOKUP(A704,IPCA!$A$2:$C$140,3,0)))^(C704/(EDATE(D704-C704,1)-(D704-C704))),8)</f>
        <v/>
      </c>
      <c r="G704" s="49">
        <f>TRUNC((E704*F704),8)</f>
        <v/>
      </c>
      <c r="H704" s="49">
        <f>ROUND(((1+$H$4)^(30/360))^(C704/(EDATE(D704-B704,1)-(D704-B704))),9)</f>
        <v/>
      </c>
      <c r="I704" s="49">
        <f>TRUNC((G704*H704-G704),8)</f>
        <v/>
      </c>
      <c r="J704" s="49">
        <f>G704+I704</f>
        <v/>
      </c>
      <c r="K704" s="123" t="n"/>
      <c r="L704" s="271" t="n"/>
      <c r="M704" s="256" t="n"/>
      <c r="N704" s="256" t="n"/>
      <c r="O704" s="256" t="n"/>
      <c r="P704" s="256" t="n"/>
      <c r="Q704" s="256" t="n"/>
    </row>
    <row r="705">
      <c r="A705">
        <f>IF(DAY(D705)=DAY($L$1+1),A704+1,A704)</f>
        <v/>
      </c>
      <c r="B705" s="46">
        <f>IF(DAY(D705)=DAY($L$1+1),1,B704+1)</f>
        <v/>
      </c>
      <c r="C705" s="46">
        <f>IF(DAY(D705)=DAY($L$1+1),1,C704+1)</f>
        <v/>
      </c>
      <c r="D705" s="2">
        <f>D704+1</f>
        <v/>
      </c>
      <c r="E705" s="8">
        <f>IF(DAY(D705)=DAY($L$1+1),TRUNC((N704),8),E704)</f>
        <v/>
      </c>
      <c r="F705" s="49">
        <f>TRUNC(((1+VLOOKUP(A705,IPCA!$A$2:$C$140,3,0)))^(C705/(EDATE(D705-C705,1)-(D705-C705))),8)</f>
        <v/>
      </c>
      <c r="G705" s="49">
        <f>TRUNC((E705*F705),8)</f>
        <v/>
      </c>
      <c r="H705" s="49">
        <f>ROUND(((1+$H$4)^(30/360))^(C705/(EDATE(D705-B705,1)-(D705-B705))),9)</f>
        <v/>
      </c>
      <c r="I705" s="49">
        <f>TRUNC((G705*H705-G705),8)</f>
        <v/>
      </c>
      <c r="J705" s="49">
        <f>G705+I705</f>
        <v/>
      </c>
      <c r="K705" s="256" t="n"/>
      <c r="L705" s="256" t="n"/>
      <c r="M705" s="256" t="n"/>
      <c r="N705" s="256" t="n"/>
      <c r="O705" s="256" t="n"/>
      <c r="P705" s="256" t="n"/>
      <c r="Q705" s="256" t="n"/>
    </row>
    <row r="706">
      <c r="A706">
        <f>IF(DAY(D706)=DAY($L$1+1),A705+1,A705)</f>
        <v/>
      </c>
      <c r="B706" s="46">
        <f>IF(DAY(D706)=DAY($L$1+1),1,B705+1)</f>
        <v/>
      </c>
      <c r="C706" s="46">
        <f>IF(DAY(D706)=DAY($L$1+1),1,C705+1)</f>
        <v/>
      </c>
      <c r="D706" s="2">
        <f>D705+1</f>
        <v/>
      </c>
      <c r="E706" s="8">
        <f>IF(DAY(D706)=DAY($L$1+1),TRUNC((N705),8),E705)</f>
        <v/>
      </c>
      <c r="F706" s="49">
        <f>TRUNC(((1+VLOOKUP(A706,IPCA!$A$2:$C$140,3,0)))^(C706/(EDATE(D706-C706,1)-(D706-C706))),8)</f>
        <v/>
      </c>
      <c r="G706" s="49">
        <f>TRUNC((E706*F706),8)</f>
        <v/>
      </c>
      <c r="H706" s="49">
        <f>ROUND(((1+$H$4)^(30/360))^(C706/(EDATE(D706-B706,1)-(D706-B706))),9)</f>
        <v/>
      </c>
      <c r="I706" s="49">
        <f>TRUNC((G706*H706-G706),8)</f>
        <v/>
      </c>
      <c r="J706" s="49">
        <f>G706+I706</f>
        <v/>
      </c>
      <c r="K706" s="256" t="n"/>
      <c r="L706" s="256" t="n"/>
      <c r="M706" s="256" t="n"/>
      <c r="N706" s="256" t="n"/>
      <c r="O706" s="256" t="n"/>
      <c r="P706" s="256" t="n"/>
      <c r="Q706" s="256" t="n"/>
    </row>
    <row r="707">
      <c r="A707">
        <f>IF(DAY(D707)=DAY($L$1+1),A706+1,A706)</f>
        <v/>
      </c>
      <c r="B707" s="46">
        <f>IF(DAY(D707)=DAY($L$1+1),1,B706+1)</f>
        <v/>
      </c>
      <c r="C707" s="46">
        <f>IF(DAY(D707)=DAY($L$1+1),1,C706+1)</f>
        <v/>
      </c>
      <c r="D707" s="2">
        <f>D706+1</f>
        <v/>
      </c>
      <c r="E707" s="8">
        <f>IF(DAY(D707)=DAY($L$1+1),TRUNC((N706),8),E706)</f>
        <v/>
      </c>
      <c r="F707" s="49">
        <f>TRUNC(((1+VLOOKUP(A707,IPCA!$A$2:$C$140,3,0)))^(C707/(EDATE(D707-C707,1)-(D707-C707))),8)</f>
        <v/>
      </c>
      <c r="G707" s="49">
        <f>TRUNC((E707*F707),8)</f>
        <v/>
      </c>
      <c r="H707" s="49">
        <f>ROUND(((1+$H$4)^(30/360))^(C707/(EDATE(D707-B707,1)-(D707-B707))),9)</f>
        <v/>
      </c>
      <c r="I707" s="49">
        <f>TRUNC((G707*H707-G707),8)</f>
        <v/>
      </c>
      <c r="J707" s="49">
        <f>G707+I707</f>
        <v/>
      </c>
      <c r="K707" s="256" t="n"/>
      <c r="L707" s="256" t="n"/>
      <c r="M707" s="256" t="n"/>
      <c r="N707" s="256" t="n"/>
      <c r="O707" s="256" t="n"/>
      <c r="P707" s="256" t="n"/>
      <c r="Q707" s="256" t="n"/>
    </row>
    <row r="708">
      <c r="A708">
        <f>IF(DAY(D708)=DAY($L$1+1),A707+1,A707)</f>
        <v/>
      </c>
      <c r="B708" s="46">
        <f>IF(DAY(D708)=DAY($L$1+1),1,B707+1)</f>
        <v/>
      </c>
      <c r="C708" s="46">
        <f>IF(DAY(D708)=DAY($L$1+1),1,C707+1)</f>
        <v/>
      </c>
      <c r="D708" s="2">
        <f>D707+1</f>
        <v/>
      </c>
      <c r="E708" s="8">
        <f>IF(DAY(D708)=DAY($L$1+1),TRUNC((N707),8),E707)</f>
        <v/>
      </c>
      <c r="F708" s="49">
        <f>TRUNC(((1+VLOOKUP(A708,IPCA!$A$2:$C$140,3,0)))^(C708/(EDATE(D708-C708,1)-(D708-C708))),8)</f>
        <v/>
      </c>
      <c r="G708" s="49">
        <f>TRUNC((E708*F708),8)</f>
        <v/>
      </c>
      <c r="H708" s="49">
        <f>ROUND(((1+$H$4)^(30/360))^(C708/(EDATE(D708-B708,1)-(D708-B708))),9)</f>
        <v/>
      </c>
      <c r="I708" s="49">
        <f>TRUNC((G708*H708-G708),8)</f>
        <v/>
      </c>
      <c r="J708" s="49">
        <f>G708+I708</f>
        <v/>
      </c>
      <c r="K708" s="256" t="n"/>
      <c r="L708" s="256" t="n"/>
      <c r="M708" s="256" t="n"/>
      <c r="N708" s="256" t="n"/>
      <c r="O708" s="256" t="n"/>
      <c r="P708" s="256" t="n"/>
      <c r="Q708" s="256" t="n"/>
    </row>
    <row r="709">
      <c r="A709">
        <f>IF(DAY(D709)=DAY($L$1+1),A708+1,A708)</f>
        <v/>
      </c>
      <c r="B709" s="46">
        <f>IF(DAY(D709)=DAY($L$1+1),1,B708+1)</f>
        <v/>
      </c>
      <c r="C709" s="46">
        <f>IF(DAY(D709)=DAY($L$1+1),1,C708+1)</f>
        <v/>
      </c>
      <c r="D709" s="2">
        <f>D708+1</f>
        <v/>
      </c>
      <c r="E709" s="8">
        <f>IF(DAY(D709)=DAY($L$1+1),TRUNC((N708),8),E708)</f>
        <v/>
      </c>
      <c r="F709" s="49">
        <f>TRUNC(((1+VLOOKUP(A709,IPCA!$A$2:$C$140,3,0)))^(C709/(EDATE(D709-C709,1)-(D709-C709))),8)</f>
        <v/>
      </c>
      <c r="G709" s="49">
        <f>TRUNC((E709*F709),8)</f>
        <v/>
      </c>
      <c r="H709" s="49">
        <f>ROUND(((1+$H$4)^(30/360))^(C709/(EDATE(D709-B709,1)-(D709-B709))),9)</f>
        <v/>
      </c>
      <c r="I709" s="49">
        <f>TRUNC((G709*H709-G709),8)</f>
        <v/>
      </c>
      <c r="J709" s="49">
        <f>G709+I709</f>
        <v/>
      </c>
      <c r="K709" s="256" t="n"/>
      <c r="L709" s="256" t="n"/>
      <c r="M709" s="256" t="n"/>
      <c r="N709" s="256" t="n"/>
      <c r="O709" s="256" t="n"/>
      <c r="P709" s="256" t="n"/>
      <c r="Q709" s="256" t="n"/>
    </row>
    <row r="710">
      <c r="A710">
        <f>IF(DAY(D710)=DAY($L$1+1),A709+1,A709)</f>
        <v/>
      </c>
      <c r="B710" s="46">
        <f>IF(DAY(D710)=DAY($L$1+1),1,B709+1)</f>
        <v/>
      </c>
      <c r="C710" s="46">
        <f>IF(DAY(D710)=DAY($L$1+1),1,C709+1)</f>
        <v/>
      </c>
      <c r="D710" s="2">
        <f>D709+1</f>
        <v/>
      </c>
      <c r="E710" s="8">
        <f>IF(DAY(D710)=DAY($L$1+1),TRUNC((N709),8),E709)</f>
        <v/>
      </c>
      <c r="F710" s="49">
        <f>TRUNC(((1+VLOOKUP(A710,IPCA!$A$2:$C$140,3,0)))^(C710/(EDATE(D710-C710,1)-(D710-C710))),8)</f>
        <v/>
      </c>
      <c r="G710" s="49">
        <f>TRUNC((E710*F710),8)</f>
        <v/>
      </c>
      <c r="H710" s="49">
        <f>ROUND(((1+$H$4)^(30/360))^(C710/(EDATE(D710-B710,1)-(D710-B710))),9)</f>
        <v/>
      </c>
      <c r="I710" s="49">
        <f>TRUNC((G710*H710-G710),8)</f>
        <v/>
      </c>
      <c r="J710" s="49">
        <f>G710+I710</f>
        <v/>
      </c>
      <c r="K710" s="256" t="n"/>
      <c r="L710" s="256" t="n"/>
      <c r="M710" s="256" t="n"/>
      <c r="N710" s="256" t="n"/>
      <c r="O710" s="256" t="n"/>
      <c r="P710" s="256" t="n"/>
      <c r="Q710" s="256" t="n"/>
    </row>
    <row r="711">
      <c r="A711">
        <f>IF(DAY(D711)=DAY($L$1+1),A710+1,A710)</f>
        <v/>
      </c>
      <c r="B711" s="46">
        <f>IF(DAY(D711)=DAY($L$1+1),1,B710+1)</f>
        <v/>
      </c>
      <c r="C711" s="46">
        <f>IF(DAY(D711)=DAY($L$1+1),1,C710+1)</f>
        <v/>
      </c>
      <c r="D711" s="2">
        <f>D710+1</f>
        <v/>
      </c>
      <c r="E711" s="8">
        <f>IF(DAY(D711)=DAY($L$1+1),TRUNC((N710),8),E710)</f>
        <v/>
      </c>
      <c r="F711" s="49">
        <f>TRUNC(((1+VLOOKUP(A711,IPCA!$A$2:$C$140,3,0)))^(C711/(EDATE(D711-C711,1)-(D711-C711))),8)</f>
        <v/>
      </c>
      <c r="G711" s="49">
        <f>TRUNC((E711*F711),8)</f>
        <v/>
      </c>
      <c r="H711" s="49">
        <f>ROUND(((1+$H$4)^(30/360))^(C711/(EDATE(D711-B711,1)-(D711-B711))),9)</f>
        <v/>
      </c>
      <c r="I711" s="49">
        <f>TRUNC((G711*H711-G711),8)</f>
        <v/>
      </c>
      <c r="J711" s="49">
        <f>G711+I711</f>
        <v/>
      </c>
      <c r="K711" s="256" t="n"/>
      <c r="L711" s="256" t="n"/>
      <c r="M711" s="256" t="n"/>
      <c r="N711" s="256" t="n"/>
      <c r="O711" s="256" t="n"/>
      <c r="P711" s="256" t="n"/>
      <c r="Q711" s="256" t="n"/>
    </row>
    <row r="712">
      <c r="A712">
        <f>IF(DAY(D712)=DAY($L$1+1),A711+1,A711)</f>
        <v/>
      </c>
      <c r="B712" s="46">
        <f>IF(DAY(D712)=DAY($L$1+1),1,B711+1)</f>
        <v/>
      </c>
      <c r="C712" s="46">
        <f>IF(DAY(D712)=DAY($L$1+1),1,C711+1)</f>
        <v/>
      </c>
      <c r="D712" s="2">
        <f>D711+1</f>
        <v/>
      </c>
      <c r="E712" s="8">
        <f>IF(DAY(D712)=DAY($L$1+1),TRUNC((N711),8),E711)</f>
        <v/>
      </c>
      <c r="F712" s="49">
        <f>TRUNC(((1+VLOOKUP(A712,IPCA!$A$2:$C$140,3,0)))^(C712/(EDATE(D712-C712,1)-(D712-C712))),8)</f>
        <v/>
      </c>
      <c r="G712" s="49">
        <f>TRUNC((E712*F712),8)</f>
        <v/>
      </c>
      <c r="H712" s="49">
        <f>ROUND(((1+$H$4)^(30/360))^(C712/(EDATE(D712-B712,1)-(D712-B712))),9)</f>
        <v/>
      </c>
      <c r="I712" s="49">
        <f>TRUNC((G712*H712-G712),8)</f>
        <v/>
      </c>
      <c r="J712" s="49">
        <f>G712+I712</f>
        <v/>
      </c>
      <c r="K712" s="256" t="n"/>
      <c r="L712" s="256" t="n"/>
      <c r="M712" s="256" t="n"/>
      <c r="N712" s="256" t="n"/>
      <c r="O712" s="256" t="n"/>
      <c r="P712" s="256" t="n"/>
      <c r="Q712" s="256" t="n"/>
    </row>
    <row r="713">
      <c r="A713">
        <f>IF(DAY(D713)=DAY($L$1+1),A712+1,A712)</f>
        <v/>
      </c>
      <c r="B713" s="46">
        <f>IF(DAY(D713)=DAY($L$1+1),1,B712+1)</f>
        <v/>
      </c>
      <c r="C713" s="46">
        <f>IF(DAY(D713)=DAY($L$1+1),1,C712+1)</f>
        <v/>
      </c>
      <c r="D713" s="2">
        <f>D712+1</f>
        <v/>
      </c>
      <c r="E713" s="8">
        <f>IF(DAY(D713)=DAY($L$1+1),TRUNC((N712),8),E712)</f>
        <v/>
      </c>
      <c r="F713" s="49">
        <f>TRUNC(((1+VLOOKUP(A713,IPCA!$A$2:$C$140,3,0)))^(C713/(EDATE(D713-C713,1)-(D713-C713))),8)</f>
        <v/>
      </c>
      <c r="G713" s="49">
        <f>TRUNC((E713*F713),8)</f>
        <v/>
      </c>
      <c r="H713" s="49">
        <f>ROUND(((1+$H$4)^(30/360))^(C713/(EDATE(D713-B713,1)-(D713-B713))),9)</f>
        <v/>
      </c>
      <c r="I713" s="49">
        <f>TRUNC((G713*H713-G713),8)</f>
        <v/>
      </c>
      <c r="J713" s="49">
        <f>G713+I713</f>
        <v/>
      </c>
      <c r="K713" s="256" t="n"/>
      <c r="L713" s="256" t="n"/>
      <c r="M713" s="256" t="n"/>
      <c r="N713" s="256" t="n"/>
      <c r="O713" s="256" t="n"/>
      <c r="P713" s="256" t="n"/>
      <c r="Q713" s="256" t="n"/>
    </row>
    <row r="714">
      <c r="A714">
        <f>IF(DAY(D714)=DAY($L$1+1),A713+1,A713)</f>
        <v/>
      </c>
      <c r="B714" s="46">
        <f>IF(DAY(D714)=DAY($L$1+1),1,B713+1)</f>
        <v/>
      </c>
      <c r="C714" s="46">
        <f>IF(DAY(D714)=DAY($L$1+1),1,C713+1)</f>
        <v/>
      </c>
      <c r="D714" s="2">
        <f>D713+1</f>
        <v/>
      </c>
      <c r="E714" s="8">
        <f>IF(DAY(D714)=DAY($L$1+1),TRUNC((N713),8),E713)</f>
        <v/>
      </c>
      <c r="F714" s="49">
        <f>TRUNC(((1+VLOOKUP(A714,IPCA!$A$2:$C$140,3,0)))^(C714/(EDATE(D714-C714,1)-(D714-C714))),8)</f>
        <v/>
      </c>
      <c r="G714" s="49">
        <f>TRUNC((E714*F714),8)</f>
        <v/>
      </c>
      <c r="H714" s="49">
        <f>ROUND(((1+$H$4)^(30/360))^(C714/(EDATE(D714-B714,1)-(D714-B714))),9)</f>
        <v/>
      </c>
      <c r="I714" s="49">
        <f>TRUNC((G714*H714-G714),8)</f>
        <v/>
      </c>
      <c r="J714" s="49">
        <f>G714+I714</f>
        <v/>
      </c>
      <c r="K714" s="256" t="n"/>
      <c r="L714" s="256" t="n"/>
      <c r="M714" s="256" t="n"/>
      <c r="N714" s="256" t="n"/>
      <c r="O714" s="256" t="n"/>
      <c r="P714" s="256" t="n"/>
      <c r="Q714" s="256" t="n"/>
    </row>
    <row r="715">
      <c r="A715">
        <f>IF(DAY(D715)=DAY($L$1+1),A714+1,A714)</f>
        <v/>
      </c>
      <c r="B715" s="46">
        <f>IF(DAY(D715)=DAY($L$1+1),1,B714+1)</f>
        <v/>
      </c>
      <c r="C715" s="46">
        <f>IF(DAY(D715)=DAY($L$1+1),1,C714+1)</f>
        <v/>
      </c>
      <c r="D715" s="2">
        <f>D714+1</f>
        <v/>
      </c>
      <c r="E715" s="8">
        <f>IF(DAY(D715)=DAY($L$1+1),TRUNC((N714),8),E714)</f>
        <v/>
      </c>
      <c r="F715" s="49">
        <f>TRUNC(((1+VLOOKUP(A715,IPCA!$A$2:$C$140,3,0)))^(C715/(EDATE(D715-C715,1)-(D715-C715))),8)</f>
        <v/>
      </c>
      <c r="G715" s="49">
        <f>TRUNC((E715*F715),8)</f>
        <v/>
      </c>
      <c r="H715" s="49">
        <f>ROUND(((1+$H$4)^(30/360))^(C715/(EDATE(D715-B715,1)-(D715-B715))),9)</f>
        <v/>
      </c>
      <c r="I715" s="49">
        <f>TRUNC((G715*H715-G715),8)</f>
        <v/>
      </c>
      <c r="J715" s="49">
        <f>G715+I715</f>
        <v/>
      </c>
      <c r="K715" s="256" t="n"/>
      <c r="L715" s="256" t="n"/>
      <c r="M715" s="256" t="n"/>
      <c r="N715" s="256" t="n"/>
      <c r="O715" s="256" t="n"/>
      <c r="P715" s="256" t="n"/>
      <c r="Q715" s="256" t="n"/>
    </row>
    <row r="716">
      <c r="A716">
        <f>IF(DAY(D716)=DAY($L$1+1),A715+1,A715)</f>
        <v/>
      </c>
      <c r="B716" s="46">
        <f>IF(DAY(D716)=DAY($L$1+1),1,B715+1)</f>
        <v/>
      </c>
      <c r="C716" s="46">
        <f>IF(DAY(D716)=DAY($L$1+1),1,C715+1)</f>
        <v/>
      </c>
      <c r="D716" s="2">
        <f>D715+1</f>
        <v/>
      </c>
      <c r="E716" s="8">
        <f>IF(DAY(D716)=DAY($L$1+1),TRUNC((N715),8),E715)</f>
        <v/>
      </c>
      <c r="F716" s="49">
        <f>TRUNC(((1+VLOOKUP(A716,IPCA!$A$2:$C$140,3,0)))^(C716/(EDATE(D716-C716,1)-(D716-C716))),8)</f>
        <v/>
      </c>
      <c r="G716" s="49">
        <f>TRUNC((E716*F716),8)</f>
        <v/>
      </c>
      <c r="H716" s="49">
        <f>ROUND(((1+$H$4)^(30/360))^(C716/(EDATE(D716-B716,1)-(D716-B716))),9)</f>
        <v/>
      </c>
      <c r="I716" s="49">
        <f>TRUNC((G716*H716-G716),8)</f>
        <v/>
      </c>
      <c r="J716" s="49">
        <f>G716+I716</f>
        <v/>
      </c>
      <c r="K716" s="256" t="n"/>
      <c r="L716" s="256" t="n"/>
      <c r="M716" s="256" t="n"/>
      <c r="N716" s="256" t="n"/>
      <c r="O716" s="256" t="n"/>
      <c r="P716" s="256" t="n"/>
      <c r="Q716" s="256" t="n"/>
    </row>
    <row r="717">
      <c r="A717">
        <f>IF(DAY(D717)=DAY($L$1+1),A716+1,A716)</f>
        <v/>
      </c>
      <c r="B717" s="46">
        <f>IF(DAY(D717)=DAY($L$1+1),1,B716+1)</f>
        <v/>
      </c>
      <c r="C717" s="46">
        <f>IF(DAY(D717)=DAY($L$1+1),1,C716+1)</f>
        <v/>
      </c>
      <c r="D717" s="2">
        <f>D716+1</f>
        <v/>
      </c>
      <c r="E717" s="8">
        <f>IF(DAY(D717)=DAY($L$1+1),TRUNC((N716),8),E716)</f>
        <v/>
      </c>
      <c r="F717" s="49">
        <f>TRUNC(((1+VLOOKUP(A717,IPCA!$A$2:$C$140,3,0)))^(C717/(EDATE(D717-C717,1)-(D717-C717))),8)</f>
        <v/>
      </c>
      <c r="G717" s="49">
        <f>TRUNC((E717*F717),8)</f>
        <v/>
      </c>
      <c r="H717" s="49">
        <f>ROUND(((1+$H$4)^(30/360))^(C717/(EDATE(D717-B717,1)-(D717-B717))),9)</f>
        <v/>
      </c>
      <c r="I717" s="49">
        <f>TRUNC((G717*H717-G717),8)</f>
        <v/>
      </c>
      <c r="J717" s="49">
        <f>G717+I717</f>
        <v/>
      </c>
      <c r="K717" s="256" t="n"/>
      <c r="L717" s="256" t="n"/>
      <c r="M717" s="256" t="n"/>
      <c r="N717" s="256" t="n"/>
      <c r="O717" s="256" t="n"/>
      <c r="P717" s="256" t="n"/>
      <c r="Q717" s="256" t="n"/>
    </row>
    <row r="718">
      <c r="A718">
        <f>IF(DAY(D718)=DAY($L$1+1),A717+1,A717)</f>
        <v/>
      </c>
      <c r="B718" s="46">
        <f>IF(DAY(D718)=DAY($L$1+1),1,B717+1)</f>
        <v/>
      </c>
      <c r="C718" s="46">
        <f>IF(DAY(D718)=DAY($L$1+1),1,C717+1)</f>
        <v/>
      </c>
      <c r="D718" s="2">
        <f>D717+1</f>
        <v/>
      </c>
      <c r="E718" s="8">
        <f>IF(DAY(D718)=DAY($L$1+1),TRUNC((N717),8),E717)</f>
        <v/>
      </c>
      <c r="F718" s="49">
        <f>TRUNC(((1+VLOOKUP(A718,IPCA!$A$2:$C$140,3,0)))^(C718/(EDATE(D718-C718,1)-(D718-C718))),8)</f>
        <v/>
      </c>
      <c r="G718" s="49">
        <f>TRUNC((E718*F718),8)</f>
        <v/>
      </c>
      <c r="H718" s="49">
        <f>ROUND(((1+$H$4)^(30/360))^(C718/(EDATE(D718-B718,1)-(D718-B718))),9)</f>
        <v/>
      </c>
      <c r="I718" s="49">
        <f>TRUNC((G718*H718-G718),8)</f>
        <v/>
      </c>
      <c r="J718" s="49">
        <f>G718+I718</f>
        <v/>
      </c>
      <c r="K718" s="256" t="inlineStr">
        <is>
          <t>Cri Integralizado</t>
        </is>
      </c>
      <c r="L718" s="270">
        <f>L687</f>
        <v/>
      </c>
      <c r="M718" s="256" t="n"/>
      <c r="N718" s="256" t="n"/>
      <c r="O718" s="256" t="n"/>
      <c r="P718" s="256" t="n"/>
      <c r="Q718" s="256" t="n"/>
    </row>
    <row r="719">
      <c r="A719">
        <f>IF(DAY(D719)=DAY($L$1+1),A718+1,A718)</f>
        <v/>
      </c>
      <c r="B719" s="46">
        <f>IF(DAY(D719)=DAY($L$1+1),1,B718+1)</f>
        <v/>
      </c>
      <c r="C719" s="46">
        <f>IF(DAY(D719)=DAY($L$1+1),1,C718+1)</f>
        <v/>
      </c>
      <c r="D719" s="47">
        <f>D718+1</f>
        <v/>
      </c>
      <c r="E719" s="8">
        <f>IF(DAY(D719)=DAY($L$1+1),TRUNC((N718),8),E718)</f>
        <v/>
      </c>
      <c r="F719" s="49">
        <f>TRUNC(((1+VLOOKUP(A719,IPCA!$A$2:$C$140,3,0)))^(C719/(EDATE(D719-C719,1)-(D719-C719))),8)</f>
        <v/>
      </c>
      <c r="G719" s="49">
        <f>TRUNC((E719*F719),8)</f>
        <v/>
      </c>
      <c r="H719" s="49">
        <f>ROUND(((1+$H$4)^(30/360))^(C719/(EDATE(D719-B719,1)-(D719-B719))),9)</f>
        <v/>
      </c>
      <c r="I719" s="49">
        <f>TRUNC((G719*H719-G719),8)</f>
        <v/>
      </c>
      <c r="J719" s="49">
        <f>G719+I719</f>
        <v/>
      </c>
      <c r="K719" s="118" t="inlineStr">
        <is>
          <t>JUROS</t>
        </is>
      </c>
      <c r="L719" s="118" t="inlineStr">
        <is>
          <t>AMORTIZAÇÃO</t>
        </is>
      </c>
      <c r="M719" s="118" t="inlineStr">
        <is>
          <t>AMEX</t>
        </is>
      </c>
      <c r="N719" s="118" t="inlineStr">
        <is>
          <t>RESIDUAL</t>
        </is>
      </c>
      <c r="O719" s="256" t="n"/>
      <c r="P719" s="256" t="n"/>
      <c r="Q719" s="256" t="n"/>
    </row>
    <row r="720">
      <c r="A720">
        <f>IF(DAY(D720)=DAY($L$1+1),A719+1,A719)</f>
        <v/>
      </c>
      <c r="B720" s="111">
        <f>IF(DAY(D720)=DAY($L$1+1),1,B719+1)</f>
        <v/>
      </c>
      <c r="C720" s="111">
        <f>IF(DAY(D720)=DAY($L$1+1),1,C719+1)</f>
        <v/>
      </c>
      <c r="D720" s="112">
        <f>D719+1</f>
        <v/>
      </c>
      <c r="E720" s="113">
        <f>IF(DAY(D720)=DAY($L$1+1),TRUNC((N719),8),E719)</f>
        <v/>
      </c>
      <c r="F720" s="114">
        <f>TRUNC(((1+VLOOKUP(A720,IPCA!$A$2:$C$140,3,0)))^(C720/(EDATE(D720-C720,1)-(D720-C720))),8)</f>
        <v/>
      </c>
      <c r="G720" s="114">
        <f>TRUNC((E720*F720),8)</f>
        <v/>
      </c>
      <c r="H720" s="114">
        <f>ROUND(((1+$H$4)^(30/360))^(C720/(EDATE(D720-B720,1)-(D720-B720))),9)</f>
        <v/>
      </c>
      <c r="I720" s="114">
        <f>TRUNC((G720*H720-G720),8)</f>
        <v/>
      </c>
      <c r="J720" s="114">
        <f>G720+I720</f>
        <v/>
      </c>
      <c r="K720" s="119" t="n">
        <v>0</v>
      </c>
      <c r="L720" s="120" t="n">
        <v>0</v>
      </c>
      <c r="M720" s="120" t="n">
        <v>0</v>
      </c>
      <c r="N720" s="120">
        <f>J720-K720-L720-M720</f>
        <v/>
      </c>
      <c r="O720" s="256" t="n"/>
      <c r="P720" s="256" t="n"/>
      <c r="Q720" s="256" t="n"/>
    </row>
    <row r="721">
      <c r="A721">
        <f>IF(DAY(D721)=DAY($L$1+1),A720+1,A720)</f>
        <v/>
      </c>
      <c r="B721" s="46">
        <f>IF(DAY(D721)=DAY($L$1+1),1,B720+1)</f>
        <v/>
      </c>
      <c r="C721" s="46">
        <f>IF(DAY(D721)=DAY($L$1+1),1,C720+1)</f>
        <v/>
      </c>
      <c r="D721" s="2">
        <f>D720+1</f>
        <v/>
      </c>
      <c r="E721" s="8">
        <f>IF(DAY(D721)=DAY($L$1+1),TRUNC((N720),8),E720)</f>
        <v/>
      </c>
      <c r="F721" s="49">
        <f>TRUNC(((1+VLOOKUP(A721,IPCA!$A$2:$C$140,3,0)))^(C721/(EDATE(D721-C721,1)-(D721-C721))),8)</f>
        <v/>
      </c>
      <c r="G721" s="49">
        <f>TRUNC((E721*F721),8)</f>
        <v/>
      </c>
      <c r="H721" s="49">
        <f>ROUND(((1+$H$4)^(30/360))^(C721/(EDATE(D721-B721,1)-(D721-B721))),9)</f>
        <v/>
      </c>
      <c r="I721" s="49">
        <f>TRUNC((G721*H721-G721),8)</f>
        <v/>
      </c>
      <c r="J721" s="49">
        <f>G721+I721</f>
        <v/>
      </c>
      <c r="K721" s="121">
        <f>K720*L718</f>
        <v/>
      </c>
      <c r="L721" s="121">
        <f>L720*L718</f>
        <v/>
      </c>
      <c r="M721" s="121">
        <f>M720*L718</f>
        <v/>
      </c>
      <c r="N721" s="121">
        <f>N720*L718</f>
        <v/>
      </c>
      <c r="O721" s="256" t="n"/>
      <c r="P721" s="256" t="n"/>
      <c r="Q721" s="256" t="n"/>
    </row>
    <row r="722">
      <c r="A722">
        <f>IF(DAY(D722)=DAY($L$1+1),A721+1,A721)</f>
        <v/>
      </c>
      <c r="B722" s="46">
        <f>IF(DAY(D722)=DAY($L$1+1),1,B721+1)</f>
        <v/>
      </c>
      <c r="C722" s="46">
        <f>IF(DAY(D722)=DAY($L$1+1),1,C721+1)</f>
        <v/>
      </c>
      <c r="D722" s="2">
        <f>D721+1</f>
        <v/>
      </c>
      <c r="E722" s="8">
        <f>IF(DAY(D722)=DAY($L$1+1),TRUNC((N721),8),E721)</f>
        <v/>
      </c>
      <c r="F722" s="49">
        <f>TRUNC(((1+VLOOKUP(A722,IPCA!$A$2:$C$140,3,0)))^(C722/(EDATE(D722-C722,1)-(D722-C722))),8)</f>
        <v/>
      </c>
      <c r="G722" s="49">
        <f>TRUNC((E722*F722),8)</f>
        <v/>
      </c>
      <c r="H722" s="49">
        <f>ROUND(((1+$H$4)^(30/360))^(C722/(EDATE(D722-B722,1)-(D722-B722))),9)</f>
        <v/>
      </c>
      <c r="I722" s="49">
        <f>TRUNC((G722*H722-G722),8)</f>
        <v/>
      </c>
      <c r="J722" s="49">
        <f>G722+I722</f>
        <v/>
      </c>
      <c r="K722" s="256" t="n"/>
      <c r="L722" s="256" t="n"/>
      <c r="M722" s="256" t="n"/>
      <c r="N722" s="256" t="n"/>
      <c r="O722" s="256" t="n"/>
      <c r="P722" s="256" t="n"/>
      <c r="Q722" s="256" t="n"/>
    </row>
    <row r="723">
      <c r="A723">
        <f>IF(DAY(D723)=DAY($L$1+1),A722+1,A722)</f>
        <v/>
      </c>
      <c r="B723" s="46">
        <f>IF(DAY(D723)=DAY($L$1+1),1,B722+1)</f>
        <v/>
      </c>
      <c r="C723" s="46">
        <f>IF(DAY(D723)=DAY($L$1+1),1,C722+1)</f>
        <v/>
      </c>
      <c r="D723" s="2">
        <f>D722+1</f>
        <v/>
      </c>
      <c r="E723" s="8">
        <f>IF(DAY(D723)=DAY($L$1+1),TRUNC((#REF!),8),E722)</f>
        <v/>
      </c>
      <c r="F723" s="49">
        <f>TRUNC(((1+VLOOKUP(A723,IPCA!$A$2:$C$140,3,0)))^(C723/(EDATE(D723-C723,1)-(D723-C723))),8)</f>
        <v/>
      </c>
      <c r="G723" s="49">
        <f>TRUNC((E723*F723),8)</f>
        <v/>
      </c>
      <c r="H723" s="49">
        <f>ROUND(((1+$H$4)^(30/360))^(C723/(EDATE(D723-B723,1)-(D723-B723))),9)</f>
        <v/>
      </c>
      <c r="I723" s="49">
        <f>TRUNC((G723*H723-G723),8)</f>
        <v/>
      </c>
      <c r="J723" s="49">
        <f>G723+I723</f>
        <v/>
      </c>
      <c r="K723" s="256" t="n">
        <v>1.2557029</v>
      </c>
      <c r="L723" s="256" t="n"/>
      <c r="M723" s="256" t="n"/>
      <c r="N723" s="256" t="n"/>
      <c r="O723" s="256" t="n"/>
      <c r="P723" s="256" t="n"/>
      <c r="Q723" s="256" t="n"/>
    </row>
    <row r="724">
      <c r="A724">
        <f>IF(DAY(D724)=DAY($L$1+1),A723+1,A723)</f>
        <v/>
      </c>
      <c r="B724" s="46">
        <f>IF(DAY(D724)=DAY($L$1+1),1,B723+1)</f>
        <v/>
      </c>
      <c r="C724" s="46">
        <f>IF(DAY(D724)=DAY($L$1+1),1,C723+1)</f>
        <v/>
      </c>
      <c r="D724" s="2">
        <f>D723+1</f>
        <v/>
      </c>
      <c r="E724" s="8">
        <f>IF(DAY(D724)=DAY($L$1+1),TRUNC((#REF!),8),E723)</f>
        <v/>
      </c>
      <c r="F724" s="49">
        <f>TRUNC(((1+VLOOKUP(A724,IPCA!$A$2:$C$140,3,0)))^(C724/(EDATE(D724-C724,1)-(D724-C724))),8)</f>
        <v/>
      </c>
      <c r="G724" s="49">
        <f>TRUNC((E724*F724),8)</f>
        <v/>
      </c>
      <c r="H724" s="49">
        <f>ROUND(((1+$H$4)^(30/360))^(C724/(EDATE(D724-B724,1)-(D724-B724))),9)</f>
        <v/>
      </c>
      <c r="I724" s="49">
        <f>TRUNC((G724*H724-G724),8)</f>
        <v/>
      </c>
      <c r="J724" s="49">
        <f>G724+I724</f>
        <v/>
      </c>
      <c r="K724" s="196">
        <f>J721-K723</f>
        <v/>
      </c>
      <c r="L724" s="256" t="n"/>
      <c r="M724" s="256" t="n"/>
      <c r="N724" s="256" t="n"/>
      <c r="O724" s="256" t="n"/>
      <c r="P724" s="256" t="n"/>
      <c r="Q724" s="256" t="n"/>
    </row>
    <row r="725">
      <c r="A725">
        <f>IF(DAY(D725)=DAY($L$1+1),A724+1,A724)</f>
        <v/>
      </c>
      <c r="B725" s="46">
        <f>IF(DAY(D725)=DAY($L$1+1),1,B724+1)</f>
        <v/>
      </c>
      <c r="C725" s="46">
        <f>IF(DAY(D725)=DAY($L$1+1),1,C724+1)</f>
        <v/>
      </c>
      <c r="D725" s="2">
        <f>D724+1</f>
        <v/>
      </c>
      <c r="E725" s="8">
        <f>IF(DAY(D725)=DAY($L$1+1),TRUNC((#REF!),8),E724)</f>
        <v/>
      </c>
      <c r="F725" s="49">
        <f>TRUNC(((1+VLOOKUP(A725,IPCA!$A$2:$C$140,3,0)))^(C725/(EDATE(D725-C725,1)-(D725-C725))),8)</f>
        <v/>
      </c>
      <c r="G725" s="49">
        <f>TRUNC((E725*F725),8)</f>
        <v/>
      </c>
      <c r="H725" s="49">
        <f>ROUND(((1+$H$4)^(30/360))^(C725/(EDATE(D725-B725,1)-(D725-B725))),9)</f>
        <v/>
      </c>
      <c r="I725" s="49">
        <f>TRUNC((G725*H725-G725),8)</f>
        <v/>
      </c>
      <c r="J725" s="49">
        <f>G725+I725</f>
        <v/>
      </c>
      <c r="K725" s="256" t="n"/>
      <c r="L725" s="256" t="n"/>
      <c r="M725" s="256" t="n"/>
      <c r="N725" s="256" t="n"/>
      <c r="O725" s="256" t="n"/>
      <c r="P725" s="256" t="n"/>
      <c r="Q725" s="256" t="n"/>
    </row>
    <row r="726">
      <c r="A726">
        <f>IF(DAY(D726)=DAY($L$1+1),A725+1,A725)</f>
        <v/>
      </c>
      <c r="B726" s="46">
        <f>IF(DAY(D726)=DAY($L$1+1),1,B725+1)</f>
        <v/>
      </c>
      <c r="C726" s="46">
        <f>IF(DAY(D726)=DAY($L$1+1),1,C725+1)</f>
        <v/>
      </c>
      <c r="D726" s="2">
        <f>D725+1</f>
        <v/>
      </c>
      <c r="E726" s="8">
        <f>IF(DAY(D726)=DAY($L$1+1),TRUNC((#REF!),8),E725)</f>
        <v/>
      </c>
      <c r="F726" s="49">
        <f>TRUNC(((1+VLOOKUP(A726,IPCA!$A$2:$C$140,3,0)))^(C726/(EDATE(D726-C726,1)-(D726-C726))),8)</f>
        <v/>
      </c>
      <c r="G726" s="49">
        <f>TRUNC((E726*F726),8)</f>
        <v/>
      </c>
      <c r="H726" s="49">
        <f>ROUND(((1+$H$4)^(30/360))^(C726/(EDATE(D726-B726,1)-(D726-B726))),9)</f>
        <v/>
      </c>
      <c r="I726" s="49">
        <f>TRUNC((G726*H726-G726),8)</f>
        <v/>
      </c>
      <c r="J726" s="49">
        <f>G726+I726</f>
        <v/>
      </c>
      <c r="K726" s="256" t="n"/>
      <c r="L726" s="256" t="n"/>
      <c r="M726" s="256" t="n"/>
      <c r="N726" s="256" t="n"/>
      <c r="O726" s="256" t="n"/>
      <c r="P726" s="256" t="n"/>
      <c r="Q726" s="256" t="n"/>
    </row>
    <row r="727">
      <c r="A727">
        <f>IF(DAY(D727)=DAY($L$1+1),A726+1,A726)</f>
        <v/>
      </c>
      <c r="B727" s="46">
        <f>IF(DAY(D727)=DAY($L$1+1),1,B726+1)</f>
        <v/>
      </c>
      <c r="C727" s="46">
        <f>IF(DAY(D727)=DAY($L$1+1),1,C726+1)</f>
        <v/>
      </c>
      <c r="D727" s="2">
        <f>D726+1</f>
        <v/>
      </c>
      <c r="E727" s="8">
        <f>IF(DAY(D727)=DAY($L$1+1),TRUNC((#REF!),8),E726)</f>
        <v/>
      </c>
      <c r="F727" s="49">
        <f>TRUNC(((1+VLOOKUP(A727,IPCA!$A$2:$C$140,3,0)))^(C727/(EDATE(D727-C727,1)-(D727-C727))),8)</f>
        <v/>
      </c>
      <c r="G727" s="49">
        <f>TRUNC((E727*F727),8)</f>
        <v/>
      </c>
      <c r="H727" s="49">
        <f>ROUND(((1+$H$4)^(30/360))^(C727/(EDATE(D727-B727,1)-(D727-B727))),9)</f>
        <v/>
      </c>
      <c r="I727" s="49">
        <f>TRUNC((G727*H727-G727),8)</f>
        <v/>
      </c>
      <c r="J727" s="49">
        <f>G727+I727</f>
        <v/>
      </c>
      <c r="K727" s="256" t="n"/>
      <c r="L727" s="256" t="n"/>
      <c r="M727" s="256" t="n"/>
      <c r="N727" s="256" t="n"/>
      <c r="O727" s="256" t="n"/>
      <c r="P727" s="256" t="n"/>
      <c r="Q727" s="256" t="n"/>
    </row>
    <row r="728">
      <c r="A728">
        <f>IF(DAY(D728)=DAY($L$1+1),A727+1,A727)</f>
        <v/>
      </c>
      <c r="B728" s="46">
        <f>IF(DAY(D728)=DAY($L$1+1),1,B727+1)</f>
        <v/>
      </c>
      <c r="C728" s="46">
        <f>IF(DAY(D728)=DAY($L$1+1),1,C727+1)</f>
        <v/>
      </c>
      <c r="D728" s="2">
        <f>D727+1</f>
        <v/>
      </c>
      <c r="E728" s="8">
        <f>IF(DAY(D728)=DAY($L$1+1),TRUNC((#REF!),8),E727)</f>
        <v/>
      </c>
      <c r="F728" s="49">
        <f>TRUNC(((1+VLOOKUP(A728,IPCA!$A$2:$C$140,3,0)))^(C728/(EDATE(D728-C728,1)-(D728-C728))),8)</f>
        <v/>
      </c>
      <c r="G728" s="49">
        <f>TRUNC((E728*F728),8)</f>
        <v/>
      </c>
      <c r="H728" s="49">
        <f>ROUND(((1+$H$4)^(30/360))^(C728/(EDATE(D728-B728,1)-(D728-B728))),9)</f>
        <v/>
      </c>
      <c r="I728" s="49">
        <f>TRUNC((G728*H728-G728),8)</f>
        <v/>
      </c>
      <c r="J728" s="49">
        <f>G728+I728</f>
        <v/>
      </c>
      <c r="K728" s="256" t="n"/>
      <c r="L728" s="256" t="n"/>
      <c r="M728" s="256" t="n"/>
      <c r="N728" s="256" t="n"/>
      <c r="O728" s="256" t="n"/>
      <c r="P728" s="256" t="n"/>
      <c r="Q728" s="256" t="n"/>
    </row>
    <row r="729">
      <c r="A729">
        <f>IF(DAY(D729)=DAY($L$1+1),A728+1,A728)</f>
        <v/>
      </c>
      <c r="B729" s="46">
        <f>IF(DAY(D729)=DAY($L$1+1),1,B728+1)</f>
        <v/>
      </c>
      <c r="C729" s="46">
        <f>IF(DAY(D729)=DAY($L$1+1),1,C728+1)</f>
        <v/>
      </c>
      <c r="D729" s="2">
        <f>D728+1</f>
        <v/>
      </c>
      <c r="E729" s="8">
        <f>IF(DAY(D729)=DAY($L$1+1),TRUNC((#REF!),8),E728)</f>
        <v/>
      </c>
      <c r="F729" s="49">
        <f>TRUNC(((1+VLOOKUP(A729,IPCA!$A$2:$C$140,3,0)))^(C729/(EDATE(D729-C729,1)-(D729-C729))),8)</f>
        <v/>
      </c>
      <c r="G729" s="49">
        <f>TRUNC((E729*F729),8)</f>
        <v/>
      </c>
      <c r="H729" s="49">
        <f>ROUND(((1+$H$4)^(30/360))^(C729/(EDATE(D729-B729,1)-(D729-B729))),9)</f>
        <v/>
      </c>
      <c r="I729" s="49">
        <f>TRUNC((G729*H729-G729),8)</f>
        <v/>
      </c>
      <c r="J729" s="49">
        <f>G729+I729</f>
        <v/>
      </c>
      <c r="K729" s="256" t="n"/>
      <c r="L729" s="256" t="n"/>
      <c r="M729" s="256" t="n"/>
      <c r="N729" s="256" t="n"/>
      <c r="O729" s="256" t="n"/>
      <c r="P729" s="256" t="n"/>
      <c r="Q729" s="256" t="n"/>
    </row>
    <row r="730">
      <c r="A730">
        <f>IF(DAY(D730)=DAY($L$1+1),A729+1,A729)</f>
        <v/>
      </c>
      <c r="B730" s="46">
        <f>IF(DAY(D730)=DAY($L$1+1),1,B729+1)</f>
        <v/>
      </c>
      <c r="C730" s="46">
        <f>IF(DAY(D730)=DAY($L$1+1),1,C729+1)</f>
        <v/>
      </c>
      <c r="D730" s="2">
        <f>D729+1</f>
        <v/>
      </c>
      <c r="E730" s="8">
        <f>IF(DAY(D730)=DAY($L$1+1),TRUNC((#REF!),8),E729)</f>
        <v/>
      </c>
      <c r="F730" s="49">
        <f>TRUNC(((1+VLOOKUP(A730,IPCA!$A$2:$C$140,3,0)))^(C730/(EDATE(D730-C730,1)-(D730-C730))),8)</f>
        <v/>
      </c>
      <c r="G730" s="49">
        <f>TRUNC((E730*F730),8)</f>
        <v/>
      </c>
      <c r="H730" s="49">
        <f>ROUND(((1+$H$4)^(30/360))^(C730/(EDATE(D730-B730,1)-(D730-B730))),9)</f>
        <v/>
      </c>
      <c r="I730" s="49">
        <f>TRUNC((G730*H730-G730),8)</f>
        <v/>
      </c>
      <c r="J730" s="49">
        <f>G730+I730</f>
        <v/>
      </c>
      <c r="K730" s="256" t="n"/>
      <c r="L730" s="256" t="n"/>
      <c r="M730" s="256" t="n"/>
      <c r="N730" s="256" t="n"/>
      <c r="O730" s="256" t="n"/>
      <c r="P730" s="256" t="n"/>
      <c r="Q730" s="256" t="n"/>
    </row>
    <row r="731">
      <c r="A731">
        <f>IF(DAY(D731)=DAY($L$1+1),A730+1,A730)</f>
        <v/>
      </c>
      <c r="B731" s="46">
        <f>IF(DAY(D731)=DAY($L$1+1),1,B730+1)</f>
        <v/>
      </c>
      <c r="C731" s="46">
        <f>IF(DAY(D731)=DAY($L$1+1),1,C730+1)</f>
        <v/>
      </c>
      <c r="D731" s="2">
        <f>D730+1</f>
        <v/>
      </c>
      <c r="E731" s="8">
        <f>IF(DAY(D731)=DAY($L$1+1),TRUNC((#REF!),8),E730)</f>
        <v/>
      </c>
      <c r="F731" s="49">
        <f>TRUNC(((1+VLOOKUP(A731,IPCA!$A$2:$C$140,3,0)))^(C731/(EDATE(D731-C731,1)-(D731-C731))),8)</f>
        <v/>
      </c>
      <c r="G731" s="49">
        <f>TRUNC((E731*F731),8)</f>
        <v/>
      </c>
      <c r="H731" s="49">
        <f>ROUND(((1+$H$4)^(30/360))^(C731/(EDATE(D731-B731,1)-(D731-B731))),9)</f>
        <v/>
      </c>
      <c r="I731" s="49">
        <f>TRUNC((G731*H731-G731),8)</f>
        <v/>
      </c>
      <c r="J731" s="49">
        <f>G731+I731</f>
        <v/>
      </c>
      <c r="K731" s="256" t="n"/>
      <c r="L731" s="256" t="n"/>
      <c r="M731" s="256" t="n"/>
      <c r="N731" s="256" t="n"/>
      <c r="O731" s="256" t="n"/>
      <c r="P731" s="256" t="n"/>
      <c r="Q731" s="256" t="n"/>
    </row>
    <row r="732">
      <c r="A732">
        <f>IF(DAY(D732)=DAY($L$1+1),A731+1,A731)</f>
        <v/>
      </c>
      <c r="B732" s="46">
        <f>IF(DAY(D732)=DAY($L$1+1),1,B731+1)</f>
        <v/>
      </c>
      <c r="C732" s="46">
        <f>IF(DAY(D732)=DAY($L$1+1),1,C731+1)</f>
        <v/>
      </c>
      <c r="D732" s="2">
        <f>D731+1</f>
        <v/>
      </c>
      <c r="E732" s="8">
        <f>IF(DAY(D732)=DAY($L$1+1),TRUNC((#REF!),8),E731)</f>
        <v/>
      </c>
      <c r="F732" s="49">
        <f>TRUNC(((1+VLOOKUP(A732,IPCA!$A$2:$C$140,3,0)))^(C732/(EDATE(D732-C732,1)-(D732-C732))),8)</f>
        <v/>
      </c>
      <c r="G732" s="49">
        <f>TRUNC((E732*F732),8)</f>
        <v/>
      </c>
      <c r="H732" s="49">
        <f>ROUND(((1+$H$4)^(30/360))^(C732/(EDATE(D732-B732,1)-(D732-B732))),9)</f>
        <v/>
      </c>
      <c r="I732" s="49">
        <f>TRUNC((G732*H732-G732),8)</f>
        <v/>
      </c>
      <c r="J732" s="49">
        <f>G732+I732</f>
        <v/>
      </c>
      <c r="K732" s="256" t="n"/>
      <c r="L732" s="256" t="n"/>
      <c r="M732" s="256" t="n"/>
      <c r="N732" s="256" t="n"/>
      <c r="O732" s="256" t="n"/>
      <c r="P732" s="256" t="n"/>
      <c r="Q732" s="256" t="n"/>
    </row>
    <row r="733">
      <c r="A733">
        <f>IF(DAY(D733)=DAY($L$1+1),A732+1,A732)</f>
        <v/>
      </c>
      <c r="B733" s="46">
        <f>IF(DAY(D733)=DAY($L$1+1),1,B732+1)</f>
        <v/>
      </c>
      <c r="C733" s="46">
        <f>IF(DAY(D733)=DAY($L$1+1),1,C732+1)</f>
        <v/>
      </c>
      <c r="D733" s="2">
        <f>D732+1</f>
        <v/>
      </c>
      <c r="E733" s="8">
        <f>IF(DAY(D733)=DAY($L$1+1),TRUNC((#REF!),8),E732)</f>
        <v/>
      </c>
      <c r="F733" s="49">
        <f>TRUNC(((1+VLOOKUP(A733,IPCA!$A$2:$C$140,3,0)))^(C733/(EDATE(D733-C733,1)-(D733-C733))),8)</f>
        <v/>
      </c>
      <c r="G733" s="49">
        <f>TRUNC((E733*F733),8)</f>
        <v/>
      </c>
      <c r="H733" s="49">
        <f>ROUND(((1+$H$4)^(30/360))^(C733/(EDATE(D733-B733,1)-(D733-B733))),9)</f>
        <v/>
      </c>
      <c r="I733" s="49">
        <f>TRUNC((G733*H733-G733),8)</f>
        <v/>
      </c>
      <c r="J733" s="49">
        <f>G733+I733</f>
        <v/>
      </c>
      <c r="K733" s="256" t="n"/>
      <c r="L733" s="256" t="n"/>
      <c r="M733" s="256" t="n"/>
      <c r="N733" s="256" t="n"/>
      <c r="O733" s="256" t="n"/>
      <c r="P733" s="256" t="n"/>
      <c r="Q733" s="256" t="n"/>
    </row>
    <row r="734">
      <c r="A734">
        <f>IF(DAY(D734)=DAY($L$1+1),A733+1,A733)</f>
        <v/>
      </c>
      <c r="B734" s="46">
        <f>IF(DAY(D734)=DAY($L$1+1),1,B733+1)</f>
        <v/>
      </c>
      <c r="C734" s="46">
        <f>IF(DAY(D734)=DAY($L$1+1),1,C733+1)</f>
        <v/>
      </c>
      <c r="D734" s="2">
        <f>D733+1</f>
        <v/>
      </c>
      <c r="E734" s="8">
        <f>IF(DAY(D734)=DAY($L$1+1),TRUNC((#REF!),8),E733)</f>
        <v/>
      </c>
      <c r="F734" s="49">
        <f>TRUNC(((1+VLOOKUP(A734,IPCA!$A$2:$C$140,3,0)))^(C734/(EDATE(D734-C734,1)-(D734-C734))),8)</f>
        <v/>
      </c>
      <c r="G734" s="49">
        <f>TRUNC((E734*F734),8)</f>
        <v/>
      </c>
      <c r="H734" s="49">
        <f>ROUND(((1+$H$4)^(30/360))^(C734/(EDATE(D734-B734,1)-(D734-B734))),9)</f>
        <v/>
      </c>
      <c r="I734" s="49">
        <f>TRUNC((G734*H734-G734),8)</f>
        <v/>
      </c>
      <c r="J734" s="49">
        <f>G734+I734</f>
        <v/>
      </c>
      <c r="K734" s="256" t="n"/>
      <c r="L734" s="256" t="n"/>
      <c r="M734" s="256" t="n"/>
      <c r="N734" s="256" t="n"/>
      <c r="O734" s="256" t="n"/>
      <c r="P734" s="256" t="n"/>
      <c r="Q734" s="256" t="n"/>
    </row>
    <row r="735">
      <c r="A735">
        <f>IF(DAY(D735)=DAY($L$1+1),A734+1,A734)</f>
        <v/>
      </c>
      <c r="B735" s="46">
        <f>IF(DAY(D735)=DAY($L$1+1),1,B734+1)</f>
        <v/>
      </c>
      <c r="C735" s="46">
        <f>IF(DAY(D735)=DAY($L$1+1),1,C734+1)</f>
        <v/>
      </c>
      <c r="D735" s="2">
        <f>D734+1</f>
        <v/>
      </c>
      <c r="E735" s="8">
        <f>IF(DAY(D735)=DAY($L$1+1),TRUNC((#REF!),8),E734)</f>
        <v/>
      </c>
      <c r="F735" s="49">
        <f>TRUNC(((1+VLOOKUP(A735,IPCA!$A$2:$C$140,3,0)))^(C735/(EDATE(D735-C735,1)-(D735-C735))),8)</f>
        <v/>
      </c>
      <c r="G735" s="49">
        <f>TRUNC((E735*F735),8)</f>
        <v/>
      </c>
      <c r="H735" s="49">
        <f>ROUND(((1+$H$4)^(30/360))^(C735/(EDATE(D735-B735,1)-(D735-B735))),9)</f>
        <v/>
      </c>
      <c r="I735" s="49">
        <f>TRUNC((G735*H735-G735),8)</f>
        <v/>
      </c>
      <c r="J735" s="49">
        <f>G735+I735</f>
        <v/>
      </c>
      <c r="K735" s="256" t="n"/>
      <c r="L735" s="256" t="n"/>
      <c r="M735" s="256" t="n"/>
      <c r="N735" s="256" t="n"/>
      <c r="O735" s="256" t="n"/>
      <c r="P735" s="256" t="n"/>
      <c r="Q735" s="256" t="n"/>
    </row>
    <row r="736">
      <c r="A736">
        <f>IF(DAY(D736)=DAY($L$1+1),A735+1,A735)</f>
        <v/>
      </c>
      <c r="B736" s="46">
        <f>IF(DAY(D736)=DAY($L$1+1),1,B735+1)</f>
        <v/>
      </c>
      <c r="C736" s="46">
        <f>IF(DAY(D736)=DAY($L$1+1),1,C735+1)</f>
        <v/>
      </c>
      <c r="D736" s="2">
        <f>D735+1</f>
        <v/>
      </c>
      <c r="E736" s="8">
        <f>IF(DAY(D736)=DAY($L$1+1),TRUNC((#REF!),8),E735)</f>
        <v/>
      </c>
      <c r="F736" s="49">
        <f>TRUNC(((1+VLOOKUP(A736,IPCA!$A$2:$C$140,3,0)))^(C736/(EDATE(D736-C736,1)-(D736-C736))),8)</f>
        <v/>
      </c>
      <c r="G736" s="49">
        <f>TRUNC((E736*F736),8)</f>
        <v/>
      </c>
      <c r="H736" s="49">
        <f>ROUND(((1+$H$4)^(30/360))^(C736/(EDATE(D736-B736,1)-(D736-B736))),9)</f>
        <v/>
      </c>
      <c r="I736" s="49">
        <f>TRUNC((G736*H736-G736),8)</f>
        <v/>
      </c>
      <c r="J736" s="49">
        <f>G736+I736</f>
        <v/>
      </c>
      <c r="K736" s="256" t="n"/>
      <c r="L736" s="256" t="n"/>
      <c r="M736" s="256" t="n"/>
      <c r="N736" s="256" t="n"/>
      <c r="O736" s="256" t="n"/>
      <c r="P736" s="256" t="n"/>
      <c r="Q736" s="256" t="n"/>
    </row>
    <row r="737">
      <c r="A737">
        <f>IF(DAY(D737)=DAY($L$1+1),A736+1,A736)</f>
        <v/>
      </c>
      <c r="B737" s="46">
        <f>IF(DAY(D737)=DAY($L$1+1),1,B736+1)</f>
        <v/>
      </c>
      <c r="C737" s="46">
        <f>IF(DAY(D737)=DAY($L$1+1),1,C736+1)</f>
        <v/>
      </c>
      <c r="D737" s="2">
        <f>D736+1</f>
        <v/>
      </c>
      <c r="E737" s="8">
        <f>IF(DAY(D737)=DAY($L$1+1),TRUNC((N736),8),E736)</f>
        <v/>
      </c>
      <c r="F737" s="49">
        <f>TRUNC(((1+VLOOKUP(A737,IPCA!$A$2:$C$140,3,0)))^(C737/(EDATE(D737-C737,1)-(D737-C737))),8)</f>
        <v/>
      </c>
      <c r="G737" s="49">
        <f>TRUNC((E737*F737),8)</f>
        <v/>
      </c>
      <c r="H737" s="49">
        <f>ROUND(((1+$H$4)^(30/360))^(C737/(EDATE(D737-B737,1)-(D737-B737))),9)</f>
        <v/>
      </c>
      <c r="I737" s="49">
        <f>TRUNC((G737*H737-G737),8)</f>
        <v/>
      </c>
      <c r="J737" s="49">
        <f>G737+I737</f>
        <v/>
      </c>
      <c r="K737" s="256" t="n"/>
      <c r="L737" s="256" t="n"/>
      <c r="M737" s="256" t="n"/>
      <c r="N737" s="256" t="n"/>
      <c r="O737" s="256" t="n"/>
      <c r="P737" s="256" t="n"/>
      <c r="Q737" s="256" t="n"/>
    </row>
    <row r="738">
      <c r="A738">
        <f>IF(DAY(D738)=DAY($L$1+1),A737+1,A737)</f>
        <v/>
      </c>
      <c r="B738" s="46">
        <f>IF(DAY(D738)=DAY($L$1+1),1,B737+1)</f>
        <v/>
      </c>
      <c r="C738" s="46">
        <f>IF(DAY(D738)=DAY($L$1+1),1,C737+1)</f>
        <v/>
      </c>
      <c r="D738" s="2">
        <f>D737+1</f>
        <v/>
      </c>
      <c r="E738" s="8">
        <f>IF(DAY(D738)=DAY($L$1+1),TRUNC((N737),8),E737)</f>
        <v/>
      </c>
      <c r="F738" s="49">
        <f>TRUNC(((1+VLOOKUP(A738,IPCA!$A$2:$C$140,3,0)))^(C738/(EDATE(D738-C738,1)-(D738-C738))),8)</f>
        <v/>
      </c>
      <c r="G738" s="49">
        <f>TRUNC((E738*F738),8)</f>
        <v/>
      </c>
      <c r="H738" s="49">
        <f>ROUND(((1+$H$4)^(30/360))^(C738/(EDATE(D738-B738,1)-(D738-B738))),9)</f>
        <v/>
      </c>
      <c r="I738" s="49">
        <f>TRUNC((G738*H738-G738),8)</f>
        <v/>
      </c>
      <c r="J738" s="49">
        <f>G738+I738</f>
        <v/>
      </c>
      <c r="K738" s="256" t="n"/>
      <c r="L738" s="256" t="n"/>
      <c r="M738" s="256" t="n"/>
      <c r="N738" s="256" t="n"/>
      <c r="O738" s="256" t="n"/>
      <c r="P738" s="256" t="n"/>
      <c r="Q738" s="256" t="n"/>
    </row>
    <row r="739">
      <c r="A739">
        <f>IF(DAY(D739)=DAY($L$1+1),A738+1,A738)</f>
        <v/>
      </c>
      <c r="B739" s="46">
        <f>IF(DAY(D739)=DAY($L$1+1),1,B738+1)</f>
        <v/>
      </c>
      <c r="C739" s="46">
        <f>IF(DAY(D739)=DAY($L$1+1),1,C738+1)</f>
        <v/>
      </c>
      <c r="D739" s="2">
        <f>D738+1</f>
        <v/>
      </c>
      <c r="E739" s="8">
        <f>IF(DAY(D739)=DAY($L$1+1),TRUNC((N738),8),E738)</f>
        <v/>
      </c>
      <c r="F739" s="49">
        <f>TRUNC(((1+VLOOKUP(A739,IPCA!$A$2:$C$140,3,0)))^(C739/(EDATE(D739-C739,1)-(D739-C739))),8)</f>
        <v/>
      </c>
      <c r="G739" s="49">
        <f>TRUNC((E739*F739),8)</f>
        <v/>
      </c>
      <c r="H739" s="49">
        <f>ROUND(((1+$H$4)^(30/360))^(C739/(EDATE(D739-B739,1)-(D739-B739))),9)</f>
        <v/>
      </c>
      <c r="I739" s="49">
        <f>TRUNC((G739*H739-G739),8)</f>
        <v/>
      </c>
      <c r="J739" s="49">
        <f>G739+I739</f>
        <v/>
      </c>
      <c r="K739" s="256" t="n"/>
      <c r="L739" s="256" t="n"/>
      <c r="M739" s="256" t="n"/>
      <c r="N739" s="256" t="n"/>
      <c r="O739" s="256" t="n"/>
      <c r="P739" s="256" t="n"/>
      <c r="Q739" s="256" t="n"/>
    </row>
    <row r="740">
      <c r="A740">
        <f>IF(DAY(D740)=DAY($L$1+1),A739+1,A739)</f>
        <v/>
      </c>
      <c r="B740" s="46">
        <f>IF(DAY(D740)=DAY($L$1+1),1,B739+1)</f>
        <v/>
      </c>
      <c r="C740" s="46">
        <f>IF(DAY(D740)=DAY($L$1+1),1,C739+1)</f>
        <v/>
      </c>
      <c r="D740" s="2">
        <f>D739+1</f>
        <v/>
      </c>
      <c r="E740" s="8">
        <f>IF(DAY(D740)=DAY($L$1+1),TRUNC((N739),8),E739)</f>
        <v/>
      </c>
      <c r="F740" s="49">
        <f>TRUNC(((1+VLOOKUP(A740,IPCA!$A$2:$C$140,3,0)))^(C740/(EDATE(D740-C740,1)-(D740-C740))),8)</f>
        <v/>
      </c>
      <c r="G740" s="49">
        <f>TRUNC((E740*F740),8)</f>
        <v/>
      </c>
      <c r="H740" s="49">
        <f>ROUND(((1+$H$4)^(30/360))^(C740/(EDATE(D740-B740,1)-(D740-B740))),9)</f>
        <v/>
      </c>
      <c r="I740" s="49">
        <f>TRUNC((G740*H740-G740),8)</f>
        <v/>
      </c>
      <c r="J740" s="49">
        <f>G740+I740</f>
        <v/>
      </c>
      <c r="K740" s="256" t="n"/>
      <c r="L740" s="256" t="n"/>
      <c r="M740" s="256" t="n"/>
      <c r="N740" s="256" t="n"/>
      <c r="O740" s="256" t="n"/>
      <c r="P740" s="256" t="n"/>
      <c r="Q740" s="256" t="n"/>
    </row>
    <row r="741">
      <c r="A741">
        <f>IF(DAY(D741)=DAY($L$1+1),A740+1,A740)</f>
        <v/>
      </c>
      <c r="B741" s="46">
        <f>IF(DAY(D741)=DAY($L$1+1),1,B740+1)</f>
        <v/>
      </c>
      <c r="C741" s="46">
        <f>IF(DAY(D741)=DAY($L$1+1),1,C740+1)</f>
        <v/>
      </c>
      <c r="D741" s="2">
        <f>D740+1</f>
        <v/>
      </c>
      <c r="E741" s="8">
        <f>IF(DAY(D741)=DAY($L$1+1),TRUNC((N740),8),E740)</f>
        <v/>
      </c>
      <c r="F741" s="49">
        <f>TRUNC(((1+VLOOKUP(A741,IPCA!$A$2:$C$140,3,0)))^(C741/(EDATE(D741-C741,1)-(D741-C741))),8)</f>
        <v/>
      </c>
      <c r="G741" s="49">
        <f>TRUNC((E741*F741),8)</f>
        <v/>
      </c>
      <c r="H741" s="49">
        <f>ROUND(((1+$H$4)^(30/360))^(C741/(EDATE(D741-B741,1)-(D741-B741))),9)</f>
        <v/>
      </c>
      <c r="I741" s="49">
        <f>TRUNC((G741*H741-G741),8)</f>
        <v/>
      </c>
      <c r="J741" s="49">
        <f>G741+I741</f>
        <v/>
      </c>
      <c r="K741" s="256" t="n"/>
      <c r="L741" s="256" t="n"/>
      <c r="M741" s="256" t="n"/>
      <c r="N741" s="256" t="n"/>
      <c r="O741" s="256" t="n"/>
      <c r="P741" s="256" t="n"/>
      <c r="Q741" s="256" t="n"/>
    </row>
    <row r="742">
      <c r="A742">
        <f>IF(DAY(D742)=DAY($L$1+1),A741+1,A741)</f>
        <v/>
      </c>
      <c r="B742" s="46">
        <f>IF(DAY(D742)=DAY($L$1+1),1,B741+1)</f>
        <v/>
      </c>
      <c r="C742" s="46">
        <f>IF(DAY(D742)=DAY($L$1+1),1,C741+1)</f>
        <v/>
      </c>
      <c r="D742" s="2">
        <f>D741+1</f>
        <v/>
      </c>
      <c r="E742" s="8">
        <f>IF(DAY(D742)=DAY($L$1+1),TRUNC((N741),8),E741)</f>
        <v/>
      </c>
      <c r="F742" s="49">
        <f>TRUNC(((1+VLOOKUP(A742,IPCA!$A$2:$C$140,3,0)))^(C742/(EDATE(D742-C742,1)-(D742-C742))),8)</f>
        <v/>
      </c>
      <c r="G742" s="49">
        <f>TRUNC((E742*F742),8)</f>
        <v/>
      </c>
      <c r="H742" s="49">
        <f>ROUND(((1+$H$4)^(30/360))^(C742/(EDATE(D742-B742,1)-(D742-B742))),9)</f>
        <v/>
      </c>
      <c r="I742" s="49">
        <f>TRUNC((G742*H742-G742),8)</f>
        <v/>
      </c>
      <c r="J742" s="49">
        <f>G742+I742</f>
        <v/>
      </c>
      <c r="K742" s="256" t="n"/>
      <c r="L742" s="256" t="n"/>
      <c r="M742" s="256" t="n"/>
      <c r="N742" s="256" t="n"/>
      <c r="O742" s="256" t="n"/>
      <c r="P742" s="256" t="n"/>
      <c r="Q742" s="256" t="n"/>
    </row>
    <row r="743">
      <c r="A743">
        <f>IF(DAY(D743)=DAY($L$1+1),A742+1,A742)</f>
        <v/>
      </c>
      <c r="B743" s="46">
        <f>IF(DAY(D743)=DAY($L$1+1),1,B742+1)</f>
        <v/>
      </c>
      <c r="C743" s="46">
        <f>IF(DAY(D743)=DAY($L$1+1),1,C742+1)</f>
        <v/>
      </c>
      <c r="D743" s="2">
        <f>D742+1</f>
        <v/>
      </c>
      <c r="E743" s="8">
        <f>IF(DAY(D743)=DAY($L$1+1),TRUNC((N742),8),E742)</f>
        <v/>
      </c>
      <c r="F743" s="49">
        <f>TRUNC(((1+VLOOKUP(A743,IPCA!$A$2:$C$140,3,0)))^(C743/(EDATE(D743-C743,1)-(D743-C743))),8)</f>
        <v/>
      </c>
      <c r="G743" s="49">
        <f>TRUNC((E743*F743),8)</f>
        <v/>
      </c>
      <c r="H743" s="49">
        <f>ROUND(((1+$H$4)^(30/360))^(C743/(EDATE(D743-B743,1)-(D743-B743))),9)</f>
        <v/>
      </c>
      <c r="I743" s="49">
        <f>TRUNC((G743*H743-G743),8)</f>
        <v/>
      </c>
      <c r="J743" s="49">
        <f>G743+I743</f>
        <v/>
      </c>
      <c r="K743" s="256" t="n"/>
      <c r="L743" s="256" t="n"/>
      <c r="M743" s="256" t="n"/>
      <c r="N743" s="256" t="n"/>
      <c r="O743" s="256" t="n"/>
      <c r="P743" s="256" t="n"/>
      <c r="Q743" s="256" t="n"/>
    </row>
    <row r="744">
      <c r="A744">
        <f>IF(DAY(D744)=DAY($L$1+1),A743+1,A743)</f>
        <v/>
      </c>
      <c r="B744" s="46">
        <f>IF(DAY(D744)=DAY($L$1+1),1,B743+1)</f>
        <v/>
      </c>
      <c r="C744" s="46">
        <f>IF(DAY(D744)=DAY($L$1+1),1,C743+1)</f>
        <v/>
      </c>
      <c r="D744" s="2">
        <f>D743+1</f>
        <v/>
      </c>
      <c r="E744" s="8">
        <f>IF(DAY(D744)=DAY($L$1+1),TRUNC((N743),8),E743)</f>
        <v/>
      </c>
      <c r="F744" s="49">
        <f>TRUNC(((1+VLOOKUP(A744,IPCA!$A$2:$C$140,3,0)))^(C744/(EDATE(D744-C744,1)-(D744-C744))),8)</f>
        <v/>
      </c>
      <c r="G744" s="49">
        <f>TRUNC((E744*F744),8)</f>
        <v/>
      </c>
      <c r="H744" s="49">
        <f>ROUND(((1+$H$4)^(30/360))^(C744/(EDATE(D744-B744,1)-(D744-B744))),9)</f>
        <v/>
      </c>
      <c r="I744" s="49">
        <f>TRUNC((G744*H744-G744),8)</f>
        <v/>
      </c>
      <c r="J744" s="49">
        <f>G744+I744</f>
        <v/>
      </c>
      <c r="K744" s="256" t="n"/>
      <c r="L744" s="256" t="n"/>
      <c r="M744" s="256" t="n"/>
      <c r="N744" s="256" t="n"/>
      <c r="O744" s="256" t="n"/>
      <c r="P744" s="256" t="n"/>
      <c r="Q744" s="256" t="n"/>
    </row>
    <row r="745">
      <c r="A745">
        <f>IF(DAY(D745)=DAY($L$1+1),A744+1,A744)</f>
        <v/>
      </c>
      <c r="B745" s="46">
        <f>IF(DAY(D745)=DAY($L$1+1),1,B744+1)</f>
        <v/>
      </c>
      <c r="C745" s="46">
        <f>IF(DAY(D745)=DAY($L$1+1),1,C744+1)</f>
        <v/>
      </c>
      <c r="D745" s="2">
        <f>D744+1</f>
        <v/>
      </c>
      <c r="E745" s="8">
        <f>IF(DAY(D745)=DAY($L$1+1),TRUNC((N744),8),E744)</f>
        <v/>
      </c>
      <c r="F745" s="49">
        <f>TRUNC(((1+VLOOKUP(A745,IPCA!$A$2:$C$140,3,0)))^(C745/(EDATE(D745-C745,1)-(D745-C745))),8)</f>
        <v/>
      </c>
      <c r="G745" s="49">
        <f>TRUNC((E745*F745),8)</f>
        <v/>
      </c>
      <c r="H745" s="49">
        <f>ROUND(((1+$H$4)^(30/360))^(C745/(EDATE(D745-B745,1)-(D745-B745))),9)</f>
        <v/>
      </c>
      <c r="I745" s="49">
        <f>TRUNC((G745*H745-G745),8)</f>
        <v/>
      </c>
      <c r="J745" s="49">
        <f>G745+I745</f>
        <v/>
      </c>
      <c r="K745" s="256" t="n"/>
      <c r="L745" s="256" t="n"/>
      <c r="M745" s="256" t="n"/>
      <c r="N745" s="256" t="n"/>
      <c r="O745" s="256" t="n"/>
      <c r="P745" s="256" t="n"/>
      <c r="Q745" s="256" t="n"/>
    </row>
    <row r="746">
      <c r="A746">
        <f>IF(DAY(D746)=DAY($L$1+1),A745+1,A745)</f>
        <v/>
      </c>
      <c r="B746" s="46">
        <f>IF(DAY(D746)=DAY($L$1+1),1,B745+1)</f>
        <v/>
      </c>
      <c r="C746" s="46">
        <f>IF(DAY(D746)=DAY($L$1+1),1,C745+1)</f>
        <v/>
      </c>
      <c r="D746" s="2">
        <f>D745+1</f>
        <v/>
      </c>
      <c r="E746" s="8">
        <f>IF(DAY(D746)=DAY($L$1+1),TRUNC((N745),8),E745)</f>
        <v/>
      </c>
      <c r="F746" s="49">
        <f>TRUNC(((1+VLOOKUP(A746,IPCA!$A$2:$C$140,3,0)))^(C746/(EDATE(D746-C746,1)-(D746-C746))),8)</f>
        <v/>
      </c>
      <c r="G746" s="49">
        <f>TRUNC((E746*F746),8)</f>
        <v/>
      </c>
      <c r="H746" s="49">
        <f>ROUND(((1+$H$4)^(30/360))^(C746/(EDATE(D746-B746,1)-(D746-B746))),9)</f>
        <v/>
      </c>
      <c r="I746" s="49">
        <f>TRUNC((G746*H746-G746),8)</f>
        <v/>
      </c>
      <c r="J746" s="49">
        <f>G746+I746</f>
        <v/>
      </c>
      <c r="K746" s="256" t="n"/>
      <c r="L746" s="256" t="n"/>
      <c r="M746" s="256" t="n"/>
      <c r="N746" s="256" t="n"/>
      <c r="O746" s="256" t="n"/>
      <c r="P746" s="256" t="n"/>
      <c r="Q746" s="256" t="n"/>
    </row>
    <row r="747">
      <c r="A747">
        <f>IF(DAY(D747)=DAY($L$1+1),A746+1,A746)</f>
        <v/>
      </c>
      <c r="B747" s="46">
        <f>IF(DAY(D747)=DAY($L$1+1),1,B746+1)</f>
        <v/>
      </c>
      <c r="C747" s="46">
        <f>IF(DAY(D747)=DAY($L$1+1),1,C746+1)</f>
        <v/>
      </c>
      <c r="D747" s="2">
        <f>D746+1</f>
        <v/>
      </c>
      <c r="E747" s="8">
        <f>IF(DAY(D747)=DAY($L$1+1),TRUNC((N746),8),E746)</f>
        <v/>
      </c>
      <c r="F747" s="49">
        <f>TRUNC(((1+VLOOKUP(A747,IPCA!$A$2:$C$140,3,0)))^(C747/(EDATE(D747-C747,1)-(D747-C747))),8)</f>
        <v/>
      </c>
      <c r="G747" s="49">
        <f>TRUNC((E747*F747),8)</f>
        <v/>
      </c>
      <c r="H747" s="49">
        <f>ROUND(((1+$H$4)^(30/360))^(C747/(EDATE(D747-B747,1)-(D747-B747))),9)</f>
        <v/>
      </c>
      <c r="I747" s="49">
        <f>TRUNC((G747*H747-G747),8)</f>
        <v/>
      </c>
      <c r="J747" s="49">
        <f>G747+I747</f>
        <v/>
      </c>
      <c r="K747" s="256" t="n"/>
      <c r="L747" s="256" t="n"/>
      <c r="M747" s="256" t="n"/>
      <c r="N747" s="256" t="n"/>
      <c r="O747" s="256" t="n"/>
      <c r="P747" s="256" t="n"/>
      <c r="Q747" s="256" t="n"/>
    </row>
    <row r="748">
      <c r="A748">
        <f>IF(DAY(D748)=DAY($L$1+1),A747+1,A747)</f>
        <v/>
      </c>
      <c r="B748" s="46">
        <f>IF(DAY(D748)=DAY($L$1+1),1,B747+1)</f>
        <v/>
      </c>
      <c r="C748" s="46">
        <f>IF(DAY(D748)=DAY($L$1+1),1,C747+1)</f>
        <v/>
      </c>
      <c r="D748" s="2">
        <f>D747+1</f>
        <v/>
      </c>
      <c r="E748" s="8">
        <f>IF(DAY(D748)=DAY($L$1+1),TRUNC((N747),8),E747)</f>
        <v/>
      </c>
      <c r="F748" s="49">
        <f>TRUNC(((1+VLOOKUP(A748,IPCA!$A$2:$C$140,3,0)))^(C748/(EDATE(D748-C748,1)-(D748-C748))),8)</f>
        <v/>
      </c>
      <c r="G748" s="49">
        <f>TRUNC((E748*F748),8)</f>
        <v/>
      </c>
      <c r="H748" s="49">
        <f>ROUND(((1+$H$4)^(30/360))^(C748/(EDATE(D748-B748,1)-(D748-B748))),9)</f>
        <v/>
      </c>
      <c r="I748" s="49">
        <f>TRUNC((G748*H748-G748),8)</f>
        <v/>
      </c>
      <c r="J748" s="49">
        <f>G748+I748</f>
        <v/>
      </c>
      <c r="K748" s="256" t="inlineStr">
        <is>
          <t>Cri Integralizado</t>
        </is>
      </c>
      <c r="L748" s="270">
        <f>L718</f>
        <v/>
      </c>
      <c r="M748" s="256" t="n"/>
      <c r="N748" s="256" t="n"/>
      <c r="O748" s="256" t="n"/>
      <c r="P748" s="256" t="n"/>
      <c r="Q748" s="256" t="n"/>
    </row>
    <row r="749">
      <c r="A749">
        <f>IF(DAY(D749)=DAY($L$1+1),A748+1,A748)</f>
        <v/>
      </c>
      <c r="B749" s="46">
        <f>IF(DAY(D749)=DAY($L$1+1),1,B748+1)</f>
        <v/>
      </c>
      <c r="C749" s="46">
        <f>IF(DAY(D749)=DAY($L$1+1),1,C748+1)</f>
        <v/>
      </c>
      <c r="D749" s="47">
        <f>D748+1</f>
        <v/>
      </c>
      <c r="E749" s="8">
        <f>IF(DAY(D749)=DAY($L$1+1),TRUNC((N748),8),E748)</f>
        <v/>
      </c>
      <c r="F749" s="49">
        <f>TRUNC(((1+VLOOKUP(A749,IPCA!$A$2:$C$140,3,0)))^(C749/(EDATE(D749-C749,1)-(D749-C749))),8)</f>
        <v/>
      </c>
      <c r="G749" s="49">
        <f>TRUNC((E749*F749),8)</f>
        <v/>
      </c>
      <c r="H749" s="49">
        <f>ROUND(((1+$H$4)^(30/360))^(C749/(EDATE(D749-B749,1)-(D749-B749))),9)</f>
        <v/>
      </c>
      <c r="I749" s="49">
        <f>TRUNC((G749*H749-G749),8)</f>
        <v/>
      </c>
      <c r="J749" s="49">
        <f>G749+I749</f>
        <v/>
      </c>
      <c r="K749" s="118" t="inlineStr">
        <is>
          <t>JUROS</t>
        </is>
      </c>
      <c r="L749" s="118" t="inlineStr">
        <is>
          <t>AMORTIZAÇÃO</t>
        </is>
      </c>
      <c r="M749" s="118" t="inlineStr">
        <is>
          <t>AMEX</t>
        </is>
      </c>
      <c r="N749" s="118" t="inlineStr">
        <is>
          <t>RESIDUAL</t>
        </is>
      </c>
      <c r="O749" s="256" t="n"/>
      <c r="P749" s="256" t="n"/>
      <c r="Q749" s="256" t="n"/>
    </row>
    <row r="750">
      <c r="A750">
        <f>IF(DAY(D750)=DAY($L$1+1),A749+1,A749)</f>
        <v/>
      </c>
      <c r="B750" s="111">
        <f>IF(DAY(D750)=DAY($L$1+1),1,B749+1)</f>
        <v/>
      </c>
      <c r="C750" s="111">
        <f>IF(DAY(D750)=DAY($L$1+1),1,C749+1)</f>
        <v/>
      </c>
      <c r="D750" s="112">
        <f>D749+1</f>
        <v/>
      </c>
      <c r="E750" s="113">
        <f>IF(DAY(D750)=DAY($L$1+1),TRUNC((N749),8),E749)</f>
        <v/>
      </c>
      <c r="F750" s="114">
        <f>TRUNC(((1+VLOOKUP(A750,IPCA!$A$2:$C$140,3,0)))^(C750/(EDATE(D750-C750,1)-(D750-C750))),8)</f>
        <v/>
      </c>
      <c r="G750" s="114">
        <f>TRUNC((E750*F750),8)</f>
        <v/>
      </c>
      <c r="H750" s="114">
        <f>ROUND(((1+$H$4)^(30/360))^(C750/(EDATE(D750-B750,1)-(D750-B750))),9)</f>
        <v/>
      </c>
      <c r="I750" s="114">
        <f>TRUNC((G750*H750-G750),8)</f>
        <v/>
      </c>
      <c r="J750" s="114">
        <f>G750+I750</f>
        <v/>
      </c>
      <c r="K750" s="119" t="n">
        <v>0</v>
      </c>
      <c r="L750" s="120" t="n">
        <v>0</v>
      </c>
      <c r="M750" s="120" t="n">
        <v>0</v>
      </c>
      <c r="N750" s="120">
        <f>J750-K750-L750-M750</f>
        <v/>
      </c>
      <c r="O750" s="256" t="n"/>
      <c r="P750" s="256" t="n"/>
      <c r="Q750" s="256" t="n"/>
    </row>
    <row r="751">
      <c r="A751">
        <f>IF(DAY(D751)=DAY($L$1+1),A750+1,A750)</f>
        <v/>
      </c>
      <c r="B751" s="46">
        <f>IF(DAY(D751)=DAY($L$1+1),1,B750+1)</f>
        <v/>
      </c>
      <c r="C751" s="46">
        <f>IF(DAY(D751)=DAY($L$1+1),1,C750+1)</f>
        <v/>
      </c>
      <c r="D751" s="2">
        <f>D750+1</f>
        <v/>
      </c>
      <c r="E751" s="8">
        <f>IF(DAY(D751)=DAY($L$1+1),TRUNC((N750),8),E750)</f>
        <v/>
      </c>
      <c r="F751" s="49">
        <f>TRUNC(((1+VLOOKUP(A751,IPCA!$A$2:$C$140,3,0)))^(C751/(EDATE(D751-C751,1)-(D751-C751))),8)</f>
        <v/>
      </c>
      <c r="G751" s="49">
        <f>TRUNC((E751*F751),8)</f>
        <v/>
      </c>
      <c r="H751" s="49">
        <f>ROUND(((1+$H$4)^(30/360))^(C751/(EDATE(D751-B751,1)-(D751-B751))),9)</f>
        <v/>
      </c>
      <c r="I751" s="49">
        <f>TRUNC((G751*H751-G751),8)</f>
        <v/>
      </c>
      <c r="J751" s="49">
        <f>G751+I751</f>
        <v/>
      </c>
      <c r="K751" s="121">
        <f>K750*L748</f>
        <v/>
      </c>
      <c r="L751" s="121">
        <f>L750*L748</f>
        <v/>
      </c>
      <c r="M751" s="121">
        <f>M750*L748</f>
        <v/>
      </c>
      <c r="N751" s="121">
        <f>N750*L748</f>
        <v/>
      </c>
      <c r="O751" s="256" t="n"/>
      <c r="P751" s="256" t="n"/>
      <c r="Q751" s="256" t="n"/>
    </row>
    <row r="752">
      <c r="A752">
        <f>IF(DAY(D752)=DAY($L$1+1),A751+1,A751)</f>
        <v/>
      </c>
      <c r="B752" s="46">
        <f>IF(DAY(D752)=DAY($L$1+1),1,B751+1)</f>
        <v/>
      </c>
      <c r="C752" s="46">
        <f>IF(DAY(D752)=DAY($L$1+1),1,C751+1)</f>
        <v/>
      </c>
      <c r="D752" s="2">
        <f>D751+1</f>
        <v/>
      </c>
      <c r="E752" s="8">
        <f>IF(DAY(D752)=DAY($L$1+1),TRUNC((N751),8),E751)</f>
        <v/>
      </c>
      <c r="F752" s="49">
        <f>TRUNC(((1+VLOOKUP(A752,IPCA!$A$2:$C$140,3,0)))^(C752/(EDATE(D752-C752,1)-(D752-C752))),8)</f>
        <v/>
      </c>
      <c r="G752" s="49">
        <f>TRUNC((E752*F752),8)</f>
        <v/>
      </c>
      <c r="H752" s="49">
        <f>ROUND(((1+$H$4)^(30/360))^(C752/(EDATE(D752-B752,1)-(D752-B752))),9)</f>
        <v/>
      </c>
      <c r="I752" s="49">
        <f>TRUNC((G752*H752-G752),8)</f>
        <v/>
      </c>
      <c r="J752" s="49">
        <f>G752+I752</f>
        <v/>
      </c>
      <c r="K752" s="256" t="n"/>
      <c r="L752" s="256" t="n"/>
      <c r="M752" s="256" t="n"/>
      <c r="N752" s="256" t="n"/>
      <c r="O752" s="256" t="n"/>
      <c r="P752" s="256" t="n"/>
      <c r="Q752" s="256" t="n"/>
    </row>
    <row r="753">
      <c r="A753">
        <f>IF(DAY(D753)=DAY($L$1+1),A752+1,A752)</f>
        <v/>
      </c>
      <c r="B753" s="46">
        <f>IF(DAY(D753)=DAY($L$1+1),1,B752+1)</f>
        <v/>
      </c>
      <c r="C753" s="46">
        <f>IF(DAY(D753)=DAY($L$1+1),1,C752+1)</f>
        <v/>
      </c>
      <c r="D753" s="2">
        <f>D752+1</f>
        <v/>
      </c>
      <c r="E753" s="8">
        <f>IF(DAY(D753)=DAY($L$1+1),TRUNC((#REF!),8),E752)</f>
        <v/>
      </c>
      <c r="F753" s="49">
        <f>TRUNC(((1+VLOOKUP(A753,IPCA!$A$2:$C$140,3,0)))^(C753/(EDATE(D753-C753,1)-(D753-C753))),8)</f>
        <v/>
      </c>
      <c r="G753" s="49">
        <f>TRUNC((E753*F753),8)</f>
        <v/>
      </c>
      <c r="H753" s="49">
        <f>ROUND(((1+$H$4)^(30/360))^(C753/(EDATE(D753-B753,1)-(D753-B753))),9)</f>
        <v/>
      </c>
      <c r="I753" s="49">
        <f>TRUNC((G753*H753-G753),8)</f>
        <v/>
      </c>
      <c r="J753" s="49">
        <f>G753+I753</f>
        <v/>
      </c>
      <c r="K753" s="256" t="n"/>
      <c r="L753" s="256" t="n"/>
      <c r="M753" s="256" t="n"/>
      <c r="N753" s="256" t="n"/>
      <c r="O753" s="256" t="n"/>
      <c r="P753" s="256" t="n"/>
      <c r="Q753" s="256" t="n"/>
    </row>
    <row r="754">
      <c r="A754">
        <f>IF(DAY(D754)=DAY($L$1+1),A753+1,A753)</f>
        <v/>
      </c>
      <c r="B754" s="46">
        <f>IF(DAY(D754)=DAY($L$1+1),1,B753+1)</f>
        <v/>
      </c>
      <c r="C754" s="46">
        <f>IF(DAY(D754)=DAY($L$1+1),1,C753+1)</f>
        <v/>
      </c>
      <c r="D754" s="2">
        <f>D753+1</f>
        <v/>
      </c>
      <c r="E754" s="8">
        <f>IF(DAY(D754)=DAY($L$1+1),TRUNC((#REF!),8),E753)</f>
        <v/>
      </c>
      <c r="F754" s="49">
        <f>TRUNC(((1+VLOOKUP(A754,IPCA!$A$2:$C$140,3,0)))^(C754/(EDATE(D754-C754,1)-(D754-C754))),8)</f>
        <v/>
      </c>
      <c r="G754" s="49">
        <f>TRUNC((E754*F754),8)</f>
        <v/>
      </c>
      <c r="H754" s="49">
        <f>ROUND(((1+$H$4)^(30/360))^(C754/(EDATE(D754-B754,1)-(D754-B754))),9)</f>
        <v/>
      </c>
      <c r="I754" s="49">
        <f>TRUNC((G754*H754-G754),8)</f>
        <v/>
      </c>
      <c r="J754" s="49">
        <f>G754+I754</f>
        <v/>
      </c>
      <c r="K754" s="256" t="n"/>
      <c r="L754" s="256" t="n"/>
      <c r="M754" s="256" t="n"/>
      <c r="N754" s="256" t="n"/>
      <c r="O754" s="256" t="n"/>
      <c r="P754" s="256" t="n"/>
      <c r="Q754" s="256" t="n"/>
    </row>
    <row r="755">
      <c r="A755">
        <f>IF(DAY(D755)=DAY($L$1+1),A754+1,A754)</f>
        <v/>
      </c>
      <c r="B755" s="46">
        <f>IF(DAY(D755)=DAY($L$1+1),1,B754+1)</f>
        <v/>
      </c>
      <c r="C755" s="46">
        <f>IF(DAY(D755)=DAY($L$1+1),1,C754+1)</f>
        <v/>
      </c>
      <c r="D755" s="2">
        <f>D754+1</f>
        <v/>
      </c>
      <c r="E755" s="8">
        <f>IF(DAY(D755)=DAY($L$1+1),TRUNC((#REF!),8),E754)</f>
        <v/>
      </c>
      <c r="F755" s="49">
        <f>TRUNC(((1+VLOOKUP(A755,IPCA!$A$2:$C$140,3,0)))^(C755/(EDATE(D755-C755,1)-(D755-C755))),8)</f>
        <v/>
      </c>
      <c r="G755" s="49">
        <f>TRUNC((E755*F755),8)</f>
        <v/>
      </c>
      <c r="H755" s="49">
        <f>ROUND(((1+$H$4)^(30/360))^(C755/(EDATE(D755-B755,1)-(D755-B755))),9)</f>
        <v/>
      </c>
      <c r="I755" s="49">
        <f>TRUNC((G755*H755-G755),8)</f>
        <v/>
      </c>
      <c r="J755" s="49">
        <f>G755+I755</f>
        <v/>
      </c>
      <c r="K755" s="256" t="n"/>
      <c r="L755" s="256" t="n"/>
      <c r="M755" s="256" t="n"/>
      <c r="N755" s="256" t="n"/>
      <c r="O755" s="256" t="n"/>
      <c r="P755" s="256" t="n"/>
      <c r="Q755" s="256" t="n"/>
    </row>
    <row r="756">
      <c r="A756">
        <f>IF(DAY(D756)=DAY($L$1+1),A755+1,A755)</f>
        <v/>
      </c>
      <c r="B756" s="46">
        <f>IF(DAY(D756)=DAY($L$1+1),1,B755+1)</f>
        <v/>
      </c>
      <c r="C756" s="46">
        <f>IF(DAY(D756)=DAY($L$1+1),1,C755+1)</f>
        <v/>
      </c>
      <c r="D756" s="2">
        <f>D755+1</f>
        <v/>
      </c>
      <c r="E756" s="8">
        <f>IF(DAY(D756)=DAY($L$1+1),TRUNC((#REF!),8),E755)</f>
        <v/>
      </c>
      <c r="F756" s="49">
        <f>TRUNC(((1+VLOOKUP(A756,IPCA!$A$2:$C$140,3,0)))^(C756/(EDATE(D756-C756,1)-(D756-C756))),8)</f>
        <v/>
      </c>
      <c r="G756" s="49">
        <f>TRUNC((E756*F756),8)</f>
        <v/>
      </c>
      <c r="H756" s="49">
        <f>ROUND(((1+$H$4)^(30/360))^(C756/(EDATE(D756-B756,1)-(D756-B756))),9)</f>
        <v/>
      </c>
      <c r="I756" s="49">
        <f>TRUNC((G756*H756-G756),8)</f>
        <v/>
      </c>
      <c r="J756" s="49">
        <f>G756+I756</f>
        <v/>
      </c>
      <c r="K756" s="256" t="n"/>
      <c r="L756" s="256" t="n"/>
      <c r="M756" s="256" t="n"/>
      <c r="N756" s="256" t="n"/>
      <c r="O756" s="256" t="n"/>
      <c r="P756" s="256" t="n"/>
      <c r="Q756" s="256" t="n"/>
    </row>
    <row r="757">
      <c r="A757">
        <f>IF(DAY(D757)=DAY($L$1+1),A756+1,A756)</f>
        <v/>
      </c>
      <c r="B757" s="46">
        <f>IF(DAY(D757)=DAY($L$1+1),1,B756+1)</f>
        <v/>
      </c>
      <c r="C757" s="46">
        <f>IF(DAY(D757)=DAY($L$1+1),1,C756+1)</f>
        <v/>
      </c>
      <c r="D757" s="2">
        <f>D756+1</f>
        <v/>
      </c>
      <c r="E757" s="8">
        <f>IF(DAY(D757)=DAY($L$1+1),TRUNC((#REF!),8),E756)</f>
        <v/>
      </c>
      <c r="F757" s="49">
        <f>TRUNC(((1+VLOOKUP(A757,IPCA!$A$2:$C$140,3,0)))^(C757/(EDATE(D757-C757,1)-(D757-C757))),8)</f>
        <v/>
      </c>
      <c r="G757" s="49">
        <f>TRUNC((E757*F757),8)</f>
        <v/>
      </c>
      <c r="H757" s="49">
        <f>ROUND(((1+$H$4)^(30/360))^(C757/(EDATE(D757-B757,1)-(D757-B757))),9)</f>
        <v/>
      </c>
      <c r="I757" s="49">
        <f>TRUNC((G757*H757-G757),8)</f>
        <v/>
      </c>
      <c r="J757" s="49">
        <f>G757+I757</f>
        <v/>
      </c>
      <c r="K757" s="256" t="n"/>
      <c r="L757" s="256" t="n"/>
      <c r="M757" s="256" t="n"/>
      <c r="N757" s="256" t="n"/>
      <c r="O757" s="256" t="n"/>
      <c r="P757" s="256" t="n"/>
      <c r="Q757" s="256" t="n"/>
    </row>
    <row r="758">
      <c r="A758">
        <f>IF(DAY(D758)=DAY($L$1+1),A757+1,A757)</f>
        <v/>
      </c>
      <c r="B758" s="46">
        <f>IF(DAY(D758)=DAY($L$1+1),1,B757+1)</f>
        <v/>
      </c>
      <c r="C758" s="46">
        <f>IF(DAY(D758)=DAY($L$1+1),1,C757+1)</f>
        <v/>
      </c>
      <c r="D758" s="2">
        <f>D757+1</f>
        <v/>
      </c>
      <c r="E758" s="8">
        <f>IF(DAY(D758)=DAY($L$1+1),TRUNC((#REF!),8),E757)</f>
        <v/>
      </c>
      <c r="F758" s="49">
        <f>TRUNC(((1+VLOOKUP(A758,IPCA!$A$2:$C$140,3,0)))^(C758/(EDATE(D758-C758,1)-(D758-C758))),8)</f>
        <v/>
      </c>
      <c r="G758" s="49">
        <f>TRUNC((E758*F758),8)</f>
        <v/>
      </c>
      <c r="H758" s="49">
        <f>ROUND(((1+$H$4)^(30/360))^(C758/(EDATE(D758-B758,1)-(D758-B758))),9)</f>
        <v/>
      </c>
      <c r="I758" s="49">
        <f>TRUNC((G758*H758-G758),8)</f>
        <v/>
      </c>
      <c r="J758" s="49">
        <f>G758+I758</f>
        <v/>
      </c>
      <c r="K758" s="256" t="n"/>
      <c r="L758" s="256" t="n"/>
      <c r="M758" s="256" t="n"/>
      <c r="N758" s="256" t="n"/>
      <c r="O758" s="256" t="n"/>
      <c r="P758" s="256" t="n"/>
      <c r="Q758" s="256" t="n"/>
    </row>
    <row r="759">
      <c r="A759">
        <f>IF(DAY(D759)=DAY($L$1+1),A758+1,A758)</f>
        <v/>
      </c>
      <c r="B759" s="46">
        <f>IF(DAY(D759)=DAY($L$1+1),1,B758+1)</f>
        <v/>
      </c>
      <c r="C759" s="46">
        <f>IF(DAY(D759)=DAY($L$1+1),1,C758+1)</f>
        <v/>
      </c>
      <c r="D759" s="2">
        <f>D758+1</f>
        <v/>
      </c>
      <c r="E759" s="8">
        <f>IF(DAY(D759)=DAY($L$1+1),TRUNC((N758),8),E758)</f>
        <v/>
      </c>
      <c r="F759" s="49">
        <f>TRUNC(((1+VLOOKUP(A759,IPCA!$A$2:$C$140,3,0)))^(C759/(EDATE(D759-C759,1)-(D759-C759))),8)</f>
        <v/>
      </c>
      <c r="G759" s="49">
        <f>TRUNC((E759*F759),8)</f>
        <v/>
      </c>
      <c r="H759" s="49">
        <f>ROUND(((1+$H$4)^(30/360))^(C759/(EDATE(D759-B759,1)-(D759-B759))),9)</f>
        <v/>
      </c>
      <c r="I759" s="49">
        <f>TRUNC((G759*H759-G759),8)</f>
        <v/>
      </c>
      <c r="J759" s="49">
        <f>G759+I759</f>
        <v/>
      </c>
      <c r="K759" s="256" t="n"/>
      <c r="L759" s="256" t="n"/>
      <c r="M759" s="256" t="n"/>
      <c r="N759" s="256" t="n"/>
      <c r="O759" s="256" t="n"/>
      <c r="P759" s="256" t="n"/>
      <c r="Q759" s="256" t="n"/>
    </row>
    <row r="760">
      <c r="A760">
        <f>IF(DAY(D760)=DAY($L$1+1),A759+1,A759)</f>
        <v/>
      </c>
      <c r="B760" s="46">
        <f>IF(DAY(D760)=DAY($L$1+1),1,B759+1)</f>
        <v/>
      </c>
      <c r="C760" s="46">
        <f>IF(DAY(D760)=DAY($L$1+1),1,C759+1)</f>
        <v/>
      </c>
      <c r="D760" s="2">
        <f>D759+1</f>
        <v/>
      </c>
      <c r="E760" s="8">
        <f>IF(DAY(D760)=DAY($L$1+1),TRUNC((N759),8),E759)</f>
        <v/>
      </c>
      <c r="F760" s="49">
        <f>TRUNC(((1+VLOOKUP(A760,IPCA!$A$2:$C$140,3,0)))^(C760/(EDATE(D760-C760,1)-(D760-C760))),8)</f>
        <v/>
      </c>
      <c r="G760" s="49">
        <f>TRUNC((E760*F760),8)</f>
        <v/>
      </c>
      <c r="H760" s="49">
        <f>ROUND(((1+$H$4)^(30/360))^(C760/(EDATE(D760-B760,1)-(D760-B760))),9)</f>
        <v/>
      </c>
      <c r="I760" s="49">
        <f>TRUNC((G760*H760-G760),8)</f>
        <v/>
      </c>
      <c r="J760" s="49">
        <f>G760+I760</f>
        <v/>
      </c>
      <c r="K760" s="256" t="n"/>
      <c r="L760" s="256" t="n"/>
      <c r="M760" s="256" t="n"/>
      <c r="N760" s="256" t="n"/>
      <c r="O760" s="256" t="n"/>
      <c r="P760" s="256" t="n"/>
      <c r="Q760" s="256" t="n"/>
    </row>
    <row r="761">
      <c r="A761">
        <f>IF(DAY(D761)=DAY($L$1+1),A760+1,A760)</f>
        <v/>
      </c>
      <c r="B761" s="46">
        <f>IF(DAY(D761)=DAY($L$1+1),1,B760+1)</f>
        <v/>
      </c>
      <c r="C761" s="46">
        <f>IF(DAY(D761)=DAY($L$1+1),1,C760+1)</f>
        <v/>
      </c>
      <c r="D761" s="2">
        <f>D760+1</f>
        <v/>
      </c>
      <c r="E761" s="8">
        <f>IF(DAY(D761)=DAY($L$1+1),TRUNC((N760),8),E760)</f>
        <v/>
      </c>
      <c r="F761" s="49">
        <f>TRUNC(((1+VLOOKUP(A761,IPCA!$A$2:$C$140,3,0)))^(C761/(EDATE(D761-C761,1)-(D761-C761))),8)</f>
        <v/>
      </c>
      <c r="G761" s="49">
        <f>TRUNC((E761*F761),8)</f>
        <v/>
      </c>
      <c r="H761" s="49">
        <f>ROUND(((1+$H$4)^(30/360))^(C761/(EDATE(D761-B761,1)-(D761-B761))),9)</f>
        <v/>
      </c>
      <c r="I761" s="49">
        <f>TRUNC((G761*H761-G761),8)</f>
        <v/>
      </c>
      <c r="J761" s="49">
        <f>G761+I761</f>
        <v/>
      </c>
      <c r="K761" s="256" t="n"/>
      <c r="L761" s="256" t="n"/>
      <c r="M761" s="256" t="n"/>
      <c r="N761" s="256" t="n"/>
      <c r="O761" s="256" t="n"/>
      <c r="P761" s="256" t="n"/>
      <c r="Q761" s="256" t="n"/>
    </row>
    <row r="762">
      <c r="A762">
        <f>IF(DAY(D762)=DAY($L$1+1),A761+1,A761)</f>
        <v/>
      </c>
      <c r="B762" s="46">
        <f>IF(DAY(D762)=DAY($L$1+1),1,B761+1)</f>
        <v/>
      </c>
      <c r="C762" s="46">
        <f>IF(DAY(D762)=DAY($L$1+1),1,C761+1)</f>
        <v/>
      </c>
      <c r="D762" s="2">
        <f>D761+1</f>
        <v/>
      </c>
      <c r="E762" s="8">
        <f>IF(DAY(D762)=DAY($L$1+1),TRUNC((N761),8),E761)</f>
        <v/>
      </c>
      <c r="F762" s="49">
        <f>TRUNC(((1+VLOOKUP(A762,IPCA!$A$2:$C$140,3,0)))^(C762/(EDATE(D762-C762,1)-(D762-C762))),8)</f>
        <v/>
      </c>
      <c r="G762" s="49">
        <f>TRUNC((E762*F762),8)</f>
        <v/>
      </c>
      <c r="H762" s="49">
        <f>ROUND(((1+$H$4)^(30/360))^(C762/(EDATE(D762-B762,1)-(D762-B762))),9)</f>
        <v/>
      </c>
      <c r="I762" s="49">
        <f>TRUNC((G762*H762-G762),8)</f>
        <v/>
      </c>
      <c r="J762" s="49">
        <f>G762+I762</f>
        <v/>
      </c>
      <c r="K762" s="256" t="n"/>
      <c r="L762" s="256" t="n"/>
      <c r="M762" s="256" t="n"/>
      <c r="N762" s="256" t="n"/>
      <c r="O762" s="256" t="n"/>
      <c r="P762" s="256" t="n"/>
      <c r="Q762" s="256" t="n"/>
    </row>
    <row r="763">
      <c r="A763">
        <f>IF(DAY(D763)=DAY($L$1+1),A762+1,A762)</f>
        <v/>
      </c>
      <c r="B763" s="46">
        <f>IF(DAY(D763)=DAY($L$1+1),1,B762+1)</f>
        <v/>
      </c>
      <c r="C763" s="46">
        <f>IF(DAY(D763)=DAY($L$1+1),1,C762+1)</f>
        <v/>
      </c>
      <c r="D763" s="2">
        <f>D762+1</f>
        <v/>
      </c>
      <c r="E763" s="8">
        <f>IF(DAY(D763)=DAY($L$1+1),TRUNC((N762),8),E762)</f>
        <v/>
      </c>
      <c r="F763" s="49">
        <f>TRUNC(((1+VLOOKUP(A763,IPCA!$A$2:$C$140,3,0)))^(C763/(EDATE(D763-C763,1)-(D763-C763))),8)</f>
        <v/>
      </c>
      <c r="G763" s="49">
        <f>TRUNC((E763*F763),8)</f>
        <v/>
      </c>
      <c r="H763" s="49">
        <f>ROUND(((1+$H$4)^(30/360))^(C763/(EDATE(D763-B763,1)-(D763-B763))),9)</f>
        <v/>
      </c>
      <c r="I763" s="49">
        <f>TRUNC((G763*H763-G763),8)</f>
        <v/>
      </c>
      <c r="J763" s="49">
        <f>G763+I763</f>
        <v/>
      </c>
      <c r="K763" s="256" t="n"/>
      <c r="L763" s="256" t="n"/>
      <c r="M763" s="256" t="n"/>
      <c r="N763" s="256" t="n"/>
      <c r="O763" s="256" t="n"/>
      <c r="P763" s="256" t="n"/>
      <c r="Q763" s="256" t="n"/>
    </row>
    <row r="764">
      <c r="A764">
        <f>IF(DAY(D764)=DAY($L$1+1),A763+1,A763)</f>
        <v/>
      </c>
      <c r="B764" s="46">
        <f>IF(DAY(D764)=DAY($L$1+1),1,B763+1)</f>
        <v/>
      </c>
      <c r="C764" s="46">
        <f>IF(DAY(D764)=DAY($L$1+1),1,C763+1)</f>
        <v/>
      </c>
      <c r="D764" s="2">
        <f>D763+1</f>
        <v/>
      </c>
      <c r="E764" s="8">
        <f>IF(DAY(D764)=DAY($L$1+1),TRUNC((N763),8),E763)</f>
        <v/>
      </c>
      <c r="F764" s="49">
        <f>TRUNC(((1+VLOOKUP(A764,IPCA!$A$2:$C$140,3,0)))^(C764/(EDATE(D764-C764,1)-(D764-C764))),8)</f>
        <v/>
      </c>
      <c r="G764" s="49">
        <f>TRUNC((E764*F764),8)</f>
        <v/>
      </c>
      <c r="H764" s="49">
        <f>ROUND(((1+$H$4)^(30/360))^(C764/(EDATE(D764-B764,1)-(D764-B764))),9)</f>
        <v/>
      </c>
      <c r="I764" s="49">
        <f>TRUNC((G764*H764-G764),8)</f>
        <v/>
      </c>
      <c r="J764" s="49">
        <f>G764+I764</f>
        <v/>
      </c>
      <c r="K764" s="256" t="n"/>
      <c r="L764" s="256" t="n"/>
      <c r="M764" s="256" t="n"/>
      <c r="N764" s="256" t="n"/>
      <c r="O764" s="256" t="n"/>
      <c r="P764" s="256" t="n"/>
      <c r="Q764" s="256" t="n"/>
    </row>
    <row r="765">
      <c r="A765">
        <f>IF(DAY(D765)=DAY($L$1+1),A764+1,A764)</f>
        <v/>
      </c>
      <c r="B765" s="46">
        <f>IF(DAY(D765)=DAY($L$1+1),1,B764+1)</f>
        <v/>
      </c>
      <c r="C765" s="46">
        <f>IF(DAY(D765)=DAY($L$1+1),1,C764+1)</f>
        <v/>
      </c>
      <c r="D765" s="2">
        <f>D764+1</f>
        <v/>
      </c>
      <c r="E765" s="8">
        <f>IF(DAY(D765)=DAY($L$1+1),TRUNC((N764),8),E764)</f>
        <v/>
      </c>
      <c r="F765" s="49">
        <f>TRUNC(((1+VLOOKUP(A765,IPCA!$A$2:$C$140,3,0)))^(C765/(EDATE(D765-C765,1)-(D765-C765))),8)</f>
        <v/>
      </c>
      <c r="G765" s="49">
        <f>TRUNC((E765*F765),8)</f>
        <v/>
      </c>
      <c r="H765" s="49">
        <f>ROUND(((1+$H$4)^(30/360))^(C765/(EDATE(D765-B765,1)-(D765-B765))),9)</f>
        <v/>
      </c>
      <c r="I765" s="49">
        <f>TRUNC((G765*H765-G765),8)</f>
        <v/>
      </c>
      <c r="J765" s="49">
        <f>G765+I765</f>
        <v/>
      </c>
      <c r="K765" s="123" t="n"/>
      <c r="L765" s="271" t="n"/>
      <c r="M765" s="256" t="n"/>
      <c r="N765" s="256" t="n"/>
      <c r="O765" s="256" t="n"/>
      <c r="P765" s="256" t="n"/>
      <c r="Q765" s="256" t="n"/>
    </row>
    <row r="766">
      <c r="A766">
        <f>IF(DAY(D766)=DAY($L$1+1),A765+1,A765)</f>
        <v/>
      </c>
      <c r="B766" s="46">
        <f>IF(DAY(D766)=DAY($L$1+1),1,B765+1)</f>
        <v/>
      </c>
      <c r="C766" s="46">
        <f>IF(DAY(D766)=DAY($L$1+1),1,C765+1)</f>
        <v/>
      </c>
      <c r="D766" s="2">
        <f>D765+1</f>
        <v/>
      </c>
      <c r="E766" s="8">
        <f>IF(DAY(D766)=DAY($L$1+1),TRUNC((N765),8),E765)</f>
        <v/>
      </c>
      <c r="F766" s="49">
        <f>TRUNC(((1+VLOOKUP(A766,IPCA!$A$2:$C$140,3,0)))^(C766/(EDATE(D766-C766,1)-(D766-C766))),8)</f>
        <v/>
      </c>
      <c r="G766" s="49">
        <f>TRUNC((E766*F766),8)</f>
        <v/>
      </c>
      <c r="H766" s="49">
        <f>ROUND(((1+$H$4)^(30/360))^(C766/(EDATE(D766-B766,1)-(D766-B766))),9)</f>
        <v/>
      </c>
      <c r="I766" s="49">
        <f>TRUNC((G766*H766-G766),8)</f>
        <v/>
      </c>
      <c r="J766" s="49">
        <f>G766+I766</f>
        <v/>
      </c>
      <c r="K766" s="256" t="n"/>
      <c r="L766" s="256" t="n"/>
      <c r="M766" s="256" t="n"/>
      <c r="N766" s="256" t="n"/>
      <c r="O766" s="256" t="n"/>
      <c r="P766" s="256" t="n"/>
      <c r="Q766" s="256" t="n"/>
    </row>
    <row r="767">
      <c r="A767">
        <f>IF(DAY(D767)=DAY($L$1+1),A766+1,A766)</f>
        <v/>
      </c>
      <c r="B767" s="46">
        <f>IF(DAY(D767)=DAY($L$1+1),1,B766+1)</f>
        <v/>
      </c>
      <c r="C767" s="46">
        <f>IF(DAY(D767)=DAY($L$1+1),1,C766+1)</f>
        <v/>
      </c>
      <c r="D767" s="2">
        <f>D766+1</f>
        <v/>
      </c>
      <c r="E767" s="8">
        <f>IF(DAY(D767)=DAY($L$1+1),TRUNC((N766),8),E766)</f>
        <v/>
      </c>
      <c r="F767" s="49">
        <f>TRUNC(((1+VLOOKUP(A767,IPCA!$A$2:$C$140,3,0)))^(C767/(EDATE(D767-C767,1)-(D767-C767))),8)</f>
        <v/>
      </c>
      <c r="G767" s="49">
        <f>TRUNC((E767*F767),8)</f>
        <v/>
      </c>
      <c r="H767" s="49">
        <f>ROUND(((1+$H$4)^(30/360))^(C767/(EDATE(D767-B767,1)-(D767-B767))),9)</f>
        <v/>
      </c>
      <c r="I767" s="49">
        <f>TRUNC((G767*H767-G767),8)</f>
        <v/>
      </c>
      <c r="J767" s="49">
        <f>G767+I767</f>
        <v/>
      </c>
      <c r="K767" s="256" t="n"/>
      <c r="L767" s="256" t="n"/>
      <c r="M767" s="256" t="n"/>
      <c r="N767" s="256" t="n"/>
      <c r="O767" s="256" t="n"/>
      <c r="P767" s="256" t="n"/>
      <c r="Q767" s="256" t="n"/>
    </row>
    <row r="768">
      <c r="A768">
        <f>IF(DAY(D768)=DAY($L$1+1),A767+1,A767)</f>
        <v/>
      </c>
      <c r="B768" s="46">
        <f>IF(DAY(D768)=DAY($L$1+1),1,B767+1)</f>
        <v/>
      </c>
      <c r="C768" s="46">
        <f>IF(DAY(D768)=DAY($L$1+1),1,C767+1)</f>
        <v/>
      </c>
      <c r="D768" s="2">
        <f>D767+1</f>
        <v/>
      </c>
      <c r="E768" s="8">
        <f>IF(DAY(D768)=DAY($L$1+1),TRUNC((N767),8),E767)</f>
        <v/>
      </c>
      <c r="F768" s="49">
        <f>TRUNC(((1+VLOOKUP(A768,IPCA!$A$2:$C$140,3,0)))^(C768/(EDATE(D768-C768,1)-(D768-C768))),8)</f>
        <v/>
      </c>
      <c r="G768" s="49">
        <f>TRUNC((E768*F768),8)</f>
        <v/>
      </c>
      <c r="H768" s="49">
        <f>ROUND(((1+$H$4)^(30/360))^(C768/(EDATE(D768-B768,1)-(D768-B768))),9)</f>
        <v/>
      </c>
      <c r="I768" s="49">
        <f>TRUNC((G768*H768-G768),8)</f>
        <v/>
      </c>
      <c r="J768" s="49">
        <f>G768+I768</f>
        <v/>
      </c>
      <c r="K768" s="256" t="n"/>
      <c r="L768" s="256" t="n"/>
      <c r="M768" s="256" t="n"/>
      <c r="N768" s="256" t="n"/>
      <c r="O768" s="256" t="n"/>
      <c r="P768" s="256" t="n"/>
      <c r="Q768" s="256" t="n"/>
    </row>
    <row r="769">
      <c r="A769">
        <f>IF(DAY(D769)=DAY($L$1+1),A768+1,A768)</f>
        <v/>
      </c>
      <c r="B769" s="46">
        <f>IF(DAY(D769)=DAY($L$1+1),1,B768+1)</f>
        <v/>
      </c>
      <c r="C769" s="46">
        <f>IF(DAY(D769)=DAY($L$1+1),1,C768+1)</f>
        <v/>
      </c>
      <c r="D769" s="2">
        <f>D768+1</f>
        <v/>
      </c>
      <c r="E769" s="8">
        <f>IF(DAY(D769)=DAY($L$1+1),TRUNC((N768),8),E768)</f>
        <v/>
      </c>
      <c r="F769" s="49">
        <f>TRUNC(((1+VLOOKUP(A769,IPCA!$A$2:$C$140,3,0)))^(C769/(EDATE(D769-C769,1)-(D769-C769))),8)</f>
        <v/>
      </c>
      <c r="G769" s="49">
        <f>TRUNC((E769*F769),8)</f>
        <v/>
      </c>
      <c r="H769" s="49">
        <f>ROUND(((1+$H$4)^(30/360))^(C769/(EDATE(D769-B769,1)-(D769-B769))),9)</f>
        <v/>
      </c>
      <c r="I769" s="49">
        <f>TRUNC((G769*H769-G769),8)</f>
        <v/>
      </c>
      <c r="J769" s="49">
        <f>G769+I769</f>
        <v/>
      </c>
      <c r="K769" s="256" t="n"/>
      <c r="L769" s="256" t="n"/>
      <c r="M769" s="256" t="n"/>
      <c r="N769" s="256" t="n"/>
      <c r="O769" s="256" t="n"/>
      <c r="P769" s="256" t="n"/>
      <c r="Q769" s="256" t="n"/>
    </row>
    <row r="770">
      <c r="A770">
        <f>IF(DAY(D770)=DAY($L$1+1),A769+1,A769)</f>
        <v/>
      </c>
      <c r="B770" s="46">
        <f>IF(DAY(D770)=DAY($L$1+1),1,B769+1)</f>
        <v/>
      </c>
      <c r="C770" s="46">
        <f>IF(DAY(D770)=DAY($L$1+1),1,C769+1)</f>
        <v/>
      </c>
      <c r="D770" s="2">
        <f>D769+1</f>
        <v/>
      </c>
      <c r="E770" s="8">
        <f>IF(DAY(D770)=DAY($L$1+1),TRUNC((N769),8),E769)</f>
        <v/>
      </c>
      <c r="F770" s="49">
        <f>TRUNC(((1+VLOOKUP(A770,IPCA!$A$2:$C$140,3,0)))^(C770/(EDATE(D770-C770,1)-(D770-C770))),8)</f>
        <v/>
      </c>
      <c r="G770" s="49">
        <f>TRUNC((E770*F770),8)</f>
        <v/>
      </c>
      <c r="H770" s="49">
        <f>ROUND(((1+$H$4)^(30/360))^(C770/(EDATE(D770-B770,1)-(D770-B770))),9)</f>
        <v/>
      </c>
      <c r="I770" s="49">
        <f>TRUNC((G770*H770-G770),8)</f>
        <v/>
      </c>
      <c r="J770" s="49">
        <f>G770+I770</f>
        <v/>
      </c>
      <c r="K770" s="256" t="n"/>
      <c r="L770" s="256" t="n"/>
      <c r="M770" s="256" t="n"/>
      <c r="N770" s="256" t="n"/>
      <c r="O770" s="256" t="n"/>
      <c r="P770" s="256" t="n"/>
      <c r="Q770" s="256" t="n"/>
    </row>
    <row r="771">
      <c r="A771">
        <f>IF(DAY(D771)=DAY($L$1+1),A770+1,A770)</f>
        <v/>
      </c>
      <c r="B771" s="46">
        <f>IF(DAY(D771)=DAY($L$1+1),1,B770+1)</f>
        <v/>
      </c>
      <c r="C771" s="46">
        <f>IF(DAY(D771)=DAY($L$1+1),1,C770+1)</f>
        <v/>
      </c>
      <c r="D771" s="2">
        <f>D770+1</f>
        <v/>
      </c>
      <c r="E771" s="8">
        <f>IF(DAY(D771)=DAY($L$1+1),TRUNC((N770),8),E770)</f>
        <v/>
      </c>
      <c r="F771" s="49">
        <f>TRUNC(((1+VLOOKUP(A771,IPCA!$A$2:$C$140,3,0)))^(C771/(EDATE(D771-C771,1)-(D771-C771))),8)</f>
        <v/>
      </c>
      <c r="G771" s="49">
        <f>TRUNC((E771*F771),8)</f>
        <v/>
      </c>
      <c r="H771" s="49">
        <f>ROUND(((1+$H$4)^(30/360))^(C771/(EDATE(D771-B771,1)-(D771-B771))),9)</f>
        <v/>
      </c>
      <c r="I771" s="49">
        <f>TRUNC((G771*H771-G771),8)</f>
        <v/>
      </c>
      <c r="J771" s="49">
        <f>G771+I771</f>
        <v/>
      </c>
      <c r="K771" s="256" t="n"/>
      <c r="L771" s="256" t="n"/>
      <c r="M771" s="256" t="n"/>
      <c r="N771" s="256" t="n"/>
      <c r="O771" s="256" t="n"/>
      <c r="P771" s="256" t="n"/>
      <c r="Q771" s="256" t="n"/>
    </row>
    <row r="772">
      <c r="A772">
        <f>IF(DAY(D772)=DAY($L$1+1),A771+1,A771)</f>
        <v/>
      </c>
      <c r="B772" s="46">
        <f>IF(DAY(D772)=DAY($L$1+1),1,B771+1)</f>
        <v/>
      </c>
      <c r="C772" s="46">
        <f>IF(DAY(D772)=DAY($L$1+1),1,C771+1)</f>
        <v/>
      </c>
      <c r="D772" s="2">
        <f>D771+1</f>
        <v/>
      </c>
      <c r="E772" s="8">
        <f>IF(DAY(D772)=DAY($L$1+1),TRUNC((N771),8),E771)</f>
        <v/>
      </c>
      <c r="F772" s="49">
        <f>TRUNC(((1+VLOOKUP(A772,IPCA!$A$2:$C$140,3,0)))^(C772/(EDATE(D772-C772,1)-(D772-C772))),8)</f>
        <v/>
      </c>
      <c r="G772" s="49">
        <f>TRUNC((E772*F772),8)</f>
        <v/>
      </c>
      <c r="H772" s="49">
        <f>ROUND(((1+$H$4)^(30/360))^(C772/(EDATE(D772-B772,1)-(D772-B772))),9)</f>
        <v/>
      </c>
      <c r="I772" s="49">
        <f>TRUNC((G772*H772-G772),8)</f>
        <v/>
      </c>
      <c r="J772" s="49">
        <f>G772+I772</f>
        <v/>
      </c>
      <c r="K772" s="256" t="n"/>
      <c r="L772" s="256" t="n"/>
      <c r="M772" s="256" t="n"/>
      <c r="N772" s="256" t="n"/>
      <c r="O772" s="256" t="n"/>
      <c r="P772" s="256" t="n"/>
      <c r="Q772" s="256" t="n"/>
    </row>
    <row r="773">
      <c r="A773">
        <f>IF(DAY(D773)=DAY($L$1+1),A772+1,A772)</f>
        <v/>
      </c>
      <c r="B773" s="46">
        <f>IF(DAY(D773)=DAY($L$1+1),1,B772+1)</f>
        <v/>
      </c>
      <c r="C773" s="46">
        <f>IF(DAY(D773)=DAY($L$1+1),1,C772+1)</f>
        <v/>
      </c>
      <c r="D773" s="2">
        <f>D772+1</f>
        <v/>
      </c>
      <c r="E773" s="8">
        <f>IF(DAY(D773)=DAY($L$1+1),TRUNC((N772),8),E772)</f>
        <v/>
      </c>
      <c r="F773" s="49">
        <f>TRUNC(((1+VLOOKUP(A773,IPCA!$A$2:$C$140,3,0)))^(C773/(EDATE(D773-C773,1)-(D773-C773))),8)</f>
        <v/>
      </c>
      <c r="G773" s="49">
        <f>TRUNC((E773*F773),8)</f>
        <v/>
      </c>
      <c r="H773" s="49">
        <f>ROUND(((1+$H$4)^(30/360))^(C773/(EDATE(D773-B773,1)-(D773-B773))),9)</f>
        <v/>
      </c>
      <c r="I773" s="49">
        <f>TRUNC((G773*H773-G773),8)</f>
        <v/>
      </c>
      <c r="J773" s="49">
        <f>G773+I773</f>
        <v/>
      </c>
      <c r="K773" s="256" t="n"/>
      <c r="L773" s="256" t="n"/>
      <c r="M773" s="256" t="n"/>
      <c r="N773" s="256" t="n"/>
      <c r="O773" s="256" t="n"/>
      <c r="P773" s="256" t="n"/>
      <c r="Q773" s="256" t="n"/>
    </row>
    <row r="774">
      <c r="A774">
        <f>IF(DAY(D774)=DAY($L$1+1),A773+1,A773)</f>
        <v/>
      </c>
      <c r="B774" s="46">
        <f>IF(DAY(D774)=DAY($L$1+1),1,B773+1)</f>
        <v/>
      </c>
      <c r="C774" s="46">
        <f>IF(DAY(D774)=DAY($L$1+1),1,C773+1)</f>
        <v/>
      </c>
      <c r="D774" s="2">
        <f>D773+1</f>
        <v/>
      </c>
      <c r="E774" s="8">
        <f>IF(DAY(D774)=DAY($L$1+1),TRUNC((N773),8),E773)</f>
        <v/>
      </c>
      <c r="F774" s="49">
        <f>TRUNC(((1+VLOOKUP(A774,IPCA!$A$2:$C$140,3,0)))^(C774/(EDATE(D774-C774,1)-(D774-C774))),8)</f>
        <v/>
      </c>
      <c r="G774" s="49">
        <f>TRUNC((E774*F774),8)</f>
        <v/>
      </c>
      <c r="H774" s="49">
        <f>ROUND(((1+$H$4)^(30/360))^(C774/(EDATE(D774-B774,1)-(D774-B774))),9)</f>
        <v/>
      </c>
      <c r="I774" s="49">
        <f>TRUNC((G774*H774-G774),8)</f>
        <v/>
      </c>
      <c r="J774" s="49">
        <f>G774+I774</f>
        <v/>
      </c>
      <c r="K774" s="256" t="n"/>
      <c r="L774" s="256" t="n"/>
      <c r="M774" s="256" t="n"/>
      <c r="N774" s="256" t="n"/>
      <c r="O774" s="256" t="n"/>
      <c r="P774" s="256" t="n"/>
      <c r="Q774" s="256" t="n"/>
    </row>
    <row r="775">
      <c r="A775">
        <f>IF(DAY(D775)=DAY($L$1+1),A774+1,A774)</f>
        <v/>
      </c>
      <c r="B775" s="46">
        <f>IF(DAY(D775)=DAY($L$1+1),1,B774+1)</f>
        <v/>
      </c>
      <c r="C775" s="46">
        <f>IF(DAY(D775)=DAY($L$1+1),1,C774+1)</f>
        <v/>
      </c>
      <c r="D775" s="2">
        <f>D774+1</f>
        <v/>
      </c>
      <c r="E775" s="8">
        <f>IF(DAY(D775)=DAY($L$1+1),TRUNC((N774),8),E774)</f>
        <v/>
      </c>
      <c r="F775" s="49">
        <f>TRUNC(((1+VLOOKUP(A775,IPCA!$A$2:$C$140,3,0)))^(C775/(EDATE(D775-C775,1)-(D775-C775))),8)</f>
        <v/>
      </c>
      <c r="G775" s="49">
        <f>TRUNC((E775*F775),8)</f>
        <v/>
      </c>
      <c r="H775" s="49">
        <f>ROUND(((1+$H$4)^(30/360))^(C775/(EDATE(D775-B775,1)-(D775-B775))),9)</f>
        <v/>
      </c>
      <c r="I775" s="49">
        <f>TRUNC((G775*H775-G775),8)</f>
        <v/>
      </c>
      <c r="J775" s="49">
        <f>G775+I775</f>
        <v/>
      </c>
      <c r="K775" s="256" t="n"/>
      <c r="L775" s="256" t="n"/>
      <c r="M775" s="256" t="n"/>
      <c r="N775" s="256" t="n"/>
      <c r="O775" s="256" t="n"/>
      <c r="P775" s="256" t="n"/>
      <c r="Q775" s="256" t="n"/>
    </row>
    <row r="776">
      <c r="A776">
        <f>IF(DAY(D776)=DAY($L$1+1),A775+1,A775)</f>
        <v/>
      </c>
      <c r="B776" s="46">
        <f>IF(DAY(D776)=DAY($L$1+1),1,B775+1)</f>
        <v/>
      </c>
      <c r="C776" s="46">
        <f>IF(DAY(D776)=DAY($L$1+1),1,C775+1)</f>
        <v/>
      </c>
      <c r="D776" s="2">
        <f>D775+1</f>
        <v/>
      </c>
      <c r="E776" s="8">
        <f>IF(DAY(D776)=DAY($L$1+1),TRUNC((N775),8),E775)</f>
        <v/>
      </c>
      <c r="F776" s="49">
        <f>TRUNC(((1+VLOOKUP(A776,IPCA!$A$2:$C$140,3,0)))^(C776/(EDATE(D776-C776,1)-(D776-C776))),8)</f>
        <v/>
      </c>
      <c r="G776" s="49">
        <f>TRUNC((E776*F776),8)</f>
        <v/>
      </c>
      <c r="H776" s="49">
        <f>ROUND(((1+$H$4)^(30/360))^(C776/(EDATE(D776-B776,1)-(D776-B776))),9)</f>
        <v/>
      </c>
      <c r="I776" s="49">
        <f>TRUNC((G776*H776-G776),8)</f>
        <v/>
      </c>
      <c r="J776" s="49">
        <f>G776+I776</f>
        <v/>
      </c>
      <c r="K776" s="256" t="n"/>
      <c r="L776" s="256" t="n"/>
      <c r="M776" s="256" t="n"/>
      <c r="N776" s="256" t="n"/>
      <c r="O776" s="256" t="n"/>
      <c r="P776" s="256" t="n"/>
      <c r="Q776" s="256" t="n"/>
    </row>
    <row r="777">
      <c r="A777">
        <f>IF(DAY(D777)=DAY($L$1+1),A776+1,A776)</f>
        <v/>
      </c>
      <c r="B777" s="46">
        <f>IF(DAY(D777)=DAY($L$1+1),1,B776+1)</f>
        <v/>
      </c>
      <c r="C777" s="46">
        <f>IF(DAY(D777)=DAY($L$1+1),1,C776+1)</f>
        <v/>
      </c>
      <c r="D777" s="2">
        <f>D776+1</f>
        <v/>
      </c>
      <c r="E777" s="8">
        <f>IF(DAY(D777)=DAY($L$1+1),TRUNC((N776),8),E776)</f>
        <v/>
      </c>
      <c r="F777" s="49">
        <f>TRUNC(((1+VLOOKUP(A777,IPCA!$A$2:$C$140,3,0)))^(C777/(EDATE(D777-C777,1)-(D777-C777))),8)</f>
        <v/>
      </c>
      <c r="G777" s="49">
        <f>TRUNC((E777*F777),8)</f>
        <v/>
      </c>
      <c r="H777" s="49">
        <f>ROUND(((1+$H$4)^(30/360))^(C777/(EDATE(D777-B777,1)-(D777-B777))),9)</f>
        <v/>
      </c>
      <c r="I777" s="49">
        <f>TRUNC((G777*H777-G777),8)</f>
        <v/>
      </c>
      <c r="J777" s="49">
        <f>G777+I777</f>
        <v/>
      </c>
      <c r="K777" s="256" t="n"/>
      <c r="L777" s="256" t="n"/>
      <c r="M777" s="256" t="n"/>
      <c r="N777" s="256" t="n"/>
      <c r="O777" s="256" t="n"/>
      <c r="P777" s="256" t="n"/>
      <c r="Q777" s="256" t="n"/>
    </row>
    <row r="778">
      <c r="A778">
        <f>IF(DAY(D778)=DAY($L$1+1),A777+1,A777)</f>
        <v/>
      </c>
      <c r="B778" s="46">
        <f>IF(DAY(D778)=DAY($L$1+1),1,B777+1)</f>
        <v/>
      </c>
      <c r="C778" s="46">
        <f>IF(DAY(D778)=DAY($L$1+1),1,C777+1)</f>
        <v/>
      </c>
      <c r="D778" s="2">
        <f>D777+1</f>
        <v/>
      </c>
      <c r="E778" s="8">
        <f>IF(DAY(D778)=DAY($L$1+1),TRUNC((N777),8),E777)</f>
        <v/>
      </c>
      <c r="F778" s="49">
        <f>TRUNC(((1+VLOOKUP(A778,IPCA!$A$2:$C$140,3,0)))^(C778/(EDATE(D778-C778,1)-(D778-C778))),8)</f>
        <v/>
      </c>
      <c r="G778" s="49">
        <f>TRUNC((E778*F778),8)</f>
        <v/>
      </c>
      <c r="H778" s="49">
        <f>ROUND(((1+$H$4)^(30/360))^(C778/(EDATE(D778-B778,1)-(D778-B778))),9)</f>
        <v/>
      </c>
      <c r="I778" s="49">
        <f>TRUNC((G778*H778-G778),8)</f>
        <v/>
      </c>
      <c r="J778" s="49">
        <f>G778+I778</f>
        <v/>
      </c>
      <c r="K778" s="256" t="n"/>
      <c r="L778" s="256" t="n"/>
      <c r="M778" s="256" t="n"/>
      <c r="N778" s="256" t="n"/>
      <c r="O778" s="256" t="n"/>
      <c r="P778" s="256" t="n"/>
      <c r="Q778" s="256" t="n"/>
    </row>
    <row r="779">
      <c r="A779">
        <f>IF(DAY(D779)=DAY($L$1+1),A778+1,A778)</f>
        <v/>
      </c>
      <c r="B779" s="46">
        <f>IF(DAY(D779)=DAY($L$1+1),1,B778+1)</f>
        <v/>
      </c>
      <c r="C779" s="46">
        <f>IF(DAY(D779)=DAY($L$1+1),1,C778+1)</f>
        <v/>
      </c>
      <c r="D779" s="2">
        <f>D778+1</f>
        <v/>
      </c>
      <c r="E779" s="8">
        <f>IF(DAY(D779)=DAY($L$1+1),TRUNC((N778),8),E778)</f>
        <v/>
      </c>
      <c r="F779" s="49">
        <f>TRUNC(((1+VLOOKUP(A779,IPCA!$A$2:$C$140,3,0)))^(C779/(EDATE(D779-C779,1)-(D779-C779))),8)</f>
        <v/>
      </c>
      <c r="G779" s="49">
        <f>TRUNC((E779*F779),8)</f>
        <v/>
      </c>
      <c r="H779" s="49">
        <f>ROUND(((1+$H$4)^(30/360))^(C779/(EDATE(D779-B779,1)-(D779-B779))),9)</f>
        <v/>
      </c>
      <c r="I779" s="49">
        <f>TRUNC((G779*H779-G779),8)</f>
        <v/>
      </c>
      <c r="J779" s="49">
        <f>G779+I779</f>
        <v/>
      </c>
      <c r="K779" s="256" t="inlineStr">
        <is>
          <t>Cri Integralizado</t>
        </is>
      </c>
      <c r="L779" s="270">
        <f>L748</f>
        <v/>
      </c>
      <c r="M779" s="256" t="n"/>
      <c r="N779" s="256" t="n"/>
      <c r="O779" s="256" t="n"/>
      <c r="P779" s="256" t="n"/>
      <c r="Q779" s="256" t="n"/>
    </row>
    <row r="780">
      <c r="A780">
        <f>IF(DAY(D780)=DAY($L$1+1),A779+1,A779)</f>
        <v/>
      </c>
      <c r="B780" s="46">
        <f>IF(DAY(D780)=DAY($L$1+1),1,B779+1)</f>
        <v/>
      </c>
      <c r="C780" s="46">
        <f>IF(DAY(D780)=DAY($L$1+1),1,C779+1)</f>
        <v/>
      </c>
      <c r="D780" s="47">
        <f>D779+1</f>
        <v/>
      </c>
      <c r="E780" s="8">
        <f>IF(DAY(D780)=DAY($L$1+1),TRUNC((N779),8),E779)</f>
        <v/>
      </c>
      <c r="F780" s="49">
        <f>TRUNC(((1+VLOOKUP(A780,IPCA!$A$2:$C$140,3,0)))^(C780/(EDATE(D780-C780,1)-(D780-C780))),8)</f>
        <v/>
      </c>
      <c r="G780" s="49">
        <f>TRUNC((E780*F780),8)</f>
        <v/>
      </c>
      <c r="H780" s="49">
        <f>ROUND(((1+$H$4)^(30/360))^(C780/(EDATE(D780-B780,1)-(D780-B780))),9)</f>
        <v/>
      </c>
      <c r="I780" s="49">
        <f>TRUNC((G780*H780-G780),8)</f>
        <v/>
      </c>
      <c r="J780" s="49">
        <f>G780+I780</f>
        <v/>
      </c>
      <c r="K780" s="118" t="inlineStr">
        <is>
          <t>JUROS</t>
        </is>
      </c>
      <c r="L780" s="118" t="inlineStr">
        <is>
          <t>AMORTIZAÇÃO</t>
        </is>
      </c>
      <c r="M780" s="118" t="inlineStr">
        <is>
          <t>AMEX</t>
        </is>
      </c>
      <c r="N780" s="118" t="inlineStr">
        <is>
          <t>RESIDUAL</t>
        </is>
      </c>
      <c r="O780" s="256" t="n"/>
      <c r="P780" s="256" t="n"/>
      <c r="Q780" s="256" t="n"/>
    </row>
    <row r="781">
      <c r="A781">
        <f>IF(DAY(D781)=DAY($L$1+1),A780+1,A780)</f>
        <v/>
      </c>
      <c r="B781" s="111">
        <f>IF(DAY(D781)=DAY($L$1+1),1,B780+1)</f>
        <v/>
      </c>
      <c r="C781" s="111">
        <f>IF(DAY(D781)=DAY($L$1+1),1,C780+1)</f>
        <v/>
      </c>
      <c r="D781" s="112">
        <f>D780+1</f>
        <v/>
      </c>
      <c r="E781" s="113">
        <f>IF(DAY(D781)=DAY($L$1+1),TRUNC((N780),8),E780)</f>
        <v/>
      </c>
      <c r="F781" s="114">
        <f>TRUNC(((1+VLOOKUP(A781,IPCA!$A$2:$C$140,3,0)))^(C781/(EDATE(D781-C781,1)-(D781-C781))),8)</f>
        <v/>
      </c>
      <c r="G781" s="114">
        <f>TRUNC((E781*F781),8)</f>
        <v/>
      </c>
      <c r="H781" s="114">
        <f>ROUND(((1+$H$4)^(30/360))^(C781/(EDATE(D781-B781,1)-(D781-B781))),9)</f>
        <v/>
      </c>
      <c r="I781" s="114">
        <f>TRUNC((G781*H781-G781),8)</f>
        <v/>
      </c>
      <c r="J781" s="114">
        <f>G781+I781</f>
        <v/>
      </c>
      <c r="K781" s="119" t="n">
        <v>0</v>
      </c>
      <c r="L781" s="120" t="n">
        <v>0</v>
      </c>
      <c r="M781" s="120" t="n">
        <v>0</v>
      </c>
      <c r="N781" s="120">
        <f>J781-K781-L781-M781</f>
        <v/>
      </c>
      <c r="O781" s="256" t="n"/>
      <c r="P781" s="256" t="n"/>
      <c r="Q781" s="256" t="n"/>
    </row>
    <row r="782">
      <c r="A782">
        <f>IF(DAY(D782)=DAY($L$1+1),A781+1,A781)</f>
        <v/>
      </c>
      <c r="B782" s="46">
        <f>IF(DAY(D782)=DAY($L$1+1),1,B781+1)</f>
        <v/>
      </c>
      <c r="C782" s="46">
        <f>IF(DAY(D782)=DAY($L$1+1),1,C781+1)</f>
        <v/>
      </c>
      <c r="D782" s="2">
        <f>D781+1</f>
        <v/>
      </c>
      <c r="E782" s="8">
        <f>IF(DAY(D782)=DAY($L$1+1),TRUNC((N781),8),E781)</f>
        <v/>
      </c>
      <c r="F782" s="49">
        <f>TRUNC(((1+VLOOKUP(A782,IPCA!$A$2:$C$140,3,0)))^(C782/(EDATE(D782-C782,1)-(D782-C782))),8)</f>
        <v/>
      </c>
      <c r="G782" s="49">
        <f>TRUNC((E782*F782),8)</f>
        <v/>
      </c>
      <c r="H782" s="49">
        <f>ROUND(((1+$H$4)^(30/360))^(C782/(EDATE(D782-B782,1)-(D782-B782))),9)</f>
        <v/>
      </c>
      <c r="I782" s="49">
        <f>TRUNC((G782*H782-G782),8)</f>
        <v/>
      </c>
      <c r="J782" s="49">
        <f>G782+I782</f>
        <v/>
      </c>
      <c r="K782" s="121">
        <f>K781*L779</f>
        <v/>
      </c>
      <c r="L782" s="121">
        <f>L781*L779</f>
        <v/>
      </c>
      <c r="M782" s="121">
        <f>M781*L779</f>
        <v/>
      </c>
      <c r="N782" s="121">
        <f>N781*L779</f>
        <v/>
      </c>
      <c r="O782" s="256" t="n"/>
      <c r="P782" s="256" t="n"/>
      <c r="Q782" s="256" t="n"/>
    </row>
    <row r="783">
      <c r="A783">
        <f>IF(DAY(D783)=DAY($L$1+1),A782+1,A782)</f>
        <v/>
      </c>
      <c r="B783" s="46">
        <f>IF(DAY(D783)=DAY($L$1+1),1,B782+1)</f>
        <v/>
      </c>
      <c r="C783" s="46">
        <f>IF(DAY(D783)=DAY($L$1+1),1,C782+1)</f>
        <v/>
      </c>
      <c r="D783" s="2">
        <f>D782+1</f>
        <v/>
      </c>
      <c r="E783" s="8">
        <f>IF(DAY(D783)=DAY($L$1+1),TRUNC((N782),8),E782)</f>
        <v/>
      </c>
      <c r="F783" s="49">
        <f>TRUNC(((1+VLOOKUP(A783,IPCA!$A$2:$C$140,3,0)))^(C783/(EDATE(D783-C783,1)-(D783-C783))),8)</f>
        <v/>
      </c>
      <c r="G783" s="49">
        <f>TRUNC((E783*F783),8)</f>
        <v/>
      </c>
      <c r="H783" s="49">
        <f>ROUND(((1+$H$4)^(30/360))^(C783/(EDATE(D783-B783,1)-(D783-B783))),9)</f>
        <v/>
      </c>
      <c r="I783" s="49">
        <f>TRUNC((G783*H783-G783),8)</f>
        <v/>
      </c>
      <c r="J783" s="49">
        <f>G783+I783</f>
        <v/>
      </c>
      <c r="K783" s="256" t="n"/>
      <c r="L783" s="256" t="n"/>
      <c r="M783" s="256" t="n"/>
      <c r="N783" s="256" t="n"/>
      <c r="O783" s="256" t="n"/>
      <c r="P783" s="256" t="n"/>
      <c r="Q783" s="256" t="n"/>
    </row>
    <row r="784">
      <c r="A784">
        <f>IF(DAY(D784)=DAY($L$1+1),A783+1,A783)</f>
        <v/>
      </c>
      <c r="B784" s="46">
        <f>IF(DAY(D784)=DAY($L$1+1),1,B783+1)</f>
        <v/>
      </c>
      <c r="C784" s="46">
        <f>IF(DAY(D784)=DAY($L$1+1),1,C783+1)</f>
        <v/>
      </c>
      <c r="D784" s="2">
        <f>D783+1</f>
        <v/>
      </c>
      <c r="E784" s="8">
        <f>IF(DAY(D784)=DAY($L$1+1),TRUNC((#REF!),8),E783)</f>
        <v/>
      </c>
      <c r="F784" s="49">
        <f>TRUNC(((1+VLOOKUP(A784,IPCA!$A$2:$C$140,3,0)))^(C784/(EDATE(D784-C784,1)-(D784-C784))),8)</f>
        <v/>
      </c>
      <c r="G784" s="49">
        <f>TRUNC((E784*F784),8)</f>
        <v/>
      </c>
      <c r="H784" s="49">
        <f>ROUND(((1+$H$4)^(30/360))^(C784/(EDATE(D784-B784,1)-(D784-B784))),9)</f>
        <v/>
      </c>
      <c r="I784" s="49">
        <f>TRUNC((G784*H784-G784),8)</f>
        <v/>
      </c>
      <c r="J784" s="49">
        <f>G784+I784</f>
        <v/>
      </c>
      <c r="K784" s="256" t="n"/>
      <c r="L784" s="256" t="n"/>
      <c r="M784" s="256" t="n"/>
      <c r="N784" s="256" t="n"/>
      <c r="O784" s="256" t="n"/>
      <c r="P784" s="256" t="n"/>
      <c r="Q784" s="256" t="n"/>
    </row>
    <row r="785">
      <c r="A785">
        <f>IF(DAY(D785)=DAY($L$1+1),A784+1,A784)</f>
        <v/>
      </c>
      <c r="B785" s="46">
        <f>IF(DAY(D785)=DAY($L$1+1),1,B784+1)</f>
        <v/>
      </c>
      <c r="C785" s="46">
        <f>IF(DAY(D785)=DAY($L$1+1),1,C784+1)</f>
        <v/>
      </c>
      <c r="D785" s="2">
        <f>D784+1</f>
        <v/>
      </c>
      <c r="E785" s="8">
        <f>IF(DAY(D785)=DAY($L$1+1),TRUNC((#REF!),8),E784)</f>
        <v/>
      </c>
      <c r="F785" s="49">
        <f>TRUNC(((1+VLOOKUP(A785,IPCA!$A$2:$C$140,3,0)))^(C785/(EDATE(D785-C785,1)-(D785-C785))),8)</f>
        <v/>
      </c>
      <c r="G785" s="49">
        <f>TRUNC((E785*F785),8)</f>
        <v/>
      </c>
      <c r="H785" s="49">
        <f>ROUND(((1+$H$4)^(30/360))^(C785/(EDATE(D785-B785,1)-(D785-B785))),9)</f>
        <v/>
      </c>
      <c r="I785" s="49">
        <f>TRUNC((G785*H785-G785),8)</f>
        <v/>
      </c>
      <c r="J785" s="49">
        <f>G785+I785</f>
        <v/>
      </c>
      <c r="K785" s="256" t="n"/>
      <c r="L785" s="256" t="n"/>
      <c r="M785" s="256" t="n"/>
      <c r="N785" s="256" t="n"/>
      <c r="O785" s="256" t="n"/>
      <c r="P785" s="256" t="n"/>
      <c r="Q785" s="256" t="n"/>
    </row>
    <row r="786">
      <c r="A786">
        <f>IF(DAY(D786)=DAY($L$1+1),A785+1,A785)</f>
        <v/>
      </c>
      <c r="B786" s="46">
        <f>IF(DAY(D786)=DAY($L$1+1),1,B785+1)</f>
        <v/>
      </c>
      <c r="C786" s="46">
        <f>IF(DAY(D786)=DAY($L$1+1),1,C785+1)</f>
        <v/>
      </c>
      <c r="D786" s="2">
        <f>D785+1</f>
        <v/>
      </c>
      <c r="E786" s="8">
        <f>IF(DAY(D786)=DAY($L$1+1),TRUNC((#REF!),8),E785)</f>
        <v/>
      </c>
      <c r="F786" s="49">
        <f>TRUNC(((1+VLOOKUP(A786,IPCA!$A$2:$C$140,3,0)))^(C786/(EDATE(D786-C786,1)-(D786-C786))),8)</f>
        <v/>
      </c>
      <c r="G786" s="49">
        <f>TRUNC((E786*F786),8)</f>
        <v/>
      </c>
      <c r="H786" s="49">
        <f>ROUND(((1+$H$4)^(30/360))^(C786/(EDATE(D786-B786,1)-(D786-B786))),9)</f>
        <v/>
      </c>
      <c r="I786" s="49">
        <f>TRUNC((G786*H786-G786),8)</f>
        <v/>
      </c>
      <c r="J786" s="49">
        <f>G786+I786</f>
        <v/>
      </c>
      <c r="K786" s="256" t="n"/>
      <c r="L786" s="256" t="n"/>
      <c r="M786" s="256" t="n"/>
      <c r="N786" s="256" t="n"/>
      <c r="O786" s="256" t="n"/>
      <c r="P786" s="256" t="n"/>
      <c r="Q786" s="256" t="n"/>
    </row>
    <row r="787">
      <c r="A787">
        <f>IF(DAY(D787)=DAY($L$1+1),A786+1,A786)</f>
        <v/>
      </c>
      <c r="B787" s="46">
        <f>IF(DAY(D787)=DAY($L$1+1),1,B786+1)</f>
        <v/>
      </c>
      <c r="C787" s="46">
        <f>IF(DAY(D787)=DAY($L$1+1),1,C786+1)</f>
        <v/>
      </c>
      <c r="D787" s="2">
        <f>D786+1</f>
        <v/>
      </c>
      <c r="E787" s="8">
        <f>IF(DAY(D787)=DAY($L$1+1),TRUNC((#REF!),8),E786)</f>
        <v/>
      </c>
      <c r="F787" s="49">
        <f>TRUNC(((1+VLOOKUP(A787,IPCA!$A$2:$C$140,3,0)))^(C787/(EDATE(D787-C787,1)-(D787-C787))),8)</f>
        <v/>
      </c>
      <c r="G787" s="49">
        <f>TRUNC((E787*F787),8)</f>
        <v/>
      </c>
      <c r="H787" s="49">
        <f>ROUND(((1+$H$4)^(30/360))^(C787/(EDATE(D787-B787,1)-(D787-B787))),9)</f>
        <v/>
      </c>
      <c r="I787" s="49">
        <f>TRUNC((G787*H787-G787),8)</f>
        <v/>
      </c>
      <c r="J787" s="49">
        <f>G787+I787</f>
        <v/>
      </c>
      <c r="K787" s="256" t="n"/>
      <c r="L787" s="256" t="n"/>
      <c r="M787" s="256" t="n"/>
      <c r="N787" s="256" t="n"/>
      <c r="O787" s="256" t="n"/>
      <c r="P787" s="256" t="n"/>
      <c r="Q787" s="256" t="n"/>
    </row>
    <row r="788">
      <c r="A788">
        <f>IF(DAY(D788)=DAY($L$1+1),A787+1,A787)</f>
        <v/>
      </c>
      <c r="B788" s="46">
        <f>IF(DAY(D788)=DAY($L$1+1),1,B787+1)</f>
        <v/>
      </c>
      <c r="C788" s="46">
        <f>IF(DAY(D788)=DAY($L$1+1),1,C787+1)</f>
        <v/>
      </c>
      <c r="D788" s="2">
        <f>D787+1</f>
        <v/>
      </c>
      <c r="E788" s="8">
        <f>IF(DAY(D788)=DAY($L$1+1),TRUNC((#REF!),8),E787)</f>
        <v/>
      </c>
      <c r="F788" s="49">
        <f>TRUNC(((1+VLOOKUP(A788,IPCA!$A$2:$C$140,3,0)))^(C788/(EDATE(D788-C788,1)-(D788-C788))),8)</f>
        <v/>
      </c>
      <c r="G788" s="49">
        <f>TRUNC((E788*F788),8)</f>
        <v/>
      </c>
      <c r="H788" s="49">
        <f>ROUND(((1+$H$4)^(30/360))^(C788/(EDATE(D788-B788,1)-(D788-B788))),9)</f>
        <v/>
      </c>
      <c r="I788" s="49">
        <f>TRUNC((G788*H788-G788),8)</f>
        <v/>
      </c>
      <c r="J788" s="49">
        <f>G788+I788</f>
        <v/>
      </c>
      <c r="K788" s="256" t="n"/>
      <c r="L788" s="256" t="n"/>
      <c r="M788" s="256" t="n"/>
      <c r="N788" s="256" t="n"/>
      <c r="O788" s="256" t="n"/>
      <c r="P788" s="256" t="n"/>
      <c r="Q788" s="256" t="n"/>
    </row>
    <row r="789">
      <c r="A789">
        <f>IF(DAY(D789)=DAY($L$1+1),A788+1,A788)</f>
        <v/>
      </c>
      <c r="B789" s="46">
        <f>IF(DAY(D789)=DAY($L$1+1),1,B788+1)</f>
        <v/>
      </c>
      <c r="C789" s="46">
        <f>IF(DAY(D789)=DAY($L$1+1),1,C788+1)</f>
        <v/>
      </c>
      <c r="D789" s="2">
        <f>D788+1</f>
        <v/>
      </c>
      <c r="E789" s="8">
        <f>IF(DAY(D789)=DAY($L$1+1),TRUNC((#REF!),8),E788)</f>
        <v/>
      </c>
      <c r="F789" s="49">
        <f>TRUNC(((1+VLOOKUP(A789,IPCA!$A$2:$C$140,3,0)))^(C789/(EDATE(D789-C789,1)-(D789-C789))),8)</f>
        <v/>
      </c>
      <c r="G789" s="49">
        <f>TRUNC((E789*F789),8)</f>
        <v/>
      </c>
      <c r="H789" s="49">
        <f>ROUND(((1+$H$4)^(30/360))^(C789/(EDATE(D789-B789,1)-(D789-B789))),9)</f>
        <v/>
      </c>
      <c r="I789" s="49">
        <f>TRUNC((G789*H789-G789),8)</f>
        <v/>
      </c>
      <c r="J789" s="49">
        <f>G789+I789</f>
        <v/>
      </c>
      <c r="K789" s="256" t="n"/>
      <c r="L789" s="256" t="n"/>
      <c r="M789" s="256" t="n"/>
      <c r="N789" s="256" t="n"/>
      <c r="O789" s="256" t="n"/>
      <c r="P789" s="256" t="n"/>
      <c r="Q789" s="256" t="n"/>
    </row>
    <row r="790">
      <c r="A790">
        <f>IF(DAY(D790)=DAY($L$1+1),A789+1,A789)</f>
        <v/>
      </c>
      <c r="B790" s="46">
        <f>IF(DAY(D790)=DAY($L$1+1),1,B789+1)</f>
        <v/>
      </c>
      <c r="C790" s="46">
        <f>IF(DAY(D790)=DAY($L$1+1),1,C789+1)</f>
        <v/>
      </c>
      <c r="D790" s="2">
        <f>D789+1</f>
        <v/>
      </c>
      <c r="E790" s="8">
        <f>IF(DAY(D790)=DAY($L$1+1),TRUNC((#REF!),8),E789)</f>
        <v/>
      </c>
      <c r="F790" s="49">
        <f>TRUNC(((1+VLOOKUP(A790,IPCA!$A$2:$C$140,3,0)))^(C790/(EDATE(D790-C790,1)-(D790-C790))),8)</f>
        <v/>
      </c>
      <c r="G790" s="49">
        <f>TRUNC((E790*F790),8)</f>
        <v/>
      </c>
      <c r="H790" s="49">
        <f>ROUND(((1+$H$4)^(30/360))^(C790/(EDATE(D790-B790,1)-(D790-B790))),9)</f>
        <v/>
      </c>
      <c r="I790" s="49">
        <f>TRUNC((G790*H790-G790),8)</f>
        <v/>
      </c>
      <c r="J790" s="49">
        <f>G790+I790</f>
        <v/>
      </c>
      <c r="K790" s="256" t="n"/>
      <c r="L790" s="256" t="n"/>
      <c r="M790" s="256" t="n"/>
      <c r="N790" s="256" t="n"/>
      <c r="O790" s="256" t="n"/>
      <c r="P790" s="256" t="n"/>
      <c r="Q790" s="256" t="n"/>
    </row>
    <row r="791">
      <c r="A791">
        <f>IF(DAY(D791)=DAY($L$1+1),A790+1,A790)</f>
        <v/>
      </c>
      <c r="B791" s="46">
        <f>IF(DAY(D791)=DAY($L$1+1),1,B790+1)</f>
        <v/>
      </c>
      <c r="C791" s="46">
        <f>IF(DAY(D791)=DAY($L$1+1),1,C790+1)</f>
        <v/>
      </c>
      <c r="D791" s="2">
        <f>D790+1</f>
        <v/>
      </c>
      <c r="E791" s="8">
        <f>IF(DAY(D791)=DAY($L$1+1),TRUNC((#REF!),8),E790)</f>
        <v/>
      </c>
      <c r="F791" s="49">
        <f>TRUNC(((1+VLOOKUP(A791,IPCA!$A$2:$C$140,3,0)))^(C791/(EDATE(D791-C791,1)-(D791-C791))),8)</f>
        <v/>
      </c>
      <c r="G791" s="49">
        <f>TRUNC((E791*F791),8)</f>
        <v/>
      </c>
      <c r="H791" s="49">
        <f>ROUND(((1+$H$4)^(30/360))^(C791/(EDATE(D791-B791,1)-(D791-B791))),9)</f>
        <v/>
      </c>
      <c r="I791" s="49">
        <f>TRUNC((G791*H791-G791),8)</f>
        <v/>
      </c>
      <c r="J791" s="49">
        <f>G791+I791</f>
        <v/>
      </c>
      <c r="K791" s="256" t="n"/>
      <c r="L791" s="256" t="n"/>
      <c r="M791" s="256" t="n"/>
      <c r="N791" s="256" t="n"/>
      <c r="O791" s="256" t="n"/>
      <c r="P791" s="256" t="n"/>
      <c r="Q791" s="256" t="n"/>
    </row>
    <row r="792">
      <c r="A792">
        <f>IF(DAY(D792)=DAY($L$1+1),A791+1,A791)</f>
        <v/>
      </c>
      <c r="B792" s="46">
        <f>IF(DAY(D792)=DAY($L$1+1),1,B791+1)</f>
        <v/>
      </c>
      <c r="C792" s="46">
        <f>IF(DAY(D792)=DAY($L$1+1),1,C791+1)</f>
        <v/>
      </c>
      <c r="D792" s="2">
        <f>D791+1</f>
        <v/>
      </c>
      <c r="E792" s="8">
        <f>IF(DAY(D792)=DAY($L$1+1),TRUNC((#REF!),8),E791)</f>
        <v/>
      </c>
      <c r="F792" s="49">
        <f>TRUNC(((1+VLOOKUP(A792,IPCA!$A$2:$C$140,3,0)))^(C792/(EDATE(D792-C792,1)-(D792-C792))),8)</f>
        <v/>
      </c>
      <c r="G792" s="49">
        <f>TRUNC((E792*F792),8)</f>
        <v/>
      </c>
      <c r="H792" s="49">
        <f>ROUND(((1+$H$4)^(30/360))^(C792/(EDATE(D792-B792,1)-(D792-B792))),9)</f>
        <v/>
      </c>
      <c r="I792" s="49">
        <f>TRUNC((G792*H792-G792),8)</f>
        <v/>
      </c>
      <c r="J792" s="49">
        <f>G792+I792</f>
        <v/>
      </c>
      <c r="K792" s="256" t="n"/>
      <c r="L792" s="256" t="n"/>
      <c r="M792" s="256" t="n"/>
      <c r="N792" s="256" t="n"/>
      <c r="O792" s="256" t="n"/>
      <c r="P792" s="256" t="n"/>
      <c r="Q792" s="256" t="n"/>
    </row>
    <row r="793">
      <c r="A793">
        <f>IF(DAY(D793)=DAY($L$1+1),A792+1,A792)</f>
        <v/>
      </c>
      <c r="B793" s="46">
        <f>IF(DAY(D793)=DAY($L$1+1),1,B792+1)</f>
        <v/>
      </c>
      <c r="C793" s="46">
        <f>IF(DAY(D793)=DAY($L$1+1),1,C792+1)</f>
        <v/>
      </c>
      <c r="D793" s="2">
        <f>D792+1</f>
        <v/>
      </c>
      <c r="E793" s="8">
        <f>IF(DAY(D793)=DAY($L$1+1),TRUNC((#REF!),8),E792)</f>
        <v/>
      </c>
      <c r="F793" s="49">
        <f>TRUNC(((1+VLOOKUP(A793,IPCA!$A$2:$C$140,3,0)))^(C793/(EDATE(D793-C793,1)-(D793-C793))),8)</f>
        <v/>
      </c>
      <c r="G793" s="49">
        <f>TRUNC((E793*F793),8)</f>
        <v/>
      </c>
      <c r="H793" s="49">
        <f>ROUND(((1+$H$4)^(30/360))^(C793/(EDATE(D793-B793,1)-(D793-B793))),9)</f>
        <v/>
      </c>
      <c r="I793" s="49">
        <f>TRUNC((G793*H793-G793),8)</f>
        <v/>
      </c>
      <c r="J793" s="49">
        <f>G793+I793</f>
        <v/>
      </c>
      <c r="K793" s="256" t="n"/>
      <c r="L793" s="256" t="n"/>
      <c r="M793" s="256" t="n"/>
      <c r="N793" s="256" t="n"/>
      <c r="O793" s="256" t="n"/>
      <c r="P793" s="256" t="n"/>
      <c r="Q793" s="256" t="n"/>
    </row>
    <row r="794">
      <c r="A794">
        <f>IF(DAY(D794)=DAY($L$1+1),A793+1,A793)</f>
        <v/>
      </c>
      <c r="B794" s="46">
        <f>IF(DAY(D794)=DAY($L$1+1),1,B793+1)</f>
        <v/>
      </c>
      <c r="C794" s="46">
        <f>IF(DAY(D794)=DAY($L$1+1),1,C793+1)</f>
        <v/>
      </c>
      <c r="D794" s="2">
        <f>D793+1</f>
        <v/>
      </c>
      <c r="E794" s="8">
        <f>IF(DAY(D794)=DAY($L$1+1),TRUNC((#REF!),8),E793)</f>
        <v/>
      </c>
      <c r="F794" s="49">
        <f>TRUNC(((1+VLOOKUP(A794,IPCA!$A$2:$C$140,3,0)))^(C794/(EDATE(D794-C794,1)-(D794-C794))),8)</f>
        <v/>
      </c>
      <c r="G794" s="49">
        <f>TRUNC((E794*F794),8)</f>
        <v/>
      </c>
      <c r="H794" s="49">
        <f>ROUND(((1+$H$4)^(30/360))^(C794/(EDATE(D794-B794,1)-(D794-B794))),9)</f>
        <v/>
      </c>
      <c r="I794" s="49">
        <f>TRUNC((G794*H794-G794),8)</f>
        <v/>
      </c>
      <c r="J794" s="49">
        <f>G794+I794</f>
        <v/>
      </c>
      <c r="K794" s="256" t="n"/>
      <c r="L794" s="256" t="n"/>
      <c r="M794" s="256" t="n"/>
      <c r="N794" s="256" t="n"/>
      <c r="O794" s="256" t="n"/>
      <c r="P794" s="256" t="n"/>
      <c r="Q794" s="256" t="n"/>
    </row>
    <row r="795">
      <c r="A795">
        <f>IF(DAY(D795)=DAY($L$1+1),A794+1,A794)</f>
        <v/>
      </c>
      <c r="B795" s="46">
        <f>IF(DAY(D795)=DAY($L$1+1),1,B794+1)</f>
        <v/>
      </c>
      <c r="C795" s="46">
        <f>IF(DAY(D795)=DAY($L$1+1),1,C794+1)</f>
        <v/>
      </c>
      <c r="D795" s="2">
        <f>D794+1</f>
        <v/>
      </c>
      <c r="E795" s="8">
        <f>IF(DAY(D795)=DAY($L$1+1),TRUNC((N794),8),E794)</f>
        <v/>
      </c>
      <c r="F795" s="49">
        <f>TRUNC(((1+VLOOKUP(A795,IPCA!$A$2:$C$140,3,0)))^(C795/(EDATE(D795-C795,1)-(D795-C795))),8)</f>
        <v/>
      </c>
      <c r="G795" s="49">
        <f>TRUNC((E795*F795),8)</f>
        <v/>
      </c>
      <c r="H795" s="49">
        <f>ROUND(((1+$H$4)^(30/360))^(C795/(EDATE(D795-B795,1)-(D795-B795))),9)</f>
        <v/>
      </c>
      <c r="I795" s="49">
        <f>TRUNC((G795*H795-G795),8)</f>
        <v/>
      </c>
      <c r="J795" s="49">
        <f>G795+I795</f>
        <v/>
      </c>
      <c r="K795" s="256" t="n"/>
      <c r="L795" s="256" t="n"/>
      <c r="M795" s="256" t="n"/>
      <c r="N795" s="256" t="n"/>
      <c r="O795" s="256" t="n"/>
      <c r="P795" s="256" t="n"/>
      <c r="Q795" s="256" t="n"/>
    </row>
    <row r="796">
      <c r="A796">
        <f>IF(DAY(D796)=DAY($L$1+1),A795+1,A795)</f>
        <v/>
      </c>
      <c r="B796" s="46">
        <f>IF(DAY(D796)=DAY($L$1+1),1,B795+1)</f>
        <v/>
      </c>
      <c r="C796" s="46">
        <f>IF(DAY(D796)=DAY($L$1+1),1,C795+1)</f>
        <v/>
      </c>
      <c r="D796" s="2">
        <f>D795+1</f>
        <v/>
      </c>
      <c r="E796" s="8">
        <f>IF(DAY(D796)=DAY($L$1+1),TRUNC((N795),8),E795)</f>
        <v/>
      </c>
      <c r="F796" s="49">
        <f>TRUNC(((1+VLOOKUP(A796,IPCA!$A$2:$C$140,3,0)))^(C796/(EDATE(D796-C796,1)-(D796-C796))),8)</f>
        <v/>
      </c>
      <c r="G796" s="49">
        <f>TRUNC((E796*F796),8)</f>
        <v/>
      </c>
      <c r="H796" s="49">
        <f>ROUND(((1+$H$4)^(30/360))^(C796/(EDATE(D796-B796,1)-(D796-B796))),9)</f>
        <v/>
      </c>
      <c r="I796" s="49">
        <f>TRUNC((G796*H796-G796),8)</f>
        <v/>
      </c>
      <c r="J796" s="49">
        <f>G796+I796</f>
        <v/>
      </c>
      <c r="K796" s="123" t="n"/>
      <c r="L796" s="271" t="n"/>
      <c r="M796" s="256" t="n"/>
      <c r="N796" s="256" t="n"/>
      <c r="O796" s="256" t="n"/>
      <c r="P796" s="256" t="n"/>
      <c r="Q796" s="256" t="n"/>
    </row>
    <row r="797">
      <c r="A797">
        <f>IF(DAY(D797)=DAY($L$1+1),A796+1,A796)</f>
        <v/>
      </c>
      <c r="B797" s="46">
        <f>IF(DAY(D797)=DAY($L$1+1),1,B796+1)</f>
        <v/>
      </c>
      <c r="C797" s="46">
        <f>IF(DAY(D797)=DAY($L$1+1),1,C796+1)</f>
        <v/>
      </c>
      <c r="D797" s="2">
        <f>D796+1</f>
        <v/>
      </c>
      <c r="E797" s="8">
        <f>IF(DAY(D797)=DAY($L$1+1),TRUNC((N796),8),E796)</f>
        <v/>
      </c>
      <c r="F797" s="49">
        <f>TRUNC(((1+VLOOKUP(A797,IPCA!$A$2:$C$140,3,0)))^(C797/(EDATE(D797-C797,1)-(D797-C797))),8)</f>
        <v/>
      </c>
      <c r="G797" s="49">
        <f>TRUNC((E797*F797),8)</f>
        <v/>
      </c>
      <c r="H797" s="49">
        <f>ROUND(((1+$H$4)^(30/360))^(C797/(EDATE(D797-B797,1)-(D797-B797))),9)</f>
        <v/>
      </c>
      <c r="I797" s="49">
        <f>TRUNC((G797*H797-G797),8)</f>
        <v/>
      </c>
      <c r="J797" s="49">
        <f>G797+I797</f>
        <v/>
      </c>
      <c r="K797" s="256" t="n"/>
      <c r="L797" s="256" t="n"/>
      <c r="M797" s="256" t="n"/>
      <c r="N797" s="256" t="n"/>
      <c r="O797" s="256" t="n"/>
      <c r="P797" s="256" t="n"/>
      <c r="Q797" s="256" t="n"/>
    </row>
    <row r="798">
      <c r="A798">
        <f>IF(DAY(D798)=DAY($L$1+1),A797+1,A797)</f>
        <v/>
      </c>
      <c r="B798" s="46">
        <f>IF(DAY(D798)=DAY($L$1+1),1,B797+1)</f>
        <v/>
      </c>
      <c r="C798" s="46">
        <f>IF(DAY(D798)=DAY($L$1+1),1,C797+1)</f>
        <v/>
      </c>
      <c r="D798" s="2">
        <f>D797+1</f>
        <v/>
      </c>
      <c r="E798" s="8">
        <f>IF(DAY(D798)=DAY($L$1+1),TRUNC((N797),8),E797)</f>
        <v/>
      </c>
      <c r="F798" s="49">
        <f>TRUNC(((1+VLOOKUP(A798,IPCA!$A$2:$C$140,3,0)))^(C798/(EDATE(D798-C798,1)-(D798-C798))),8)</f>
        <v/>
      </c>
      <c r="G798" s="49">
        <f>TRUNC((E798*F798),8)</f>
        <v/>
      </c>
      <c r="H798" s="49">
        <f>ROUND(((1+$H$4)^(30/360))^(C798/(EDATE(D798-B798,1)-(D798-B798))),9)</f>
        <v/>
      </c>
      <c r="I798" s="49">
        <f>TRUNC((G798*H798-G798),8)</f>
        <v/>
      </c>
      <c r="J798" s="49">
        <f>G798+I798</f>
        <v/>
      </c>
      <c r="K798" s="256" t="n"/>
      <c r="L798" s="256" t="n"/>
      <c r="M798" s="256" t="n"/>
      <c r="N798" s="256" t="n"/>
      <c r="O798" s="256" t="n"/>
      <c r="P798" s="256" t="n"/>
      <c r="Q798" s="256" t="n"/>
    </row>
    <row r="799">
      <c r="A799">
        <f>IF(DAY(D799)=DAY($L$1+1),A798+1,A798)</f>
        <v/>
      </c>
      <c r="B799" s="46">
        <f>IF(DAY(D799)=DAY($L$1+1),1,B798+1)</f>
        <v/>
      </c>
      <c r="C799" s="46">
        <f>IF(DAY(D799)=DAY($L$1+1),1,C798+1)</f>
        <v/>
      </c>
      <c r="D799" s="2">
        <f>D798+1</f>
        <v/>
      </c>
      <c r="E799" s="8">
        <f>IF(DAY(D799)=DAY($L$1+1),TRUNC((N798),8),E798)</f>
        <v/>
      </c>
      <c r="F799" s="49">
        <f>TRUNC(((1+VLOOKUP(A799,IPCA!$A$2:$C$140,3,0)))^(C799/(EDATE(D799-C799,1)-(D799-C799))),8)</f>
        <v/>
      </c>
      <c r="G799" s="49">
        <f>TRUNC((E799*F799),8)</f>
        <v/>
      </c>
      <c r="H799" s="49">
        <f>ROUND(((1+$H$4)^(30/360))^(C799/(EDATE(D799-B799,1)-(D799-B799))),9)</f>
        <v/>
      </c>
      <c r="I799" s="49">
        <f>TRUNC((G799*H799-G799),8)</f>
        <v/>
      </c>
      <c r="J799" s="49">
        <f>G799+I799</f>
        <v/>
      </c>
      <c r="K799" s="256" t="n"/>
      <c r="L799" s="256" t="n"/>
      <c r="M799" s="256" t="n"/>
      <c r="N799" s="256" t="n"/>
      <c r="O799" s="256" t="n"/>
      <c r="P799" s="256" t="n"/>
      <c r="Q799" s="256" t="n"/>
    </row>
    <row r="800">
      <c r="A800">
        <f>IF(DAY(D800)=DAY($L$1+1),A799+1,A799)</f>
        <v/>
      </c>
      <c r="B800" s="46">
        <f>IF(DAY(D800)=DAY($L$1+1),1,B799+1)</f>
        <v/>
      </c>
      <c r="C800" s="46">
        <f>IF(DAY(D800)=DAY($L$1+1),1,C799+1)</f>
        <v/>
      </c>
      <c r="D800" s="2">
        <f>D799+1</f>
        <v/>
      </c>
      <c r="E800" s="8">
        <f>IF(DAY(D800)=DAY($L$1+1),TRUNC((N799),8),E799)</f>
        <v/>
      </c>
      <c r="F800" s="49">
        <f>TRUNC(((1+VLOOKUP(A800,IPCA!$A$2:$C$140,3,0)))^(C800/(EDATE(D800-C800,1)-(D800-C800))),8)</f>
        <v/>
      </c>
      <c r="G800" s="49">
        <f>TRUNC((E800*F800),8)</f>
        <v/>
      </c>
      <c r="H800" s="49">
        <f>ROUND(((1+$H$4)^(30/360))^(C800/(EDATE(D800-B800,1)-(D800-B800))),9)</f>
        <v/>
      </c>
      <c r="I800" s="49">
        <f>TRUNC((G800*H800-G800),8)</f>
        <v/>
      </c>
      <c r="J800" s="49">
        <f>G800+I800</f>
        <v/>
      </c>
      <c r="K800" s="256" t="n"/>
      <c r="L800" s="256" t="n"/>
      <c r="M800" s="256" t="n"/>
      <c r="N800" s="256" t="n"/>
      <c r="O800" s="256" t="n"/>
      <c r="P800" s="256" t="n"/>
      <c r="Q800" s="256" t="n"/>
    </row>
    <row r="801">
      <c r="A801">
        <f>IF(DAY(D801)=DAY($L$1+1),A800+1,A800)</f>
        <v/>
      </c>
      <c r="B801" s="46">
        <f>IF(DAY(D801)=DAY($L$1+1),1,B800+1)</f>
        <v/>
      </c>
      <c r="C801" s="46">
        <f>IF(DAY(D801)=DAY($L$1+1),1,C800+1)</f>
        <v/>
      </c>
      <c r="D801" s="2">
        <f>D800+1</f>
        <v/>
      </c>
      <c r="E801" s="8">
        <f>IF(DAY(D801)=DAY($L$1+1),TRUNC((N800),8),E800)</f>
        <v/>
      </c>
      <c r="F801" s="49">
        <f>TRUNC(((1+VLOOKUP(A801,IPCA!$A$2:$C$140,3,0)))^(C801/(EDATE(D801-C801,1)-(D801-C801))),8)</f>
        <v/>
      </c>
      <c r="G801" s="49">
        <f>TRUNC((E801*F801),8)</f>
        <v/>
      </c>
      <c r="H801" s="49">
        <f>ROUND(((1+$H$4)^(30/360))^(C801/(EDATE(D801-B801,1)-(D801-B801))),9)</f>
        <v/>
      </c>
      <c r="I801" s="49">
        <f>TRUNC((G801*H801-G801),8)</f>
        <v/>
      </c>
      <c r="J801" s="49">
        <f>G801+I801</f>
        <v/>
      </c>
      <c r="K801" s="256" t="n"/>
      <c r="L801" s="256" t="n"/>
      <c r="M801" s="256" t="n"/>
      <c r="N801" s="256" t="n"/>
      <c r="O801" s="256" t="n"/>
      <c r="P801" s="256" t="n"/>
      <c r="Q801" s="256" t="n"/>
    </row>
    <row r="802">
      <c r="A802">
        <f>IF(DAY(D802)=DAY($L$1+1),A801+1,A801)</f>
        <v/>
      </c>
      <c r="B802" s="46">
        <f>IF(DAY(D802)=DAY($L$1+1),1,B801+1)</f>
        <v/>
      </c>
      <c r="C802" s="46">
        <f>IF(DAY(D802)=DAY($L$1+1),1,C801+1)</f>
        <v/>
      </c>
      <c r="D802" s="2">
        <f>D801+1</f>
        <v/>
      </c>
      <c r="E802" s="8">
        <f>IF(DAY(D802)=DAY($L$1+1),TRUNC((N801),8),E801)</f>
        <v/>
      </c>
      <c r="F802" s="49">
        <f>TRUNC(((1+VLOOKUP(A802,IPCA!$A$2:$C$140,3,0)))^(C802/(EDATE(D802-C802,1)-(D802-C802))),8)</f>
        <v/>
      </c>
      <c r="G802" s="49">
        <f>TRUNC((E802*F802),8)</f>
        <v/>
      </c>
      <c r="H802" s="49">
        <f>ROUND(((1+$H$4)^(30/360))^(C802/(EDATE(D802-B802,1)-(D802-B802))),9)</f>
        <v/>
      </c>
      <c r="I802" s="49">
        <f>TRUNC((G802*H802-G802),8)</f>
        <v/>
      </c>
      <c r="J802" s="49">
        <f>G802+I802</f>
        <v/>
      </c>
      <c r="K802" s="256" t="n"/>
      <c r="L802" s="256" t="n"/>
      <c r="M802" s="256" t="n"/>
      <c r="N802" s="256" t="n"/>
      <c r="O802" s="256" t="n"/>
      <c r="P802" s="256" t="n"/>
      <c r="Q802" s="256" t="n"/>
    </row>
    <row r="803">
      <c r="A803">
        <f>IF(DAY(D803)=DAY($L$1+1),A802+1,A802)</f>
        <v/>
      </c>
      <c r="B803" s="46">
        <f>IF(DAY(D803)=DAY($L$1+1),1,B802+1)</f>
        <v/>
      </c>
      <c r="C803" s="46">
        <f>IF(DAY(D803)=DAY($L$1+1),1,C802+1)</f>
        <v/>
      </c>
      <c r="D803" s="2">
        <f>D802+1</f>
        <v/>
      </c>
      <c r="E803" s="8">
        <f>IF(DAY(D803)=DAY($L$1+1),TRUNC((N802),8),E802)</f>
        <v/>
      </c>
      <c r="F803" s="49">
        <f>TRUNC(((1+VLOOKUP(A803,IPCA!$A$2:$C$140,3,0)))^(C803/(EDATE(D803-C803,1)-(D803-C803))),8)</f>
        <v/>
      </c>
      <c r="G803" s="49">
        <f>TRUNC((E803*F803),8)</f>
        <v/>
      </c>
      <c r="H803" s="49">
        <f>ROUND(((1+$H$4)^(30/360))^(C803/(EDATE(D803-B803,1)-(D803-B803))),9)</f>
        <v/>
      </c>
      <c r="I803" s="49">
        <f>TRUNC((G803*H803-G803),8)</f>
        <v/>
      </c>
      <c r="J803" s="49">
        <f>G803+I803</f>
        <v/>
      </c>
      <c r="K803" s="256" t="n"/>
      <c r="L803" s="256" t="n"/>
      <c r="M803" s="256" t="n"/>
      <c r="N803" s="256" t="n"/>
      <c r="O803" s="256" t="n"/>
      <c r="P803" s="256" t="n"/>
      <c r="Q803" s="256" t="n"/>
    </row>
    <row r="804">
      <c r="A804">
        <f>IF(DAY(D804)=DAY($L$1+1),A803+1,A803)</f>
        <v/>
      </c>
      <c r="B804" s="46">
        <f>IF(DAY(D804)=DAY($L$1+1),1,B803+1)</f>
        <v/>
      </c>
      <c r="C804" s="46">
        <f>IF(DAY(D804)=DAY($L$1+1),1,C803+1)</f>
        <v/>
      </c>
      <c r="D804" s="2">
        <f>D803+1</f>
        <v/>
      </c>
      <c r="E804" s="8">
        <f>IF(DAY(D804)=DAY($L$1+1),TRUNC((N803),8),E803)</f>
        <v/>
      </c>
      <c r="F804" s="49">
        <f>TRUNC(((1+VLOOKUP(A804,IPCA!$A$2:$C$140,3,0)))^(C804/(EDATE(D804-C804,1)-(D804-C804))),8)</f>
        <v/>
      </c>
      <c r="G804" s="49">
        <f>TRUNC((E804*F804),8)</f>
        <v/>
      </c>
      <c r="H804" s="49">
        <f>ROUND(((1+$H$4)^(30/360))^(C804/(EDATE(D804-B804,1)-(D804-B804))),9)</f>
        <v/>
      </c>
      <c r="I804" s="49">
        <f>TRUNC((G804*H804-G804),8)</f>
        <v/>
      </c>
      <c r="J804" s="49">
        <f>G804+I804</f>
        <v/>
      </c>
      <c r="K804" s="256" t="n"/>
      <c r="L804" s="256" t="n"/>
      <c r="M804" s="256" t="n"/>
      <c r="N804" s="256" t="n"/>
      <c r="O804" s="256" t="n"/>
      <c r="P804" s="256" t="n"/>
      <c r="Q804" s="256" t="n"/>
    </row>
    <row r="805">
      <c r="A805">
        <f>IF(DAY(D805)=DAY($L$1+1),A804+1,A804)</f>
        <v/>
      </c>
      <c r="B805" s="46">
        <f>IF(DAY(D805)=DAY($L$1+1),1,B804+1)</f>
        <v/>
      </c>
      <c r="C805" s="46">
        <f>IF(DAY(D805)=DAY($L$1+1),1,C804+1)</f>
        <v/>
      </c>
      <c r="D805" s="2">
        <f>D804+1</f>
        <v/>
      </c>
      <c r="E805" s="8">
        <f>IF(DAY(D805)=DAY($L$1+1),TRUNC((N804),8),E804)</f>
        <v/>
      </c>
      <c r="F805" s="49">
        <f>TRUNC(((1+VLOOKUP(A805,IPCA!$A$2:$C$140,3,0)))^(C805/(EDATE(D805-C805,1)-(D805-C805))),8)</f>
        <v/>
      </c>
      <c r="G805" s="49">
        <f>TRUNC((E805*F805),8)</f>
        <v/>
      </c>
      <c r="H805" s="49">
        <f>ROUND(((1+$H$4)^(30/360))^(C805/(EDATE(D805-B805,1)-(D805-B805))),9)</f>
        <v/>
      </c>
      <c r="I805" s="49">
        <f>TRUNC((G805*H805-G805),8)</f>
        <v/>
      </c>
      <c r="J805" s="49">
        <f>G805+I805</f>
        <v/>
      </c>
      <c r="K805" s="256" t="n"/>
      <c r="L805" s="256" t="n"/>
      <c r="M805" s="256" t="n"/>
      <c r="N805" s="256" t="n"/>
      <c r="O805" s="256" t="n"/>
      <c r="P805" s="256" t="n"/>
      <c r="Q805" s="256" t="n"/>
    </row>
    <row r="806">
      <c r="A806">
        <f>IF(DAY(D806)=DAY($L$1+1),A805+1,A805)</f>
        <v/>
      </c>
      <c r="B806" s="46">
        <f>IF(DAY(D806)=DAY($L$1+1),1,B805+1)</f>
        <v/>
      </c>
      <c r="C806" s="46">
        <f>IF(DAY(D806)=DAY($L$1+1),1,C805+1)</f>
        <v/>
      </c>
      <c r="D806" s="2">
        <f>D805+1</f>
        <v/>
      </c>
      <c r="E806" s="8">
        <f>IF(DAY(D806)=DAY($L$1+1),TRUNC((N805),8),E805)</f>
        <v/>
      </c>
      <c r="F806" s="49">
        <f>TRUNC(((1+VLOOKUP(A806,IPCA!$A$2:$C$140,3,0)))^(C806/(EDATE(D806-C806,1)-(D806-C806))),8)</f>
        <v/>
      </c>
      <c r="G806" s="49">
        <f>TRUNC((E806*F806),8)</f>
        <v/>
      </c>
      <c r="H806" s="49">
        <f>ROUND(((1+$H$4)^(30/360))^(C806/(EDATE(D806-B806,1)-(D806-B806))),9)</f>
        <v/>
      </c>
      <c r="I806" s="49">
        <f>TRUNC((G806*H806-G806),8)</f>
        <v/>
      </c>
      <c r="J806" s="49">
        <f>G806+I806</f>
        <v/>
      </c>
      <c r="K806" s="256" t="n"/>
      <c r="L806" s="256" t="n"/>
      <c r="M806" s="256" t="n"/>
      <c r="N806" s="256" t="n"/>
      <c r="O806" s="256" t="n"/>
      <c r="P806" s="256" t="n"/>
      <c r="Q806" s="256" t="n"/>
    </row>
    <row r="807">
      <c r="A807">
        <f>IF(DAY(D807)=DAY($L$1+1),A806+1,A806)</f>
        <v/>
      </c>
      <c r="B807" s="46">
        <f>IF(DAY(D807)=DAY($L$1+1),1,B806+1)</f>
        <v/>
      </c>
      <c r="C807" s="46">
        <f>IF(DAY(D807)=DAY($L$1+1),1,C806+1)</f>
        <v/>
      </c>
      <c r="D807" s="2">
        <f>D806+1</f>
        <v/>
      </c>
      <c r="E807" s="8">
        <f>IF(DAY(D807)=DAY($L$1+1),TRUNC((N806),8),E806)</f>
        <v/>
      </c>
      <c r="F807" s="49">
        <f>TRUNC(((1+VLOOKUP(A807,IPCA!$A$2:$C$140,3,0)))^(C807/(EDATE(D807-C807,1)-(D807-C807))),8)</f>
        <v/>
      </c>
      <c r="G807" s="49">
        <f>TRUNC((E807*F807),8)</f>
        <v/>
      </c>
      <c r="H807" s="49">
        <f>ROUND(((1+$H$4)^(30/360))^(C807/(EDATE(D807-B807,1)-(D807-B807))),9)</f>
        <v/>
      </c>
      <c r="I807" s="49">
        <f>TRUNC((G807*H807-G807),8)</f>
        <v/>
      </c>
      <c r="J807" s="49">
        <f>G807+I807</f>
        <v/>
      </c>
      <c r="K807" s="256" t="n"/>
      <c r="L807" s="256" t="n"/>
      <c r="M807" s="256" t="n"/>
      <c r="N807" s="256" t="n"/>
      <c r="O807" s="256" t="n"/>
      <c r="P807" s="256" t="n"/>
      <c r="Q807" s="256" t="n"/>
    </row>
    <row r="808">
      <c r="A808">
        <f>IF(DAY(D808)=DAY($L$1+1),A807+1,A807)</f>
        <v/>
      </c>
      <c r="B808" s="46">
        <f>IF(DAY(D808)=DAY($L$1+1),1,B807+1)</f>
        <v/>
      </c>
      <c r="C808" s="46">
        <f>IF(DAY(D808)=DAY($L$1+1),1,C807+1)</f>
        <v/>
      </c>
      <c r="D808" s="2">
        <f>D807+1</f>
        <v/>
      </c>
      <c r="E808" s="8">
        <f>IF(DAY(D808)=DAY($L$1+1),TRUNC((N807),8),E807)</f>
        <v/>
      </c>
      <c r="F808" s="49">
        <f>TRUNC(((1+VLOOKUP(A808,IPCA!$A$2:$C$140,3,0)))^(C808/(EDATE(D808-C808,1)-(D808-C808))),8)</f>
        <v/>
      </c>
      <c r="G808" s="49">
        <f>TRUNC((E808*F808),8)</f>
        <v/>
      </c>
      <c r="H808" s="49">
        <f>ROUND(((1+$H$4)^(30/360))^(C808/(EDATE(D808-B808,1)-(D808-B808))),9)</f>
        <v/>
      </c>
      <c r="I808" s="49">
        <f>TRUNC((G808*H808-G808),8)</f>
        <v/>
      </c>
      <c r="J808" s="49">
        <f>G808+I808</f>
        <v/>
      </c>
      <c r="K808" s="256" t="n"/>
      <c r="L808" s="256" t="n"/>
      <c r="M808" s="256" t="n"/>
      <c r="N808" s="256" t="n"/>
      <c r="O808" s="256" t="n"/>
      <c r="P808" s="256" t="n"/>
      <c r="Q808" s="256" t="n"/>
    </row>
    <row r="809">
      <c r="A809">
        <f>IF(DAY(D809)=DAY($L$1+1),A808+1,A808)</f>
        <v/>
      </c>
      <c r="B809" s="46">
        <f>IF(DAY(D809)=DAY($L$1+1),1,B808+1)</f>
        <v/>
      </c>
      <c r="C809" s="46">
        <f>IF(DAY(D809)=DAY($L$1+1),1,C808+1)</f>
        <v/>
      </c>
      <c r="D809" s="2">
        <f>D808+1</f>
        <v/>
      </c>
      <c r="E809" s="8">
        <f>IF(DAY(D809)=DAY($L$1+1),TRUNC((N808),8),E808)</f>
        <v/>
      </c>
      <c r="F809" s="49">
        <f>TRUNC(((1+VLOOKUP(A809,IPCA!$A$2:$C$140,3,0)))^(C809/(EDATE(D809-C809,1)-(D809-C809))),8)</f>
        <v/>
      </c>
      <c r="G809" s="49">
        <f>TRUNC((E809*F809),8)</f>
        <v/>
      </c>
      <c r="H809" s="49">
        <f>ROUND(((1+$H$4)^(30/360))^(C809/(EDATE(D809-B809,1)-(D809-B809))),9)</f>
        <v/>
      </c>
      <c r="I809" s="49">
        <f>TRUNC((G809*H809-G809),8)</f>
        <v/>
      </c>
      <c r="J809" s="49">
        <f>G809+I809</f>
        <v/>
      </c>
      <c r="K809" s="256" t="n"/>
      <c r="L809" s="256" t="n"/>
      <c r="M809" s="256" t="n"/>
      <c r="N809" s="256" t="n"/>
      <c r="O809" s="256" t="n"/>
      <c r="P809" s="256" t="n"/>
      <c r="Q809" s="256" t="n"/>
    </row>
    <row r="810">
      <c r="A810">
        <f>IF(DAY(D810)=DAY($L$1+1),A809+1,A809)</f>
        <v/>
      </c>
      <c r="B810" s="46">
        <f>IF(DAY(D810)=DAY($L$1+1),1,B809+1)</f>
        <v/>
      </c>
      <c r="C810" s="46">
        <f>IF(DAY(D810)=DAY($L$1+1),1,C809+1)</f>
        <v/>
      </c>
      <c r="D810" s="2">
        <f>D809+1</f>
        <v/>
      </c>
      <c r="E810" s="8">
        <f>IF(DAY(D810)=DAY($L$1+1),TRUNC((N809),8),E809)</f>
        <v/>
      </c>
      <c r="F810" s="49">
        <f>TRUNC(((1+VLOOKUP(A810,IPCA!$A$2:$C$140,3,0)))^(C810/(EDATE(D810-C810,1)-(D810-C810))),8)</f>
        <v/>
      </c>
      <c r="G810" s="49">
        <f>TRUNC((E810*F810),8)</f>
        <v/>
      </c>
      <c r="H810" s="49">
        <f>ROUND(((1+$H$4)^(30/360))^(C810/(EDATE(D810-B810,1)-(D810-B810))),9)</f>
        <v/>
      </c>
      <c r="I810" s="49">
        <f>TRUNC((G810*H810-G810),8)</f>
        <v/>
      </c>
      <c r="J810" s="49">
        <f>G810+I810</f>
        <v/>
      </c>
      <c r="K810" s="256" t="inlineStr">
        <is>
          <t>Cri Integralizado</t>
        </is>
      </c>
      <c r="L810" s="270">
        <f>L779</f>
        <v/>
      </c>
      <c r="M810" s="256" t="n"/>
      <c r="N810" s="256" t="n"/>
      <c r="O810" s="256" t="n"/>
      <c r="P810" s="256" t="n"/>
      <c r="Q810" s="256" t="n"/>
    </row>
    <row r="811">
      <c r="A811">
        <f>IF(DAY(D811)=DAY($L$1+1),A810+1,A810)</f>
        <v/>
      </c>
      <c r="B811" s="46">
        <f>IF(DAY(D811)=DAY($L$1+1),1,B810+1)</f>
        <v/>
      </c>
      <c r="C811" s="46">
        <f>IF(DAY(D811)=DAY($L$1+1),1,C810+1)</f>
        <v/>
      </c>
      <c r="D811" s="47">
        <f>D810+1</f>
        <v/>
      </c>
      <c r="E811" s="8">
        <f>IF(DAY(D811)=DAY($L$1+1),TRUNC((N810),8),E810)</f>
        <v/>
      </c>
      <c r="F811" s="49">
        <f>TRUNC(((1+VLOOKUP(A811,IPCA!$A$2:$C$140,3,0)))^(C811/(EDATE(D811-C811,1)-(D811-C811))),8)</f>
        <v/>
      </c>
      <c r="G811" s="49">
        <f>TRUNC((E811*F811),8)</f>
        <v/>
      </c>
      <c r="H811" s="49">
        <f>ROUND(((1+$H$4)^(30/360))^(C811/(EDATE(D811-B811,1)-(D811-B811))),9)</f>
        <v/>
      </c>
      <c r="I811" s="49">
        <f>TRUNC((G811*H811-G811),8)</f>
        <v/>
      </c>
      <c r="J811" s="49">
        <f>G811+I811</f>
        <v/>
      </c>
      <c r="K811" s="118" t="inlineStr">
        <is>
          <t>JUROS</t>
        </is>
      </c>
      <c r="L811" s="118" t="inlineStr">
        <is>
          <t>AMORTIZAÇÃO</t>
        </is>
      </c>
      <c r="M811" s="118" t="inlineStr">
        <is>
          <t>AMEX</t>
        </is>
      </c>
      <c r="N811" s="118" t="inlineStr">
        <is>
          <t>RESIDUAL</t>
        </is>
      </c>
      <c r="O811" s="256" t="n"/>
      <c r="P811" s="256" t="n"/>
      <c r="Q811" s="256" t="n"/>
    </row>
    <row r="812">
      <c r="A812">
        <f>IF(DAY(D812)=DAY($L$1+1),A811+1,A811)</f>
        <v/>
      </c>
      <c r="B812" s="111">
        <f>IF(DAY(D812)=DAY($L$1+1),1,B811+1)</f>
        <v/>
      </c>
      <c r="C812" s="111">
        <f>IF(DAY(D812)=DAY($L$1+1),1,C811+1)</f>
        <v/>
      </c>
      <c r="D812" s="112">
        <f>D811+1</f>
        <v/>
      </c>
      <c r="E812" s="113">
        <f>IF(DAY(D812)=DAY($L$1+1),TRUNC((N811),8),E811)</f>
        <v/>
      </c>
      <c r="F812" s="114">
        <f>TRUNC(((1+VLOOKUP(A812,IPCA!$A$2:$C$140,3,0)))^(C812/(EDATE(D812-C812,1)-(D812-C812))),8)</f>
        <v/>
      </c>
      <c r="G812" s="114">
        <f>TRUNC((E812*F812),8)</f>
        <v/>
      </c>
      <c r="H812" s="114">
        <f>ROUND(((1+$H$4)^(30/360))^(C812/(EDATE(D812-B812,1)-(D812-B812))),9)</f>
        <v/>
      </c>
      <c r="I812" s="114">
        <f>TRUNC((G812*H812-G812),8)</f>
        <v/>
      </c>
      <c r="J812" s="114">
        <f>G812+I812</f>
        <v/>
      </c>
      <c r="K812" s="119" t="n">
        <v>0</v>
      </c>
      <c r="L812" s="120" t="n">
        <v>0</v>
      </c>
      <c r="M812" s="120" t="n">
        <v>0</v>
      </c>
      <c r="N812" s="120">
        <f>J812-K812-L812-M812</f>
        <v/>
      </c>
      <c r="O812" s="256" t="n"/>
      <c r="P812" s="256" t="n"/>
      <c r="Q812" s="256" t="n"/>
    </row>
    <row r="813">
      <c r="A813">
        <f>IF(DAY(D813)=DAY($L$1+1),A812+1,A812)</f>
        <v/>
      </c>
      <c r="B813" s="46">
        <f>IF(DAY(D813)=DAY($L$1+1),1,B812+1)</f>
        <v/>
      </c>
      <c r="C813" s="46">
        <f>IF(DAY(D813)=DAY($L$1+1),1,C812+1)</f>
        <v/>
      </c>
      <c r="D813" s="2">
        <f>D812+1</f>
        <v/>
      </c>
      <c r="E813" s="8">
        <f>IF(DAY(D813)=DAY($L$1+1),TRUNC((N812),8),E812)</f>
        <v/>
      </c>
      <c r="F813" s="49">
        <f>TRUNC(((1+VLOOKUP(A813,IPCA!$A$2:$C$140,3,0)))^(C813/(EDATE(D813-C813,1)-(D813-C813))),8)</f>
        <v/>
      </c>
      <c r="G813" s="49">
        <f>TRUNC((E813*F813),8)</f>
        <v/>
      </c>
      <c r="H813" s="49">
        <f>ROUND(((1+$H$4)^(30/360))^(C813/(EDATE(D813-B813,1)-(D813-B813))),9)</f>
        <v/>
      </c>
      <c r="I813" s="49">
        <f>TRUNC((G813*H813-G813),8)</f>
        <v/>
      </c>
      <c r="J813" s="49">
        <f>G813+I813</f>
        <v/>
      </c>
      <c r="K813" s="121">
        <f>K812*L810</f>
        <v/>
      </c>
      <c r="L813" s="121">
        <f>L812*L810</f>
        <v/>
      </c>
      <c r="M813" s="121">
        <f>M812*L810</f>
        <v/>
      </c>
      <c r="N813" s="121">
        <f>N812*L810</f>
        <v/>
      </c>
      <c r="O813" s="256" t="n"/>
      <c r="P813" s="256" t="n"/>
      <c r="Q813" s="256" t="n"/>
    </row>
    <row r="814">
      <c r="A814">
        <f>IF(DAY(D814)=DAY($L$1+1),A813+1,A813)</f>
        <v/>
      </c>
      <c r="B814" s="46">
        <f>IF(DAY(D814)=DAY($L$1+1),1,B813+1)</f>
        <v/>
      </c>
      <c r="C814" s="46">
        <f>IF(DAY(D814)=DAY($L$1+1),1,C813+1)</f>
        <v/>
      </c>
      <c r="D814" s="2">
        <f>D813+1</f>
        <v/>
      </c>
      <c r="E814" s="8">
        <f>IF(DAY(D814)=DAY($L$1+1),TRUNC((N813),8),E813)</f>
        <v/>
      </c>
      <c r="F814" s="49">
        <f>TRUNC(((1+VLOOKUP(A814,IPCA!$A$2:$C$140,3,0)))^(C814/(EDATE(D814-C814,1)-(D814-C814))),8)</f>
        <v/>
      </c>
      <c r="G814" s="49">
        <f>TRUNC((E814*F814),8)</f>
        <v/>
      </c>
      <c r="H814" s="49">
        <f>ROUND(((1+$H$4)^(30/360))^(C814/(EDATE(D814-B814,1)-(D814-B814))),9)</f>
        <v/>
      </c>
      <c r="I814" s="49">
        <f>TRUNC((G814*H814-G814),8)</f>
        <v/>
      </c>
      <c r="J814" s="49">
        <f>G814+I814</f>
        <v/>
      </c>
      <c r="K814" s="256" t="n"/>
      <c r="L814" s="256" t="n"/>
      <c r="M814" s="256" t="n"/>
      <c r="N814" s="256" t="n"/>
      <c r="O814" s="256" t="n"/>
      <c r="P814" s="256" t="n"/>
      <c r="Q814" s="256" t="n"/>
    </row>
    <row r="815">
      <c r="A815">
        <f>IF(DAY(D815)=DAY($L$1+1),A814+1,A814)</f>
        <v/>
      </c>
      <c r="B815" s="46">
        <f>IF(DAY(D815)=DAY($L$1+1),1,B814+1)</f>
        <v/>
      </c>
      <c r="C815" s="46">
        <f>IF(DAY(D815)=DAY($L$1+1),1,C814+1)</f>
        <v/>
      </c>
      <c r="D815" s="2">
        <f>D814+1</f>
        <v/>
      </c>
      <c r="E815" s="8">
        <f>IF(DAY(D815)=DAY($L$1+1),TRUNC((#REF!),8),E814)</f>
        <v/>
      </c>
      <c r="F815" s="49">
        <f>TRUNC(((1+VLOOKUP(A815,IPCA!$A$2:$C$140,3,0)))^(C815/(EDATE(D815-C815,1)-(D815-C815))),8)</f>
        <v/>
      </c>
      <c r="G815" s="49">
        <f>TRUNC((E815*F815),8)</f>
        <v/>
      </c>
      <c r="H815" s="49">
        <f>ROUND(((1+$H$4)^(30/360))^(C815/(EDATE(D815-B815,1)-(D815-B815))),9)</f>
        <v/>
      </c>
      <c r="I815" s="49">
        <f>TRUNC((G815*H815-G815),8)</f>
        <v/>
      </c>
      <c r="J815" s="49">
        <f>G815+I815</f>
        <v/>
      </c>
      <c r="K815" s="256" t="n"/>
      <c r="L815" s="256" t="n"/>
      <c r="M815" s="256" t="n"/>
      <c r="N815" s="256" t="n"/>
      <c r="O815" s="256" t="n"/>
      <c r="P815" s="256" t="n"/>
      <c r="Q815" s="256" t="n"/>
    </row>
    <row r="816">
      <c r="A816">
        <f>IF(DAY(D816)=DAY($L$1+1),A815+1,A815)</f>
        <v/>
      </c>
      <c r="B816" s="46">
        <f>IF(DAY(D816)=DAY($L$1+1),1,B815+1)</f>
        <v/>
      </c>
      <c r="C816" s="46">
        <f>IF(DAY(D816)=DAY($L$1+1),1,C815+1)</f>
        <v/>
      </c>
      <c r="D816" s="2">
        <f>D815+1</f>
        <v/>
      </c>
      <c r="E816" s="8">
        <f>IF(DAY(D816)=DAY($L$1+1),TRUNC((#REF!),8),E815)</f>
        <v/>
      </c>
      <c r="F816" s="49">
        <f>TRUNC(((1+VLOOKUP(A816,IPCA!$A$2:$C$140,3,0)))^(C816/(EDATE(D816-C816,1)-(D816-C816))),8)</f>
        <v/>
      </c>
      <c r="G816" s="49">
        <f>TRUNC((E816*F816),8)</f>
        <v/>
      </c>
      <c r="H816" s="49">
        <f>ROUND(((1+$H$4)^(30/360))^(C816/(EDATE(D816-B816,1)-(D816-B816))),9)</f>
        <v/>
      </c>
      <c r="I816" s="49">
        <f>TRUNC((G816*H816-G816),8)</f>
        <v/>
      </c>
      <c r="J816" s="49">
        <f>G816+I816</f>
        <v/>
      </c>
      <c r="K816" s="256" t="n"/>
      <c r="L816" s="256" t="n"/>
      <c r="M816" s="256" t="n"/>
      <c r="N816" s="256" t="n"/>
      <c r="O816" s="256" t="n"/>
      <c r="P816" s="256" t="n"/>
      <c r="Q816" s="256" t="n"/>
    </row>
    <row r="817">
      <c r="A817">
        <f>IF(DAY(D817)=DAY($L$1+1),A816+1,A816)</f>
        <v/>
      </c>
      <c r="B817" s="46">
        <f>IF(DAY(D817)=DAY($L$1+1),1,B816+1)</f>
        <v/>
      </c>
      <c r="C817" s="46">
        <f>IF(DAY(D817)=DAY($L$1+1),1,C816+1)</f>
        <v/>
      </c>
      <c r="D817" s="2">
        <f>D816+1</f>
        <v/>
      </c>
      <c r="E817" s="8">
        <f>IF(DAY(D817)=DAY($L$1+1),TRUNC((#REF!),8),E816)</f>
        <v/>
      </c>
      <c r="F817" s="49">
        <f>TRUNC(((1+VLOOKUP(A817,IPCA!$A$2:$C$140,3,0)))^(C817/(EDATE(D817-C817,1)-(D817-C817))),8)</f>
        <v/>
      </c>
      <c r="G817" s="49">
        <f>TRUNC((E817*F817),8)</f>
        <v/>
      </c>
      <c r="H817" s="49">
        <f>ROUND(((1+$H$4)^(30/360))^(C817/(EDATE(D817-B817,1)-(D817-B817))),9)</f>
        <v/>
      </c>
      <c r="I817" s="49">
        <f>TRUNC((G817*H817-G817),8)</f>
        <v/>
      </c>
      <c r="J817" s="49">
        <f>G817+I817</f>
        <v/>
      </c>
      <c r="K817" s="256" t="n"/>
      <c r="L817" s="256" t="n"/>
      <c r="M817" s="256" t="n"/>
      <c r="N817" s="256" t="n"/>
      <c r="O817" s="256" t="n"/>
      <c r="P817" s="256" t="n"/>
      <c r="Q817" s="256" t="n"/>
    </row>
    <row r="818">
      <c r="A818">
        <f>IF(DAY(D818)=DAY($L$1+1),A817+1,A817)</f>
        <v/>
      </c>
      <c r="B818" s="46">
        <f>IF(DAY(D818)=DAY($L$1+1),1,B817+1)</f>
        <v/>
      </c>
      <c r="C818" s="46">
        <f>IF(DAY(D818)=DAY($L$1+1),1,C817+1)</f>
        <v/>
      </c>
      <c r="D818" s="2">
        <f>D817+1</f>
        <v/>
      </c>
      <c r="E818" s="8">
        <f>IF(DAY(D818)=DAY($L$1+1),TRUNC((#REF!),8),E817)</f>
        <v/>
      </c>
      <c r="F818" s="49">
        <f>TRUNC(((1+VLOOKUP(A818,IPCA!$A$2:$C$140,3,0)))^(C818/(EDATE(D818-C818,1)-(D818-C818))),8)</f>
        <v/>
      </c>
      <c r="G818" s="49">
        <f>TRUNC((E818*F818),8)</f>
        <v/>
      </c>
      <c r="H818" s="49">
        <f>ROUND(((1+$H$4)^(30/360))^(C818/(EDATE(D818-B818,1)-(D818-B818))),9)</f>
        <v/>
      </c>
      <c r="I818" s="49">
        <f>TRUNC((G818*H818-G818),8)</f>
        <v/>
      </c>
      <c r="J818" s="49">
        <f>G818+I818</f>
        <v/>
      </c>
      <c r="K818" s="256" t="n"/>
      <c r="L818" s="256" t="n"/>
      <c r="M818" s="256" t="n"/>
      <c r="N818" s="256" t="n"/>
      <c r="O818" s="256" t="n"/>
      <c r="P818" s="256" t="n"/>
      <c r="Q818" s="256" t="n"/>
    </row>
    <row r="819">
      <c r="A819">
        <f>IF(DAY(D819)=DAY($L$1+1),A818+1,A818)</f>
        <v/>
      </c>
      <c r="B819" s="46">
        <f>IF(DAY(D819)=DAY($L$1+1),1,B818+1)</f>
        <v/>
      </c>
      <c r="C819" s="46">
        <f>IF(DAY(D819)=DAY($L$1+1),1,C818+1)</f>
        <v/>
      </c>
      <c r="D819" s="2">
        <f>D818+1</f>
        <v/>
      </c>
      <c r="E819" s="8">
        <f>IF(DAY(D819)=DAY($L$1+1),TRUNC((#REF!),8),E818)</f>
        <v/>
      </c>
      <c r="F819" s="49">
        <f>TRUNC(((1+VLOOKUP(A819,IPCA!$A$2:$C$140,3,0)))^(C819/(EDATE(D819-C819,1)-(D819-C819))),8)</f>
        <v/>
      </c>
      <c r="G819" s="49">
        <f>TRUNC((E819*F819),8)</f>
        <v/>
      </c>
      <c r="H819" s="49">
        <f>ROUND(((1+$H$4)^(30/360))^(C819/(EDATE(D819-B819,1)-(D819-B819))),9)</f>
        <v/>
      </c>
      <c r="I819" s="49">
        <f>TRUNC((G819*H819-G819),8)</f>
        <v/>
      </c>
      <c r="J819" s="49">
        <f>G819+I819</f>
        <v/>
      </c>
      <c r="K819" s="256" t="n"/>
      <c r="L819" s="256" t="n"/>
      <c r="M819" s="256" t="n"/>
      <c r="N819" s="256" t="n"/>
      <c r="O819" s="256" t="n"/>
      <c r="P819" s="256" t="n"/>
      <c r="Q819" s="256" t="n"/>
    </row>
    <row r="820">
      <c r="A820">
        <f>IF(DAY(D820)=DAY($L$1+1),A819+1,A819)</f>
        <v/>
      </c>
      <c r="B820" s="46">
        <f>IF(DAY(D820)=DAY($L$1+1),1,B819+1)</f>
        <v/>
      </c>
      <c r="C820" s="46">
        <f>IF(DAY(D820)=DAY($L$1+1),1,C819+1)</f>
        <v/>
      </c>
      <c r="D820" s="2">
        <f>D819+1</f>
        <v/>
      </c>
      <c r="E820" s="8">
        <f>IF(DAY(D820)=DAY($L$1+1),TRUNC((#REF!),8),E819)</f>
        <v/>
      </c>
      <c r="F820" s="49">
        <f>TRUNC(((1+VLOOKUP(A820,IPCA!$A$2:$C$140,3,0)))^(C820/(EDATE(D820-C820,1)-(D820-C820))),8)</f>
        <v/>
      </c>
      <c r="G820" s="49">
        <f>TRUNC((E820*F820),8)</f>
        <v/>
      </c>
      <c r="H820" s="49">
        <f>ROUND(((1+$H$4)^(30/360))^(C820/(EDATE(D820-B820,1)-(D820-B820))),9)</f>
        <v/>
      </c>
      <c r="I820" s="49">
        <f>TRUNC((G820*H820-G820),8)</f>
        <v/>
      </c>
      <c r="J820" s="49">
        <f>G820+I820</f>
        <v/>
      </c>
      <c r="K820" s="273">
        <f>M837-L810</f>
        <v/>
      </c>
      <c r="L820" s="256" t="n"/>
      <c r="M820" s="256" t="n"/>
      <c r="N820" s="256" t="n"/>
      <c r="O820" s="256" t="n"/>
      <c r="P820" s="256" t="n"/>
      <c r="Q820" s="256" t="n"/>
    </row>
    <row r="821">
      <c r="A821">
        <f>IF(DAY(D821)=DAY($L$1+1),A820+1,A820)</f>
        <v/>
      </c>
      <c r="B821" s="46">
        <f>IF(DAY(D821)=DAY($L$1+1),1,B820+1)</f>
        <v/>
      </c>
      <c r="C821" s="46">
        <f>IF(DAY(D821)=DAY($L$1+1),1,C820+1)</f>
        <v/>
      </c>
      <c r="D821" s="2">
        <f>D820+1</f>
        <v/>
      </c>
      <c r="E821" s="8">
        <f>IF(DAY(D821)=DAY($L$1+1),TRUNC((#REF!),8),E820)</f>
        <v/>
      </c>
      <c r="F821" s="49">
        <f>TRUNC(((1+VLOOKUP(A821,IPCA!$A$2:$C$140,3,0)))^(C821/(EDATE(D821-C821,1)-(D821-C821))),8)</f>
        <v/>
      </c>
      <c r="G821" s="49">
        <f>TRUNC((E821*F821),8)</f>
        <v/>
      </c>
      <c r="H821" s="49">
        <f>ROUND(((1+$H$4)^(30/360))^(C821/(EDATE(D821-B821,1)-(D821-B821))),9)</f>
        <v/>
      </c>
      <c r="I821" s="49">
        <f>TRUNC((G821*H821-G821),8)</f>
        <v/>
      </c>
      <c r="J821" s="49">
        <f>G821+I821</f>
        <v/>
      </c>
      <c r="K821" s="256" t="n"/>
      <c r="L821" s="256" t="n"/>
      <c r="M821" s="256" t="n"/>
      <c r="N821" s="256" t="n"/>
      <c r="O821" s="256" t="n"/>
      <c r="P821" s="256" t="n"/>
      <c r="Q821" s="256" t="n"/>
    </row>
    <row r="822">
      <c r="A822">
        <f>IF(DAY(D822)=DAY($L$1+1),A821+1,A821)</f>
        <v/>
      </c>
      <c r="B822" s="46">
        <f>IF(DAY(D822)=DAY($L$1+1),1,B821+1)</f>
        <v/>
      </c>
      <c r="C822" s="46">
        <f>IF(DAY(D822)=DAY($L$1+1),1,C821+1)</f>
        <v/>
      </c>
      <c r="D822" s="2">
        <f>D821+1</f>
        <v/>
      </c>
      <c r="E822" s="8">
        <f>IF(DAY(D822)=DAY($L$1+1),TRUNC((#REF!),8),E821)</f>
        <v/>
      </c>
      <c r="F822" s="49">
        <f>TRUNC(((1+VLOOKUP(A822,IPCA!$A$2:$C$140,3,0)))^(C822/(EDATE(D822-C822,1)-(D822-C822))),8)</f>
        <v/>
      </c>
      <c r="G822" s="49">
        <f>TRUNC((E822*F822),8)</f>
        <v/>
      </c>
      <c r="H822" s="49">
        <f>ROUND(((1+$H$4)^(30/360))^(C822/(EDATE(D822-B822,1)-(D822-B822))),9)</f>
        <v/>
      </c>
      <c r="I822" s="49">
        <f>TRUNC((G822*H822-G822),8)</f>
        <v/>
      </c>
      <c r="J822" s="49">
        <f>G822+I822</f>
        <v/>
      </c>
      <c r="K822" s="256" t="n"/>
      <c r="L822" s="256" t="n"/>
      <c r="M822" s="256" t="n"/>
      <c r="N822" s="256" t="n"/>
      <c r="O822" s="256" t="n"/>
      <c r="P822" s="256" t="n"/>
      <c r="Q822" s="256" t="n"/>
    </row>
    <row r="823">
      <c r="A823">
        <f>IF(DAY(D823)=DAY($L$1+1),A822+1,A822)</f>
        <v/>
      </c>
      <c r="B823" s="46">
        <f>IF(DAY(D823)=DAY($L$1+1),1,B822+1)</f>
        <v/>
      </c>
      <c r="C823" s="46">
        <f>IF(DAY(D823)=DAY($L$1+1),1,C822+1)</f>
        <v/>
      </c>
      <c r="D823" s="2">
        <f>D822+1</f>
        <v/>
      </c>
      <c r="E823" s="8">
        <f>IF(DAY(D823)=DAY($L$1+1),TRUNC((#REF!),8),E822)</f>
        <v/>
      </c>
      <c r="F823" s="49">
        <f>TRUNC(((1+VLOOKUP(A823,IPCA!$A$2:$C$140,3,0)))^(C823/(EDATE(D823-C823,1)-(D823-C823))),8)</f>
        <v/>
      </c>
      <c r="G823" s="49">
        <f>TRUNC((E823*F823),8)</f>
        <v/>
      </c>
      <c r="H823" s="49">
        <f>ROUND(((1+$H$4)^(30/360))^(C823/(EDATE(D823-B823,1)-(D823-B823))),9)</f>
        <v/>
      </c>
      <c r="I823" s="49">
        <f>TRUNC((G823*H823-G823),8)</f>
        <v/>
      </c>
      <c r="J823" s="49">
        <f>G823+I823</f>
        <v/>
      </c>
      <c r="K823" s="256" t="n"/>
      <c r="L823" s="256" t="n"/>
      <c r="M823" s="256" t="n"/>
      <c r="N823" s="256" t="n"/>
      <c r="O823" s="256" t="n"/>
      <c r="P823" s="256" t="n"/>
      <c r="Q823" s="256" t="n"/>
    </row>
    <row r="824">
      <c r="A824">
        <f>IF(DAY(D824)=DAY($L$1+1),A823+1,A823)</f>
        <v/>
      </c>
      <c r="B824" s="46">
        <f>IF(DAY(D824)=DAY($L$1+1),1,B823+1)</f>
        <v/>
      </c>
      <c r="C824" s="46">
        <f>IF(DAY(D824)=DAY($L$1+1),1,C823+1)</f>
        <v/>
      </c>
      <c r="D824" s="2">
        <f>D823+1</f>
        <v/>
      </c>
      <c r="E824" s="8">
        <f>IF(DAY(D824)=DAY($L$1+1),TRUNC((#REF!),8),E823)</f>
        <v/>
      </c>
      <c r="F824" s="49">
        <f>TRUNC(((1+VLOOKUP(A824,IPCA!$A$2:$C$140,3,0)))^(C824/(EDATE(D824-C824,1)-(D824-C824))),8)</f>
        <v/>
      </c>
      <c r="G824" s="49">
        <f>TRUNC((E824*F824),8)</f>
        <v/>
      </c>
      <c r="H824" s="49">
        <f>ROUND(((1+$H$4)^(30/360))^(C824/(EDATE(D824-B824,1)-(D824-B824))),9)</f>
        <v/>
      </c>
      <c r="I824" s="49">
        <f>TRUNC((G824*H824-G824),8)</f>
        <v/>
      </c>
      <c r="J824" s="49">
        <f>G824+I824</f>
        <v/>
      </c>
      <c r="K824" s="256" t="n"/>
      <c r="L824" s="256" t="n"/>
      <c r="M824" s="256" t="n"/>
      <c r="N824" s="256" t="n"/>
      <c r="O824" s="256" t="n"/>
      <c r="P824" s="256" t="n"/>
      <c r="Q824" s="256" t="n"/>
    </row>
    <row r="825">
      <c r="A825">
        <f>IF(DAY(D825)=DAY($L$1+1),A824+1,A824)</f>
        <v/>
      </c>
      <c r="B825" s="46">
        <f>IF(DAY(D825)=DAY($L$1+1),1,B824+1)</f>
        <v/>
      </c>
      <c r="C825" s="46">
        <f>IF(DAY(D825)=DAY($L$1+1),1,C824+1)</f>
        <v/>
      </c>
      <c r="D825" s="2">
        <f>D824+1</f>
        <v/>
      </c>
      <c r="E825" s="8">
        <f>IF(DAY(D825)=DAY($L$1+1),TRUNC((#REF!),8),E824)</f>
        <v/>
      </c>
      <c r="F825" s="49">
        <f>TRUNC(((1+VLOOKUP(A825,IPCA!$A$2:$C$140,3,0)))^(C825/(EDATE(D825-C825,1)-(D825-C825))),8)</f>
        <v/>
      </c>
      <c r="G825" s="49">
        <f>TRUNC((E825*F825),8)</f>
        <v/>
      </c>
      <c r="H825" s="49">
        <f>ROUND(((1+$H$4)^(30/360))^(C825/(EDATE(D825-B825,1)-(D825-B825))),9)</f>
        <v/>
      </c>
      <c r="I825" s="49">
        <f>TRUNC((G825*H825-G825),8)</f>
        <v/>
      </c>
      <c r="J825" s="49">
        <f>G825+I825</f>
        <v/>
      </c>
      <c r="K825" s="256" t="n"/>
      <c r="L825" s="256" t="n"/>
      <c r="M825" s="256" t="n"/>
      <c r="N825" s="256" t="n"/>
      <c r="O825" s="256" t="n"/>
      <c r="P825" s="256" t="n"/>
      <c r="Q825" s="256" t="n"/>
    </row>
    <row r="826">
      <c r="A826">
        <f>IF(DAY(D826)=DAY($L$1+1),A825+1,A825)</f>
        <v/>
      </c>
      <c r="B826" s="46">
        <f>IF(DAY(D826)=DAY($L$1+1),1,B825+1)</f>
        <v/>
      </c>
      <c r="C826" s="46">
        <f>IF(DAY(D826)=DAY($L$1+1),1,C825+1)</f>
        <v/>
      </c>
      <c r="D826" s="2">
        <f>D825+1</f>
        <v/>
      </c>
      <c r="E826" s="8">
        <f>IF(DAY(D826)=DAY($L$1+1),TRUNC((#REF!),8),E825)</f>
        <v/>
      </c>
      <c r="F826" s="49">
        <f>TRUNC(((1+VLOOKUP(A826,IPCA!$A$2:$C$140,3,0)))^(C826/(EDATE(D826-C826,1)-(D826-C826))),8)</f>
        <v/>
      </c>
      <c r="G826" s="49">
        <f>TRUNC((E826*F826),8)</f>
        <v/>
      </c>
      <c r="H826" s="49">
        <f>ROUND(((1+$H$4)^(30/360))^(C826/(EDATE(D826-B826,1)-(D826-B826))),9)</f>
        <v/>
      </c>
      <c r="I826" s="49">
        <f>TRUNC((G826*H826-G826),8)</f>
        <v/>
      </c>
      <c r="J826" s="49">
        <f>G826+I826</f>
        <v/>
      </c>
      <c r="K826" s="123" t="n"/>
      <c r="L826" s="271" t="n"/>
      <c r="M826" s="256" t="n"/>
      <c r="N826" s="256" t="n"/>
      <c r="O826" s="256" t="n"/>
      <c r="P826" s="256" t="n"/>
      <c r="Q826" s="256" t="n"/>
    </row>
    <row r="827">
      <c r="A827">
        <f>IF(DAY(D827)=DAY($L$1+1),A826+1,A826)</f>
        <v/>
      </c>
      <c r="B827" s="46">
        <f>IF(DAY(D827)=DAY($L$1+1),1,B826+1)</f>
        <v/>
      </c>
      <c r="C827" s="46">
        <f>IF(DAY(D827)=DAY($L$1+1),1,C826+1)</f>
        <v/>
      </c>
      <c r="D827" s="2">
        <f>D826+1</f>
        <v/>
      </c>
      <c r="E827" s="8">
        <f>IF(DAY(D827)=DAY($L$1+1),TRUNC((N826),8),E826)</f>
        <v/>
      </c>
      <c r="F827" s="49">
        <f>TRUNC(((1+VLOOKUP(A827,IPCA!$A$2:$C$140,3,0)))^(C827/(EDATE(D827-C827,1)-(D827-C827))),8)</f>
        <v/>
      </c>
      <c r="G827" s="49">
        <f>TRUNC((E827*F827),8)</f>
        <v/>
      </c>
      <c r="H827" s="49">
        <f>ROUND(((1+$H$4)^(30/360))^(C827/(EDATE(D827-B827,1)-(D827-B827))),9)</f>
        <v/>
      </c>
      <c r="I827" s="49">
        <f>TRUNC((G827*H827-G827),8)</f>
        <v/>
      </c>
      <c r="J827" s="49">
        <f>G827+I827</f>
        <v/>
      </c>
      <c r="K827" s="256" t="n"/>
      <c r="L827" s="256" t="n"/>
      <c r="M827" s="256" t="n"/>
      <c r="N827" s="256" t="n"/>
      <c r="O827" s="256" t="n"/>
      <c r="P827" s="256" t="n"/>
      <c r="Q827" s="256" t="n"/>
    </row>
    <row r="828">
      <c r="A828">
        <f>IF(DAY(D828)=DAY($L$1+1),A827+1,A827)</f>
        <v/>
      </c>
      <c r="B828" s="46">
        <f>IF(DAY(D828)=DAY($L$1+1),1,B827+1)</f>
        <v/>
      </c>
      <c r="C828" s="46">
        <f>IF(DAY(D828)=DAY($L$1+1),1,C827+1)</f>
        <v/>
      </c>
      <c r="D828" s="2">
        <f>D827+1</f>
        <v/>
      </c>
      <c r="E828" s="8">
        <f>IF(DAY(D828)=DAY($L$1+1),TRUNC((N827),8),E827)</f>
        <v/>
      </c>
      <c r="F828" s="49">
        <f>TRUNC(((1+VLOOKUP(A828,IPCA!$A$2:$C$140,3,0)))^(C828/(EDATE(D828-C828,1)-(D828-C828))),8)</f>
        <v/>
      </c>
      <c r="G828" s="49">
        <f>TRUNC((E828*F828),8)</f>
        <v/>
      </c>
      <c r="H828" s="49">
        <f>ROUND(((1+$H$4)^(30/360))^(C828/(EDATE(D828-B828,1)-(D828-B828))),9)</f>
        <v/>
      </c>
      <c r="I828" s="49">
        <f>TRUNC((G828*H828-G828),8)</f>
        <v/>
      </c>
      <c r="J828" s="49">
        <f>G828+I828</f>
        <v/>
      </c>
      <c r="K828" s="256" t="n"/>
      <c r="L828" s="256" t="n"/>
      <c r="M828" s="256" t="n"/>
      <c r="N828" s="256" t="n"/>
      <c r="O828" s="256" t="n"/>
      <c r="P828" s="256" t="n"/>
      <c r="Q828" s="256" t="n"/>
    </row>
    <row r="829">
      <c r="A829">
        <f>IF(DAY(D829)=DAY($L$1+1),A828+1,A828)</f>
        <v/>
      </c>
      <c r="B829" s="46">
        <f>IF(DAY(D829)=DAY($L$1+1),1,B828+1)</f>
        <v/>
      </c>
      <c r="C829" s="46">
        <f>IF(DAY(D829)=DAY($L$1+1),1,C828+1)</f>
        <v/>
      </c>
      <c r="D829" s="2">
        <f>D828+1</f>
        <v/>
      </c>
      <c r="E829" s="8">
        <f>IF(DAY(D829)=DAY($L$1+1),TRUNC((N828),8),E828)</f>
        <v/>
      </c>
      <c r="F829" s="49">
        <f>TRUNC(((1+VLOOKUP(A829,IPCA!$A$2:$C$140,3,0)))^(C829/(EDATE(D829-C829,1)-(D829-C829))),8)</f>
        <v/>
      </c>
      <c r="G829" s="49">
        <f>TRUNC((E829*F829),8)</f>
        <v/>
      </c>
      <c r="H829" s="49">
        <f>ROUND(((1+$H$4)^(30/360))^(C829/(EDATE(D829-B829,1)-(D829-B829))),9)</f>
        <v/>
      </c>
      <c r="I829" s="49">
        <f>TRUNC((G829*H829-G829),8)</f>
        <v/>
      </c>
      <c r="J829" s="49">
        <f>G829+I829</f>
        <v/>
      </c>
      <c r="K829" s="256" t="n"/>
      <c r="L829" s="256" t="n"/>
      <c r="M829" s="256" t="n"/>
      <c r="N829" s="256" t="n"/>
      <c r="O829" s="256" t="n"/>
      <c r="P829" s="256" t="n"/>
      <c r="Q829" s="256" t="n"/>
    </row>
    <row r="830">
      <c r="A830">
        <f>IF(DAY(D830)=DAY($L$1+1),A829+1,A829)</f>
        <v/>
      </c>
      <c r="B830" s="46">
        <f>IF(DAY(D830)=DAY($L$1+1),1,B829+1)</f>
        <v/>
      </c>
      <c r="C830" s="46">
        <f>IF(DAY(D830)=DAY($L$1+1),1,C829+1)</f>
        <v/>
      </c>
      <c r="D830" s="2">
        <f>D829+1</f>
        <v/>
      </c>
      <c r="E830" s="8">
        <f>IF(DAY(D830)=DAY($L$1+1),TRUNC((N829),8),E829)</f>
        <v/>
      </c>
      <c r="F830" s="49">
        <f>TRUNC(((1+VLOOKUP(A830,IPCA!$A$2:$C$140,3,0)))^(C830/(EDATE(D830-C830,1)-(D830-C830))),8)</f>
        <v/>
      </c>
      <c r="G830" s="49">
        <f>TRUNC((E830*F830),8)</f>
        <v/>
      </c>
      <c r="H830" s="49">
        <f>ROUND(((1+$H$4)^(30/360))^(C830/(EDATE(D830-B830,1)-(D830-B830))),9)</f>
        <v/>
      </c>
      <c r="I830" s="49">
        <f>TRUNC((G830*H830-G830),8)</f>
        <v/>
      </c>
      <c r="J830" s="49">
        <f>G830+I830</f>
        <v/>
      </c>
      <c r="K830" s="256" t="n"/>
      <c r="L830" s="256" t="n"/>
      <c r="M830" s="256" t="n"/>
      <c r="N830" s="256" t="n"/>
      <c r="O830" s="256" t="n"/>
      <c r="P830" s="256" t="n"/>
      <c r="Q830" s="256" t="n"/>
    </row>
    <row r="831">
      <c r="A831">
        <f>IF(DAY(D831)=DAY($L$1+1),A830+1,A830)</f>
        <v/>
      </c>
      <c r="B831" s="46">
        <f>IF(DAY(D831)=DAY($L$1+1),1,B830+1)</f>
        <v/>
      </c>
      <c r="C831" s="46">
        <f>IF(DAY(D831)=DAY($L$1+1),1,C830+1)</f>
        <v/>
      </c>
      <c r="D831" s="2">
        <f>D830+1</f>
        <v/>
      </c>
      <c r="E831" s="8">
        <f>IF(DAY(D831)=DAY($L$1+1),TRUNC((N830),8),E830)</f>
        <v/>
      </c>
      <c r="F831" s="49">
        <f>TRUNC(((1+VLOOKUP(A831,IPCA!$A$2:$C$140,3,0)))^(C831/(EDATE(D831-C831,1)-(D831-C831))),8)</f>
        <v/>
      </c>
      <c r="G831" s="49">
        <f>TRUNC((E831*F831),8)</f>
        <v/>
      </c>
      <c r="H831" s="49">
        <f>ROUND(((1+$H$4)^(30/360))^(C831/(EDATE(D831-B831,1)-(D831-B831))),9)</f>
        <v/>
      </c>
      <c r="I831" s="49">
        <f>TRUNC((G831*H831-G831),8)</f>
        <v/>
      </c>
      <c r="J831" s="49">
        <f>G831+I831</f>
        <v/>
      </c>
      <c r="K831" s="256" t="n"/>
      <c r="L831" s="256" t="n"/>
      <c r="M831" s="256" t="n"/>
      <c r="N831" s="256" t="n"/>
      <c r="O831" s="256" t="n"/>
      <c r="P831" s="256" t="n"/>
      <c r="Q831" s="256" t="n"/>
    </row>
    <row r="832">
      <c r="A832">
        <f>IF(DAY(D832)=DAY($L$1+1),A831+1,A831)</f>
        <v/>
      </c>
      <c r="B832" s="46">
        <f>IF(DAY(D832)=DAY($L$1+1),1,B831+1)</f>
        <v/>
      </c>
      <c r="C832" s="46">
        <f>IF(DAY(D832)=DAY($L$1+1),1,C831+1)</f>
        <v/>
      </c>
      <c r="D832" s="2">
        <f>D831+1</f>
        <v/>
      </c>
      <c r="E832" s="8">
        <f>IF(DAY(D832)=DAY($L$1+1),TRUNC((N831),8),E831)</f>
        <v/>
      </c>
      <c r="F832" s="49">
        <f>TRUNC(((1+VLOOKUP(A832,IPCA!$A$2:$C$140,3,0)))^(C832/(EDATE(D832-C832,1)-(D832-C832))),8)</f>
        <v/>
      </c>
      <c r="G832" s="49">
        <f>TRUNC((E832*F832),8)</f>
        <v/>
      </c>
      <c r="H832" s="49">
        <f>ROUND(((1+$H$4)^(30/360))^(C832/(EDATE(D832-B832,1)-(D832-B832))),9)</f>
        <v/>
      </c>
      <c r="I832" s="49">
        <f>TRUNC((G832*H832-G832),8)</f>
        <v/>
      </c>
      <c r="J832" s="49">
        <f>G832+I832</f>
        <v/>
      </c>
      <c r="K832" s="256" t="n"/>
      <c r="L832" s="256" t="n"/>
      <c r="M832" s="256" t="n"/>
      <c r="N832" s="256" t="n"/>
      <c r="O832" s="256" t="n"/>
      <c r="P832" s="256" t="n"/>
      <c r="Q832" s="256" t="n"/>
    </row>
    <row r="833">
      <c r="A833">
        <f>IF(DAY(D833)=DAY($L$1+1),A832+1,A832)</f>
        <v/>
      </c>
      <c r="B833" s="46">
        <f>IF(DAY(D833)=DAY($L$1+1),1,B832+1)</f>
        <v/>
      </c>
      <c r="C833" s="46">
        <f>IF(DAY(D833)=DAY($L$1+1),1,C832+1)</f>
        <v/>
      </c>
      <c r="D833" s="2">
        <f>D832+1</f>
        <v/>
      </c>
      <c r="E833" s="8">
        <f>IF(DAY(D833)=DAY($L$1+1),TRUNC((N832),8),E832)</f>
        <v/>
      </c>
      <c r="F833" s="49">
        <f>TRUNC(((1+VLOOKUP(A833,IPCA!$A$2:$C$140,3,0)))^(C833/(EDATE(D833-C833,1)-(D833-C833))),8)</f>
        <v/>
      </c>
      <c r="G833" s="49">
        <f>TRUNC((E833*F833),8)</f>
        <v/>
      </c>
      <c r="H833" s="49">
        <f>ROUND(((1+$H$4)^(30/360))^(C833/(EDATE(D833-B833,1)-(D833-B833))),9)</f>
        <v/>
      </c>
      <c r="I833" s="49">
        <f>TRUNC((G833*H833-G833),8)</f>
        <v/>
      </c>
      <c r="J833" s="49">
        <f>G833+I833</f>
        <v/>
      </c>
      <c r="K833" s="256" t="n"/>
      <c r="L833" s="256" t="n"/>
      <c r="M833" s="256" t="n"/>
      <c r="N833" s="256" t="n"/>
      <c r="O833" s="256" t="n"/>
      <c r="P833" s="256" t="n"/>
      <c r="Q833" s="256" t="n"/>
    </row>
    <row r="834">
      <c r="A834">
        <f>IF(DAY(D834)=DAY($L$1+1),A833+1,A833)</f>
        <v/>
      </c>
      <c r="B834" s="46">
        <f>IF(DAY(D834)=DAY($L$1+1),1,B833+1)</f>
        <v/>
      </c>
      <c r="C834" s="46">
        <f>IF(DAY(D834)=DAY($L$1+1),1,C833+1)</f>
        <v/>
      </c>
      <c r="D834" s="2">
        <f>D833+1</f>
        <v/>
      </c>
      <c r="E834" s="8">
        <f>IF(DAY(D834)=DAY($L$1+1),TRUNC((N833),8),E833)</f>
        <v/>
      </c>
      <c r="F834" s="49">
        <f>TRUNC(((1+VLOOKUP(A834,IPCA!$A$2:$C$140,3,0)))^(C834/(EDATE(D834-C834,1)-(D834-C834))),8)</f>
        <v/>
      </c>
      <c r="G834" s="49">
        <f>TRUNC((E834*F834),8)</f>
        <v/>
      </c>
      <c r="H834" s="49">
        <f>ROUND(((1+$H$4)^(30/360))^(C834/(EDATE(D834-B834,1)-(D834-B834))),9)</f>
        <v/>
      </c>
      <c r="I834" s="49">
        <f>TRUNC((G834*H834-G834),8)</f>
        <v/>
      </c>
      <c r="J834" s="49">
        <f>G834+I834</f>
        <v/>
      </c>
      <c r="K834" s="256" t="n"/>
      <c r="L834" s="256" t="n"/>
      <c r="M834" s="256" t="n"/>
      <c r="N834" s="256" t="n"/>
      <c r="O834" s="256" t="n"/>
      <c r="P834" s="256" t="n"/>
      <c r="Q834" s="256" t="n"/>
    </row>
    <row r="835">
      <c r="A835">
        <f>IF(DAY(D835)=DAY($L$1+1),A834+1,A834)</f>
        <v/>
      </c>
      <c r="B835" s="46">
        <f>IF(DAY(D835)=DAY($L$1+1),1,B834+1)</f>
        <v/>
      </c>
      <c r="C835" s="46">
        <f>IF(DAY(D835)=DAY($L$1+1),1,C834+1)</f>
        <v/>
      </c>
      <c r="D835" s="2">
        <f>D834+1</f>
        <v/>
      </c>
      <c r="E835" s="8">
        <f>IF(DAY(D835)=DAY($L$1+1),TRUNC((N834),8),E834)</f>
        <v/>
      </c>
      <c r="F835" s="49">
        <f>TRUNC(((1+VLOOKUP(A835,IPCA!$A$2:$C$140,3,0)))^(C835/(EDATE(D835-C835,1)-(D835-C835))),8)</f>
        <v/>
      </c>
      <c r="G835" s="49">
        <f>TRUNC((E835*F835),8)</f>
        <v/>
      </c>
      <c r="H835" s="49">
        <f>ROUND(((1+$H$4)^(30/360))^(C835/(EDATE(D835-B835,1)-(D835-B835))),9)</f>
        <v/>
      </c>
      <c r="I835" s="49">
        <f>TRUNC((G835*H835-G835),8)</f>
        <v/>
      </c>
      <c r="J835" s="49">
        <f>G835+I835</f>
        <v/>
      </c>
      <c r="K835" s="256" t="n"/>
      <c r="L835" s="256" t="n"/>
      <c r="M835" s="256" t="n"/>
      <c r="N835" s="256" t="n"/>
      <c r="O835" s="256" t="n"/>
      <c r="P835" s="256" t="n"/>
      <c r="Q835" s="256" t="n"/>
    </row>
    <row r="836">
      <c r="A836">
        <f>IF(DAY(D836)=DAY($L$1+1),A835+1,A835)</f>
        <v/>
      </c>
      <c r="B836" s="46">
        <f>IF(DAY(D836)=DAY($L$1+1),1,B835+1)</f>
        <v/>
      </c>
      <c r="C836" s="46">
        <f>IF(DAY(D836)=DAY($L$1+1),1,C835+1)</f>
        <v/>
      </c>
      <c r="D836" s="2">
        <f>D835+1</f>
        <v/>
      </c>
      <c r="E836" s="8">
        <f>IF(DAY(D836)=DAY($L$1+1),TRUNC((N835),8),E835)</f>
        <v/>
      </c>
      <c r="F836" s="49">
        <f>TRUNC(((1+VLOOKUP(A836,IPCA!$A$2:$C$140,3,0)))^(C836/(EDATE(D836-C836,1)-(D836-C836))),8)</f>
        <v/>
      </c>
      <c r="G836" s="49">
        <f>TRUNC((E836*F836),8)</f>
        <v/>
      </c>
      <c r="H836" s="49">
        <f>ROUND(((1+$H$4)^(30/360))^(C836/(EDATE(D836-B836,1)-(D836-B836))),9)</f>
        <v/>
      </c>
      <c r="I836" s="49">
        <f>TRUNC((G836*H836-G836),8)</f>
        <v/>
      </c>
      <c r="J836" s="49">
        <f>G836+I836</f>
        <v/>
      </c>
      <c r="K836" s="256" t="n"/>
      <c r="L836" s="256" t="n"/>
      <c r="M836" s="256" t="n"/>
      <c r="N836" s="256" t="n"/>
      <c r="O836" s="256" t="n"/>
      <c r="P836" s="256" t="n"/>
      <c r="Q836" s="256" t="n"/>
    </row>
    <row r="837">
      <c r="A837">
        <f>IF(DAY(D837)=DAY($L$1+1),A836+1,A836)</f>
        <v/>
      </c>
      <c r="B837" s="46">
        <f>IF(DAY(D837)=DAY($L$1+1),1,B836+1)</f>
        <v/>
      </c>
      <c r="C837" s="46">
        <f>IF(DAY(D837)=DAY($L$1+1),1,C836+1)</f>
        <v/>
      </c>
      <c r="D837" s="2">
        <f>D836+1</f>
        <v/>
      </c>
      <c r="E837" s="8">
        <f>IF(DAY(D837)=DAY($L$1+1),TRUNC((N836),8),E836)</f>
        <v/>
      </c>
      <c r="F837" s="49">
        <f>TRUNC(((1+VLOOKUP(A837,IPCA!$A$2:$C$140,3,0)))^(C837/(EDATE(D837-C837,1)-(D837-C837))),8)</f>
        <v/>
      </c>
      <c r="G837" s="49">
        <f>TRUNC((E837*F837),8)</f>
        <v/>
      </c>
      <c r="H837" s="49">
        <f>ROUND(((1+$H$4)^(30/360))^(C837/(EDATE(D837-B837,1)-(D837-B837))),9)</f>
        <v/>
      </c>
      <c r="I837" s="49">
        <f>TRUNC((G837*H837-G837),8)</f>
        <v/>
      </c>
      <c r="J837" s="49">
        <f>G837+I837</f>
        <v/>
      </c>
      <c r="K837" s="256" t="n"/>
      <c r="M837" s="195" t="n">
        <v>24317016</v>
      </c>
      <c r="N837" s="256" t="n"/>
      <c r="O837" s="256" t="n"/>
      <c r="P837" s="256" t="n"/>
      <c r="Q837" s="256" t="n"/>
    </row>
    <row r="838">
      <c r="A838">
        <f>IF(DAY(D838)=DAY($L$1+1),A837+1,A837)</f>
        <v/>
      </c>
      <c r="B838" s="46">
        <f>IF(DAY(D838)=DAY($L$1+1),1,B837+1)</f>
        <v/>
      </c>
      <c r="C838" s="46">
        <f>IF(DAY(D838)=DAY($L$1+1),1,C837+1)</f>
        <v/>
      </c>
      <c r="D838" s="2">
        <f>D837+1</f>
        <v/>
      </c>
      <c r="E838" s="8">
        <f>IF(DAY(D838)=DAY($L$1+1),TRUNC((N837),8),E837)</f>
        <v/>
      </c>
      <c r="F838" s="49">
        <f>TRUNC(((1+VLOOKUP(A838,IPCA!$A$2:$C$140,3,0)))^(C838/(EDATE(D838-C838,1)-(D838-C838))),8)</f>
        <v/>
      </c>
      <c r="G838" s="49">
        <f>TRUNC((E838*F838),8)</f>
        <v/>
      </c>
      <c r="H838" s="49">
        <f>ROUND(((1+$H$4)^(30/360))^(C838/(EDATE(D838-B838,1)-(D838-B838))),9)</f>
        <v/>
      </c>
      <c r="I838" s="49">
        <f>TRUNC((G838*H838-G838),8)</f>
        <v/>
      </c>
      <c r="J838" s="49">
        <f>G838+I838</f>
        <v/>
      </c>
      <c r="K838" s="256" t="n"/>
      <c r="L838" s="256" t="n"/>
      <c r="N838" s="256" t="n"/>
      <c r="O838" s="256" t="n"/>
      <c r="P838" s="256" t="n"/>
      <c r="Q838" s="256" t="n"/>
    </row>
    <row r="839">
      <c r="A839">
        <f>IF(DAY(D839)=DAY($L$1+1),A838+1,A838)</f>
        <v/>
      </c>
      <c r="B839" s="46">
        <f>IF(DAY(D839)=DAY($L$1+1),1,B838+1)</f>
        <v/>
      </c>
      <c r="C839" s="46">
        <f>IF(DAY(D839)=DAY($L$1+1),1,C838+1)</f>
        <v/>
      </c>
      <c r="D839" s="2">
        <f>D838+1</f>
        <v/>
      </c>
      <c r="E839" s="8">
        <f>IF(DAY(D839)=DAY($L$1+1),TRUNC((N838),8),E838)</f>
        <v/>
      </c>
      <c r="F839" s="49">
        <f>TRUNC(((1+VLOOKUP(A839,IPCA!$A$2:$C$140,3,0)))^(C839/(EDATE(D839-C839,1)-(D839-C839))),8)</f>
        <v/>
      </c>
      <c r="G839" s="49">
        <f>TRUNC((E839*F839),8)</f>
        <v/>
      </c>
      <c r="H839" s="49">
        <f>ROUND(((1+$H$4)^(30/360))^(C839/(EDATE(D839-B839,1)-(D839-B839))),9)</f>
        <v/>
      </c>
      <c r="I839" s="49">
        <f>TRUNC((G839*H839-G839),8)</f>
        <v/>
      </c>
      <c r="J839" s="49">
        <f>G839+I839</f>
        <v/>
      </c>
      <c r="K839" s="256" t="n"/>
      <c r="L839" s="256" t="n"/>
      <c r="M839" s="256" t="n"/>
      <c r="N839" s="256" t="n"/>
      <c r="O839" s="256" t="n"/>
      <c r="P839" s="256" t="n"/>
      <c r="Q839" s="256" t="n"/>
    </row>
    <row r="840">
      <c r="A840">
        <f>IF(DAY(D840)=DAY($L$1+1),A839+1,A839)</f>
        <v/>
      </c>
      <c r="B840" s="46">
        <f>IF(DAY(D840)=DAY($L$1+1),1,B839+1)</f>
        <v/>
      </c>
      <c r="C840" s="46">
        <f>IF(DAY(D840)=DAY($L$1+1),1,C839+1)</f>
        <v/>
      </c>
      <c r="D840" s="2">
        <f>D839+1</f>
        <v/>
      </c>
      <c r="E840" s="8">
        <f>IF(DAY(D840)=DAY($L$1+1),TRUNC((N839),8),E839)</f>
        <v/>
      </c>
      <c r="F840" s="49">
        <f>TRUNC(((1+VLOOKUP(A840,IPCA!$A$2:$C$140,3,0)))^(C840/(EDATE(D840-C840,1)-(D840-C840))),8)</f>
        <v/>
      </c>
      <c r="G840" s="49">
        <f>TRUNC((E840*F840),8)</f>
        <v/>
      </c>
      <c r="H840" s="49">
        <f>ROUND(((1+$H$4)^(30/360))^(C840/(EDATE(D840-B840,1)-(D840-B840))),9)</f>
        <v/>
      </c>
      <c r="I840" s="49">
        <f>TRUNC((G840*H840-G840),8)</f>
        <v/>
      </c>
      <c r="J840" s="49">
        <f>G840+I840</f>
        <v/>
      </c>
      <c r="K840" s="256" t="inlineStr">
        <is>
          <t>Cri Integralizado</t>
        </is>
      </c>
      <c r="L840" s="270">
        <f>L810+K820</f>
        <v/>
      </c>
      <c r="M840" s="256" t="n"/>
      <c r="N840" s="256" t="n"/>
      <c r="O840" s="256" t="n"/>
      <c r="P840" s="256" t="n"/>
      <c r="Q840" s="256" t="n"/>
    </row>
    <row r="841">
      <c r="A841">
        <f>IF(DAY(D841)=DAY($L$1+1),A840+1,A840)</f>
        <v/>
      </c>
      <c r="B841" s="46">
        <f>IF(DAY(D841)=DAY($L$1+1),1,B840+1)</f>
        <v/>
      </c>
      <c r="C841" s="46">
        <f>IF(DAY(D841)=DAY($L$1+1),1,C840+1)</f>
        <v/>
      </c>
      <c r="D841" s="47">
        <f>D840+1</f>
        <v/>
      </c>
      <c r="E841" s="8">
        <f>IF(DAY(D841)=DAY($L$1+1),TRUNC((N840),8),E840)</f>
        <v/>
      </c>
      <c r="F841" s="49">
        <f>TRUNC(((1+VLOOKUP(A841,IPCA!$A$2:$C$140,3,0)))^(C841/(EDATE(D841-C841,1)-(D841-C841))),8)</f>
        <v/>
      </c>
      <c r="G841" s="49">
        <f>TRUNC((E841*F841),8)</f>
        <v/>
      </c>
      <c r="H841" s="49">
        <f>ROUND(((1+$H$4)^(30/360))^(C841/(EDATE(D841-B841,1)-(D841-B841))),9)</f>
        <v/>
      </c>
      <c r="I841" s="49">
        <f>TRUNC((G841*H841-G841),8)</f>
        <v/>
      </c>
      <c r="J841" s="49">
        <f>G841+I841</f>
        <v/>
      </c>
      <c r="K841" s="118" t="inlineStr">
        <is>
          <t>JUROS</t>
        </is>
      </c>
      <c r="L841" s="118" t="inlineStr">
        <is>
          <t>AMORTIZAÇÃO</t>
        </is>
      </c>
      <c r="M841" s="118" t="inlineStr">
        <is>
          <t>AMEX</t>
        </is>
      </c>
      <c r="N841" s="118" t="inlineStr">
        <is>
          <t>RESIDUAL</t>
        </is>
      </c>
      <c r="O841" s="256" t="n"/>
      <c r="P841" s="256" t="n"/>
      <c r="Q841" s="256" t="n"/>
    </row>
    <row r="842">
      <c r="A842">
        <f>IF(DAY(D842)=DAY($L$1+1),A841+1,A841)</f>
        <v/>
      </c>
      <c r="B842" s="111">
        <f>IF(DAY(D842)=DAY($L$1+1),1,B841+1)</f>
        <v/>
      </c>
      <c r="C842" s="111">
        <f>IF(DAY(D842)=DAY($L$1+1),1,C841+1)</f>
        <v/>
      </c>
      <c r="D842" s="112">
        <f>D841+1</f>
        <v/>
      </c>
      <c r="E842" s="113">
        <f>IF(DAY(D842)=DAY($L$1+1),TRUNC((N841),8),E841)</f>
        <v/>
      </c>
      <c r="F842" s="114">
        <f>TRUNC(((1+VLOOKUP(A842,IPCA!$A$2:$C$140,3,0)))^(C842/(EDATE(D842-C842,1)-(D842-C842))),8)</f>
        <v/>
      </c>
      <c r="G842" s="114">
        <f>TRUNC((E842*F842),8)</f>
        <v/>
      </c>
      <c r="H842" s="114">
        <f>ROUND(((1+$H$4)^(30/360))^(C842/(EDATE(D842-B842,1)-(D842-B842))),9)</f>
        <v/>
      </c>
      <c r="I842" s="114">
        <f>TRUNC((G842*H842-G842),8)</f>
        <v/>
      </c>
      <c r="J842" s="114">
        <f>G842+I842</f>
        <v/>
      </c>
      <c r="K842" s="119" t="n"/>
      <c r="L842" s="120" t="n"/>
      <c r="M842" s="120" t="n">
        <v>0</v>
      </c>
      <c r="N842" s="120">
        <f>J842-K842-L842-M842</f>
        <v/>
      </c>
      <c r="O842" s="256" t="n"/>
      <c r="P842" s="256" t="n"/>
      <c r="Q842" s="256" t="n"/>
    </row>
    <row r="843">
      <c r="A843">
        <f>IF(DAY(D843)=DAY($L$1+1),A842+1,A842)</f>
        <v/>
      </c>
      <c r="B843" s="46">
        <f>IF(DAY(D843)=DAY($L$1+1),1,B842+1)</f>
        <v/>
      </c>
      <c r="C843" s="46">
        <f>IF(DAY(D843)=DAY($L$1+1),1,C842+1)</f>
        <v/>
      </c>
      <c r="D843" s="2">
        <f>D842+1</f>
        <v/>
      </c>
      <c r="E843" s="8">
        <f>IF(DAY(D843)=DAY($L$1+1),TRUNC((N842),8),E842)</f>
        <v/>
      </c>
      <c r="F843" s="49">
        <f>TRUNC(((1+VLOOKUP(A843,IPCA!$A$2:$C$140,3,0)))^(C843/(EDATE(D843-C843,1)-(D843-C843))),8)</f>
        <v/>
      </c>
      <c r="G843" s="49">
        <f>TRUNC((E843*F843),8)</f>
        <v/>
      </c>
      <c r="H843" s="49">
        <f>ROUND(((1+$H$4)^(30/360))^(C843/(EDATE(D843-B843,1)-(D843-B843))),9)</f>
        <v/>
      </c>
      <c r="I843" s="49">
        <f>TRUNC((G843*H843-G843),8)</f>
        <v/>
      </c>
      <c r="J843" s="49">
        <f>G843+I843</f>
        <v/>
      </c>
      <c r="K843" s="121">
        <f>K842*L840</f>
        <v/>
      </c>
      <c r="L843" s="121">
        <f>L842*L840</f>
        <v/>
      </c>
      <c r="M843" s="121">
        <f>M842*L840</f>
        <v/>
      </c>
      <c r="N843" s="121">
        <f>N842*L840</f>
        <v/>
      </c>
      <c r="O843" s="256" t="n"/>
      <c r="P843" s="256" t="n"/>
      <c r="Q843" s="256" t="n"/>
    </row>
    <row r="844">
      <c r="A844">
        <f>IF(DAY(D844)=DAY($L$1+1),A843+1,A843)</f>
        <v/>
      </c>
      <c r="B844" s="46">
        <f>IF(DAY(D844)=DAY($L$1+1),1,B843+1)</f>
        <v/>
      </c>
      <c r="C844" s="46">
        <f>IF(DAY(D844)=DAY($L$1+1),1,C843+1)</f>
        <v/>
      </c>
      <c r="D844" s="2">
        <f>D843+1</f>
        <v/>
      </c>
      <c r="E844" s="8">
        <f>IF(DAY(D844)=DAY($L$1+1),TRUNC((N843),8),E843)</f>
        <v/>
      </c>
      <c r="F844" s="49">
        <f>TRUNC(((1+VLOOKUP(A844,IPCA!$A$2:$C$140,3,0)))^(C844/(EDATE(D844-C844,1)-(D844-C844))),8)</f>
        <v/>
      </c>
      <c r="G844" s="49">
        <f>TRUNC((E844*F844),8)</f>
        <v/>
      </c>
      <c r="H844" s="49">
        <f>ROUND(((1+$H$4)^(30/360))^(C844/(EDATE(D844-B844,1)-(D844-B844))),9)</f>
        <v/>
      </c>
      <c r="I844" s="49">
        <f>TRUNC((G844*H844-G844),8)</f>
        <v/>
      </c>
      <c r="J844" s="49">
        <f>G844+I844</f>
        <v/>
      </c>
      <c r="K844" s="256" t="n"/>
      <c r="L844" s="256" t="n"/>
      <c r="M844" s="256" t="n"/>
      <c r="N844" s="256" t="n"/>
      <c r="O844" s="256" t="n"/>
      <c r="P844" s="256" t="n"/>
      <c r="Q844" s="256" t="n"/>
    </row>
    <row r="845">
      <c r="A845">
        <f>IF(DAY(D845)=DAY($L$1+1),A844+1,A844)</f>
        <v/>
      </c>
      <c r="B845" s="46">
        <f>IF(DAY(D845)=DAY($L$1+1),1,B844+1)</f>
        <v/>
      </c>
      <c r="C845" s="46">
        <f>IF(DAY(D845)=DAY($L$1+1),1,C844+1)</f>
        <v/>
      </c>
      <c r="D845" s="2">
        <f>D844+1</f>
        <v/>
      </c>
      <c r="E845" s="8">
        <f>IF(DAY(D845)=DAY($L$1+1),TRUNC((#REF!),8),E844)</f>
        <v/>
      </c>
      <c r="F845" s="49">
        <f>TRUNC(((1+VLOOKUP(A845,IPCA!$A$2:$C$140,3,0)))^(C845/(EDATE(D845-C845,1)-(D845-C845))),8)</f>
        <v/>
      </c>
      <c r="G845" s="49">
        <f>TRUNC((E845*F845),8)</f>
        <v/>
      </c>
      <c r="H845" s="49">
        <f>ROUND(((1+$H$4)^(30/360))^(C845/(EDATE(D845-B845,1)-(D845-B845))),9)</f>
        <v/>
      </c>
      <c r="I845" s="49">
        <f>TRUNC((G845*H845-G845),8)</f>
        <v/>
      </c>
      <c r="J845" s="49">
        <f>G845+I845</f>
        <v/>
      </c>
      <c r="K845" s="256" t="n"/>
      <c r="L845" s="256" t="n"/>
      <c r="M845" s="256" t="n"/>
      <c r="N845" s="256" t="n"/>
      <c r="O845" s="256" t="n"/>
      <c r="P845" s="256" t="n"/>
      <c r="Q845" s="256" t="n"/>
    </row>
    <row r="846">
      <c r="A846">
        <f>IF(DAY(D846)=DAY($L$1+1),A845+1,A845)</f>
        <v/>
      </c>
      <c r="B846" s="46">
        <f>IF(DAY(D846)=DAY($L$1+1),1,B845+1)</f>
        <v/>
      </c>
      <c r="C846" s="46">
        <f>IF(DAY(D846)=DAY($L$1+1),1,C845+1)</f>
        <v/>
      </c>
      <c r="D846" s="2">
        <f>D845+1</f>
        <v/>
      </c>
      <c r="E846" s="8">
        <f>IF(DAY(D846)=DAY($L$1+1),TRUNC((#REF!),8),E845)</f>
        <v/>
      </c>
      <c r="F846" s="49">
        <f>TRUNC(((1+VLOOKUP(A846,IPCA!$A$2:$C$140,3,0)))^(C846/(EDATE(D846-C846,1)-(D846-C846))),8)</f>
        <v/>
      </c>
      <c r="G846" s="49">
        <f>TRUNC((E846*F846),8)</f>
        <v/>
      </c>
      <c r="H846" s="49">
        <f>ROUND(((1+$H$4)^(30/360))^(C846/(EDATE(D846-B846,1)-(D846-B846))),9)</f>
        <v/>
      </c>
      <c r="I846" s="49">
        <f>TRUNC((G846*H846-G846),8)</f>
        <v/>
      </c>
      <c r="J846" s="49">
        <f>G846+I846</f>
        <v/>
      </c>
      <c r="K846" s="256" t="n"/>
      <c r="L846" s="256" t="n"/>
      <c r="M846" s="256" t="n"/>
      <c r="N846" s="256" t="n"/>
      <c r="O846" s="256" t="n"/>
      <c r="P846" s="256" t="n"/>
      <c r="Q846" s="256" t="n"/>
    </row>
    <row r="847">
      <c r="A847">
        <f>IF(DAY(D847)=DAY($L$1+1),A846+1,A846)</f>
        <v/>
      </c>
      <c r="B847" s="46">
        <f>IF(DAY(D847)=DAY($L$1+1),1,B846+1)</f>
        <v/>
      </c>
      <c r="C847" s="46">
        <f>IF(DAY(D847)=DAY($L$1+1),1,C846+1)</f>
        <v/>
      </c>
      <c r="D847" s="2">
        <f>D846+1</f>
        <v/>
      </c>
      <c r="E847" s="8">
        <f>IF(DAY(D847)=DAY($L$1+1),TRUNC((#REF!),8),E846)</f>
        <v/>
      </c>
      <c r="F847" s="49">
        <f>TRUNC(((1+VLOOKUP(A847,IPCA!$A$2:$C$140,3,0)))^(C847/(EDATE(D847-C847,1)-(D847-C847))),8)</f>
        <v/>
      </c>
      <c r="G847" s="49">
        <f>TRUNC((E847*F847),8)</f>
        <v/>
      </c>
      <c r="H847" s="49">
        <f>ROUND(((1+$H$4)^(30/360))^(C847/(EDATE(D847-B847,1)-(D847-B847))),9)</f>
        <v/>
      </c>
      <c r="I847" s="49">
        <f>TRUNC((G847*H847-G847),8)</f>
        <v/>
      </c>
      <c r="J847" s="49">
        <f>G847+I847</f>
        <v/>
      </c>
      <c r="K847" s="256" t="n"/>
      <c r="L847" s="256" t="n"/>
      <c r="M847" s="256" t="n"/>
      <c r="N847" s="256" t="n"/>
      <c r="O847" s="256" t="n"/>
      <c r="P847" s="256" t="n"/>
      <c r="Q847" s="256" t="n"/>
    </row>
    <row r="848">
      <c r="A848">
        <f>IF(DAY(D848)=DAY($L$1+1),A847+1,A847)</f>
        <v/>
      </c>
      <c r="B848" s="46">
        <f>IF(DAY(D848)=DAY($L$1+1),1,B847+1)</f>
        <v/>
      </c>
      <c r="C848" s="46">
        <f>IF(DAY(D848)=DAY($L$1+1),1,C847+1)</f>
        <v/>
      </c>
      <c r="D848" s="2">
        <f>D847+1</f>
        <v/>
      </c>
      <c r="E848" s="8">
        <f>IF(DAY(D848)=DAY($L$1+1),TRUNC((#REF!),8),E847)</f>
        <v/>
      </c>
      <c r="F848" s="49">
        <f>TRUNC(((1+VLOOKUP(A848,IPCA!$A$2:$C$140,3,0)))^(C848/(EDATE(D848-C848,1)-(D848-C848))),8)</f>
        <v/>
      </c>
      <c r="G848" s="49">
        <f>TRUNC((E848*F848),8)</f>
        <v/>
      </c>
      <c r="H848" s="49">
        <f>ROUND(((1+$H$4)^(30/360))^(C848/(EDATE(D848-B848,1)-(D848-B848))),9)</f>
        <v/>
      </c>
      <c r="I848" s="49">
        <f>TRUNC((G848*H848-G848),8)</f>
        <v/>
      </c>
      <c r="J848" s="49">
        <f>G848+I848</f>
        <v/>
      </c>
      <c r="K848" s="256" t="n"/>
      <c r="L848" s="256" t="n"/>
      <c r="M848" s="256" t="n"/>
      <c r="N848" s="256" t="n"/>
      <c r="O848" s="256" t="n"/>
      <c r="P848" s="256" t="n"/>
      <c r="Q848" s="256" t="n"/>
    </row>
    <row r="849">
      <c r="A849">
        <f>IF(DAY(D849)=DAY($L$1+1),A848+1,A848)</f>
        <v/>
      </c>
      <c r="B849" s="46">
        <f>IF(DAY(D849)=DAY($L$1+1),1,B848+1)</f>
        <v/>
      </c>
      <c r="C849" s="46">
        <f>IF(DAY(D849)=DAY($L$1+1),1,C848+1)</f>
        <v/>
      </c>
      <c r="D849" s="2">
        <f>D848+1</f>
        <v/>
      </c>
      <c r="E849" s="8">
        <f>IF(DAY(D849)=DAY($L$1+1),TRUNC((#REF!),8),E848)</f>
        <v/>
      </c>
      <c r="F849" s="49">
        <f>TRUNC(((1+VLOOKUP(A849,IPCA!$A$2:$C$140,3,0)))^(C849/(EDATE(D849-C849,1)-(D849-C849))),8)</f>
        <v/>
      </c>
      <c r="G849" s="49">
        <f>TRUNC((E849*F849),8)</f>
        <v/>
      </c>
      <c r="H849" s="49">
        <f>ROUND(((1+$H$4)^(30/360))^(C849/(EDATE(D849-B849,1)-(D849-B849))),9)</f>
        <v/>
      </c>
      <c r="I849" s="49">
        <f>TRUNC((G849*H849-G849),8)</f>
        <v/>
      </c>
      <c r="J849" s="49">
        <f>G849+I849</f>
        <v/>
      </c>
      <c r="K849" s="256" t="n"/>
      <c r="L849" s="256" t="n"/>
      <c r="M849" s="256" t="n"/>
      <c r="N849" s="256" t="n"/>
      <c r="O849" s="256" t="n"/>
      <c r="P849" s="256" t="n"/>
      <c r="Q849" s="256" t="n"/>
    </row>
    <row r="850">
      <c r="A850">
        <f>IF(DAY(D850)=DAY($L$1+1),A849+1,A849)</f>
        <v/>
      </c>
      <c r="B850" s="46">
        <f>IF(DAY(D850)=DAY($L$1+1),1,B849+1)</f>
        <v/>
      </c>
      <c r="C850" s="46">
        <f>IF(DAY(D850)=DAY($L$1+1),1,C849+1)</f>
        <v/>
      </c>
      <c r="D850" s="2">
        <f>D849+1</f>
        <v/>
      </c>
      <c r="E850" s="8">
        <f>IF(DAY(D850)=DAY($L$1+1),TRUNC((#REF!),8),E849)</f>
        <v/>
      </c>
      <c r="F850" s="49">
        <f>TRUNC(((1+VLOOKUP(A850,IPCA!$A$2:$C$140,3,0)))^(C850/(EDATE(D850-C850,1)-(D850-C850))),8)</f>
        <v/>
      </c>
      <c r="G850" s="49">
        <f>TRUNC((E850*F850),8)</f>
        <v/>
      </c>
      <c r="H850" s="49">
        <f>ROUND(((1+$H$4)^(30/360))^(C850/(EDATE(D850-B850,1)-(D850-B850))),9)</f>
        <v/>
      </c>
      <c r="I850" s="49">
        <f>TRUNC((G850*H850-G850),8)</f>
        <v/>
      </c>
      <c r="J850" s="49">
        <f>G850+I850</f>
        <v/>
      </c>
      <c r="K850" s="256" t="n"/>
      <c r="L850" s="256" t="n"/>
      <c r="M850" s="256" t="n"/>
      <c r="N850" s="256" t="n"/>
      <c r="O850" s="256" t="n"/>
      <c r="P850" s="256" t="n"/>
      <c r="Q850" s="256" t="n"/>
    </row>
    <row r="851">
      <c r="A851">
        <f>IF(DAY(D851)=DAY($L$1+1),A850+1,A850)</f>
        <v/>
      </c>
      <c r="B851" s="46">
        <f>IF(DAY(D851)=DAY($L$1+1),1,B850+1)</f>
        <v/>
      </c>
      <c r="C851" s="46">
        <f>IF(DAY(D851)=DAY($L$1+1),1,C850+1)</f>
        <v/>
      </c>
      <c r="D851" s="2">
        <f>D850+1</f>
        <v/>
      </c>
      <c r="E851" s="8">
        <f>IF(DAY(D851)=DAY($L$1+1),TRUNC((#REF!),8),E850)</f>
        <v/>
      </c>
      <c r="F851" s="49">
        <f>TRUNC(((1+VLOOKUP(A851,IPCA!$A$2:$C$140,3,0)))^(C851/(EDATE(D851-C851,1)-(D851-C851))),8)</f>
        <v/>
      </c>
      <c r="G851" s="49">
        <f>TRUNC((E851*F851),8)</f>
        <v/>
      </c>
      <c r="H851" s="49">
        <f>ROUND(((1+$H$4)^(30/360))^(C851/(EDATE(D851-B851,1)-(D851-B851))),9)</f>
        <v/>
      </c>
      <c r="I851" s="49">
        <f>TRUNC((G851*H851-G851),8)</f>
        <v/>
      </c>
      <c r="J851" s="49">
        <f>G851+I851</f>
        <v/>
      </c>
      <c r="K851" s="256" t="n"/>
      <c r="L851" s="256" t="n"/>
      <c r="M851" s="256" t="n"/>
      <c r="N851" s="256" t="n"/>
      <c r="O851" s="256" t="n"/>
      <c r="P851" s="256" t="n"/>
      <c r="Q851" s="256" t="n"/>
    </row>
    <row r="852">
      <c r="A852">
        <f>IF(DAY(D852)=DAY($L$1+1),A851+1,A851)</f>
        <v/>
      </c>
      <c r="B852" s="46">
        <f>IF(DAY(D852)=DAY($L$1+1),1,B851+1)</f>
        <v/>
      </c>
      <c r="C852" s="46">
        <f>IF(DAY(D852)=DAY($L$1+1),1,C851+1)</f>
        <v/>
      </c>
      <c r="D852" s="2">
        <f>D851+1</f>
        <v/>
      </c>
      <c r="E852" s="8">
        <f>IF(DAY(D852)=DAY($L$1+1),TRUNC((#REF!),8),E851)</f>
        <v/>
      </c>
      <c r="F852" s="49">
        <f>TRUNC(((1+VLOOKUP(A852,IPCA!$A$2:$C$140,3,0)))^(C852/(EDATE(D852-C852,1)-(D852-C852))),8)</f>
        <v/>
      </c>
      <c r="G852" s="49">
        <f>TRUNC((E852*F852),8)</f>
        <v/>
      </c>
      <c r="H852" s="49">
        <f>ROUND(((1+$H$4)^(30/360))^(C852/(EDATE(D852-B852,1)-(D852-B852))),9)</f>
        <v/>
      </c>
      <c r="I852" s="49">
        <f>TRUNC((G852*H852-G852),8)</f>
        <v/>
      </c>
      <c r="J852" s="49">
        <f>G852+I852</f>
        <v/>
      </c>
      <c r="K852" s="256" t="n"/>
      <c r="L852" s="256" t="n"/>
      <c r="M852" s="256" t="n"/>
      <c r="N852" s="256" t="n"/>
      <c r="O852" s="256" t="n"/>
      <c r="P852" s="256" t="n"/>
      <c r="Q852" s="256" t="n"/>
    </row>
    <row r="853">
      <c r="A853">
        <f>IF(DAY(D853)=DAY($L$1+1),A852+1,A852)</f>
        <v/>
      </c>
      <c r="B853" s="46">
        <f>IF(DAY(D853)=DAY($L$1+1),1,B852+1)</f>
        <v/>
      </c>
      <c r="C853" s="46">
        <f>IF(DAY(D853)=DAY($L$1+1),1,C852+1)</f>
        <v/>
      </c>
      <c r="D853" s="2">
        <f>D852+1</f>
        <v/>
      </c>
      <c r="E853" s="8">
        <f>IF(DAY(D853)=DAY($L$1+1),TRUNC((#REF!),8),E852)</f>
        <v/>
      </c>
      <c r="F853" s="49">
        <f>TRUNC(((1+VLOOKUP(A853,IPCA!$A$2:$C$140,3,0)))^(C853/(EDATE(D853-C853,1)-(D853-C853))),8)</f>
        <v/>
      </c>
      <c r="G853" s="49">
        <f>TRUNC((E853*F853),8)</f>
        <v/>
      </c>
      <c r="H853" s="49">
        <f>ROUND(((1+$H$4)^(30/360))^(C853/(EDATE(D853-B853,1)-(D853-B853))),9)</f>
        <v/>
      </c>
      <c r="I853" s="49">
        <f>TRUNC((G853*H853-G853),8)</f>
        <v/>
      </c>
      <c r="J853" s="49">
        <f>G853+I853</f>
        <v/>
      </c>
      <c r="K853" s="256" t="n"/>
      <c r="L853" s="256" t="n"/>
      <c r="M853" s="256" t="n"/>
      <c r="N853" s="256" t="n"/>
      <c r="O853" s="256" t="n"/>
      <c r="P853" s="256" t="n"/>
      <c r="Q853" s="256" t="n"/>
    </row>
    <row r="854">
      <c r="A854">
        <f>IF(DAY(D854)=DAY($L$1+1),A853+1,A853)</f>
        <v/>
      </c>
      <c r="B854" s="46">
        <f>IF(DAY(D854)=DAY($L$1+1),1,B853+1)</f>
        <v/>
      </c>
      <c r="C854" s="46">
        <f>IF(DAY(D854)=DAY($L$1+1),1,C853+1)</f>
        <v/>
      </c>
      <c r="D854" s="2">
        <f>D853+1</f>
        <v/>
      </c>
      <c r="E854" s="8">
        <f>IF(DAY(D854)=DAY($L$1+1),TRUNC((#REF!),8),E853)</f>
        <v/>
      </c>
      <c r="F854" s="49">
        <f>TRUNC(((1+VLOOKUP(A854,IPCA!$A$2:$C$140,3,0)))^(C854/(EDATE(D854-C854,1)-(D854-C854))),8)</f>
        <v/>
      </c>
      <c r="G854" s="49">
        <f>TRUNC((E854*F854),8)</f>
        <v/>
      </c>
      <c r="H854" s="49">
        <f>ROUND(((1+$H$4)^(30/360))^(C854/(EDATE(D854-B854,1)-(D854-B854))),9)</f>
        <v/>
      </c>
      <c r="I854" s="49">
        <f>TRUNC((G854*H854-G854),8)</f>
        <v/>
      </c>
      <c r="J854" s="49">
        <f>G854+I854</f>
        <v/>
      </c>
      <c r="K854" s="256" t="n"/>
      <c r="L854" s="256" t="n"/>
      <c r="M854" s="256" t="n"/>
      <c r="N854" s="256" t="n"/>
      <c r="O854" s="256" t="n"/>
      <c r="P854" s="256" t="n"/>
      <c r="Q854" s="256" t="n"/>
    </row>
    <row r="855">
      <c r="A855">
        <f>IF(DAY(D855)=DAY($L$1+1),A854+1,A854)</f>
        <v/>
      </c>
      <c r="B855" s="46">
        <f>IF(DAY(D855)=DAY($L$1+1),1,B854+1)</f>
        <v/>
      </c>
      <c r="C855" s="46">
        <f>IF(DAY(D855)=DAY($L$1+1),1,C854+1)</f>
        <v/>
      </c>
      <c r="D855" s="2">
        <f>D854+1</f>
        <v/>
      </c>
      <c r="E855" s="8">
        <f>IF(DAY(D855)=DAY($L$1+1),TRUNC((#REF!),8),E854)</f>
        <v/>
      </c>
      <c r="F855" s="49">
        <f>TRUNC(((1+VLOOKUP(A855,IPCA!$A$2:$C$140,3,0)))^(C855/(EDATE(D855-C855,1)-(D855-C855))),8)</f>
        <v/>
      </c>
      <c r="G855" s="49">
        <f>TRUNC((E855*F855),8)</f>
        <v/>
      </c>
      <c r="H855" s="49">
        <f>ROUND(((1+$H$4)^(30/360))^(C855/(EDATE(D855-B855,1)-(D855-B855))),9)</f>
        <v/>
      </c>
      <c r="I855" s="49">
        <f>TRUNC((G855*H855-G855),8)</f>
        <v/>
      </c>
      <c r="J855" s="49">
        <f>G855+I855</f>
        <v/>
      </c>
      <c r="K855" s="256" t="n"/>
      <c r="L855" s="256" t="n"/>
      <c r="M855" s="256" t="n"/>
      <c r="N855" s="256" t="n"/>
      <c r="O855" s="256" t="n"/>
      <c r="P855" s="256" t="n"/>
      <c r="Q855" s="256" t="n"/>
    </row>
    <row r="856">
      <c r="A856">
        <f>IF(DAY(D856)=DAY($L$1+1),A855+1,A855)</f>
        <v/>
      </c>
      <c r="B856" s="46">
        <f>IF(DAY(D856)=DAY($L$1+1),1,B855+1)</f>
        <v/>
      </c>
      <c r="C856" s="46">
        <f>IF(DAY(D856)=DAY($L$1+1),1,C855+1)</f>
        <v/>
      </c>
      <c r="D856" s="2">
        <f>D855+1</f>
        <v/>
      </c>
      <c r="E856" s="8">
        <f>IF(DAY(D856)=DAY($L$1+1),TRUNC((N855),8),E855)</f>
        <v/>
      </c>
      <c r="F856" s="49">
        <f>TRUNC(((1+VLOOKUP(A856,IPCA!$A$2:$C$140,3,0)))^(C856/(EDATE(D856-C856,1)-(D856-C856))),8)</f>
        <v/>
      </c>
      <c r="G856" s="49">
        <f>TRUNC((E856*F856),8)</f>
        <v/>
      </c>
      <c r="H856" s="49">
        <f>ROUND(((1+$H$4)^(30/360))^(C856/(EDATE(D856-B856,1)-(D856-B856))),9)</f>
        <v/>
      </c>
      <c r="I856" s="49">
        <f>TRUNC((G856*H856-G856),8)</f>
        <v/>
      </c>
      <c r="J856" s="49">
        <f>G856+I856</f>
        <v/>
      </c>
      <c r="K856" s="256" t="n"/>
      <c r="L856" s="256" t="n"/>
      <c r="M856" s="256" t="n"/>
      <c r="N856" s="256" t="n"/>
      <c r="O856" s="256" t="n"/>
      <c r="P856" s="256" t="n"/>
      <c r="Q856" s="256" t="n"/>
    </row>
    <row r="857">
      <c r="A857">
        <f>IF(DAY(D857)=DAY($L$1+1),A856+1,A856)</f>
        <v/>
      </c>
      <c r="B857" s="46">
        <f>IF(DAY(D857)=DAY($L$1+1),1,B856+1)</f>
        <v/>
      </c>
      <c r="C857" s="46">
        <f>IF(DAY(D857)=DAY($L$1+1),1,C856+1)</f>
        <v/>
      </c>
      <c r="D857" s="2">
        <f>D856+1</f>
        <v/>
      </c>
      <c r="E857" s="8">
        <f>IF(DAY(D857)=DAY($L$1+1),TRUNC((N856),8),E856)</f>
        <v/>
      </c>
      <c r="F857" s="49">
        <f>TRUNC(((1+VLOOKUP(A857,IPCA!$A$2:$C$140,3,0)))^(C857/(EDATE(D857-C857,1)-(D857-C857))),8)</f>
        <v/>
      </c>
      <c r="G857" s="49">
        <f>TRUNC((E857*F857),8)</f>
        <v/>
      </c>
      <c r="H857" s="49">
        <f>ROUND(((1+$H$4)^(30/360))^(C857/(EDATE(D857-B857,1)-(D857-B857))),9)</f>
        <v/>
      </c>
      <c r="I857" s="49">
        <f>TRUNC((G857*H857-G857),8)</f>
        <v/>
      </c>
      <c r="J857" s="49">
        <f>G857+I857</f>
        <v/>
      </c>
      <c r="K857" s="123" t="n"/>
      <c r="L857" s="271" t="n"/>
      <c r="M857" s="256" t="n"/>
      <c r="N857" s="256" t="n"/>
      <c r="O857" s="256" t="n"/>
      <c r="P857" s="256" t="n"/>
      <c r="Q857" s="256" t="n"/>
    </row>
    <row r="858">
      <c r="A858">
        <f>IF(DAY(D858)=DAY($L$1+1),A857+1,A857)</f>
        <v/>
      </c>
      <c r="B858" s="46">
        <f>IF(DAY(D858)=DAY($L$1+1),1,B857+1)</f>
        <v/>
      </c>
      <c r="C858" s="46">
        <f>IF(DAY(D858)=DAY($L$1+1),1,C857+1)</f>
        <v/>
      </c>
      <c r="D858" s="2">
        <f>D857+1</f>
        <v/>
      </c>
      <c r="E858" s="8">
        <f>IF(DAY(D858)=DAY($L$1+1),TRUNC((N857),8),E857)</f>
        <v/>
      </c>
      <c r="F858" s="49">
        <f>TRUNC(((1+VLOOKUP(A858,IPCA!$A$2:$C$140,3,0)))^(C858/(EDATE(D858-C858,1)-(D858-C858))),8)</f>
        <v/>
      </c>
      <c r="G858" s="49">
        <f>TRUNC((E858*F858),8)</f>
        <v/>
      </c>
      <c r="H858" s="49">
        <f>ROUND(((1+$H$4)^(30/360))^(C858/(EDATE(D858-B858,1)-(D858-B858))),9)</f>
        <v/>
      </c>
      <c r="I858" s="49">
        <f>TRUNC((G858*H858-G858),8)</f>
        <v/>
      </c>
      <c r="J858" s="49">
        <f>G858+I858</f>
        <v/>
      </c>
      <c r="K858" s="256" t="n"/>
      <c r="L858" s="256" t="n"/>
      <c r="M858" s="256" t="n"/>
      <c r="N858" s="256" t="n"/>
      <c r="O858" s="256" t="n"/>
      <c r="P858" s="256" t="n"/>
      <c r="Q858" s="256" t="n"/>
    </row>
    <row r="859">
      <c r="A859">
        <f>IF(DAY(D859)=DAY($L$1+1),A858+1,A858)</f>
        <v/>
      </c>
      <c r="B859" s="46">
        <f>IF(DAY(D859)=DAY($L$1+1),1,B858+1)</f>
        <v/>
      </c>
      <c r="C859" s="46">
        <f>IF(DAY(D859)=DAY($L$1+1),1,C858+1)</f>
        <v/>
      </c>
      <c r="D859" s="2">
        <f>D858+1</f>
        <v/>
      </c>
      <c r="E859" s="8">
        <f>IF(DAY(D859)=DAY($L$1+1),TRUNC((N858),8),E858)</f>
        <v/>
      </c>
      <c r="F859" s="49">
        <f>TRUNC(((1+VLOOKUP(A859,IPCA!$A$2:$C$140,3,0)))^(C859/(EDATE(D859-C859,1)-(D859-C859))),8)</f>
        <v/>
      </c>
      <c r="G859" s="49">
        <f>TRUNC((E859*F859),8)</f>
        <v/>
      </c>
      <c r="H859" s="49">
        <f>ROUND(((1+$H$4)^(30/360))^(C859/(EDATE(D859-B859,1)-(D859-B859))),9)</f>
        <v/>
      </c>
      <c r="I859" s="49">
        <f>TRUNC((G859*H859-G859),8)</f>
        <v/>
      </c>
      <c r="J859" s="49">
        <f>G859+I859</f>
        <v/>
      </c>
      <c r="K859" s="256" t="n"/>
      <c r="L859" s="256" t="n"/>
      <c r="M859" s="256" t="n"/>
      <c r="N859" s="256" t="n"/>
      <c r="O859" s="256" t="n"/>
      <c r="P859" s="256" t="n"/>
      <c r="Q859" s="256" t="n"/>
    </row>
    <row r="860">
      <c r="A860">
        <f>IF(DAY(D860)=DAY($L$1+1),A859+1,A859)</f>
        <v/>
      </c>
      <c r="B860" s="46">
        <f>IF(DAY(D860)=DAY($L$1+1),1,B859+1)</f>
        <v/>
      </c>
      <c r="C860" s="46">
        <f>IF(DAY(D860)=DAY($L$1+1),1,C859+1)</f>
        <v/>
      </c>
      <c r="D860" s="2">
        <f>D859+1</f>
        <v/>
      </c>
      <c r="E860" s="8">
        <f>IF(DAY(D860)=DAY($L$1+1),TRUNC((N859),8),E859)</f>
        <v/>
      </c>
      <c r="F860" s="49">
        <f>TRUNC(((1+VLOOKUP(A860,IPCA!$A$2:$C$140,3,0)))^(C860/(EDATE(D860-C860,1)-(D860-C860))),8)</f>
        <v/>
      </c>
      <c r="G860" s="49">
        <f>TRUNC((E860*F860),8)</f>
        <v/>
      </c>
      <c r="H860" s="49">
        <f>ROUND(((1+$H$4)^(30/360))^(C860/(EDATE(D860-B860,1)-(D860-B860))),9)</f>
        <v/>
      </c>
      <c r="I860" s="49">
        <f>TRUNC((G860*H860-G860),8)</f>
        <v/>
      </c>
      <c r="J860" s="49">
        <f>G860+I860</f>
        <v/>
      </c>
      <c r="K860" s="256" t="n"/>
      <c r="L860" s="256" t="n"/>
      <c r="M860" s="256" t="n"/>
      <c r="N860" s="256" t="n"/>
      <c r="O860" s="256" t="n"/>
      <c r="P860" s="256" t="n"/>
      <c r="Q860" s="256" t="n"/>
    </row>
    <row r="861">
      <c r="A861">
        <f>IF(DAY(D861)=DAY($L$1+1),A860+1,A860)</f>
        <v/>
      </c>
      <c r="B861" s="46">
        <f>IF(DAY(D861)=DAY($L$1+1),1,B860+1)</f>
        <v/>
      </c>
      <c r="C861" s="46">
        <f>IF(DAY(D861)=DAY($L$1+1),1,C860+1)</f>
        <v/>
      </c>
      <c r="D861" s="2">
        <f>D860+1</f>
        <v/>
      </c>
      <c r="E861" s="8">
        <f>IF(DAY(D861)=DAY($L$1+1),TRUNC((N860),8),E860)</f>
        <v/>
      </c>
      <c r="F861" s="49">
        <f>TRUNC(((1+VLOOKUP(A861,IPCA!$A$2:$C$140,3,0)))^(C861/(EDATE(D861-C861,1)-(D861-C861))),8)</f>
        <v/>
      </c>
      <c r="G861" s="49">
        <f>TRUNC((E861*F861),8)</f>
        <v/>
      </c>
      <c r="H861" s="49">
        <f>ROUND(((1+$H$4)^(30/360))^(C861/(EDATE(D861-B861,1)-(D861-B861))),9)</f>
        <v/>
      </c>
      <c r="I861" s="49">
        <f>TRUNC((G861*H861-G861),8)</f>
        <v/>
      </c>
      <c r="J861" s="49">
        <f>G861+I861</f>
        <v/>
      </c>
      <c r="K861" s="256" t="n"/>
      <c r="L861" s="256" t="n"/>
      <c r="M861" s="256" t="n"/>
      <c r="N861" s="256" t="n"/>
      <c r="O861" s="256" t="n"/>
      <c r="P861" s="256" t="n"/>
      <c r="Q861" s="256" t="n"/>
    </row>
    <row r="862">
      <c r="A862">
        <f>IF(DAY(D862)=DAY($L$1+1),A861+1,A861)</f>
        <v/>
      </c>
      <c r="B862" s="46">
        <f>IF(DAY(D862)=DAY($L$1+1),1,B861+1)</f>
        <v/>
      </c>
      <c r="C862" s="46">
        <f>IF(DAY(D862)=DAY($L$1+1),1,C861+1)</f>
        <v/>
      </c>
      <c r="D862" s="2">
        <f>D861+1</f>
        <v/>
      </c>
      <c r="E862" s="8">
        <f>IF(DAY(D862)=DAY($L$1+1),TRUNC((N861),8),E861)</f>
        <v/>
      </c>
      <c r="F862" s="49">
        <f>TRUNC(((1+VLOOKUP(A862,IPCA!$A$2:$C$140,3,0)))^(C862/(EDATE(D862-C862,1)-(D862-C862))),8)</f>
        <v/>
      </c>
      <c r="G862" s="49">
        <f>TRUNC((E862*F862),8)</f>
        <v/>
      </c>
      <c r="H862" s="49">
        <f>ROUND(((1+$H$4)^(30/360))^(C862/(EDATE(D862-B862,1)-(D862-B862))),9)</f>
        <v/>
      </c>
      <c r="I862" s="49">
        <f>TRUNC((G862*H862-G862),8)</f>
        <v/>
      </c>
      <c r="J862" s="49">
        <f>G862+I862</f>
        <v/>
      </c>
      <c r="K862" s="256" t="n"/>
      <c r="L862" s="256" t="n"/>
      <c r="M862" s="256" t="n"/>
      <c r="N862" s="256" t="n"/>
      <c r="O862" s="256" t="n"/>
      <c r="P862" s="256" t="n"/>
      <c r="Q862" s="256" t="n"/>
    </row>
    <row r="863">
      <c r="A863">
        <f>IF(DAY(D863)=DAY($L$1+1),A862+1,A862)</f>
        <v/>
      </c>
      <c r="B863" s="46">
        <f>IF(DAY(D863)=DAY($L$1+1),1,B862+1)</f>
        <v/>
      </c>
      <c r="C863" s="46">
        <f>IF(DAY(D863)=DAY($L$1+1),1,C862+1)</f>
        <v/>
      </c>
      <c r="D863" s="2">
        <f>D862+1</f>
        <v/>
      </c>
      <c r="E863" s="8">
        <f>IF(DAY(D863)=DAY($L$1+1),TRUNC((N862),8),E862)</f>
        <v/>
      </c>
      <c r="F863" s="49">
        <f>TRUNC(((1+VLOOKUP(A863,IPCA!$A$2:$C$140,3,0)))^(C863/(EDATE(D863-C863,1)-(D863-C863))),8)</f>
        <v/>
      </c>
      <c r="G863" s="49">
        <f>TRUNC((E863*F863),8)</f>
        <v/>
      </c>
      <c r="H863" s="49">
        <f>ROUND(((1+$H$4)^(30/360))^(C863/(EDATE(D863-B863,1)-(D863-B863))),9)</f>
        <v/>
      </c>
      <c r="I863" s="49">
        <f>TRUNC((G863*H863-G863),8)</f>
        <v/>
      </c>
      <c r="J863" s="49">
        <f>G863+I863</f>
        <v/>
      </c>
      <c r="K863" s="256" t="n"/>
      <c r="L863" s="256" t="n"/>
      <c r="M863" s="256" t="n"/>
      <c r="N863" s="256" t="n"/>
      <c r="O863" s="256" t="n"/>
      <c r="P863" s="256" t="n"/>
      <c r="Q863" s="256" t="n"/>
    </row>
    <row r="864">
      <c r="A864">
        <f>IF(DAY(D864)=DAY($L$1+1),A863+1,A863)</f>
        <v/>
      </c>
      <c r="B864" s="46">
        <f>IF(DAY(D864)=DAY($L$1+1),1,B863+1)</f>
        <v/>
      </c>
      <c r="C864" s="46">
        <f>IF(DAY(D864)=DAY($L$1+1),1,C863+1)</f>
        <v/>
      </c>
      <c r="D864" s="2">
        <f>D863+1</f>
        <v/>
      </c>
      <c r="E864" s="8">
        <f>IF(DAY(D864)=DAY($L$1+1),TRUNC((N863),8),E863)</f>
        <v/>
      </c>
      <c r="F864" s="49">
        <f>TRUNC(((1+VLOOKUP(A864,IPCA!$A$2:$C$140,3,0)))^(C864/(EDATE(D864-C864,1)-(D864-C864))),8)</f>
        <v/>
      </c>
      <c r="G864" s="49">
        <f>TRUNC((E864*F864),8)</f>
        <v/>
      </c>
      <c r="H864" s="49">
        <f>ROUND(((1+$H$4)^(30/360))^(C864/(EDATE(D864-B864,1)-(D864-B864))),9)</f>
        <v/>
      </c>
      <c r="I864" s="49">
        <f>TRUNC((G864*H864-G864),8)</f>
        <v/>
      </c>
      <c r="J864" s="49">
        <f>G864+I864</f>
        <v/>
      </c>
      <c r="K864" s="256" t="n"/>
      <c r="L864" s="256" t="n"/>
      <c r="M864" s="256" t="n"/>
      <c r="N864" s="256" t="n"/>
      <c r="O864" s="256" t="n"/>
      <c r="P864" s="256" t="n"/>
      <c r="Q864" s="256" t="n"/>
    </row>
    <row r="865">
      <c r="A865">
        <f>IF(DAY(D865)=DAY($L$1+1),A864+1,A864)</f>
        <v/>
      </c>
      <c r="B865" s="46">
        <f>IF(DAY(D865)=DAY($L$1+1),1,B864+1)</f>
        <v/>
      </c>
      <c r="C865" s="46">
        <f>IF(DAY(D865)=DAY($L$1+1),1,C864+1)</f>
        <v/>
      </c>
      <c r="D865" s="2">
        <f>D864+1</f>
        <v/>
      </c>
      <c r="E865" s="8">
        <f>IF(DAY(D865)=DAY($L$1+1),TRUNC((N864),8),E864)</f>
        <v/>
      </c>
      <c r="F865" s="49">
        <f>TRUNC(((1+VLOOKUP(A865,IPCA!$A$2:$C$140,3,0)))^(C865/(EDATE(D865-C865,1)-(D865-C865))),8)</f>
        <v/>
      </c>
      <c r="G865" s="49">
        <f>TRUNC((E865*F865),8)</f>
        <v/>
      </c>
      <c r="H865" s="49">
        <f>ROUND(((1+$H$4)^(30/360))^(C865/(EDATE(D865-B865,1)-(D865-B865))),9)</f>
        <v/>
      </c>
      <c r="I865" s="49">
        <f>TRUNC((G865*H865-G865),8)</f>
        <v/>
      </c>
      <c r="J865" s="49">
        <f>G865+I865</f>
        <v/>
      </c>
      <c r="K865" s="256" t="n"/>
      <c r="L865" s="256" t="n"/>
      <c r="M865" s="256" t="n"/>
      <c r="N865" s="256" t="n"/>
      <c r="O865" s="256" t="n"/>
      <c r="P865" s="256" t="n"/>
      <c r="Q865" s="256" t="n"/>
    </row>
    <row r="866">
      <c r="A866">
        <f>IF(DAY(D866)=DAY($L$1+1),A865+1,A865)</f>
        <v/>
      </c>
      <c r="B866" s="46">
        <f>IF(DAY(D866)=DAY($L$1+1),1,B865+1)</f>
        <v/>
      </c>
      <c r="C866" s="46">
        <f>IF(DAY(D866)=DAY($L$1+1),1,C865+1)</f>
        <v/>
      </c>
      <c r="D866" s="2">
        <f>D865+1</f>
        <v/>
      </c>
      <c r="E866" s="8">
        <f>IF(DAY(D866)=DAY($L$1+1),TRUNC((N865),8),E865)</f>
        <v/>
      </c>
      <c r="F866" s="49">
        <f>TRUNC(((1+VLOOKUP(A866,IPCA!$A$2:$C$140,3,0)))^(C866/(EDATE(D866-C866,1)-(D866-C866))),8)</f>
        <v/>
      </c>
      <c r="G866" s="49">
        <f>TRUNC((E866*F866),8)</f>
        <v/>
      </c>
      <c r="H866" s="49">
        <f>ROUND(((1+$H$4)^(30/360))^(C866/(EDATE(D866-B866,1)-(D866-B866))),9)</f>
        <v/>
      </c>
      <c r="I866" s="49">
        <f>TRUNC((G866*H866-G866),8)</f>
        <v/>
      </c>
      <c r="J866" s="49">
        <f>G866+I866</f>
        <v/>
      </c>
      <c r="K866" s="256" t="n"/>
      <c r="L866" s="256" t="n"/>
      <c r="M866" s="256" t="n"/>
      <c r="N866" s="256" t="n"/>
      <c r="O866" s="256" t="n"/>
      <c r="P866" s="256" t="n"/>
      <c r="Q866" s="256" t="n"/>
    </row>
    <row r="867">
      <c r="A867">
        <f>IF(DAY(D867)=DAY($L$1+1),A866+1,A866)</f>
        <v/>
      </c>
      <c r="B867" s="46">
        <f>IF(DAY(D867)=DAY($L$1+1),1,B866+1)</f>
        <v/>
      </c>
      <c r="C867" s="46">
        <f>IF(DAY(D867)=DAY($L$1+1),1,C866+1)</f>
        <v/>
      </c>
      <c r="D867" s="2">
        <f>D866+1</f>
        <v/>
      </c>
      <c r="E867" s="8">
        <f>IF(DAY(D867)=DAY($L$1+1),TRUNC((N866),8),E866)</f>
        <v/>
      </c>
      <c r="F867" s="49">
        <f>TRUNC(((1+VLOOKUP(A867,IPCA!$A$2:$C$140,3,0)))^(C867/(EDATE(D867-C867,1)-(D867-C867))),8)</f>
        <v/>
      </c>
      <c r="G867" s="49">
        <f>TRUNC((E867*F867),8)</f>
        <v/>
      </c>
      <c r="H867" s="49">
        <f>ROUND(((1+$H$4)^(30/360))^(C867/(EDATE(D867-B867,1)-(D867-B867))),9)</f>
        <v/>
      </c>
      <c r="I867" s="49">
        <f>TRUNC((G867*H867-G867),8)</f>
        <v/>
      </c>
      <c r="J867" s="49">
        <f>G867+I867</f>
        <v/>
      </c>
      <c r="K867" s="256" t="n"/>
      <c r="L867" s="256" t="n"/>
      <c r="M867" s="256" t="n"/>
      <c r="N867" s="256" t="n"/>
      <c r="O867" s="256" t="n"/>
      <c r="P867" s="256" t="n"/>
      <c r="Q867" s="256" t="n"/>
    </row>
    <row r="868">
      <c r="A868">
        <f>IF(DAY(D868)=DAY($L$1+1),A867+1,A867)</f>
        <v/>
      </c>
      <c r="B868" s="46">
        <f>IF(DAY(D868)=DAY($L$1+1),1,B867+1)</f>
        <v/>
      </c>
      <c r="C868" s="46">
        <f>IF(DAY(D868)=DAY($L$1+1),1,C867+1)</f>
        <v/>
      </c>
      <c r="D868" s="2">
        <f>D867+1</f>
        <v/>
      </c>
      <c r="E868" s="8">
        <f>IF(DAY(D868)=DAY($L$1+1),TRUNC((N867),8),E867)</f>
        <v/>
      </c>
      <c r="F868" s="49">
        <f>TRUNC(((1+VLOOKUP(A868,IPCA!$A$2:$C$140,3,0)))^(C868/(EDATE(D868-C868,1)-(D868-C868))),8)</f>
        <v/>
      </c>
      <c r="G868" s="49">
        <f>TRUNC((E868*F868),8)</f>
        <v/>
      </c>
      <c r="H868" s="49">
        <f>ROUND(((1+$H$4)^(30/360))^(C868/(EDATE(D868-B868,1)-(D868-B868))),9)</f>
        <v/>
      </c>
      <c r="I868" s="49">
        <f>TRUNC((G868*H868-G868),8)</f>
        <v/>
      </c>
      <c r="J868" s="49">
        <f>G868+I868</f>
        <v/>
      </c>
      <c r="K868" s="256" t="n"/>
      <c r="L868" s="256" t="n"/>
      <c r="M868" s="256" t="n"/>
      <c r="N868" s="256" t="n"/>
      <c r="O868" s="256" t="n"/>
      <c r="P868" s="256" t="n"/>
      <c r="Q868" s="256" t="n"/>
    </row>
    <row r="869">
      <c r="A869">
        <f>IF(DAY(D869)=DAY($L$1+1),A868+1,A868)</f>
        <v/>
      </c>
      <c r="B869" s="46">
        <f>IF(DAY(D869)=DAY($L$1+1),1,B868+1)</f>
        <v/>
      </c>
      <c r="C869" s="46">
        <f>IF(DAY(D869)=DAY($L$1+1),1,C868+1)</f>
        <v/>
      </c>
      <c r="D869" s="2">
        <f>D868+1</f>
        <v/>
      </c>
      <c r="E869" s="8">
        <f>IF(DAY(D869)=DAY($L$1+1),TRUNC((N868),8),E868)</f>
        <v/>
      </c>
      <c r="F869" s="49">
        <f>TRUNC(((1+VLOOKUP(A869,IPCA!$A$2:$C$140,3,0)))^(C869/(EDATE(D869-C869,1)-(D869-C869))),8)</f>
        <v/>
      </c>
      <c r="G869" s="49">
        <f>TRUNC((E869*F869),8)</f>
        <v/>
      </c>
      <c r="H869" s="49">
        <f>ROUND(((1+$H$4)^(30/360))^(C869/(EDATE(D869-B869,1)-(D869-B869))),9)</f>
        <v/>
      </c>
      <c r="I869" s="49">
        <f>TRUNC((G869*H869-G869),8)</f>
        <v/>
      </c>
      <c r="J869" s="49">
        <f>G869+I869</f>
        <v/>
      </c>
      <c r="K869" s="256" t="n"/>
      <c r="L869" s="256" t="n"/>
      <c r="M869" s="256" t="n"/>
      <c r="N869" s="256" t="n"/>
      <c r="O869" s="256" t="n"/>
      <c r="P869" s="256" t="n"/>
      <c r="Q869" s="256" t="n"/>
    </row>
    <row r="870">
      <c r="A870">
        <f>IF(DAY(D870)=DAY($L$1+1),A869+1,A869)</f>
        <v/>
      </c>
      <c r="B870" s="46">
        <f>IF(DAY(D870)=DAY($L$1+1),1,B869+1)</f>
        <v/>
      </c>
      <c r="C870" s="46">
        <f>IF(DAY(D870)=DAY($L$1+1),1,C869+1)</f>
        <v/>
      </c>
      <c r="D870" s="2">
        <f>D869+1</f>
        <v/>
      </c>
      <c r="E870" s="8">
        <f>IF(DAY(D870)=DAY($L$1+1),TRUNC((N869),8),E869)</f>
        <v/>
      </c>
      <c r="F870" s="49">
        <f>TRUNC(((1+VLOOKUP(A870,IPCA!$A$2:$C$140,3,0)))^(C870/(EDATE(D870-C870,1)-(D870-C870))),8)</f>
        <v/>
      </c>
      <c r="G870" s="49">
        <f>TRUNC((E870*F870),8)</f>
        <v/>
      </c>
      <c r="H870" s="49">
        <f>ROUND(((1+$H$4)^(30/360))^(C870/(EDATE(D870-B870,1)-(D870-B870))),9)</f>
        <v/>
      </c>
      <c r="I870" s="49">
        <f>TRUNC((G870*H870-G870),8)</f>
        <v/>
      </c>
      <c r="J870" s="49">
        <f>G870+I870</f>
        <v/>
      </c>
      <c r="K870" s="256" t="n"/>
      <c r="L870" s="256" t="n"/>
      <c r="M870" s="256" t="n"/>
      <c r="N870" s="256" t="n"/>
      <c r="O870" s="256" t="n"/>
      <c r="P870" s="256" t="n"/>
      <c r="Q870" s="256" t="n"/>
    </row>
    <row r="871">
      <c r="A871">
        <f>IF(DAY(D871)=DAY($L$1+1),A870+1,A870)</f>
        <v/>
      </c>
      <c r="B871" s="46">
        <f>IF(DAY(D871)=DAY($L$1+1),1,B870+1)</f>
        <v/>
      </c>
      <c r="C871" s="46">
        <f>IF(DAY(D871)=DAY($L$1+1),1,C870+1)</f>
        <v/>
      </c>
      <c r="D871" s="2">
        <f>D870+1</f>
        <v/>
      </c>
      <c r="E871" s="8">
        <f>IF(DAY(D871)=DAY($L$1+1),TRUNC((N870),8),E870)</f>
        <v/>
      </c>
      <c r="F871" s="49">
        <f>TRUNC(((1+VLOOKUP(A871,IPCA!$A$2:$C$140,3,0)))^(C871/(EDATE(D871-C871,1)-(D871-C871))),8)</f>
        <v/>
      </c>
      <c r="G871" s="49">
        <f>TRUNC((E871*F871),8)</f>
        <v/>
      </c>
      <c r="H871" s="49">
        <f>ROUND(((1+$H$4)^(30/360))^(C871/(EDATE(D871-B871,1)-(D871-B871))),9)</f>
        <v/>
      </c>
      <c r="I871" s="49">
        <f>TRUNC((G871*H871-G871),8)</f>
        <v/>
      </c>
      <c r="J871" s="49">
        <f>G871+I871</f>
        <v/>
      </c>
      <c r="K871" s="256" t="inlineStr">
        <is>
          <t>Cri Integralizado</t>
        </is>
      </c>
      <c r="L871" s="270">
        <f>L840</f>
        <v/>
      </c>
      <c r="M871" s="256" t="n"/>
      <c r="N871" s="256" t="n"/>
      <c r="O871" s="256" t="n"/>
      <c r="P871" s="256" t="n"/>
      <c r="Q871" s="256" t="n"/>
    </row>
    <row r="872">
      <c r="A872">
        <f>IF(DAY(D872)=DAY($L$1+1),A871+1,A871)</f>
        <v/>
      </c>
      <c r="B872" s="46">
        <f>IF(DAY(D872)=DAY($L$1+1),1,B871+1)</f>
        <v/>
      </c>
      <c r="C872" s="46">
        <f>IF(DAY(D872)=DAY($L$1+1),1,C871+1)</f>
        <v/>
      </c>
      <c r="D872" s="47">
        <f>D871+1</f>
        <v/>
      </c>
      <c r="E872" s="8">
        <f>IF(DAY(D872)=DAY($L$1+1),TRUNC((N871),8),E871)</f>
        <v/>
      </c>
      <c r="F872" s="49">
        <f>TRUNC(((1+VLOOKUP(A872,IPCA!$A$2:$C$140,3,0)))^(C872/(EDATE(D872-C872,1)-(D872-C872))),8)</f>
        <v/>
      </c>
      <c r="G872" s="49">
        <f>TRUNC((E872*F872),8)</f>
        <v/>
      </c>
      <c r="H872" s="49">
        <f>ROUND(((1+$H$4)^(30/360))^(C872/(EDATE(D872-B872,1)-(D872-B872))),9)</f>
        <v/>
      </c>
      <c r="I872" s="49">
        <f>TRUNC((G872*H872-G872),8)</f>
        <v/>
      </c>
      <c r="J872" s="49">
        <f>G872+I872</f>
        <v/>
      </c>
      <c r="K872" s="118" t="inlineStr">
        <is>
          <t>JUROS</t>
        </is>
      </c>
      <c r="L872" s="118" t="inlineStr">
        <is>
          <t>AMORTIZAÇÃO</t>
        </is>
      </c>
      <c r="M872" s="118" t="inlineStr">
        <is>
          <t>AMEX</t>
        </is>
      </c>
      <c r="N872" s="118" t="inlineStr">
        <is>
          <t>RESIDUAL</t>
        </is>
      </c>
      <c r="O872" s="256" t="n"/>
      <c r="P872" s="256" t="n"/>
      <c r="Q872" s="256" t="n"/>
    </row>
    <row r="873">
      <c r="A873">
        <f>IF(DAY(D873)=DAY($L$1+1),A872+1,A872)</f>
        <v/>
      </c>
      <c r="B873" s="111">
        <f>IF(DAY(D873)=DAY($L$1+1),1,B872+1)</f>
        <v/>
      </c>
      <c r="C873" s="111">
        <f>IF(DAY(D873)=DAY($L$1+1),1,C872+1)</f>
        <v/>
      </c>
      <c r="D873" s="112">
        <f>D872+1</f>
        <v/>
      </c>
      <c r="E873" s="113">
        <f>IF(DAY(D873)=DAY($L$1+1),TRUNC((N872),8),E872)</f>
        <v/>
      </c>
      <c r="F873" s="114">
        <f>TRUNC(((1+VLOOKUP(A873,IPCA!$A$2:$C$140,3,0)))^(C873/(EDATE(D873-C873,1)-(D873-C873))),8)</f>
        <v/>
      </c>
      <c r="G873" s="114">
        <f>TRUNC((E873*F873),8)</f>
        <v/>
      </c>
      <c r="H873" s="114">
        <f>ROUND(((1+$H$4)^(30/360))^(C873/(EDATE(D873-B873,1)-(D873-B873))),9)</f>
        <v/>
      </c>
      <c r="I873" s="114">
        <f>TRUNC((G873*H873-G873),8)</f>
        <v/>
      </c>
      <c r="J873" s="114">
        <f>G873+I873</f>
        <v/>
      </c>
      <c r="K873" s="119" t="n">
        <v>0</v>
      </c>
      <c r="L873" s="120" t="n">
        <v>0</v>
      </c>
      <c r="M873" s="120" t="n">
        <v>0</v>
      </c>
      <c r="N873" s="120">
        <f>J873-K873-L873-M873</f>
        <v/>
      </c>
      <c r="O873" s="256" t="n"/>
      <c r="P873" s="256" t="n"/>
      <c r="Q873" s="256" t="n"/>
    </row>
    <row r="874">
      <c r="A874">
        <f>IF(DAY(D874)=DAY($L$1+1),A873+1,A873)</f>
        <v/>
      </c>
      <c r="B874" s="46">
        <f>IF(DAY(D874)=DAY($L$1+1),1,B873+1)</f>
        <v/>
      </c>
      <c r="C874" s="46">
        <f>IF(DAY(D874)=DAY($L$1+1),1,C873+1)</f>
        <v/>
      </c>
      <c r="D874" s="2">
        <f>D873+1</f>
        <v/>
      </c>
      <c r="E874" s="8">
        <f>IF(DAY(D874)=DAY($L$1+1),TRUNC((N873),8),E873)</f>
        <v/>
      </c>
      <c r="F874" s="49">
        <f>TRUNC(((1+VLOOKUP(A874,IPCA!$A$2:$C$140,3,0)))^(C874/(EDATE(D874-C874,1)-(D874-C874))),8)</f>
        <v/>
      </c>
      <c r="G874" s="49">
        <f>TRUNC((E874*F874),8)</f>
        <v/>
      </c>
      <c r="H874" s="49">
        <f>ROUND(((1+$H$4)^(30/360))^(C874/(EDATE(D874-B874,1)-(D874-B874))),9)</f>
        <v/>
      </c>
      <c r="I874" s="49">
        <f>TRUNC((G874*H874-G874),8)</f>
        <v/>
      </c>
      <c r="J874" s="49">
        <f>G874+I874</f>
        <v/>
      </c>
      <c r="K874" s="121">
        <f>K873*L871</f>
        <v/>
      </c>
      <c r="L874" s="121">
        <f>L873*L871</f>
        <v/>
      </c>
      <c r="M874" s="121">
        <f>M873*L871</f>
        <v/>
      </c>
      <c r="N874" s="121">
        <f>N873*L871</f>
        <v/>
      </c>
      <c r="O874" s="256" t="n"/>
      <c r="P874" s="256" t="n"/>
      <c r="Q874" s="256" t="n"/>
    </row>
    <row r="875">
      <c r="A875">
        <f>IF(DAY(D875)=DAY($L$1+1),A874+1,A874)</f>
        <v/>
      </c>
      <c r="B875" s="46">
        <f>IF(DAY(D875)=DAY($L$1+1),1,B874+1)</f>
        <v/>
      </c>
      <c r="C875" s="46">
        <f>IF(DAY(D875)=DAY($L$1+1),1,C874+1)</f>
        <v/>
      </c>
      <c r="D875" s="2">
        <f>D874+1</f>
        <v/>
      </c>
      <c r="E875" s="8">
        <f>IF(DAY(D875)=DAY($L$1+1),TRUNC((N874),8),E874)</f>
        <v/>
      </c>
      <c r="F875" s="49">
        <f>TRUNC(((1+VLOOKUP(A875,IPCA!$A$2:$C$140,3,0)))^(C875/(EDATE(D875-C875,1)-(D875-C875))),8)</f>
        <v/>
      </c>
      <c r="G875" s="49">
        <f>TRUNC((E875*F875),8)</f>
        <v/>
      </c>
      <c r="H875" s="49">
        <f>ROUND(((1+$H$4)^(30/360))^(C875/(EDATE(D875-B875,1)-(D875-B875))),9)</f>
        <v/>
      </c>
      <c r="I875" s="49">
        <f>TRUNC((G875*H875-G875),8)</f>
        <v/>
      </c>
      <c r="J875" s="49">
        <f>G875+I875</f>
        <v/>
      </c>
      <c r="K875" s="256" t="n"/>
      <c r="L875" s="256" t="n"/>
      <c r="M875" s="256" t="n"/>
      <c r="N875" s="256" t="n"/>
      <c r="O875" s="256" t="n"/>
      <c r="P875" s="256" t="n"/>
      <c r="Q875" s="256" t="n"/>
    </row>
    <row r="876">
      <c r="A876">
        <f>IF(DAY(D876)=DAY($L$1+1),A875+1,A875)</f>
        <v/>
      </c>
      <c r="B876" s="46">
        <f>IF(DAY(D876)=DAY($L$1+1),1,B875+1)</f>
        <v/>
      </c>
      <c r="C876" s="46">
        <f>IF(DAY(D876)=DAY($L$1+1),1,C875+1)</f>
        <v/>
      </c>
      <c r="D876" s="2">
        <f>D875+1</f>
        <v/>
      </c>
      <c r="E876" s="8">
        <f>IF(DAY(D876)=DAY($L$1+1),TRUNC((#REF!),8),E875)</f>
        <v/>
      </c>
      <c r="F876" s="49">
        <f>TRUNC(((1+VLOOKUP(A876,IPCA!$A$2:$C$140,3,0)))^(C876/(EDATE(D876-C876,1)-(D876-C876))),8)</f>
        <v/>
      </c>
      <c r="G876" s="49">
        <f>TRUNC((E876*F876),8)</f>
        <v/>
      </c>
      <c r="H876" s="49">
        <f>ROUND(((1+$H$4)^(30/360))^(C876/(EDATE(D876-B876,1)-(D876-B876))),9)</f>
        <v/>
      </c>
      <c r="I876" s="49">
        <f>TRUNC((G876*H876-G876),8)</f>
        <v/>
      </c>
      <c r="J876" s="49">
        <f>G876+I876</f>
        <v/>
      </c>
      <c r="K876" s="256" t="n"/>
      <c r="L876" s="256" t="n"/>
      <c r="M876" s="256" t="n"/>
      <c r="N876" s="256" t="n"/>
      <c r="O876" s="256" t="n"/>
      <c r="P876" s="256" t="n"/>
      <c r="Q876" s="256" t="n"/>
    </row>
    <row r="877">
      <c r="A877">
        <f>IF(DAY(D877)=DAY($L$1+1),A876+1,A876)</f>
        <v/>
      </c>
      <c r="B877" s="46">
        <f>IF(DAY(D877)=DAY($L$1+1),1,B876+1)</f>
        <v/>
      </c>
      <c r="C877" s="46">
        <f>IF(DAY(D877)=DAY($L$1+1),1,C876+1)</f>
        <v/>
      </c>
      <c r="D877" s="2">
        <f>D876+1</f>
        <v/>
      </c>
      <c r="E877" s="8">
        <f>IF(DAY(D877)=DAY($L$1+1),TRUNC((#REF!),8),E876)</f>
        <v/>
      </c>
      <c r="F877" s="49">
        <f>TRUNC(((1+VLOOKUP(A877,IPCA!$A$2:$C$140,3,0)))^(C877/(EDATE(D877-C877,1)-(D877-C877))),8)</f>
        <v/>
      </c>
      <c r="G877" s="49">
        <f>TRUNC((E877*F877),8)</f>
        <v/>
      </c>
      <c r="H877" s="49">
        <f>ROUND(((1+$H$4)^(30/360))^(C877/(EDATE(D877-B877,1)-(D877-B877))),9)</f>
        <v/>
      </c>
      <c r="I877" s="49">
        <f>TRUNC((G877*H877-G877),8)</f>
        <v/>
      </c>
      <c r="J877" s="49">
        <f>G877+I877</f>
        <v/>
      </c>
      <c r="K877" s="270" t="n">
        <v>248469.08095656</v>
      </c>
      <c r="L877" s="270" t="n">
        <v>169507.35294168</v>
      </c>
      <c r="M877" s="256" t="n"/>
      <c r="N877" s="256" t="n"/>
      <c r="O877" s="256" t="n"/>
      <c r="P877" s="256" t="n"/>
      <c r="Q877" s="256" t="n"/>
    </row>
    <row r="878">
      <c r="A878">
        <f>IF(DAY(D878)=DAY($L$1+1),A877+1,A877)</f>
        <v/>
      </c>
      <c r="B878" s="46">
        <f>IF(DAY(D878)=DAY($L$1+1),1,B877+1)</f>
        <v/>
      </c>
      <c r="C878" s="46">
        <f>IF(DAY(D878)=DAY($L$1+1),1,C877+1)</f>
        <v/>
      </c>
      <c r="D878" s="2">
        <f>D877+1</f>
        <v/>
      </c>
      <c r="E878" s="8">
        <f>IF(DAY(D878)=DAY($L$1+1),TRUNC((#REF!),8),E877)</f>
        <v/>
      </c>
      <c r="F878" s="49">
        <f>TRUNC(((1+VLOOKUP(A878,IPCA!$A$2:$C$140,3,0)))^(C878/(EDATE(D878-C878,1)-(D878-C878))),8)</f>
        <v/>
      </c>
      <c r="G878" s="49">
        <f>TRUNC((E878*F878),8)</f>
        <v/>
      </c>
      <c r="H878" s="49">
        <f>ROUND(((1+$H$4)^(30/360))^(C878/(EDATE(D878-B878,1)-(D878-B878))),9)</f>
        <v/>
      </c>
      <c r="I878" s="49">
        <f>TRUNC((G878*H878-G878),8)</f>
        <v/>
      </c>
      <c r="J878" s="49">
        <f>G878+I878</f>
        <v/>
      </c>
      <c r="K878" s="256" t="n"/>
      <c r="L878" s="256" t="n"/>
      <c r="M878" s="256" t="n"/>
      <c r="N878" s="256" t="n"/>
      <c r="O878" s="256" t="n"/>
      <c r="P878" s="256" t="n"/>
      <c r="Q878" s="256" t="n"/>
    </row>
    <row r="879">
      <c r="A879">
        <f>IF(DAY(D879)=DAY($L$1+1),A878+1,A878)</f>
        <v/>
      </c>
      <c r="B879" s="46">
        <f>IF(DAY(D879)=DAY($L$1+1),1,B878+1)</f>
        <v/>
      </c>
      <c r="C879" s="46">
        <f>IF(DAY(D879)=DAY($L$1+1),1,C878+1)</f>
        <v/>
      </c>
      <c r="D879" s="2">
        <f>D878+1</f>
        <v/>
      </c>
      <c r="E879" s="8">
        <f>IF(DAY(D879)=DAY($L$1+1),TRUNC((#REF!),8),E878)</f>
        <v/>
      </c>
      <c r="F879" s="49">
        <f>TRUNC(((1+VLOOKUP(A879,IPCA!$A$2:$C$140,3,0)))^(C879/(EDATE(D879-C879,1)-(D879-C879))),8)</f>
        <v/>
      </c>
      <c r="G879" s="49">
        <f>TRUNC((E879*F879),8)</f>
        <v/>
      </c>
      <c r="H879" s="49">
        <f>ROUND(((1+$H$4)^(30/360))^(C879/(EDATE(D879-B879,1)-(D879-B879))),9)</f>
        <v/>
      </c>
      <c r="I879" s="49">
        <f>TRUNC((G879*H879-G879),8)</f>
        <v/>
      </c>
      <c r="J879" s="49">
        <f>G879+I879</f>
        <v/>
      </c>
      <c r="K879" s="256" t="n"/>
      <c r="L879" s="256" t="n"/>
      <c r="M879" s="256" t="n"/>
      <c r="N879" s="256" t="n"/>
      <c r="O879" s="256" t="n"/>
      <c r="P879" s="256" t="n"/>
      <c r="Q879" s="256" t="n"/>
    </row>
    <row r="880">
      <c r="A880">
        <f>IF(DAY(D880)=DAY($L$1+1),A879+1,A879)</f>
        <v/>
      </c>
      <c r="B880" s="46">
        <f>IF(DAY(D880)=DAY($L$1+1),1,B879+1)</f>
        <v/>
      </c>
      <c r="C880" s="46">
        <f>IF(DAY(D880)=DAY($L$1+1),1,C879+1)</f>
        <v/>
      </c>
      <c r="D880" s="2">
        <f>D879+1</f>
        <v/>
      </c>
      <c r="E880" s="8">
        <f>IF(DAY(D880)=DAY($L$1+1),TRUNC((#REF!),8),E879)</f>
        <v/>
      </c>
      <c r="F880" s="49">
        <f>TRUNC(((1+VLOOKUP(A880,IPCA!$A$2:$C$140,3,0)))^(C880/(EDATE(D880-C880,1)-(D880-C880))),8)</f>
        <v/>
      </c>
      <c r="G880" s="49">
        <f>TRUNC((E880*F880),8)</f>
        <v/>
      </c>
      <c r="H880" s="49">
        <f>ROUND(((1+$H$4)^(30/360))^(C880/(EDATE(D880-B880,1)-(D880-B880))),9)</f>
        <v/>
      </c>
      <c r="I880" s="49">
        <f>TRUNC((G880*H880-G880),8)</f>
        <v/>
      </c>
      <c r="J880" s="49">
        <f>G880+I880</f>
        <v/>
      </c>
      <c r="K880" s="256" t="n"/>
      <c r="L880" s="256" t="n"/>
      <c r="M880" s="256" t="n"/>
      <c r="N880" s="256" t="n"/>
      <c r="O880" s="256" t="n"/>
      <c r="P880" s="256" t="n"/>
      <c r="Q880" s="256" t="n"/>
    </row>
    <row r="881">
      <c r="A881">
        <f>IF(DAY(D881)=DAY($L$1+1),A880+1,A880)</f>
        <v/>
      </c>
      <c r="B881" s="46">
        <f>IF(DAY(D881)=DAY($L$1+1),1,B880+1)</f>
        <v/>
      </c>
      <c r="C881" s="46">
        <f>IF(DAY(D881)=DAY($L$1+1),1,C880+1)</f>
        <v/>
      </c>
      <c r="D881" s="2">
        <f>D880+1</f>
        <v/>
      </c>
      <c r="E881" s="8">
        <f>IF(DAY(D881)=DAY($L$1+1),TRUNC((#REF!),8),E880)</f>
        <v/>
      </c>
      <c r="F881" s="49">
        <f>TRUNC(((1+VLOOKUP(A881,IPCA!$A$2:$C$140,3,0)))^(C881/(EDATE(D881-C881,1)-(D881-C881))),8)</f>
        <v/>
      </c>
      <c r="G881" s="49">
        <f>TRUNC((E881*F881),8)</f>
        <v/>
      </c>
      <c r="H881" s="49">
        <f>ROUND(((1+$H$4)^(30/360))^(C881/(EDATE(D881-B881,1)-(D881-B881))),9)</f>
        <v/>
      </c>
      <c r="I881" s="49">
        <f>TRUNC((G881*H881-G881),8)</f>
        <v/>
      </c>
      <c r="J881" s="49">
        <f>G881+I881</f>
        <v/>
      </c>
      <c r="K881" s="256" t="n"/>
      <c r="L881" s="256" t="n"/>
      <c r="M881" s="256" t="n"/>
      <c r="N881" s="256" t="n"/>
      <c r="O881" s="256" t="n"/>
      <c r="P881" s="256" t="n"/>
      <c r="Q881" s="256" t="n"/>
    </row>
    <row r="882">
      <c r="A882">
        <f>IF(DAY(D882)=DAY($L$1+1),A881+1,A881)</f>
        <v/>
      </c>
      <c r="B882" s="46">
        <f>IF(DAY(D882)=DAY($L$1+1),1,B881+1)</f>
        <v/>
      </c>
      <c r="C882" s="46">
        <f>IF(DAY(D882)=DAY($L$1+1),1,C881+1)</f>
        <v/>
      </c>
      <c r="D882" s="2">
        <f>D881+1</f>
        <v/>
      </c>
      <c r="E882" s="8">
        <f>IF(DAY(D882)=DAY($L$1+1),TRUNC((#REF!),8),E881)</f>
        <v/>
      </c>
      <c r="F882" s="49">
        <f>TRUNC(((1+VLOOKUP(A882,IPCA!$A$2:$C$140,3,0)))^(C882/(EDATE(D882-C882,1)-(D882-C882))),8)</f>
        <v/>
      </c>
      <c r="G882" s="49">
        <f>TRUNC((E882*F882),8)</f>
        <v/>
      </c>
      <c r="H882" s="49">
        <f>ROUND(((1+$H$4)^(30/360))^(C882/(EDATE(D882-B882,1)-(D882-B882))),9)</f>
        <v/>
      </c>
      <c r="I882" s="49">
        <f>TRUNC((G882*H882-G882),8)</f>
        <v/>
      </c>
      <c r="J882" s="49">
        <f>G882+I882</f>
        <v/>
      </c>
      <c r="K882" s="256" t="n"/>
      <c r="L882" s="256" t="n"/>
      <c r="M882" s="256" t="n"/>
      <c r="N882" s="256" t="n"/>
      <c r="O882" s="256" t="n"/>
      <c r="P882" s="256" t="n"/>
      <c r="Q882" s="256" t="n"/>
    </row>
    <row r="883">
      <c r="A883">
        <f>IF(DAY(D883)=DAY($L$1+1),A882+1,A882)</f>
        <v/>
      </c>
      <c r="B883" s="46">
        <f>IF(DAY(D883)=DAY($L$1+1),1,B882+1)</f>
        <v/>
      </c>
      <c r="C883" s="46">
        <f>IF(DAY(D883)=DAY($L$1+1),1,C882+1)</f>
        <v/>
      </c>
      <c r="D883" s="2">
        <f>D882+1</f>
        <v/>
      </c>
      <c r="E883" s="8">
        <f>IF(DAY(D883)=DAY($L$1+1),TRUNC((#REF!),8),E882)</f>
        <v/>
      </c>
      <c r="F883" s="49">
        <f>TRUNC(((1+VLOOKUP(A883,IPCA!$A$2:$C$140,3,0)))^(C883/(EDATE(D883-C883,1)-(D883-C883))),8)</f>
        <v/>
      </c>
      <c r="G883" s="49">
        <f>TRUNC((E883*F883),8)</f>
        <v/>
      </c>
      <c r="H883" s="49">
        <f>ROUND(((1+$H$4)^(30/360))^(C883/(EDATE(D883-B883,1)-(D883-B883))),9)</f>
        <v/>
      </c>
      <c r="I883" s="49">
        <f>TRUNC((G883*H883-G883),8)</f>
        <v/>
      </c>
      <c r="J883" s="49">
        <f>G883+I883</f>
        <v/>
      </c>
      <c r="K883" s="256" t="n"/>
      <c r="L883" s="256" t="n"/>
      <c r="M883" s="256" t="n"/>
      <c r="N883" s="256" t="n"/>
      <c r="O883" s="256" t="n"/>
      <c r="P883" s="256" t="n"/>
      <c r="Q883" s="256" t="n"/>
    </row>
    <row r="884">
      <c r="A884">
        <f>IF(DAY(D884)=DAY($L$1+1),A883+1,A883)</f>
        <v/>
      </c>
      <c r="B884" s="46">
        <f>IF(DAY(D884)=DAY($L$1+1),1,B883+1)</f>
        <v/>
      </c>
      <c r="C884" s="46">
        <f>IF(DAY(D884)=DAY($L$1+1),1,C883+1)</f>
        <v/>
      </c>
      <c r="D884" s="2">
        <f>D883+1</f>
        <v/>
      </c>
      <c r="E884" s="8">
        <f>IF(DAY(D884)=DAY($L$1+1),TRUNC((#REF!),8),E883)</f>
        <v/>
      </c>
      <c r="F884" s="49">
        <f>TRUNC(((1+VLOOKUP(A884,IPCA!$A$2:$C$140,3,0)))^(C884/(EDATE(D884-C884,1)-(D884-C884))),8)</f>
        <v/>
      </c>
      <c r="G884" s="49">
        <f>TRUNC((E884*F884),8)</f>
        <v/>
      </c>
      <c r="H884" s="49">
        <f>ROUND(((1+$H$4)^(30/360))^(C884/(EDATE(D884-B884,1)-(D884-B884))),9)</f>
        <v/>
      </c>
      <c r="I884" s="49">
        <f>TRUNC((G884*H884-G884),8)</f>
        <v/>
      </c>
      <c r="J884" s="49">
        <f>G884+I884</f>
        <v/>
      </c>
      <c r="K884" s="256" t="n"/>
      <c r="L884" s="256" t="n"/>
      <c r="M884" s="256" t="n"/>
      <c r="N884" s="256" t="n"/>
      <c r="O884" s="256" t="n"/>
      <c r="P884" s="256" t="n"/>
      <c r="Q884" s="256" t="n"/>
    </row>
    <row r="885">
      <c r="A885">
        <f>IF(DAY(D885)=DAY($L$1+1),A884+1,A884)</f>
        <v/>
      </c>
      <c r="B885" s="46">
        <f>IF(DAY(D885)=DAY($L$1+1),1,B884+1)</f>
        <v/>
      </c>
      <c r="C885" s="46">
        <f>IF(DAY(D885)=DAY($L$1+1),1,C884+1)</f>
        <v/>
      </c>
      <c r="D885" s="2">
        <f>D884+1</f>
        <v/>
      </c>
      <c r="E885" s="8">
        <f>IF(DAY(D885)=DAY($L$1+1),TRUNC((#REF!),8),E884)</f>
        <v/>
      </c>
      <c r="F885" s="49">
        <f>TRUNC(((1+VLOOKUP(A885,IPCA!$A$2:$C$140,3,0)))^(C885/(EDATE(D885-C885,1)-(D885-C885))),8)</f>
        <v/>
      </c>
      <c r="G885" s="49">
        <f>TRUNC((E885*F885),8)</f>
        <v/>
      </c>
      <c r="H885" s="49">
        <f>ROUND(((1+$H$4)^(30/360))^(C885/(EDATE(D885-B885,1)-(D885-B885))),9)</f>
        <v/>
      </c>
      <c r="I885" s="49">
        <f>TRUNC((G885*H885-G885),8)</f>
        <v/>
      </c>
      <c r="J885" s="49">
        <f>G885+I885</f>
        <v/>
      </c>
      <c r="K885" s="256" t="n"/>
      <c r="L885" s="256" t="n"/>
      <c r="M885" s="256" t="n"/>
      <c r="N885" s="256" t="n"/>
      <c r="O885" s="256" t="n"/>
      <c r="P885" s="256" t="n"/>
      <c r="Q885" s="256" t="n"/>
    </row>
    <row r="886">
      <c r="A886">
        <f>IF(DAY(D886)=DAY($L$1+1),A885+1,A885)</f>
        <v/>
      </c>
      <c r="B886" s="46">
        <f>IF(DAY(D886)=DAY($L$1+1),1,B885+1)</f>
        <v/>
      </c>
      <c r="C886" s="46">
        <f>IF(DAY(D886)=DAY($L$1+1),1,C885+1)</f>
        <v/>
      </c>
      <c r="D886" s="2">
        <f>D885+1</f>
        <v/>
      </c>
      <c r="E886" s="8">
        <f>IF(DAY(D886)=DAY($L$1+1),TRUNC((#REF!),8),E885)</f>
        <v/>
      </c>
      <c r="F886" s="49">
        <f>TRUNC(((1+VLOOKUP(A886,IPCA!$A$2:$C$140,3,0)))^(C886/(EDATE(D886-C886,1)-(D886-C886))),8)</f>
        <v/>
      </c>
      <c r="G886" s="49">
        <f>TRUNC((E886*F886),8)</f>
        <v/>
      </c>
      <c r="H886" s="49">
        <f>ROUND(((1+$H$4)^(30/360))^(C886/(EDATE(D886-B886,1)-(D886-B886))),9)</f>
        <v/>
      </c>
      <c r="I886" s="49">
        <f>TRUNC((G886*H886-G886),8)</f>
        <v/>
      </c>
      <c r="J886" s="49">
        <f>G886+I886</f>
        <v/>
      </c>
      <c r="K886" s="256" t="n"/>
      <c r="L886" s="256" t="n"/>
      <c r="M886" s="256" t="n"/>
      <c r="N886" s="256" t="n"/>
      <c r="O886" s="256" t="n"/>
      <c r="P886" s="256" t="n"/>
      <c r="Q886" s="256" t="n"/>
    </row>
    <row r="887">
      <c r="A887">
        <f>IF(DAY(D887)=DAY($L$1+1),A886+1,A886)</f>
        <v/>
      </c>
      <c r="B887" s="46">
        <f>IF(DAY(D887)=DAY($L$1+1),1,B886+1)</f>
        <v/>
      </c>
      <c r="C887" s="46">
        <f>IF(DAY(D887)=DAY($L$1+1),1,C886+1)</f>
        <v/>
      </c>
      <c r="D887" s="2">
        <f>D886+1</f>
        <v/>
      </c>
      <c r="E887" s="8">
        <f>IF(DAY(D887)=DAY($L$1+1),TRUNC((#REF!),8),E886)</f>
        <v/>
      </c>
      <c r="F887" s="49">
        <f>TRUNC(((1+VLOOKUP(A887,IPCA!$A$2:$C$140,3,0)))^(C887/(EDATE(D887-C887,1)-(D887-C887))),8)</f>
        <v/>
      </c>
      <c r="G887" s="49">
        <f>TRUNC((E887*F887),8)</f>
        <v/>
      </c>
      <c r="H887" s="49">
        <f>ROUND(((1+$H$4)^(30/360))^(C887/(EDATE(D887-B887,1)-(D887-B887))),9)</f>
        <v/>
      </c>
      <c r="I887" s="49">
        <f>TRUNC((G887*H887-G887),8)</f>
        <v/>
      </c>
      <c r="J887" s="49">
        <f>G887+I887</f>
        <v/>
      </c>
      <c r="K887" s="256" t="n"/>
      <c r="L887" s="256" t="n"/>
      <c r="M887" s="256" t="n"/>
      <c r="N887" s="256" t="n"/>
      <c r="O887" s="256" t="n"/>
      <c r="P887" s="256" t="n"/>
      <c r="Q887" s="256" t="n"/>
    </row>
    <row r="888">
      <c r="A888">
        <f>IF(DAY(D888)=DAY($L$1+1),A887+1,A887)</f>
        <v/>
      </c>
      <c r="B888" s="46">
        <f>IF(DAY(D888)=DAY($L$1+1),1,B887+1)</f>
        <v/>
      </c>
      <c r="C888" s="46">
        <f>IF(DAY(D888)=DAY($L$1+1),1,C887+1)</f>
        <v/>
      </c>
      <c r="D888" s="2">
        <f>D887+1</f>
        <v/>
      </c>
      <c r="E888" s="8">
        <f>IF(DAY(D888)=DAY($L$1+1),TRUNC((#REF!),8),E887)</f>
        <v/>
      </c>
      <c r="F888" s="49">
        <f>TRUNC(((1+VLOOKUP(A888,IPCA!$A$2:$C$140,3,0)))^(C888/(EDATE(D888-C888,1)-(D888-C888))),8)</f>
        <v/>
      </c>
      <c r="G888" s="49">
        <f>TRUNC((E888*F888),8)</f>
        <v/>
      </c>
      <c r="H888" s="49">
        <f>ROUND(((1+$H$4)^(30/360))^(C888/(EDATE(D888-B888,1)-(D888-B888))),9)</f>
        <v/>
      </c>
      <c r="I888" s="49">
        <f>TRUNC((G888*H888-G888),8)</f>
        <v/>
      </c>
      <c r="J888" s="49">
        <f>G888+I888</f>
        <v/>
      </c>
      <c r="K888" s="256" t="n"/>
      <c r="L888" s="256" t="n"/>
      <c r="M888" s="256" t="n"/>
      <c r="N888" s="256" t="n"/>
      <c r="O888" s="256" t="n"/>
      <c r="P888" s="256" t="n"/>
      <c r="Q888" s="256" t="n"/>
    </row>
    <row r="889">
      <c r="A889">
        <f>IF(DAY(D889)=DAY($L$1+1),A888+1,A888)</f>
        <v/>
      </c>
      <c r="B889" s="46">
        <f>IF(DAY(D889)=DAY($L$1+1),1,B888+1)</f>
        <v/>
      </c>
      <c r="C889" s="46">
        <f>IF(DAY(D889)=DAY($L$1+1),1,C888+1)</f>
        <v/>
      </c>
      <c r="D889" s="2">
        <f>D888+1</f>
        <v/>
      </c>
      <c r="E889" s="8">
        <f>IF(DAY(D889)=DAY($L$1+1),TRUNC((N888),8),E888)</f>
        <v/>
      </c>
      <c r="F889" s="49">
        <f>TRUNC(((1+VLOOKUP(A889,IPCA!$A$2:$C$140,3,0)))^(C889/(EDATE(D889-C889,1)-(D889-C889))),8)</f>
        <v/>
      </c>
      <c r="G889" s="49">
        <f>TRUNC((E889*F889),8)</f>
        <v/>
      </c>
      <c r="H889" s="49">
        <f>ROUND(((1+$H$4)^(30/360))^(C889/(EDATE(D889-B889,1)-(D889-B889))),9)</f>
        <v/>
      </c>
      <c r="I889" s="49">
        <f>TRUNC((G889*H889-G889),8)</f>
        <v/>
      </c>
      <c r="J889" s="49">
        <f>G889+I889</f>
        <v/>
      </c>
      <c r="K889" s="256" t="n"/>
      <c r="L889" s="256" t="n"/>
      <c r="M889" s="256" t="n"/>
      <c r="N889" s="256" t="n"/>
      <c r="O889" s="256" t="n"/>
      <c r="P889" s="256" t="n"/>
      <c r="Q889" s="256" t="n"/>
    </row>
    <row r="890">
      <c r="A890">
        <f>IF(DAY(D890)=DAY($L$1+1),A889+1,A889)</f>
        <v/>
      </c>
      <c r="B890" s="46">
        <f>IF(DAY(D890)=DAY($L$1+1),1,B889+1)</f>
        <v/>
      </c>
      <c r="C890" s="46">
        <f>IF(DAY(D890)=DAY($L$1+1),1,C889+1)</f>
        <v/>
      </c>
      <c r="D890" s="2">
        <f>D889+1</f>
        <v/>
      </c>
      <c r="E890" s="8">
        <f>IF(DAY(D890)=DAY($L$1+1),TRUNC((N889),8),E889)</f>
        <v/>
      </c>
      <c r="F890" s="49">
        <f>TRUNC(((1+VLOOKUP(A890,IPCA!$A$2:$C$140,3,0)))^(C890/(EDATE(D890-C890,1)-(D890-C890))),8)</f>
        <v/>
      </c>
      <c r="G890" s="49">
        <f>TRUNC((E890*F890),8)</f>
        <v/>
      </c>
      <c r="H890" s="49">
        <f>ROUND(((1+$H$4)^(30/360))^(C890/(EDATE(D890-B890,1)-(D890-B890))),9)</f>
        <v/>
      </c>
      <c r="I890" s="49">
        <f>TRUNC((G890*H890-G890),8)</f>
        <v/>
      </c>
      <c r="J890" s="49">
        <f>G890+I890</f>
        <v/>
      </c>
      <c r="K890" s="256" t="n"/>
      <c r="L890" s="256" t="n"/>
      <c r="M890" s="256" t="n"/>
      <c r="N890" s="256" t="n"/>
      <c r="O890" s="256" t="n"/>
      <c r="P890" s="256" t="n"/>
      <c r="Q890" s="256" t="n"/>
    </row>
    <row r="891">
      <c r="A891">
        <f>IF(DAY(D891)=DAY($L$1+1),A890+1,A890)</f>
        <v/>
      </c>
      <c r="B891" s="46">
        <f>IF(DAY(D891)=DAY($L$1+1),1,B890+1)</f>
        <v/>
      </c>
      <c r="C891" s="46">
        <f>IF(DAY(D891)=DAY($L$1+1),1,C890+1)</f>
        <v/>
      </c>
      <c r="D891" s="2">
        <f>D890+1</f>
        <v/>
      </c>
      <c r="E891" s="8">
        <f>IF(DAY(D891)=DAY($L$1+1),TRUNC((N890),8),E890)</f>
        <v/>
      </c>
      <c r="F891" s="49">
        <f>TRUNC(((1+VLOOKUP(A891,IPCA!$A$2:$C$140,3,0)))^(C891/(EDATE(D891-C891,1)-(D891-C891))),8)</f>
        <v/>
      </c>
      <c r="G891" s="49">
        <f>TRUNC((E891*F891),8)</f>
        <v/>
      </c>
      <c r="H891" s="49">
        <f>ROUND(((1+$H$4)^(30/360))^(C891/(EDATE(D891-B891,1)-(D891-B891))),9)</f>
        <v/>
      </c>
      <c r="I891" s="49">
        <f>TRUNC((G891*H891-G891),8)</f>
        <v/>
      </c>
      <c r="J891" s="49">
        <f>G891+I891</f>
        <v/>
      </c>
      <c r="K891" s="256" t="n"/>
      <c r="L891" s="256" t="n"/>
      <c r="M891" s="256" t="n"/>
      <c r="N891" s="256" t="n"/>
      <c r="O891" s="256" t="n"/>
      <c r="P891" s="256" t="n"/>
      <c r="Q891" s="256" t="n"/>
    </row>
    <row r="892">
      <c r="A892">
        <f>IF(DAY(D892)=DAY($L$1+1),A891+1,A891)</f>
        <v/>
      </c>
      <c r="B892" s="46">
        <f>IF(DAY(D892)=DAY($L$1+1),1,B891+1)</f>
        <v/>
      </c>
      <c r="C892" s="46">
        <f>IF(DAY(D892)=DAY($L$1+1),1,C891+1)</f>
        <v/>
      </c>
      <c r="D892" s="2">
        <f>D891+1</f>
        <v/>
      </c>
      <c r="E892" s="8">
        <f>IF(DAY(D892)=DAY($L$1+1),TRUNC((N891),8),E891)</f>
        <v/>
      </c>
      <c r="F892" s="49">
        <f>TRUNC(((1+VLOOKUP(A892,IPCA!$A$2:$C$140,3,0)))^(C892/(EDATE(D892-C892,1)-(D892-C892))),8)</f>
        <v/>
      </c>
      <c r="G892" s="49">
        <f>TRUNC((E892*F892),8)</f>
        <v/>
      </c>
      <c r="H892" s="49">
        <f>ROUND(((1+$H$4)^(30/360))^(C892/(EDATE(D892-B892,1)-(D892-B892))),9)</f>
        <v/>
      </c>
      <c r="I892" s="49">
        <f>TRUNC((G892*H892-G892),8)</f>
        <v/>
      </c>
      <c r="J892" s="49">
        <f>G892+I892</f>
        <v/>
      </c>
      <c r="K892" s="256" t="n"/>
      <c r="L892" s="256" t="n"/>
      <c r="M892" s="256" t="n"/>
      <c r="N892" s="256" t="n"/>
      <c r="O892" s="256" t="n"/>
      <c r="P892" s="256" t="n"/>
      <c r="Q892" s="256" t="n"/>
    </row>
    <row r="893">
      <c r="A893">
        <f>IF(DAY(D893)=DAY($L$1+1),A892+1,A892)</f>
        <v/>
      </c>
      <c r="B893" s="46">
        <f>IF(DAY(D893)=DAY($L$1+1),1,B892+1)</f>
        <v/>
      </c>
      <c r="C893" s="46">
        <f>IF(DAY(D893)=DAY($L$1+1),1,C892+1)</f>
        <v/>
      </c>
      <c r="D893" s="2">
        <f>D892+1</f>
        <v/>
      </c>
      <c r="E893" s="8">
        <f>IF(DAY(D893)=DAY($L$1+1),TRUNC((N892),8),E892)</f>
        <v/>
      </c>
      <c r="F893" s="49">
        <f>TRUNC(((1+VLOOKUP(A893,IPCA!$A$2:$C$140,3,0)))^(C893/(EDATE(D893-C893,1)-(D893-C893))),8)</f>
        <v/>
      </c>
      <c r="G893" s="49">
        <f>TRUNC((E893*F893),8)</f>
        <v/>
      </c>
      <c r="H893" s="49">
        <f>ROUND(((1+$H$4)^(30/360))^(C893/(EDATE(D893-B893,1)-(D893-B893))),9)</f>
        <v/>
      </c>
      <c r="I893" s="49">
        <f>TRUNC((G893*H893-G893),8)</f>
        <v/>
      </c>
      <c r="J893" s="49">
        <f>G893+I893</f>
        <v/>
      </c>
      <c r="K893" s="256" t="n"/>
      <c r="L893" s="256" t="n"/>
      <c r="M893" s="256" t="n"/>
      <c r="N893" s="256" t="n"/>
      <c r="O893" s="256" t="n"/>
      <c r="P893" s="256" t="n"/>
      <c r="Q893" s="256" t="n"/>
    </row>
    <row r="894">
      <c r="A894">
        <f>IF(DAY(D894)=DAY($L$1+1),A893+1,A893)</f>
        <v/>
      </c>
      <c r="B894" s="46">
        <f>IF(DAY(D894)=DAY($L$1+1),1,B893+1)</f>
        <v/>
      </c>
      <c r="C894" s="46">
        <f>IF(DAY(D894)=DAY($L$1+1),1,C893+1)</f>
        <v/>
      </c>
      <c r="D894" s="2">
        <f>D893+1</f>
        <v/>
      </c>
      <c r="E894" s="8">
        <f>IF(DAY(D894)=DAY($L$1+1),TRUNC((N893),8),E893)</f>
        <v/>
      </c>
      <c r="F894" s="49">
        <f>TRUNC(((1+VLOOKUP(A894,IPCA!$A$2:$C$140,3,0)))^(C894/(EDATE(D894-C894,1)-(D894-C894))),8)</f>
        <v/>
      </c>
      <c r="G894" s="49">
        <f>TRUNC((E894*F894),8)</f>
        <v/>
      </c>
      <c r="H894" s="49">
        <f>ROUND(((1+$H$4)^(30/360))^(C894/(EDATE(D894-B894,1)-(D894-B894))),9)</f>
        <v/>
      </c>
      <c r="I894" s="49">
        <f>TRUNC((G894*H894-G894),8)</f>
        <v/>
      </c>
      <c r="J894" s="49">
        <f>G894+I894</f>
        <v/>
      </c>
      <c r="K894" s="256" t="n"/>
      <c r="L894" s="256" t="n"/>
      <c r="M894" s="256" t="n"/>
      <c r="N894" s="256" t="n"/>
      <c r="O894" s="256" t="n"/>
      <c r="P894" s="256" t="n"/>
      <c r="Q894" s="256" t="n"/>
    </row>
    <row r="895">
      <c r="A895">
        <f>IF(DAY(D895)=DAY($L$1+1),A894+1,A894)</f>
        <v/>
      </c>
      <c r="B895" s="46">
        <f>IF(DAY(D895)=DAY($L$1+1),1,B894+1)</f>
        <v/>
      </c>
      <c r="C895" s="46">
        <f>IF(DAY(D895)=DAY($L$1+1),1,C894+1)</f>
        <v/>
      </c>
      <c r="D895" s="2">
        <f>D894+1</f>
        <v/>
      </c>
      <c r="E895" s="8">
        <f>IF(DAY(D895)=DAY($L$1+1),TRUNC((N894),8),E894)</f>
        <v/>
      </c>
      <c r="F895" s="49">
        <f>TRUNC(((1+VLOOKUP(A895,IPCA!$A$2:$C$140,3,0)))^(C895/(EDATE(D895-C895,1)-(D895-C895))),8)</f>
        <v/>
      </c>
      <c r="G895" s="49">
        <f>TRUNC((E895*F895),8)</f>
        <v/>
      </c>
      <c r="H895" s="49">
        <f>ROUND(((1+$H$4)^(30/360))^(C895/(EDATE(D895-B895,1)-(D895-B895))),9)</f>
        <v/>
      </c>
      <c r="I895" s="49">
        <f>TRUNC((G895*H895-G895),8)</f>
        <v/>
      </c>
      <c r="J895" s="49">
        <f>G895+I895</f>
        <v/>
      </c>
      <c r="K895" s="256" t="n"/>
      <c r="L895" s="256" t="n"/>
      <c r="M895" s="256" t="n"/>
      <c r="N895" s="256" t="n"/>
      <c r="O895" s="256" t="n"/>
      <c r="P895" s="256" t="n"/>
      <c r="Q895" s="256" t="n"/>
    </row>
    <row r="896">
      <c r="A896">
        <f>IF(DAY(D896)=DAY($L$1+1),A895+1,A895)</f>
        <v/>
      </c>
      <c r="B896" s="46">
        <f>IF(DAY(D896)=DAY($L$1+1),1,B895+1)</f>
        <v/>
      </c>
      <c r="C896" s="46">
        <f>IF(DAY(D896)=DAY($L$1+1),1,C895+1)</f>
        <v/>
      </c>
      <c r="D896" s="2">
        <f>D895+1</f>
        <v/>
      </c>
      <c r="E896" s="8">
        <f>IF(DAY(D896)=DAY($L$1+1),TRUNC((N895),8),E895)</f>
        <v/>
      </c>
      <c r="F896" s="49">
        <f>TRUNC(((1+VLOOKUP(A896,IPCA!$A$2:$C$140,3,0)))^(C896/(EDATE(D896-C896,1)-(D896-C896))),8)</f>
        <v/>
      </c>
      <c r="G896" s="49">
        <f>TRUNC((E896*F896),8)</f>
        <v/>
      </c>
      <c r="H896" s="49">
        <f>ROUND(((1+$H$4)^(30/360))^(C896/(EDATE(D896-B896,1)-(D896-B896))),9)</f>
        <v/>
      </c>
      <c r="I896" s="49">
        <f>TRUNC((G896*H896-G896),8)</f>
        <v/>
      </c>
      <c r="J896" s="49">
        <f>G896+I896</f>
        <v/>
      </c>
      <c r="K896" s="256" t="n"/>
      <c r="L896" s="256" t="n"/>
      <c r="M896" s="256" t="n"/>
      <c r="N896" s="256" t="n"/>
      <c r="O896" s="256" t="n"/>
      <c r="P896" s="256" t="n"/>
      <c r="Q896" s="256" t="n"/>
    </row>
    <row r="897">
      <c r="A897">
        <f>IF(DAY(D897)=DAY($L$1+1),A896+1,A896)</f>
        <v/>
      </c>
      <c r="B897" s="46">
        <f>IF(DAY(D897)=DAY($L$1+1),1,B896+1)</f>
        <v/>
      </c>
      <c r="C897" s="46">
        <f>IF(DAY(D897)=DAY($L$1+1),1,C896+1)</f>
        <v/>
      </c>
      <c r="D897" s="2">
        <f>D896+1</f>
        <v/>
      </c>
      <c r="E897" s="8">
        <f>IF(DAY(D897)=DAY($L$1+1),TRUNC((N896),8),E896)</f>
        <v/>
      </c>
      <c r="F897" s="49">
        <f>TRUNC(((1+VLOOKUP(A897,IPCA!$A$2:$C$140,3,0)))^(C897/(EDATE(D897-C897,1)-(D897-C897))),8)</f>
        <v/>
      </c>
      <c r="G897" s="49">
        <f>TRUNC((E897*F897),8)</f>
        <v/>
      </c>
      <c r="H897" s="49">
        <f>ROUND(((1+$H$4)^(30/360))^(C897/(EDATE(D897-B897,1)-(D897-B897))),9)</f>
        <v/>
      </c>
      <c r="I897" s="49">
        <f>TRUNC((G897*H897-G897),8)</f>
        <v/>
      </c>
      <c r="J897" s="49">
        <f>G897+I897</f>
        <v/>
      </c>
      <c r="K897" s="256" t="n"/>
      <c r="L897" s="256" t="n"/>
      <c r="M897" s="256" t="n"/>
      <c r="N897" s="256" t="n"/>
      <c r="O897" s="256" t="n"/>
      <c r="P897" s="256" t="n"/>
      <c r="Q897" s="256" t="n"/>
    </row>
    <row r="898">
      <c r="A898">
        <f>IF(DAY(D898)=DAY($L$1+1),A897+1,A897)</f>
        <v/>
      </c>
      <c r="B898" s="46">
        <f>IF(DAY(D898)=DAY($L$1+1),1,B897+1)</f>
        <v/>
      </c>
      <c r="C898" s="46">
        <f>IF(DAY(D898)=DAY($L$1+1),1,C897+1)</f>
        <v/>
      </c>
      <c r="D898" s="2">
        <f>D897+1</f>
        <v/>
      </c>
      <c r="E898" s="8">
        <f>IF(DAY(D898)=DAY($L$1+1),TRUNC((N897),8),E897)</f>
        <v/>
      </c>
      <c r="F898" s="49">
        <f>TRUNC(((1+VLOOKUP(A898,IPCA!$A$2:$C$140,3,0)))^(C898/(EDATE(D898-C898,1)-(D898-C898))),8)</f>
        <v/>
      </c>
      <c r="G898" s="49">
        <f>TRUNC((E898*F898),8)</f>
        <v/>
      </c>
      <c r="H898" s="49">
        <f>ROUND(((1+$H$4)^(30/360))^(C898/(EDATE(D898-B898,1)-(D898-B898))),9)</f>
        <v/>
      </c>
      <c r="I898" s="49">
        <f>TRUNC((G898*H898-G898),8)</f>
        <v/>
      </c>
      <c r="J898" s="49">
        <f>G898+I898</f>
        <v/>
      </c>
      <c r="K898" s="256" t="n"/>
      <c r="L898" s="256" t="n"/>
      <c r="M898" s="256" t="n"/>
      <c r="N898" s="256" t="n"/>
      <c r="O898" s="256" t="n"/>
      <c r="P898" s="256" t="n"/>
      <c r="Q898" s="256" t="n"/>
    </row>
    <row r="899">
      <c r="A899">
        <f>IF(DAY(D899)=DAY($L$1+1),A898+1,A898)</f>
        <v/>
      </c>
      <c r="B899" s="46">
        <f>IF(DAY(D899)=DAY($L$1+1),1,B898+1)</f>
        <v/>
      </c>
      <c r="C899" s="46">
        <f>IF(DAY(D899)=DAY($L$1+1),1,C898+1)</f>
        <v/>
      </c>
      <c r="D899" s="2">
        <f>D898+1</f>
        <v/>
      </c>
      <c r="E899" s="8">
        <f>IF(DAY(D899)=DAY($L$1+1),TRUNC((N898),8),E898)</f>
        <v/>
      </c>
      <c r="F899" s="49">
        <f>TRUNC(((1+VLOOKUP(A899,IPCA!$A$2:$C$140,3,0)))^(C899/(EDATE(D899-C899,1)-(D899-C899))),8)</f>
        <v/>
      </c>
      <c r="G899" s="49">
        <f>TRUNC((E899*F899),8)</f>
        <v/>
      </c>
      <c r="H899" s="49">
        <f>ROUND(((1+$H$4)^(30/360))^(C899/(EDATE(D899-B899,1)-(D899-B899))),9)</f>
        <v/>
      </c>
      <c r="I899" s="49">
        <f>TRUNC((G899*H899-G899),8)</f>
        <v/>
      </c>
      <c r="J899" s="49">
        <f>G899+I899</f>
        <v/>
      </c>
      <c r="K899" s="256" t="n"/>
      <c r="L899" s="256" t="n"/>
      <c r="M899" s="256" t="n"/>
      <c r="N899" s="256" t="n"/>
      <c r="O899" s="256" t="n"/>
      <c r="P899" s="256" t="n"/>
      <c r="Q899" s="256" t="n"/>
    </row>
    <row r="900">
      <c r="A900">
        <f>IF(DAY(D900)=DAY($L$1+1),A899+1,A899)</f>
        <v/>
      </c>
      <c r="B900" s="46">
        <f>IF(DAY(D900)=DAY($L$1+1),1,B899+1)</f>
        <v/>
      </c>
      <c r="C900" s="46">
        <f>IF(DAY(D900)=DAY($L$1+1),1,C899+1)</f>
        <v/>
      </c>
      <c r="D900" s="2">
        <f>D899+1</f>
        <v/>
      </c>
      <c r="E900" s="8">
        <f>IF(DAY(D900)=DAY($L$1+1),TRUNC((N899),8),E899)</f>
        <v/>
      </c>
      <c r="F900" s="49">
        <f>TRUNC(((1+VLOOKUP(A900,IPCA!$A$2:$C$140,3,0)))^(C900/(EDATE(D900-C900,1)-(D900-C900))),8)</f>
        <v/>
      </c>
      <c r="G900" s="49">
        <f>TRUNC((E900*F900),8)</f>
        <v/>
      </c>
      <c r="H900" s="49">
        <f>ROUND(((1+$H$4)^(30/360))^(C900/(EDATE(D900-B900,1)-(D900-B900))),9)</f>
        <v/>
      </c>
      <c r="I900" s="49">
        <f>TRUNC((G900*H900-G900),8)</f>
        <v/>
      </c>
      <c r="J900" s="49">
        <f>G900+I900</f>
        <v/>
      </c>
      <c r="K900" s="256" t="n"/>
      <c r="L900" s="256" t="n"/>
      <c r="M900" s="256" t="n"/>
      <c r="N900" s="256" t="n"/>
      <c r="O900" s="256" t="n"/>
      <c r="P900" s="256" t="n"/>
      <c r="Q900" s="256" t="n"/>
    </row>
    <row r="901">
      <c r="A901">
        <f>IF(DAY(D901)=DAY($L$1+1),A900+1,A900)</f>
        <v/>
      </c>
      <c r="B901" s="46">
        <f>IF(DAY(D901)=DAY($L$1+1),1,B900+1)</f>
        <v/>
      </c>
      <c r="C901" s="46">
        <f>IF(DAY(D901)=DAY($L$1+1),1,C900+1)</f>
        <v/>
      </c>
      <c r="D901" s="2">
        <f>D900+1</f>
        <v/>
      </c>
      <c r="E901" s="8">
        <f>IF(DAY(D901)=DAY($L$1+1),TRUNC((N900),8),E900)</f>
        <v/>
      </c>
      <c r="F901" s="49">
        <f>TRUNC(((1+VLOOKUP(A901,IPCA!$A$2:$C$140,3,0)))^(C901/(EDATE(D901-C901,1)-(D901-C901))),8)</f>
        <v/>
      </c>
      <c r="G901" s="49">
        <f>TRUNC((E901*F901),8)</f>
        <v/>
      </c>
      <c r="H901" s="49">
        <f>ROUND(((1+$H$4)^(30/360))^(C901/(EDATE(D901-B901,1)-(D901-B901))),9)</f>
        <v/>
      </c>
      <c r="I901" s="49">
        <f>TRUNC((G901*H901-G901),8)</f>
        <v/>
      </c>
      <c r="J901" s="49">
        <f>G901+I901</f>
        <v/>
      </c>
      <c r="K901" s="256" t="inlineStr">
        <is>
          <t>Cri Integralizado</t>
        </is>
      </c>
      <c r="L901" s="270">
        <f>L871</f>
        <v/>
      </c>
      <c r="M901" s="256" t="n"/>
      <c r="N901" s="256" t="n"/>
      <c r="O901" s="256" t="n"/>
      <c r="P901" s="256" t="n"/>
      <c r="Q901" s="256" t="n"/>
    </row>
    <row r="902">
      <c r="A902">
        <f>IF(DAY(D902)=DAY($L$1+1),A901+1,A901)</f>
        <v/>
      </c>
      <c r="B902" s="46">
        <f>IF(DAY(D902)=DAY($L$1+1),1,B901+1)</f>
        <v/>
      </c>
      <c r="C902" s="46">
        <f>IF(DAY(D902)=DAY($L$1+1),1,C901+1)</f>
        <v/>
      </c>
      <c r="D902" s="47">
        <f>D901+1</f>
        <v/>
      </c>
      <c r="E902" s="8">
        <f>IF(DAY(D902)=DAY($L$1+1),TRUNC((N901),8),E901)</f>
        <v/>
      </c>
      <c r="F902" s="49">
        <f>TRUNC(((1+VLOOKUP(A902,IPCA!$A$2:$C$140,3,0)))^(C902/(EDATE(D902-C902,1)-(D902-C902))),8)</f>
        <v/>
      </c>
      <c r="G902" s="49">
        <f>TRUNC((E902*F902),8)</f>
        <v/>
      </c>
      <c r="H902" s="49">
        <f>ROUND(((1+$H$4)^(30/360))^(C902/(EDATE(D902-B902,1)-(D902-B902))),9)</f>
        <v/>
      </c>
      <c r="I902" s="49">
        <f>TRUNC((G902*H902-G902),8)</f>
        <v/>
      </c>
      <c r="J902" s="49">
        <f>G902+I902</f>
        <v/>
      </c>
      <c r="K902" s="118" t="inlineStr">
        <is>
          <t>JUROS</t>
        </is>
      </c>
      <c r="L902" s="118" t="inlineStr">
        <is>
          <t>AMORTIZAÇÃO</t>
        </is>
      </c>
      <c r="M902" s="118" t="inlineStr">
        <is>
          <t>AMEX</t>
        </is>
      </c>
      <c r="N902" s="118" t="inlineStr">
        <is>
          <t>RESIDUAL</t>
        </is>
      </c>
      <c r="O902" s="256" t="n"/>
      <c r="P902" s="256" t="n"/>
      <c r="Q902" s="256" t="n"/>
    </row>
    <row r="903">
      <c r="A903">
        <f>IF(DAY(D903)=DAY($L$1+1),A902+1,A902)</f>
        <v/>
      </c>
      <c r="B903" s="111">
        <f>IF(DAY(D903)=DAY($L$1+1),1,B902+1)</f>
        <v/>
      </c>
      <c r="C903" s="111">
        <f>IF(DAY(D903)=DAY($L$1+1),1,C902+1)</f>
        <v/>
      </c>
      <c r="D903" s="112">
        <f>D902+1</f>
        <v/>
      </c>
      <c r="E903" s="113">
        <f>IF(DAY(D903)=DAY($L$1+1),TRUNC((N902),8),E902)</f>
        <v/>
      </c>
      <c r="F903" s="114">
        <f>TRUNC(((1+VLOOKUP(A903,IPCA!$A$2:$C$140,3,0)))^(C903/(EDATE(D903-C903,1)-(D903-C903))),8)</f>
        <v/>
      </c>
      <c r="G903" s="114">
        <f>TRUNC((E903*F903),8)</f>
        <v/>
      </c>
      <c r="H903" s="114">
        <f>ROUND(((1+$H$4)^(30/360))^(C903/(EDATE(D903-B903,1)-(D903-B903))),9)</f>
        <v/>
      </c>
      <c r="I903" s="114">
        <f>TRUNC((G903*H903-G903),8)</f>
        <v/>
      </c>
      <c r="J903" s="114">
        <f>G903+I903</f>
        <v/>
      </c>
      <c r="K903" s="119" t="n">
        <v>0</v>
      </c>
      <c r="L903" s="120" t="n">
        <v>0</v>
      </c>
      <c r="M903" s="120" t="n">
        <v>0</v>
      </c>
      <c r="N903" s="120">
        <f>J903-K903-L903-M903</f>
        <v/>
      </c>
      <c r="O903" s="256" t="n"/>
      <c r="P903" s="256" t="n"/>
      <c r="Q903" s="256" t="n"/>
    </row>
    <row r="904">
      <c r="A904">
        <f>IF(DAY(D904)=DAY($L$1+1),A903+1,A903)</f>
        <v/>
      </c>
      <c r="B904" s="46">
        <f>IF(DAY(D904)=DAY($L$1+1),1,B903+1)</f>
        <v/>
      </c>
      <c r="C904" s="46">
        <f>IF(DAY(D904)=DAY($L$1+1),1,C903+1)</f>
        <v/>
      </c>
      <c r="D904" s="2">
        <f>D903+1</f>
        <v/>
      </c>
      <c r="E904" s="8">
        <f>IF(DAY(D904)=DAY($L$1+1),TRUNC((N903),8),E903)</f>
        <v/>
      </c>
      <c r="F904" s="49">
        <f>TRUNC(((1+VLOOKUP(A904,IPCA!$A$2:$C$140,3,0)))^(C904/(EDATE(D904-C904,1)-(D904-C904))),8)</f>
        <v/>
      </c>
      <c r="G904" s="49">
        <f>TRUNC((E904*F904),8)</f>
        <v/>
      </c>
      <c r="H904" s="49">
        <f>ROUND(((1+$H$4)^(30/360))^(C904/(EDATE(D904-B904,1)-(D904-B904))),9)</f>
        <v/>
      </c>
      <c r="I904" s="49">
        <f>TRUNC((G904*H904-G904),8)</f>
        <v/>
      </c>
      <c r="J904" s="49">
        <f>G904+I904</f>
        <v/>
      </c>
      <c r="K904" s="121">
        <f>K903*L901</f>
        <v/>
      </c>
      <c r="L904" s="121">
        <f>L903*L901</f>
        <v/>
      </c>
      <c r="M904" s="121">
        <f>M903*L901</f>
        <v/>
      </c>
      <c r="N904" s="121">
        <f>N903*L901</f>
        <v/>
      </c>
      <c r="O904" s="256" t="n"/>
      <c r="P904" s="256" t="n"/>
      <c r="Q904" s="256" t="n"/>
    </row>
    <row r="905">
      <c r="A905">
        <f>IF(DAY(D905)=DAY($L$1+1),A904+1,A904)</f>
        <v/>
      </c>
      <c r="B905" s="46">
        <f>IF(DAY(D905)=DAY($L$1+1),1,B904+1)</f>
        <v/>
      </c>
      <c r="C905" s="46">
        <f>IF(DAY(D905)=DAY($L$1+1),1,C904+1)</f>
        <v/>
      </c>
      <c r="D905" s="2">
        <f>D904+1</f>
        <v/>
      </c>
      <c r="E905" s="8">
        <f>IF(DAY(D905)=DAY($L$1+1),TRUNC((N904),8),E904)</f>
        <v/>
      </c>
      <c r="F905" s="49">
        <f>TRUNC(((1+VLOOKUP(A905,IPCA!$A$2:$C$140,3,0)))^(C905/(EDATE(D905-C905,1)-(D905-C905))),8)</f>
        <v/>
      </c>
      <c r="G905" s="49">
        <f>TRUNC((E905*F905),8)</f>
        <v/>
      </c>
      <c r="H905" s="49">
        <f>ROUND(((1+$H$4)^(30/360))^(C905/(EDATE(D905-B905,1)-(D905-B905))),9)</f>
        <v/>
      </c>
      <c r="I905" s="49">
        <f>TRUNC((G905*H905-G905),8)</f>
        <v/>
      </c>
      <c r="J905" s="49">
        <f>G905+I905</f>
        <v/>
      </c>
      <c r="K905" s="256" t="n"/>
      <c r="L905" s="256" t="n"/>
      <c r="M905" s="256" t="n"/>
      <c r="N905" s="256" t="n"/>
      <c r="O905" s="256" t="n"/>
      <c r="P905" s="256" t="n"/>
      <c r="Q905" s="256" t="n"/>
    </row>
    <row r="906">
      <c r="A906">
        <f>IF(DAY(D906)=DAY($L$1+1),A905+1,A905)</f>
        <v/>
      </c>
      <c r="B906" s="46">
        <f>IF(DAY(D906)=DAY($L$1+1),1,B905+1)</f>
        <v/>
      </c>
      <c r="C906" s="46">
        <f>IF(DAY(D906)=DAY($L$1+1),1,C905+1)</f>
        <v/>
      </c>
      <c r="D906" s="2">
        <f>D905+1</f>
        <v/>
      </c>
      <c r="E906" s="8">
        <f>IF(DAY(D906)=DAY($L$1+1),TRUNC((#REF!),8),E905)</f>
        <v/>
      </c>
      <c r="F906" s="49">
        <f>TRUNC(((1+VLOOKUP(A906,IPCA!$A$2:$C$140,3,0)))^(C906/(EDATE(D906-C906,1)-(D906-C906))),8)</f>
        <v/>
      </c>
      <c r="G906" s="49">
        <f>TRUNC((E906*F906),8)</f>
        <v/>
      </c>
      <c r="H906" s="49">
        <f>ROUND(((1+$H$4)^(30/360))^(C906/(EDATE(D906-B906,1)-(D906-B906))),9)</f>
        <v/>
      </c>
      <c r="I906" s="49">
        <f>TRUNC((G906*H906-G906),8)</f>
        <v/>
      </c>
      <c r="J906" s="49">
        <f>G906+I906</f>
        <v/>
      </c>
      <c r="K906" s="256" t="n"/>
      <c r="L906" s="256" t="n"/>
      <c r="M906" s="256" t="n"/>
      <c r="N906" s="256" t="n"/>
      <c r="O906" s="256" t="n"/>
      <c r="P906" s="256" t="n"/>
      <c r="Q906" s="256" t="n"/>
    </row>
    <row r="907">
      <c r="A907">
        <f>IF(DAY(D907)=DAY($L$1+1),A906+1,A906)</f>
        <v/>
      </c>
      <c r="B907" s="46">
        <f>IF(DAY(D907)=DAY($L$1+1),1,B906+1)</f>
        <v/>
      </c>
      <c r="C907" s="46">
        <f>IF(DAY(D907)=DAY($L$1+1),1,C906+1)</f>
        <v/>
      </c>
      <c r="D907" s="2">
        <f>D906+1</f>
        <v/>
      </c>
      <c r="E907" s="8">
        <f>IF(DAY(D907)=DAY($L$1+1),TRUNC((#REF!),8),E906)</f>
        <v/>
      </c>
      <c r="F907" s="49">
        <f>TRUNC(((1+VLOOKUP(A907,IPCA!$A$2:$C$140,3,0)))^(C907/(EDATE(D907-C907,1)-(D907-C907))),8)</f>
        <v/>
      </c>
      <c r="G907" s="49">
        <f>TRUNC((E907*F907),8)</f>
        <v/>
      </c>
      <c r="H907" s="49">
        <f>ROUND(((1+$H$4)^(30/360))^(C907/(EDATE(D907-B907,1)-(D907-B907))),9)</f>
        <v/>
      </c>
      <c r="I907" s="49">
        <f>TRUNC((G907*H907-G907),8)</f>
        <v/>
      </c>
      <c r="J907" s="49">
        <f>G907+I907</f>
        <v/>
      </c>
      <c r="K907" s="256" t="n"/>
      <c r="L907" s="256" t="n"/>
      <c r="M907" s="256" t="n"/>
      <c r="N907" s="256" t="n"/>
      <c r="O907" s="256" t="n"/>
      <c r="P907" s="256" t="n"/>
      <c r="Q907" s="256" t="n"/>
    </row>
    <row r="908">
      <c r="A908">
        <f>IF(DAY(D908)=DAY($L$1+1),A907+1,A907)</f>
        <v/>
      </c>
      <c r="B908" s="46">
        <f>IF(DAY(D908)=DAY($L$1+1),1,B907+1)</f>
        <v/>
      </c>
      <c r="C908" s="46">
        <f>IF(DAY(D908)=DAY($L$1+1),1,C907+1)</f>
        <v/>
      </c>
      <c r="D908" s="2">
        <f>D907+1</f>
        <v/>
      </c>
      <c r="E908" s="8">
        <f>IF(DAY(D908)=DAY($L$1+1),TRUNC((#REF!),8),E907)</f>
        <v/>
      </c>
      <c r="F908" s="49">
        <f>TRUNC(((1+VLOOKUP(A908,IPCA!$A$2:$C$140,3,0)))^(C908/(EDATE(D908-C908,1)-(D908-C908))),8)</f>
        <v/>
      </c>
      <c r="G908" s="49">
        <f>TRUNC((E908*F908),8)</f>
        <v/>
      </c>
      <c r="H908" s="49">
        <f>ROUND(((1+$H$4)^(30/360))^(C908/(EDATE(D908-B908,1)-(D908-B908))),9)</f>
        <v/>
      </c>
      <c r="I908" s="49">
        <f>TRUNC((G908*H908-G908),8)</f>
        <v/>
      </c>
      <c r="J908" s="49">
        <f>G908+I908</f>
        <v/>
      </c>
      <c r="K908" s="256" t="n"/>
      <c r="L908" s="256" t="n"/>
      <c r="M908" s="256" t="n"/>
      <c r="N908" s="256" t="n"/>
      <c r="O908" s="256" t="n"/>
      <c r="P908" s="256" t="n"/>
      <c r="Q908" s="256" t="n"/>
    </row>
    <row r="909">
      <c r="A909">
        <f>IF(DAY(D909)=DAY($L$1+1),A908+1,A908)</f>
        <v/>
      </c>
      <c r="B909" s="234">
        <f>IF(DAY(D909)=DAY($L$1+1),1,B908+1)</f>
        <v/>
      </c>
      <c r="C909" s="234">
        <f>IF(DAY(D909)=DAY($L$1+1),1,C908+1)</f>
        <v/>
      </c>
      <c r="D909" s="235">
        <f>D908+1</f>
        <v/>
      </c>
      <c r="E909" s="236">
        <f>IF(DAY(D909)=DAY($L$1+1),TRUNC((#REF!),8),E908)</f>
        <v/>
      </c>
      <c r="F909" s="237">
        <f>TRUNC(((1+VLOOKUP(A909,IPCA!$A$2:$C$140,3,0)))^(C909/(EDATE(D909-C909,1)-(D909-C909))),8)</f>
        <v/>
      </c>
      <c r="G909" s="237">
        <f>TRUNC((E909*F909),8)</f>
        <v/>
      </c>
      <c r="H909" s="237">
        <f>ROUND(((1+$H$4)^(30/360))^(C909/(EDATE(D909-B909,1)-(D909-B909))),9)</f>
        <v/>
      </c>
      <c r="I909" s="237">
        <f>TRUNC((G909*H909-G909),8)</f>
        <v/>
      </c>
      <c r="J909" s="237">
        <f>G909+I909</f>
        <v/>
      </c>
      <c r="K909" s="274">
        <f>J909*L901</f>
        <v/>
      </c>
      <c r="L909" s="256" t="n"/>
      <c r="M909" s="256" t="n"/>
      <c r="N909" s="256" t="n"/>
      <c r="O909" s="256" t="n"/>
      <c r="P909" s="256" t="n"/>
      <c r="Q909" s="256" t="n"/>
    </row>
    <row r="910">
      <c r="A910">
        <f>IF(DAY(D910)=DAY($L$1+1),A909+1,A909)</f>
        <v/>
      </c>
      <c r="B910" s="46">
        <f>IF(DAY(D910)=DAY($L$1+1),1,B909+1)</f>
        <v/>
      </c>
      <c r="C910" s="46">
        <f>IF(DAY(D910)=DAY($L$1+1),1,C909+1)</f>
        <v/>
      </c>
      <c r="D910" s="2">
        <f>D909+1</f>
        <v/>
      </c>
      <c r="E910" s="8">
        <f>IF(DAY(D910)=DAY($L$1+1),TRUNC((#REF!),8),E909)</f>
        <v/>
      </c>
      <c r="F910" s="49">
        <f>TRUNC(((1+VLOOKUP(A910,IPCA!$A$2:$C$140,3,0)))^(C910/(EDATE(D910-C910,1)-(D910-C910))),8)</f>
        <v/>
      </c>
      <c r="G910" s="49">
        <f>TRUNC((E910*F910),8)</f>
        <v/>
      </c>
      <c r="H910" s="49">
        <f>ROUND(((1+$H$4)^(30/360))^(C910/(EDATE(D910-B910,1)-(D910-B910))),9)</f>
        <v/>
      </c>
      <c r="I910" s="49">
        <f>TRUNC((G910*H910-G910),8)</f>
        <v/>
      </c>
      <c r="J910" s="49">
        <f>G910+I910</f>
        <v/>
      </c>
      <c r="K910" s="256" t="n"/>
      <c r="L910" s="256" t="n"/>
      <c r="M910" s="256" t="n"/>
      <c r="N910" s="256" t="n"/>
      <c r="O910" s="256" t="n"/>
      <c r="P910" s="256" t="n"/>
      <c r="Q910" s="256" t="n"/>
    </row>
    <row r="911">
      <c r="A911">
        <f>IF(DAY(D911)=DAY($L$1+1),A910+1,A910)</f>
        <v/>
      </c>
      <c r="B911" s="46">
        <f>IF(DAY(D911)=DAY($L$1+1),1,B910+1)</f>
        <v/>
      </c>
      <c r="C911" s="46">
        <f>IF(DAY(D911)=DAY($L$1+1),1,C910+1)</f>
        <v/>
      </c>
      <c r="D911" s="2">
        <f>D910+1</f>
        <v/>
      </c>
      <c r="E911" s="8">
        <f>IF(DAY(D911)=DAY($L$1+1),TRUNC((#REF!),8),E910)</f>
        <v/>
      </c>
      <c r="F911" s="49">
        <f>TRUNC(((1+VLOOKUP(A911,IPCA!$A$2:$C$140,3,0)))^(C911/(EDATE(D911-C911,1)-(D911-C911))),8)</f>
        <v/>
      </c>
      <c r="G911" s="49">
        <f>TRUNC((E911*F911),8)</f>
        <v/>
      </c>
      <c r="H911" s="49">
        <f>ROUND(((1+$H$4)^(30/360))^(C911/(EDATE(D911-B911,1)-(D911-B911))),9)</f>
        <v/>
      </c>
      <c r="I911" s="49">
        <f>TRUNC((G911*H911-G911),8)</f>
        <v/>
      </c>
      <c r="J911" s="49">
        <f>G911+I911</f>
        <v/>
      </c>
      <c r="K911" s="256" t="n"/>
      <c r="L911" s="256" t="n"/>
      <c r="M911" s="256" t="n"/>
      <c r="N911" s="256" t="n"/>
      <c r="O911" s="256" t="n"/>
      <c r="P911" s="256" t="n"/>
      <c r="Q911" s="256" t="n"/>
    </row>
    <row r="912">
      <c r="A912">
        <f>IF(DAY(D912)=DAY($L$1+1),A911+1,A911)</f>
        <v/>
      </c>
      <c r="B912" s="46">
        <f>IF(DAY(D912)=DAY($L$1+1),1,B911+1)</f>
        <v/>
      </c>
      <c r="C912" s="46">
        <f>IF(DAY(D912)=DAY($L$1+1),1,C911+1)</f>
        <v/>
      </c>
      <c r="D912" s="2">
        <f>D911+1</f>
        <v/>
      </c>
      <c r="E912" s="8">
        <f>IF(DAY(D912)=DAY($L$1+1),TRUNC((#REF!),8),E911)</f>
        <v/>
      </c>
      <c r="F912" s="49">
        <f>TRUNC(((1+VLOOKUP(A912,IPCA!$A$2:$C$140,3,0)))^(C912/(EDATE(D912-C912,1)-(D912-C912))),8)</f>
        <v/>
      </c>
      <c r="G912" s="49">
        <f>TRUNC((E912*F912),8)</f>
        <v/>
      </c>
      <c r="H912" s="49">
        <f>ROUND(((1+$H$4)^(30/360))^(C912/(EDATE(D912-B912,1)-(D912-B912))),9)</f>
        <v/>
      </c>
      <c r="I912" s="49">
        <f>TRUNC((G912*H912-G912),8)</f>
        <v/>
      </c>
      <c r="J912" s="49">
        <f>G912+I912</f>
        <v/>
      </c>
      <c r="K912" s="256" t="n"/>
      <c r="L912" s="256" t="n"/>
      <c r="M912" s="256" t="n"/>
      <c r="N912" s="256" t="n"/>
      <c r="O912" s="256" t="n"/>
      <c r="P912" s="256" t="n"/>
      <c r="Q912" s="256" t="n"/>
    </row>
    <row r="913">
      <c r="A913">
        <f>IF(DAY(D913)=DAY($L$1+1),A912+1,A912)</f>
        <v/>
      </c>
      <c r="B913" s="46">
        <f>IF(DAY(D913)=DAY($L$1+1),1,B912+1)</f>
        <v/>
      </c>
      <c r="C913" s="46">
        <f>IF(DAY(D913)=DAY($L$1+1),1,C912+1)</f>
        <v/>
      </c>
      <c r="D913" s="2">
        <f>D912+1</f>
        <v/>
      </c>
      <c r="E913" s="8">
        <f>IF(DAY(D913)=DAY($L$1+1),TRUNC((#REF!),8),E912)</f>
        <v/>
      </c>
      <c r="F913" s="49">
        <f>TRUNC(((1+VLOOKUP(A913,IPCA!$A$2:$C$140,3,0)))^(C913/(EDATE(D913-C913,1)-(D913-C913))),8)</f>
        <v/>
      </c>
      <c r="G913" s="49">
        <f>TRUNC((E913*F913),8)</f>
        <v/>
      </c>
      <c r="H913" s="49">
        <f>ROUND(((1+$H$4)^(30/360))^(C913/(EDATE(D913-B913,1)-(D913-B913))),9)</f>
        <v/>
      </c>
      <c r="I913" s="49">
        <f>TRUNC((G913*H913-G913),8)</f>
        <v/>
      </c>
      <c r="J913" s="49">
        <f>G913+I913</f>
        <v/>
      </c>
      <c r="K913" s="256" t="n"/>
      <c r="L913" s="256" t="n"/>
      <c r="M913" s="256" t="n"/>
      <c r="N913" s="256" t="n"/>
      <c r="O913" s="256" t="n"/>
      <c r="P913" s="256" t="n"/>
      <c r="Q913" s="256" t="n"/>
    </row>
    <row r="914">
      <c r="A914">
        <f>IF(DAY(D914)=DAY($L$1+1),A913+1,A913)</f>
        <v/>
      </c>
      <c r="B914" s="46">
        <f>IF(DAY(D914)=DAY($L$1+1),1,B913+1)</f>
        <v/>
      </c>
      <c r="C914" s="46">
        <f>IF(DAY(D914)=DAY($L$1+1),1,C913+1)</f>
        <v/>
      </c>
      <c r="D914" s="2">
        <f>D913+1</f>
        <v/>
      </c>
      <c r="E914" s="8">
        <f>IF(DAY(D914)=DAY($L$1+1),TRUNC((#REF!),8),E913)</f>
        <v/>
      </c>
      <c r="F914" s="49">
        <f>TRUNC(((1+VLOOKUP(A914,IPCA!$A$2:$C$140,3,0)))^(C914/(EDATE(D914-C914,1)-(D914-C914))),8)</f>
        <v/>
      </c>
      <c r="G914" s="49">
        <f>TRUNC((E914*F914),8)</f>
        <v/>
      </c>
      <c r="H914" s="49">
        <f>ROUND(((1+$H$4)^(30/360))^(C914/(EDATE(D914-B914,1)-(D914-B914))),9)</f>
        <v/>
      </c>
      <c r="I914" s="49">
        <f>TRUNC((G914*H914-G914),8)</f>
        <v/>
      </c>
      <c r="J914" s="49">
        <f>G914+I914</f>
        <v/>
      </c>
      <c r="K914" s="256" t="n"/>
      <c r="L914" s="256" t="n"/>
      <c r="M914" s="256" t="n"/>
      <c r="N914" s="256" t="n"/>
      <c r="O914" s="256" t="n"/>
      <c r="P914" s="256" t="n"/>
      <c r="Q914" s="256" t="n"/>
    </row>
    <row r="915">
      <c r="A915">
        <f>IF(DAY(D915)=DAY($L$1+1),A914+1,A914)</f>
        <v/>
      </c>
      <c r="B915" s="46">
        <f>IF(DAY(D915)=DAY($L$1+1),1,B914+1)</f>
        <v/>
      </c>
      <c r="C915" s="46">
        <f>IF(DAY(D915)=DAY($L$1+1),1,C914+1)</f>
        <v/>
      </c>
      <c r="D915" s="2">
        <f>D914+1</f>
        <v/>
      </c>
      <c r="E915" s="8">
        <f>IF(DAY(D915)=DAY($L$1+1),TRUNC((#REF!),8),E914)</f>
        <v/>
      </c>
      <c r="F915" s="49">
        <f>TRUNC(((1+VLOOKUP(A915,IPCA!$A$2:$C$140,3,0)))^(C915/(EDATE(D915-C915,1)-(D915-C915))),8)</f>
        <v/>
      </c>
      <c r="G915" s="49">
        <f>TRUNC((E915*F915),8)</f>
        <v/>
      </c>
      <c r="H915" s="49">
        <f>ROUND(((1+$H$4)^(30/360))^(C915/(EDATE(D915-B915,1)-(D915-B915))),9)</f>
        <v/>
      </c>
      <c r="I915" s="49">
        <f>TRUNC((G915*H915-G915),8)</f>
        <v/>
      </c>
      <c r="J915" s="49">
        <f>G915+I915</f>
        <v/>
      </c>
      <c r="K915" s="256" t="n"/>
      <c r="L915" s="256" t="n"/>
      <c r="M915" s="256" t="n"/>
      <c r="N915" s="256" t="n"/>
      <c r="O915" s="256" t="n"/>
      <c r="P915" s="256" t="n"/>
      <c r="Q915" s="256" t="n"/>
    </row>
    <row r="916">
      <c r="A916">
        <f>IF(DAY(D916)=DAY($L$1+1),A915+1,A915)</f>
        <v/>
      </c>
      <c r="B916" s="46">
        <f>IF(DAY(D916)=DAY($L$1+1),1,B915+1)</f>
        <v/>
      </c>
      <c r="C916" s="46">
        <f>IF(DAY(D916)=DAY($L$1+1),1,C915+1)</f>
        <v/>
      </c>
      <c r="D916" s="2">
        <f>D915+1</f>
        <v/>
      </c>
      <c r="E916" s="8">
        <f>IF(DAY(D916)=DAY($L$1+1),TRUNC((#REF!),8),E915)</f>
        <v/>
      </c>
      <c r="F916" s="49">
        <f>TRUNC(((1+VLOOKUP(A916,IPCA!$A$2:$C$140,3,0)))^(C916/(EDATE(D916-C916,1)-(D916-C916))),8)</f>
        <v/>
      </c>
      <c r="G916" s="49">
        <f>TRUNC((E916*F916),8)</f>
        <v/>
      </c>
      <c r="H916" s="49">
        <f>ROUND(((1+$H$4)^(30/360))^(C916/(EDATE(D916-B916,1)-(D916-B916))),9)</f>
        <v/>
      </c>
      <c r="I916" s="49">
        <f>TRUNC((G916*H916-G916),8)</f>
        <v/>
      </c>
      <c r="J916" s="49">
        <f>G916+I916</f>
        <v/>
      </c>
      <c r="K916" s="256" t="n"/>
      <c r="L916" s="256" t="n"/>
      <c r="M916" s="256" t="n"/>
      <c r="N916" s="256" t="n"/>
      <c r="O916" s="256" t="n"/>
      <c r="P916" s="256" t="n"/>
      <c r="Q916" s="256" t="n"/>
    </row>
    <row r="917">
      <c r="A917">
        <f>IF(DAY(D917)=DAY($L$1+1),A916+1,A916)</f>
        <v/>
      </c>
      <c r="B917" s="46">
        <f>IF(DAY(D917)=DAY($L$1+1),1,B916+1)</f>
        <v/>
      </c>
      <c r="C917" s="46">
        <f>IF(DAY(D917)=DAY($L$1+1),1,C916+1)</f>
        <v/>
      </c>
      <c r="D917" s="2">
        <f>D916+1</f>
        <v/>
      </c>
      <c r="E917" s="8">
        <f>IF(DAY(D917)=DAY($L$1+1),TRUNC((N916),8),E916)</f>
        <v/>
      </c>
      <c r="F917" s="49">
        <f>TRUNC(((1+VLOOKUP(A917,IPCA!$A$2:$C$140,3,0)))^(C917/(EDATE(D917-C917,1)-(D917-C917))),8)</f>
        <v/>
      </c>
      <c r="G917" s="49">
        <f>TRUNC((E917*F917),8)</f>
        <v/>
      </c>
      <c r="H917" s="49">
        <f>ROUND(((1+$H$4)^(30/360))^(C917/(EDATE(D917-B917,1)-(D917-B917))),9)</f>
        <v/>
      </c>
      <c r="I917" s="49">
        <f>TRUNC((G917*H917-G917),8)</f>
        <v/>
      </c>
      <c r="J917" s="49">
        <f>G917+I917</f>
        <v/>
      </c>
      <c r="K917" s="256" t="n"/>
      <c r="L917" s="256" t="n"/>
      <c r="M917" s="256" t="n"/>
      <c r="N917" s="256" t="n"/>
      <c r="O917" s="256" t="n"/>
      <c r="P917" s="256" t="n"/>
      <c r="Q917" s="256" t="n"/>
    </row>
    <row r="918">
      <c r="A918">
        <f>IF(DAY(D918)=DAY($L$1+1),A917+1,A917)</f>
        <v/>
      </c>
      <c r="B918" s="46">
        <f>IF(DAY(D918)=DAY($L$1+1),1,B917+1)</f>
        <v/>
      </c>
      <c r="C918" s="46">
        <f>IF(DAY(D918)=DAY($L$1+1),1,C917+1)</f>
        <v/>
      </c>
      <c r="D918" s="2">
        <f>D917+1</f>
        <v/>
      </c>
      <c r="E918" s="8">
        <f>IF(DAY(D918)=DAY($L$1+1),TRUNC((N917),8),E917)</f>
        <v/>
      </c>
      <c r="F918" s="49">
        <f>TRUNC(((1+VLOOKUP(A918,IPCA!$A$2:$C$140,3,0)))^(C918/(EDATE(D918-C918,1)-(D918-C918))),8)</f>
        <v/>
      </c>
      <c r="G918" s="49">
        <f>TRUNC((E918*F918),8)</f>
        <v/>
      </c>
      <c r="H918" s="49">
        <f>ROUND(((1+$H$4)^(30/360))^(C918/(EDATE(D918-B918,1)-(D918-B918))),9)</f>
        <v/>
      </c>
      <c r="I918" s="49">
        <f>TRUNC((G918*H918-G918),8)</f>
        <v/>
      </c>
      <c r="J918" s="49">
        <f>G918+I918</f>
        <v/>
      </c>
      <c r="K918" s="123" t="n"/>
      <c r="L918" s="271" t="n"/>
      <c r="M918" s="256" t="n"/>
      <c r="N918" s="256" t="n"/>
      <c r="O918" s="256" t="n"/>
      <c r="P918" s="256" t="n"/>
      <c r="Q918" s="256" t="n"/>
    </row>
    <row r="919">
      <c r="A919">
        <f>IF(DAY(D919)=DAY($L$1+1),A918+1,A918)</f>
        <v/>
      </c>
      <c r="B919" s="46">
        <f>IF(DAY(D919)=DAY($L$1+1),1,B918+1)</f>
        <v/>
      </c>
      <c r="C919" s="46">
        <f>IF(DAY(D919)=DAY($L$1+1),1,C918+1)</f>
        <v/>
      </c>
      <c r="D919" s="2">
        <f>D918+1</f>
        <v/>
      </c>
      <c r="E919" s="8">
        <f>IF(DAY(D919)=DAY($L$1+1),TRUNC((N918),8),E918)</f>
        <v/>
      </c>
      <c r="F919" s="49">
        <f>TRUNC(((1+VLOOKUP(A919,IPCA!$A$2:$C$140,3,0)))^(C919/(EDATE(D919-C919,1)-(D919-C919))),8)</f>
        <v/>
      </c>
      <c r="G919" s="49">
        <f>TRUNC((E919*F919),8)</f>
        <v/>
      </c>
      <c r="H919" s="49">
        <f>ROUND(((1+$H$4)^(30/360))^(C919/(EDATE(D919-B919,1)-(D919-B919))),9)</f>
        <v/>
      </c>
      <c r="I919" s="49">
        <f>TRUNC((G919*H919-G919),8)</f>
        <v/>
      </c>
      <c r="J919" s="49">
        <f>G919+I919</f>
        <v/>
      </c>
      <c r="K919" s="256" t="n"/>
      <c r="L919" s="256" t="n"/>
      <c r="M919" s="256" t="n"/>
      <c r="N919" s="256" t="n"/>
      <c r="O919" s="256" t="n"/>
      <c r="P919" s="256" t="n"/>
      <c r="Q919" s="256" t="n"/>
    </row>
    <row r="920">
      <c r="A920">
        <f>IF(DAY(D920)=DAY($L$1+1),A919+1,A919)</f>
        <v/>
      </c>
      <c r="B920" s="46">
        <f>IF(DAY(D920)=DAY($L$1+1),1,B919+1)</f>
        <v/>
      </c>
      <c r="C920" s="46">
        <f>IF(DAY(D920)=DAY($L$1+1),1,C919+1)</f>
        <v/>
      </c>
      <c r="D920" s="2">
        <f>D919+1</f>
        <v/>
      </c>
      <c r="E920" s="8">
        <f>IF(DAY(D920)=DAY($L$1+1),TRUNC((N919),8),E919)</f>
        <v/>
      </c>
      <c r="F920" s="49">
        <f>TRUNC(((1+VLOOKUP(A920,IPCA!$A$2:$C$140,3,0)))^(C920/(EDATE(D920-C920,1)-(D920-C920))),8)</f>
        <v/>
      </c>
      <c r="G920" s="49">
        <f>TRUNC((E920*F920),8)</f>
        <v/>
      </c>
      <c r="H920" s="49">
        <f>ROUND(((1+$H$4)^(30/360))^(C920/(EDATE(D920-B920,1)-(D920-B920))),9)</f>
        <v/>
      </c>
      <c r="I920" s="49">
        <f>TRUNC((G920*H920-G920),8)</f>
        <v/>
      </c>
      <c r="J920" s="49">
        <f>G920+I920</f>
        <v/>
      </c>
      <c r="K920" s="256" t="n"/>
      <c r="L920" s="256" t="n"/>
      <c r="M920" s="256" t="n"/>
      <c r="N920" s="256" t="n"/>
      <c r="O920" s="256" t="n"/>
      <c r="P920" s="256" t="n"/>
      <c r="Q920" s="256" t="n"/>
    </row>
    <row r="921">
      <c r="A921">
        <f>IF(DAY(D921)=DAY($L$1+1),A920+1,A920)</f>
        <v/>
      </c>
      <c r="B921" s="46">
        <f>IF(DAY(D921)=DAY($L$1+1),1,B920+1)</f>
        <v/>
      </c>
      <c r="C921" s="46">
        <f>IF(DAY(D921)=DAY($L$1+1),1,C920+1)</f>
        <v/>
      </c>
      <c r="D921" s="2">
        <f>D920+1</f>
        <v/>
      </c>
      <c r="E921" s="8">
        <f>IF(DAY(D921)=DAY($L$1+1),TRUNC((N920),8),E920)</f>
        <v/>
      </c>
      <c r="F921" s="49">
        <f>TRUNC(((1+VLOOKUP(A921,IPCA!$A$2:$C$140,3,0)))^(C921/(EDATE(D921-C921,1)-(D921-C921))),8)</f>
        <v/>
      </c>
      <c r="G921" s="49">
        <f>TRUNC((E921*F921),8)</f>
        <v/>
      </c>
      <c r="H921" s="49">
        <f>ROUND(((1+$H$4)^(30/360))^(C921/(EDATE(D921-B921,1)-(D921-B921))),9)</f>
        <v/>
      </c>
      <c r="I921" s="49">
        <f>TRUNC((G921*H921-G921),8)</f>
        <v/>
      </c>
      <c r="J921" s="49">
        <f>G921+I921</f>
        <v/>
      </c>
      <c r="K921" s="256" t="n"/>
      <c r="L921" s="256" t="n"/>
      <c r="M921" s="256" t="n"/>
      <c r="N921" s="256" t="n"/>
      <c r="O921" s="256" t="n"/>
      <c r="P921" s="256" t="n"/>
      <c r="Q921" s="256" t="n"/>
    </row>
    <row r="922">
      <c r="A922">
        <f>IF(DAY(D922)=DAY($L$1+1),A921+1,A921)</f>
        <v/>
      </c>
      <c r="B922" s="46">
        <f>IF(DAY(D922)=DAY($L$1+1),1,B921+1)</f>
        <v/>
      </c>
      <c r="C922" s="46">
        <f>IF(DAY(D922)=DAY($L$1+1),1,C921+1)</f>
        <v/>
      </c>
      <c r="D922" s="2">
        <f>D921+1</f>
        <v/>
      </c>
      <c r="E922" s="8">
        <f>IF(DAY(D922)=DAY($L$1+1),TRUNC((N921),8),E921)</f>
        <v/>
      </c>
      <c r="F922" s="49">
        <f>TRUNC(((1+VLOOKUP(A922,IPCA!$A$2:$C$140,3,0)))^(C922/(EDATE(D922-C922,1)-(D922-C922))),8)</f>
        <v/>
      </c>
      <c r="G922" s="49">
        <f>TRUNC((E922*F922),8)</f>
        <v/>
      </c>
      <c r="H922" s="49">
        <f>ROUND(((1+$H$4)^(30/360))^(C922/(EDATE(D922-B922,1)-(D922-B922))),9)</f>
        <v/>
      </c>
      <c r="I922" s="49">
        <f>TRUNC((G922*H922-G922),8)</f>
        <v/>
      </c>
      <c r="J922" s="49">
        <f>G922+I922</f>
        <v/>
      </c>
      <c r="K922" s="256" t="n"/>
      <c r="L922" s="256" t="n"/>
      <c r="M922" s="256" t="n"/>
      <c r="N922" s="256" t="n"/>
      <c r="O922" s="256" t="n"/>
      <c r="P922" s="256" t="n"/>
      <c r="Q922" s="256" t="n"/>
    </row>
    <row r="923">
      <c r="A923">
        <f>IF(DAY(D923)=DAY($L$1+1),A922+1,A922)</f>
        <v/>
      </c>
      <c r="B923" s="46">
        <f>IF(DAY(D923)=DAY($L$1+1),1,B922+1)</f>
        <v/>
      </c>
      <c r="C923" s="46">
        <f>IF(DAY(D923)=DAY($L$1+1),1,C922+1)</f>
        <v/>
      </c>
      <c r="D923" s="2">
        <f>D922+1</f>
        <v/>
      </c>
      <c r="E923" s="8">
        <f>IF(DAY(D923)=DAY($L$1+1),TRUNC((N922),8),E922)</f>
        <v/>
      </c>
      <c r="F923" s="49">
        <f>TRUNC(((1+VLOOKUP(A923,IPCA!$A$2:$C$140,3,0)))^(C923/(EDATE(D923-C923,1)-(D923-C923))),8)</f>
        <v/>
      </c>
      <c r="G923" s="49">
        <f>TRUNC((E923*F923),8)</f>
        <v/>
      </c>
      <c r="H923" s="49">
        <f>ROUND(((1+$H$4)^(30/360))^(C923/(EDATE(D923-B923,1)-(D923-B923))),9)</f>
        <v/>
      </c>
      <c r="I923" s="49">
        <f>TRUNC((G923*H923-G923),8)</f>
        <v/>
      </c>
      <c r="J923" s="49">
        <f>G923+I923</f>
        <v/>
      </c>
      <c r="K923" s="256" t="n"/>
      <c r="L923" s="256" t="n"/>
      <c r="M923" s="256" t="n"/>
      <c r="N923" s="256" t="n"/>
      <c r="O923" s="256" t="n"/>
      <c r="P923" s="256" t="n"/>
      <c r="Q923" s="256" t="n"/>
    </row>
    <row r="924">
      <c r="A924">
        <f>IF(DAY(D924)=DAY($L$1+1),A923+1,A923)</f>
        <v/>
      </c>
      <c r="B924" s="46">
        <f>IF(DAY(D924)=DAY($L$1+1),1,B923+1)</f>
        <v/>
      </c>
      <c r="C924" s="46">
        <f>IF(DAY(D924)=DAY($L$1+1),1,C923+1)</f>
        <v/>
      </c>
      <c r="D924" s="2">
        <f>D923+1</f>
        <v/>
      </c>
      <c r="E924" s="8">
        <f>IF(DAY(D924)=DAY($L$1+1),TRUNC((N923),8),E923)</f>
        <v/>
      </c>
      <c r="F924" s="49">
        <f>TRUNC(((1+VLOOKUP(A924,IPCA!$A$2:$C$140,3,0)))^(C924/(EDATE(D924-C924,1)-(D924-C924))),8)</f>
        <v/>
      </c>
      <c r="G924" s="49">
        <f>TRUNC((E924*F924),8)</f>
        <v/>
      </c>
      <c r="H924" s="49">
        <f>ROUND(((1+$H$4)^(30/360))^(C924/(EDATE(D924-B924,1)-(D924-B924))),9)</f>
        <v/>
      </c>
      <c r="I924" s="49">
        <f>TRUNC((G924*H924-G924),8)</f>
        <v/>
      </c>
      <c r="J924" s="49">
        <f>G924+I924</f>
        <v/>
      </c>
      <c r="K924" s="256" t="n"/>
      <c r="L924" s="256" t="n"/>
      <c r="M924" s="256" t="n"/>
      <c r="N924" s="256" t="n"/>
      <c r="O924" s="256" t="n"/>
      <c r="P924" s="256" t="n"/>
      <c r="Q924" s="256" t="n"/>
    </row>
    <row r="925">
      <c r="A925">
        <f>IF(DAY(D925)=DAY($L$1+1),A924+1,A924)</f>
        <v/>
      </c>
      <c r="B925" s="46">
        <f>IF(DAY(D925)=DAY($L$1+1),1,B924+1)</f>
        <v/>
      </c>
      <c r="C925" s="46">
        <f>IF(DAY(D925)=DAY($L$1+1),1,C924+1)</f>
        <v/>
      </c>
      <c r="D925" s="2">
        <f>D924+1</f>
        <v/>
      </c>
      <c r="E925" s="8">
        <f>IF(DAY(D925)=DAY($L$1+1),TRUNC((N924),8),E924)</f>
        <v/>
      </c>
      <c r="F925" s="49">
        <f>TRUNC(((1+VLOOKUP(A925,IPCA!$A$2:$C$140,3,0)))^(C925/(EDATE(D925-C925,1)-(D925-C925))),8)</f>
        <v/>
      </c>
      <c r="G925" s="49">
        <f>TRUNC((E925*F925),8)</f>
        <v/>
      </c>
      <c r="H925" s="49">
        <f>ROUND(((1+$H$4)^(30/360))^(C925/(EDATE(D925-B925,1)-(D925-B925))),9)</f>
        <v/>
      </c>
      <c r="I925" s="49">
        <f>TRUNC((G925*H925-G925),8)</f>
        <v/>
      </c>
      <c r="J925" s="49">
        <f>G925+I925</f>
        <v/>
      </c>
      <c r="K925" s="256" t="n"/>
      <c r="L925" s="256" t="n"/>
      <c r="M925" s="256" t="n"/>
      <c r="N925" s="256" t="n"/>
      <c r="O925" s="256" t="n"/>
      <c r="P925" s="256" t="n"/>
      <c r="Q925" s="256" t="n"/>
    </row>
    <row r="926">
      <c r="A926">
        <f>IF(DAY(D926)=DAY($L$1+1),A925+1,A925)</f>
        <v/>
      </c>
      <c r="B926" s="46">
        <f>IF(DAY(D926)=DAY($L$1+1),1,B925+1)</f>
        <v/>
      </c>
      <c r="C926" s="46">
        <f>IF(DAY(D926)=DAY($L$1+1),1,C925+1)</f>
        <v/>
      </c>
      <c r="D926" s="2">
        <f>D925+1</f>
        <v/>
      </c>
      <c r="E926" s="8">
        <f>IF(DAY(D926)=DAY($L$1+1),TRUNC((N925),8),E925)</f>
        <v/>
      </c>
      <c r="F926" s="49">
        <f>TRUNC(((1+VLOOKUP(A926,IPCA!$A$2:$C$140,3,0)))^(C926/(EDATE(D926-C926,1)-(D926-C926))),8)</f>
        <v/>
      </c>
      <c r="G926" s="49">
        <f>TRUNC((E926*F926),8)</f>
        <v/>
      </c>
      <c r="H926" s="49">
        <f>ROUND(((1+$H$4)^(30/360))^(C926/(EDATE(D926-B926,1)-(D926-B926))),9)</f>
        <v/>
      </c>
      <c r="I926" s="49">
        <f>TRUNC((G926*H926-G926),8)</f>
        <v/>
      </c>
      <c r="J926" s="49">
        <f>G926+I926</f>
        <v/>
      </c>
      <c r="K926" s="256" t="n"/>
      <c r="L926" s="256" t="n"/>
      <c r="M926" s="256" t="n"/>
      <c r="N926" s="256" t="n"/>
      <c r="O926" s="256" t="n"/>
      <c r="P926" s="256" t="n"/>
      <c r="Q926" s="256" t="n"/>
    </row>
    <row r="927">
      <c r="A927">
        <f>IF(DAY(D927)=DAY($L$1+1),A926+1,A926)</f>
        <v/>
      </c>
      <c r="B927" s="46">
        <f>IF(DAY(D927)=DAY($L$1+1),1,B926+1)</f>
        <v/>
      </c>
      <c r="C927" s="46">
        <f>IF(DAY(D927)=DAY($L$1+1),1,C926+1)</f>
        <v/>
      </c>
      <c r="D927" s="2">
        <f>D926+1</f>
        <v/>
      </c>
      <c r="E927" s="8">
        <f>IF(DAY(D927)=DAY($L$1+1),TRUNC((N926),8),E926)</f>
        <v/>
      </c>
      <c r="F927" s="49">
        <f>TRUNC(((1+VLOOKUP(A927,IPCA!$A$2:$C$140,3,0)))^(C927/(EDATE(D927-C927,1)-(D927-C927))),8)</f>
        <v/>
      </c>
      <c r="G927" s="49">
        <f>TRUNC((E927*F927),8)</f>
        <v/>
      </c>
      <c r="H927" s="49">
        <f>ROUND(((1+$H$4)^(30/360))^(C927/(EDATE(D927-B927,1)-(D927-B927))),9)</f>
        <v/>
      </c>
      <c r="I927" s="49">
        <f>TRUNC((G927*H927-G927),8)</f>
        <v/>
      </c>
      <c r="J927" s="49">
        <f>G927+I927</f>
        <v/>
      </c>
      <c r="K927" s="256" t="n"/>
      <c r="L927" s="256" t="n"/>
      <c r="M927" s="256" t="n"/>
      <c r="N927" s="256" t="n"/>
      <c r="O927" s="256" t="n"/>
      <c r="P927" s="256" t="n"/>
      <c r="Q927" s="256" t="n"/>
    </row>
    <row r="928">
      <c r="A928">
        <f>IF(DAY(D928)=DAY($L$1+1),A927+1,A927)</f>
        <v/>
      </c>
      <c r="B928" s="46">
        <f>IF(DAY(D928)=DAY($L$1+1),1,B927+1)</f>
        <v/>
      </c>
      <c r="C928" s="46">
        <f>IF(DAY(D928)=DAY($L$1+1),1,C927+1)</f>
        <v/>
      </c>
      <c r="D928" s="2">
        <f>D927+1</f>
        <v/>
      </c>
      <c r="E928" s="8">
        <f>IF(DAY(D928)=DAY($L$1+1),TRUNC((N927),8),E927)</f>
        <v/>
      </c>
      <c r="F928" s="49">
        <f>TRUNC(((1+VLOOKUP(A928,IPCA!$A$2:$C$140,3,0)))^(C928/(EDATE(D928-C928,1)-(D928-C928))),8)</f>
        <v/>
      </c>
      <c r="G928" s="49">
        <f>TRUNC((E928*F928),8)</f>
        <v/>
      </c>
      <c r="H928" s="49">
        <f>ROUND(((1+$H$4)^(30/360))^(C928/(EDATE(D928-B928,1)-(D928-B928))),9)</f>
        <v/>
      </c>
      <c r="I928" s="49">
        <f>TRUNC((G928*H928-G928),8)</f>
        <v/>
      </c>
      <c r="J928" s="49">
        <f>G928+I928</f>
        <v/>
      </c>
      <c r="K928" s="256" t="n"/>
      <c r="L928" s="256" t="n"/>
      <c r="M928" s="256" t="n"/>
      <c r="N928" s="256" t="n"/>
      <c r="O928" s="256" t="n"/>
      <c r="P928" s="256" t="n"/>
      <c r="Q928" s="256" t="n"/>
    </row>
    <row r="929">
      <c r="A929">
        <f>IF(DAY(D929)=DAY($L$1+1),A928+1,A928)</f>
        <v/>
      </c>
      <c r="B929" s="46">
        <f>IF(DAY(D929)=DAY($L$1+1),1,B928+1)</f>
        <v/>
      </c>
      <c r="C929" s="46">
        <f>IF(DAY(D929)=DAY($L$1+1),1,C928+1)</f>
        <v/>
      </c>
      <c r="D929" s="2">
        <f>D928+1</f>
        <v/>
      </c>
      <c r="E929" s="8">
        <f>IF(DAY(D929)=DAY($L$1+1),TRUNC((N928),8),E928)</f>
        <v/>
      </c>
      <c r="F929" s="49">
        <f>TRUNC(((1+VLOOKUP(A929,IPCA!$A$2:$C$140,3,0)))^(C929/(EDATE(D929-C929,1)-(D929-C929))),8)</f>
        <v/>
      </c>
      <c r="G929" s="49">
        <f>TRUNC((E929*F929),8)</f>
        <v/>
      </c>
      <c r="H929" s="49">
        <f>ROUND(((1+$H$4)^(30/360))^(C929/(EDATE(D929-B929,1)-(D929-B929))),9)</f>
        <v/>
      </c>
      <c r="I929" s="49">
        <f>TRUNC((G929*H929-G929),8)</f>
        <v/>
      </c>
      <c r="J929" s="49">
        <f>G929+I929</f>
        <v/>
      </c>
      <c r="K929" s="256" t="n"/>
      <c r="L929" s="256" t="n"/>
      <c r="M929" s="256" t="n"/>
      <c r="N929" s="256" t="n"/>
      <c r="O929" s="256" t="n"/>
      <c r="P929" s="256" t="n"/>
      <c r="Q929" s="256" t="n"/>
    </row>
    <row r="930">
      <c r="A930">
        <f>IF(DAY(D930)=DAY($L$1+1),A929+1,A929)</f>
        <v/>
      </c>
      <c r="B930" s="46">
        <f>IF(DAY(D930)=DAY($L$1+1),1,B929+1)</f>
        <v/>
      </c>
      <c r="C930" s="46">
        <f>IF(DAY(D930)=DAY($L$1+1),1,C929+1)</f>
        <v/>
      </c>
      <c r="D930" s="2">
        <f>D929+1</f>
        <v/>
      </c>
      <c r="E930" s="8">
        <f>IF(DAY(D930)=DAY($L$1+1),TRUNC((N929),8),E929)</f>
        <v/>
      </c>
      <c r="F930" s="49">
        <f>TRUNC(((1+VLOOKUP(A930,IPCA!$A$2:$C$140,3,0)))^(C930/(EDATE(D930-C930,1)-(D930-C930))),8)</f>
        <v/>
      </c>
      <c r="G930" s="49">
        <f>TRUNC((E930*F930),8)</f>
        <v/>
      </c>
      <c r="H930" s="49">
        <f>ROUND(((1+$H$4)^(30/360))^(C930/(EDATE(D930-B930,1)-(D930-B930))),9)</f>
        <v/>
      </c>
      <c r="I930" s="49">
        <f>TRUNC((G930*H930-G930),8)</f>
        <v/>
      </c>
      <c r="J930" s="49">
        <f>G930+I930</f>
        <v/>
      </c>
      <c r="K930" s="256" t="n"/>
      <c r="L930" s="256" t="n"/>
      <c r="M930" s="256" t="n"/>
      <c r="N930" s="256" t="n"/>
      <c r="O930" s="256" t="n"/>
      <c r="P930" s="256" t="n"/>
      <c r="Q930" s="256" t="n"/>
    </row>
    <row r="931">
      <c r="A931">
        <f>IF(DAY(D931)=DAY($L$1+1),A930+1,A930)</f>
        <v/>
      </c>
      <c r="B931" s="46">
        <f>IF(DAY(D931)=DAY($L$1+1),1,B930+1)</f>
        <v/>
      </c>
      <c r="C931" s="46">
        <f>IF(DAY(D931)=DAY($L$1+1),1,C930+1)</f>
        <v/>
      </c>
      <c r="D931" s="2">
        <f>D930+1</f>
        <v/>
      </c>
      <c r="E931" s="8">
        <f>IF(DAY(D931)=DAY($L$1+1),TRUNC((N930),8),E930)</f>
        <v/>
      </c>
      <c r="F931" s="49">
        <f>TRUNC(((1+VLOOKUP(A931,IPCA!$A$2:$C$140,3,0)))^(C931/(EDATE(D931-C931,1)-(D931-C931))),8)</f>
        <v/>
      </c>
      <c r="G931" s="49">
        <f>TRUNC((E931*F931),8)</f>
        <v/>
      </c>
      <c r="H931" s="49">
        <f>ROUND(((1+$H$4)^(30/360))^(C931/(EDATE(D931-B931,1)-(D931-B931))),9)</f>
        <v/>
      </c>
      <c r="I931" s="49">
        <f>TRUNC((G931*H931-G931),8)</f>
        <v/>
      </c>
      <c r="J931" s="49">
        <f>G931+I931</f>
        <v/>
      </c>
      <c r="K931" s="256" t="n"/>
      <c r="L931" s="256" t="n"/>
      <c r="M931" s="256" t="n"/>
      <c r="N931" s="256" t="n"/>
      <c r="O931" s="256" t="n"/>
      <c r="P931" s="256" t="n"/>
      <c r="Q931" s="256" t="n"/>
    </row>
    <row r="932">
      <c r="A932">
        <f>IF(DAY(D932)=DAY($L$1+1),A931+1,A931)</f>
        <v/>
      </c>
      <c r="B932" s="46">
        <f>IF(DAY(D932)=DAY($L$1+1),1,B931+1)</f>
        <v/>
      </c>
      <c r="C932" s="46">
        <f>IF(DAY(D932)=DAY($L$1+1),1,C931+1)</f>
        <v/>
      </c>
      <c r="D932" s="2">
        <f>D931+1</f>
        <v/>
      </c>
      <c r="E932" s="8">
        <f>IF(DAY(D932)=DAY($L$1+1),TRUNC((N931),8),E931)</f>
        <v/>
      </c>
      <c r="F932" s="49">
        <f>TRUNC(((1+VLOOKUP(A932,IPCA!$A$2:$C$140,3,0)))^(C932/(EDATE(D932-C932,1)-(D932-C932))),8)</f>
        <v/>
      </c>
      <c r="G932" s="49">
        <f>TRUNC((E932*F932),8)</f>
        <v/>
      </c>
      <c r="H932" s="49">
        <f>ROUND(((1+$H$4)^(30/360))^(C932/(EDATE(D932-B932,1)-(D932-B932))),9)</f>
        <v/>
      </c>
      <c r="I932" s="49">
        <f>TRUNC((G932*H932-G932),8)</f>
        <v/>
      </c>
      <c r="J932" s="49">
        <f>G932+I932</f>
        <v/>
      </c>
      <c r="K932" s="256" t="inlineStr">
        <is>
          <t>Cri Integralizado</t>
        </is>
      </c>
      <c r="L932" s="270">
        <f>L901</f>
        <v/>
      </c>
      <c r="M932" s="256" t="n"/>
      <c r="N932" s="256" t="n"/>
      <c r="O932" s="256" t="n"/>
      <c r="P932" s="256" t="n"/>
      <c r="Q932" s="256" t="n"/>
    </row>
    <row r="933">
      <c r="A933">
        <f>IF(DAY(D933)=DAY($L$1+1),A932+1,A932)</f>
        <v/>
      </c>
      <c r="B933" s="46">
        <f>IF(DAY(D933)=DAY($L$1+1),1,B932+1)</f>
        <v/>
      </c>
      <c r="C933" s="46">
        <f>IF(DAY(D933)=DAY($L$1+1),1,C932+1)</f>
        <v/>
      </c>
      <c r="D933" s="47">
        <f>D932+1</f>
        <v/>
      </c>
      <c r="E933" s="8">
        <f>IF(DAY(D933)=DAY($L$1+1),TRUNC((N932),8),E932)</f>
        <v/>
      </c>
      <c r="F933" s="49">
        <f>TRUNC(((1+VLOOKUP(A933,IPCA!$A$2:$C$140,3,0)))^(C933/(EDATE(D933-C933,1)-(D933-C933))),8)</f>
        <v/>
      </c>
      <c r="G933" s="49">
        <f>TRUNC((E933*F933),8)</f>
        <v/>
      </c>
      <c r="H933" s="49">
        <f>ROUND(((1+$H$4)^(30/360))^(C933/(EDATE(D933-B933,1)-(D933-B933))),9)</f>
        <v/>
      </c>
      <c r="I933" s="49">
        <f>TRUNC((G933*H933-G933),8)</f>
        <v/>
      </c>
      <c r="J933" s="49">
        <f>G933+I933</f>
        <v/>
      </c>
      <c r="K933" s="118" t="inlineStr">
        <is>
          <t>JUROS</t>
        </is>
      </c>
      <c r="L933" s="118" t="inlineStr">
        <is>
          <t>AMORTIZAÇÃO</t>
        </is>
      </c>
      <c r="M933" s="118" t="inlineStr">
        <is>
          <t>AMEX</t>
        </is>
      </c>
      <c r="N933" s="118" t="inlineStr">
        <is>
          <t>RESIDUAL</t>
        </is>
      </c>
      <c r="O933" s="256" t="n"/>
      <c r="P933" s="256" t="n"/>
      <c r="Q933" s="256" t="n"/>
    </row>
    <row r="934">
      <c r="A934">
        <f>IF(DAY(D934)=DAY($L$1+1),A933+1,A933)</f>
        <v/>
      </c>
      <c r="B934" s="111">
        <f>IF(DAY(D934)=DAY($L$1+1),1,B933+1)</f>
        <v/>
      </c>
      <c r="C934" s="111">
        <f>IF(DAY(D934)=DAY($L$1+1),1,C933+1)</f>
        <v/>
      </c>
      <c r="D934" s="112">
        <f>D933+1</f>
        <v/>
      </c>
      <c r="E934" s="113">
        <f>IF(DAY(D934)=DAY($L$1+1),TRUNC((N933),8),E933)</f>
        <v/>
      </c>
      <c r="F934" s="114">
        <f>TRUNC(((1+VLOOKUP(A934,IPCA!$A$2:$C$140,3,0)))^(C934/(EDATE(D934-C934,1)-(D934-C934))),8)</f>
        <v/>
      </c>
      <c r="G934" s="114">
        <f>TRUNC((E934*F934),8)</f>
        <v/>
      </c>
      <c r="H934" s="114">
        <f>ROUND(((1+$H$4)^(30/360))^(C934/(EDATE(D934-B934,1)-(D934-B934))),9)</f>
        <v/>
      </c>
      <c r="I934" s="114">
        <f>TRUNC((G934*H934-G934),8)</f>
        <v/>
      </c>
      <c r="J934" s="114">
        <f>G934+I934</f>
        <v/>
      </c>
      <c r="K934" s="119" t="n">
        <v>0</v>
      </c>
      <c r="L934" s="120" t="n">
        <v>0</v>
      </c>
      <c r="M934" s="120" t="n">
        <v>0</v>
      </c>
      <c r="N934" s="120">
        <f>J934-K934-L934-M934</f>
        <v/>
      </c>
      <c r="O934" s="256" t="n"/>
      <c r="P934" s="256" t="n"/>
      <c r="Q934" s="256" t="n"/>
    </row>
    <row r="935">
      <c r="A935">
        <f>IF(DAY(D935)=DAY($L$1+1),A934+1,A934)</f>
        <v/>
      </c>
      <c r="B935" s="46">
        <f>IF(DAY(D935)=DAY($L$1+1),1,B934+1)</f>
        <v/>
      </c>
      <c r="C935" s="46">
        <f>IF(DAY(D935)=DAY($L$1+1),1,C934+1)</f>
        <v/>
      </c>
      <c r="D935" s="2">
        <f>D934+1</f>
        <v/>
      </c>
      <c r="E935" s="8">
        <f>IF(DAY(D935)=DAY($L$1+1),TRUNC((N934),8),E934)</f>
        <v/>
      </c>
      <c r="F935" s="49">
        <f>TRUNC(((1+VLOOKUP(A935,IPCA!$A$2:$C$140,3,0)))^(C935/(EDATE(D935-C935,1)-(D935-C935))),8)</f>
        <v/>
      </c>
      <c r="G935" s="49">
        <f>TRUNC((E935*F935),8)</f>
        <v/>
      </c>
      <c r="H935" s="49">
        <f>ROUND(((1+$H$4)^(30/360))^(C935/(EDATE(D935-B935,1)-(D935-B935))),9)</f>
        <v/>
      </c>
      <c r="I935" s="49">
        <f>TRUNC((G935*H935-G935),8)</f>
        <v/>
      </c>
      <c r="J935" s="49">
        <f>G935+I935</f>
        <v/>
      </c>
      <c r="K935" s="121">
        <f>K934*L932</f>
        <v/>
      </c>
      <c r="L935" s="121">
        <f>L934*L932</f>
        <v/>
      </c>
      <c r="M935" s="121">
        <f>M934*L932</f>
        <v/>
      </c>
      <c r="N935" s="121">
        <f>N934*L932</f>
        <v/>
      </c>
      <c r="O935" s="256" t="n"/>
      <c r="P935" s="256" t="n"/>
      <c r="Q935" s="256" t="n"/>
    </row>
    <row r="936">
      <c r="A936">
        <f>IF(DAY(D936)=DAY($L$1+1),A935+1,A935)</f>
        <v/>
      </c>
      <c r="B936" s="46">
        <f>IF(DAY(D936)=DAY($L$1+1),1,B935+1)</f>
        <v/>
      </c>
      <c r="C936" s="46">
        <f>IF(DAY(D936)=DAY($L$1+1),1,C935+1)</f>
        <v/>
      </c>
      <c r="D936" s="2">
        <f>D935+1</f>
        <v/>
      </c>
      <c r="E936" s="8">
        <f>IF(DAY(D936)=DAY($L$1+1),TRUNC((N935),8),E935)</f>
        <v/>
      </c>
      <c r="F936" s="49">
        <f>TRUNC(((1+VLOOKUP(A936,IPCA!$A$2:$C$140,3,0)))^(C936/(EDATE(D936-C936,1)-(D936-C936))),8)</f>
        <v/>
      </c>
      <c r="G936" s="49">
        <f>TRUNC((E936*F936),8)</f>
        <v/>
      </c>
      <c r="H936" s="49">
        <f>ROUND(((1+$H$4)^(30/360))^(C936/(EDATE(D936-B936,1)-(D936-B936))),9)</f>
        <v/>
      </c>
      <c r="I936" s="49">
        <f>TRUNC((G936*H936-G936),8)</f>
        <v/>
      </c>
      <c r="J936" s="49">
        <f>G936+I936</f>
        <v/>
      </c>
      <c r="K936" s="256" t="n"/>
      <c r="L936" s="256" t="n"/>
      <c r="M936" s="256" t="n"/>
      <c r="N936" s="256" t="n"/>
      <c r="O936" s="256" t="n"/>
      <c r="P936" s="256" t="n"/>
      <c r="Q936" s="256" t="n"/>
    </row>
    <row r="937">
      <c r="A937">
        <f>IF(DAY(D937)=DAY($L$1+1),A936+1,A936)</f>
        <v/>
      </c>
      <c r="B937" s="46">
        <f>IF(DAY(D937)=DAY($L$1+1),1,B936+1)</f>
        <v/>
      </c>
      <c r="C937" s="46">
        <f>IF(DAY(D937)=DAY($L$1+1),1,C936+1)</f>
        <v/>
      </c>
      <c r="D937" s="2">
        <f>D936+1</f>
        <v/>
      </c>
      <c r="E937" s="8">
        <f>IF(DAY(D937)=DAY($L$1+1),TRUNC((#REF!),8),E936)</f>
        <v/>
      </c>
      <c r="F937" s="49">
        <f>TRUNC(((1+VLOOKUP(A937,IPCA!$A$2:$C$140,3,0)))^(C937/(EDATE(D937-C937,1)-(D937-C937))),8)</f>
        <v/>
      </c>
      <c r="G937" s="49">
        <f>TRUNC((E937*F937),8)</f>
        <v/>
      </c>
      <c r="H937" s="49">
        <f>ROUND(((1+$H$4)^(30/360))^(C937/(EDATE(D937-B937,1)-(D937-B937))),9)</f>
        <v/>
      </c>
      <c r="I937" s="49">
        <f>TRUNC((G937*H937-G937),8)</f>
        <v/>
      </c>
      <c r="J937" s="49">
        <f>G937+I937</f>
        <v/>
      </c>
      <c r="K937" s="256" t="n"/>
      <c r="L937" s="256" t="n"/>
      <c r="M937" s="256" t="n"/>
      <c r="N937" s="256" t="n"/>
      <c r="O937" s="256" t="n"/>
      <c r="P937" s="256" t="n"/>
      <c r="Q937" s="256" t="n"/>
    </row>
    <row r="938">
      <c r="A938">
        <f>IF(DAY(D938)=DAY($L$1+1),A937+1,A937)</f>
        <v/>
      </c>
      <c r="B938" s="46">
        <f>IF(DAY(D938)=DAY($L$1+1),1,B937+1)</f>
        <v/>
      </c>
      <c r="C938" s="46">
        <f>IF(DAY(D938)=DAY($L$1+1),1,C937+1)</f>
        <v/>
      </c>
      <c r="D938" s="2">
        <f>D937+1</f>
        <v/>
      </c>
      <c r="E938" s="8">
        <f>IF(DAY(D938)=DAY($L$1+1),TRUNC((#REF!),8),E937)</f>
        <v/>
      </c>
      <c r="F938" s="49">
        <f>TRUNC(((1+VLOOKUP(A938,IPCA!$A$2:$C$140,3,0)))^(C938/(EDATE(D938-C938,1)-(D938-C938))),8)</f>
        <v/>
      </c>
      <c r="G938" s="49">
        <f>TRUNC((E938*F938),8)</f>
        <v/>
      </c>
      <c r="H938" s="49">
        <f>ROUND(((1+$H$4)^(30/360))^(C938/(EDATE(D938-B938,1)-(D938-B938))),9)</f>
        <v/>
      </c>
      <c r="I938" s="49">
        <f>TRUNC((G938*H938-G938),8)</f>
        <v/>
      </c>
      <c r="J938" s="49">
        <f>G938+I938</f>
        <v/>
      </c>
      <c r="K938" s="256" t="n"/>
      <c r="L938" s="256" t="n"/>
      <c r="M938" s="256" t="n"/>
      <c r="N938" s="256" t="n"/>
      <c r="O938" s="256" t="n"/>
      <c r="P938" s="256" t="n"/>
      <c r="Q938" s="256" t="n"/>
    </row>
    <row r="939">
      <c r="A939">
        <f>IF(DAY(D939)=DAY($L$1+1),A938+1,A938)</f>
        <v/>
      </c>
      <c r="B939" s="46">
        <f>IF(DAY(D939)=DAY($L$1+1),1,B938+1)</f>
        <v/>
      </c>
      <c r="C939" s="46">
        <f>IF(DAY(D939)=DAY($L$1+1),1,C938+1)</f>
        <v/>
      </c>
      <c r="D939" s="2">
        <f>D938+1</f>
        <v/>
      </c>
      <c r="E939" s="8">
        <f>IF(DAY(D939)=DAY($L$1+1),TRUNC((#REF!),8),E938)</f>
        <v/>
      </c>
      <c r="F939" s="49">
        <f>TRUNC(((1+VLOOKUP(A939,IPCA!$A$2:$C$140,3,0)))^(C939/(EDATE(D939-C939,1)-(D939-C939))),8)</f>
        <v/>
      </c>
      <c r="G939" s="49">
        <f>TRUNC((E939*F939),8)</f>
        <v/>
      </c>
      <c r="H939" s="49">
        <f>ROUND(((1+$H$4)^(30/360))^(C939/(EDATE(D939-B939,1)-(D939-B939))),9)</f>
        <v/>
      </c>
      <c r="I939" s="49">
        <f>TRUNC((G939*H939-G939),8)</f>
        <v/>
      </c>
      <c r="J939" s="49">
        <f>G939+I939</f>
        <v/>
      </c>
      <c r="K939" s="256" t="n"/>
      <c r="L939" s="256" t="n"/>
      <c r="M939" s="256" t="n"/>
      <c r="N939" s="256" t="n"/>
      <c r="O939" s="256" t="n"/>
      <c r="P939" s="256" t="n"/>
      <c r="Q939" s="256" t="n"/>
    </row>
    <row r="940">
      <c r="A940">
        <f>IF(DAY(D940)=DAY($L$1+1),A939+1,A939)</f>
        <v/>
      </c>
      <c r="B940" s="46">
        <f>IF(DAY(D940)=DAY($L$1+1),1,B939+1)</f>
        <v/>
      </c>
      <c r="C940" s="46">
        <f>IF(DAY(D940)=DAY($L$1+1),1,C939+1)</f>
        <v/>
      </c>
      <c r="D940" s="2">
        <f>D939+1</f>
        <v/>
      </c>
      <c r="E940" s="8">
        <f>IF(DAY(D940)=DAY($L$1+1),TRUNC((#REF!),8),E939)</f>
        <v/>
      </c>
      <c r="F940" s="49">
        <f>TRUNC(((1+VLOOKUP(A940,IPCA!$A$2:$C$140,3,0)))^(C940/(EDATE(D940-C940,1)-(D940-C940))),8)</f>
        <v/>
      </c>
      <c r="G940" s="49">
        <f>TRUNC((E940*F940),8)</f>
        <v/>
      </c>
      <c r="H940" s="49">
        <f>ROUND(((1+$H$4)^(30/360))^(C940/(EDATE(D940-B940,1)-(D940-B940))),9)</f>
        <v/>
      </c>
      <c r="I940" s="49">
        <f>TRUNC((G940*H940-G940),8)</f>
        <v/>
      </c>
      <c r="J940" s="49">
        <f>G940+I940</f>
        <v/>
      </c>
      <c r="K940" s="256" t="n"/>
      <c r="L940" s="256" t="n"/>
      <c r="M940" s="256" t="n"/>
      <c r="N940" s="256" t="n"/>
      <c r="O940" s="256" t="n"/>
      <c r="P940" s="256" t="n"/>
      <c r="Q940" s="256" t="n"/>
    </row>
    <row r="941">
      <c r="A941">
        <f>IF(DAY(D941)=DAY($L$1+1),A940+1,A940)</f>
        <v/>
      </c>
      <c r="B941" s="46">
        <f>IF(DAY(D941)=DAY($L$1+1),1,B940+1)</f>
        <v/>
      </c>
      <c r="C941" s="46">
        <f>IF(DAY(D941)=DAY($L$1+1),1,C940+1)</f>
        <v/>
      </c>
      <c r="D941" s="2">
        <f>D940+1</f>
        <v/>
      </c>
      <c r="E941" s="8">
        <f>IF(DAY(D941)=DAY($L$1+1),TRUNC((#REF!),8),E940)</f>
        <v/>
      </c>
      <c r="F941" s="49">
        <f>TRUNC(((1+VLOOKUP(A941,IPCA!$A$2:$C$140,3,0)))^(C941/(EDATE(D941-C941,1)-(D941-C941))),8)</f>
        <v/>
      </c>
      <c r="G941" s="49">
        <f>TRUNC((E941*F941),8)</f>
        <v/>
      </c>
      <c r="H941" s="49">
        <f>ROUND(((1+$H$4)^(30/360))^(C941/(EDATE(D941-B941,1)-(D941-B941))),9)</f>
        <v/>
      </c>
      <c r="I941" s="49">
        <f>TRUNC((G941*H941-G941),8)</f>
        <v/>
      </c>
      <c r="J941" s="49">
        <f>G941+I941</f>
        <v/>
      </c>
      <c r="K941" s="256" t="n"/>
      <c r="L941" s="256" t="n"/>
      <c r="M941" s="256" t="n"/>
      <c r="N941" s="256" t="n"/>
      <c r="O941" s="256" t="n"/>
      <c r="P941" s="256" t="n"/>
      <c r="Q941" s="256" t="n"/>
    </row>
    <row r="942">
      <c r="A942">
        <f>IF(DAY(D942)=DAY($L$1+1),A941+1,A941)</f>
        <v/>
      </c>
      <c r="B942" s="46">
        <f>IF(DAY(D942)=DAY($L$1+1),1,B941+1)</f>
        <v/>
      </c>
      <c r="C942" s="46">
        <f>IF(DAY(D942)=DAY($L$1+1),1,C941+1)</f>
        <v/>
      </c>
      <c r="D942" s="2">
        <f>D941+1</f>
        <v/>
      </c>
      <c r="E942" s="8">
        <f>IF(DAY(D942)=DAY($L$1+1),TRUNC((#REF!),8),E941)</f>
        <v/>
      </c>
      <c r="F942" s="49">
        <f>TRUNC(((1+VLOOKUP(A942,IPCA!$A$2:$C$140,3,0)))^(C942/(EDATE(D942-C942,1)-(D942-C942))),8)</f>
        <v/>
      </c>
      <c r="G942" s="49">
        <f>TRUNC((E942*F942),8)</f>
        <v/>
      </c>
      <c r="H942" s="49">
        <f>ROUND(((1+$H$4)^(30/360))^(C942/(EDATE(D942-B942,1)-(D942-B942))),9)</f>
        <v/>
      </c>
      <c r="I942" s="49">
        <f>TRUNC((G942*H942-G942),8)</f>
        <v/>
      </c>
      <c r="J942" s="49">
        <f>G942+I942</f>
        <v/>
      </c>
      <c r="K942" s="256" t="n"/>
      <c r="L942" s="256" t="n"/>
      <c r="M942" s="256" t="n"/>
      <c r="N942" s="256" t="n"/>
      <c r="O942" s="256" t="n"/>
      <c r="P942" s="256" t="n"/>
      <c r="Q942" s="256" t="n"/>
    </row>
    <row r="943">
      <c r="A943">
        <f>IF(DAY(D943)=DAY($L$1+1),A942+1,A942)</f>
        <v/>
      </c>
      <c r="B943" s="46">
        <f>IF(DAY(D943)=DAY($L$1+1),1,B942+1)</f>
        <v/>
      </c>
      <c r="C943" s="46">
        <f>IF(DAY(D943)=DAY($L$1+1),1,C942+1)</f>
        <v/>
      </c>
      <c r="D943" s="2">
        <f>D942+1</f>
        <v/>
      </c>
      <c r="E943" s="8">
        <f>IF(DAY(D943)=DAY($L$1+1),TRUNC((#REF!),8),E942)</f>
        <v/>
      </c>
      <c r="F943" s="49">
        <f>TRUNC(((1+VLOOKUP(A943,IPCA!$A$2:$C$140,3,0)))^(C943/(EDATE(D943-C943,1)-(D943-C943))),8)</f>
        <v/>
      </c>
      <c r="G943" s="49">
        <f>TRUNC((E943*F943),8)</f>
        <v/>
      </c>
      <c r="H943" s="49">
        <f>ROUND(((1+$H$4)^(30/360))^(C943/(EDATE(D943-B943,1)-(D943-B943))),9)</f>
        <v/>
      </c>
      <c r="I943" s="49">
        <f>TRUNC((G943*H943-G943),8)</f>
        <v/>
      </c>
      <c r="J943" s="49">
        <f>G943+I943</f>
        <v/>
      </c>
      <c r="K943" s="256" t="n"/>
      <c r="L943" s="256" t="n"/>
      <c r="M943" s="256" t="n"/>
      <c r="N943" s="256" t="n"/>
      <c r="O943" s="256" t="n"/>
      <c r="P943" s="256" t="n"/>
      <c r="Q943" s="256" t="n"/>
    </row>
    <row r="944">
      <c r="A944">
        <f>IF(DAY(D944)=DAY($L$1+1),A943+1,A943)</f>
        <v/>
      </c>
      <c r="B944" s="46">
        <f>IF(DAY(D944)=DAY($L$1+1),1,B943+1)</f>
        <v/>
      </c>
      <c r="C944" s="46">
        <f>IF(DAY(D944)=DAY($L$1+1),1,C943+1)</f>
        <v/>
      </c>
      <c r="D944" s="2">
        <f>D943+1</f>
        <v/>
      </c>
      <c r="E944" s="8">
        <f>IF(DAY(D944)=DAY($L$1+1),TRUNC((#REF!),8),E943)</f>
        <v/>
      </c>
      <c r="F944" s="49">
        <f>TRUNC(((1+VLOOKUP(A944,IPCA!$A$2:$C$140,3,0)))^(C944/(EDATE(D944-C944,1)-(D944-C944))),8)</f>
        <v/>
      </c>
      <c r="G944" s="49">
        <f>TRUNC((E944*F944),8)</f>
        <v/>
      </c>
      <c r="H944" s="49">
        <f>ROUND(((1+$H$4)^(30/360))^(C944/(EDATE(D944-B944,1)-(D944-B944))),9)</f>
        <v/>
      </c>
      <c r="I944" s="49">
        <f>TRUNC((G944*H944-G944),8)</f>
        <v/>
      </c>
      <c r="J944" s="49">
        <f>G944+I944</f>
        <v/>
      </c>
      <c r="K944" s="256" t="n"/>
      <c r="L944" s="256" t="n"/>
      <c r="M944" s="256" t="n"/>
      <c r="N944" s="256" t="n"/>
      <c r="O944" s="256" t="n"/>
      <c r="P944" s="256" t="n"/>
      <c r="Q944" s="256" t="n"/>
    </row>
    <row r="945">
      <c r="A945">
        <f>IF(DAY(D945)=DAY($L$1+1),A944+1,A944)</f>
        <v/>
      </c>
      <c r="B945" s="46">
        <f>IF(DAY(D945)=DAY($L$1+1),1,B944+1)</f>
        <v/>
      </c>
      <c r="C945" s="46">
        <f>IF(DAY(D945)=DAY($L$1+1),1,C944+1)</f>
        <v/>
      </c>
      <c r="D945" s="2">
        <f>D944+1</f>
        <v/>
      </c>
      <c r="E945" s="8">
        <f>IF(DAY(D945)=DAY($L$1+1),TRUNC((#REF!),8),E944)</f>
        <v/>
      </c>
      <c r="F945" s="49">
        <f>TRUNC(((1+VLOOKUP(A945,IPCA!$A$2:$C$140,3,0)))^(C945/(EDATE(D945-C945,1)-(D945-C945))),8)</f>
        <v/>
      </c>
      <c r="G945" s="49">
        <f>TRUNC((E945*F945),8)</f>
        <v/>
      </c>
      <c r="H945" s="49">
        <f>ROUND(((1+$H$4)^(30/360))^(C945/(EDATE(D945-B945,1)-(D945-B945))),9)</f>
        <v/>
      </c>
      <c r="I945" s="49">
        <f>TRUNC((G945*H945-G945),8)</f>
        <v/>
      </c>
      <c r="J945" s="49">
        <f>G945+I945</f>
        <v/>
      </c>
      <c r="K945" s="256" t="n"/>
      <c r="L945" s="256" t="n"/>
      <c r="M945" s="256" t="n"/>
      <c r="N945" s="256" t="n"/>
      <c r="O945" s="256" t="n"/>
      <c r="P945" s="256" t="n"/>
      <c r="Q945" s="256" t="n"/>
    </row>
    <row r="946">
      <c r="A946">
        <f>IF(DAY(D946)=DAY($L$1+1),A945+1,A945)</f>
        <v/>
      </c>
      <c r="B946" s="46">
        <f>IF(DAY(D946)=DAY($L$1+1),1,B945+1)</f>
        <v/>
      </c>
      <c r="C946" s="46">
        <f>IF(DAY(D946)=DAY($L$1+1),1,C945+1)</f>
        <v/>
      </c>
      <c r="D946" s="2">
        <f>D945+1</f>
        <v/>
      </c>
      <c r="E946" s="8">
        <f>IF(DAY(D946)=DAY($L$1+1),TRUNC((N945),8),E945)</f>
        <v/>
      </c>
      <c r="F946" s="49">
        <f>TRUNC(((1+VLOOKUP(A946,IPCA!$A$2:$C$140,3,0)))^(C946/(EDATE(D946-C946,1)-(D946-C946))),8)</f>
        <v/>
      </c>
      <c r="G946" s="49">
        <f>TRUNC((E946*F946),8)</f>
        <v/>
      </c>
      <c r="H946" s="49">
        <f>ROUND(((1+$H$4)^(30/360))^(C946/(EDATE(D946-B946,1)-(D946-B946))),9)</f>
        <v/>
      </c>
      <c r="I946" s="49">
        <f>TRUNC((G946*H946-G946),8)</f>
        <v/>
      </c>
      <c r="J946" s="49">
        <f>G946+I946</f>
        <v/>
      </c>
      <c r="K946" s="256" t="n"/>
      <c r="L946" s="256" t="n"/>
      <c r="M946" s="256" t="n"/>
      <c r="N946" s="256" t="n"/>
      <c r="O946" s="256" t="n"/>
      <c r="P946" s="256" t="n"/>
      <c r="Q946" s="256" t="n"/>
    </row>
    <row r="947">
      <c r="A947">
        <f>IF(DAY(D947)=DAY($L$1+1),A946+1,A946)</f>
        <v/>
      </c>
      <c r="B947" s="46">
        <f>IF(DAY(D947)=DAY($L$1+1),1,B946+1)</f>
        <v/>
      </c>
      <c r="C947" s="46">
        <f>IF(DAY(D947)=DAY($L$1+1),1,C946+1)</f>
        <v/>
      </c>
      <c r="D947" s="2">
        <f>D946+1</f>
        <v/>
      </c>
      <c r="E947" s="8">
        <f>IF(DAY(D947)=DAY($L$1+1),TRUNC((N946),8),E946)</f>
        <v/>
      </c>
      <c r="F947" s="49">
        <f>TRUNC(((1+VLOOKUP(A947,IPCA!$A$2:$C$140,3,0)))^(C947/(EDATE(D947-C947,1)-(D947-C947))),8)</f>
        <v/>
      </c>
      <c r="G947" s="49">
        <f>TRUNC((E947*F947),8)</f>
        <v/>
      </c>
      <c r="H947" s="49">
        <f>ROUND(((1+$H$4)^(30/360))^(C947/(EDATE(D947-B947,1)-(D947-B947))),9)</f>
        <v/>
      </c>
      <c r="I947" s="49">
        <f>TRUNC((G947*H947-G947),8)</f>
        <v/>
      </c>
      <c r="J947" s="49">
        <f>G947+I947</f>
        <v/>
      </c>
      <c r="K947" s="256" t="n"/>
      <c r="L947" s="256" t="n"/>
      <c r="M947" s="256" t="n"/>
      <c r="N947" s="256" t="n"/>
      <c r="O947" s="256" t="n"/>
      <c r="P947" s="256" t="n"/>
      <c r="Q947" s="256" t="n"/>
    </row>
    <row r="948">
      <c r="A948">
        <f>IF(DAY(D948)=DAY($L$1+1),A947+1,A947)</f>
        <v/>
      </c>
      <c r="B948" s="46">
        <f>IF(DAY(D948)=DAY($L$1+1),1,B947+1)</f>
        <v/>
      </c>
      <c r="C948" s="46">
        <f>IF(DAY(D948)=DAY($L$1+1),1,C947+1)</f>
        <v/>
      </c>
      <c r="D948" s="2">
        <f>D947+1</f>
        <v/>
      </c>
      <c r="E948" s="8">
        <f>IF(DAY(D948)=DAY($L$1+1),TRUNC((N947),8),E947)</f>
        <v/>
      </c>
      <c r="F948" s="49">
        <f>TRUNC(((1+VLOOKUP(A948,IPCA!$A$2:$C$140,3,0)))^(C948/(EDATE(D948-C948,1)-(D948-C948))),8)</f>
        <v/>
      </c>
      <c r="G948" s="49">
        <f>TRUNC((E948*F948),8)</f>
        <v/>
      </c>
      <c r="H948" s="49">
        <f>ROUND(((1+$H$4)^(30/360))^(C948/(EDATE(D948-B948,1)-(D948-B948))),9)</f>
        <v/>
      </c>
      <c r="I948" s="49">
        <f>TRUNC((G948*H948-G948),8)</f>
        <v/>
      </c>
      <c r="J948" s="49">
        <f>G948+I948</f>
        <v/>
      </c>
      <c r="K948" s="256" t="n"/>
      <c r="L948" s="256" t="n"/>
      <c r="M948" s="256" t="n"/>
      <c r="N948" s="256" t="n"/>
      <c r="O948" s="256" t="n"/>
      <c r="P948" s="256" t="n"/>
      <c r="Q948" s="256" t="n"/>
    </row>
    <row r="949">
      <c r="A949">
        <f>IF(DAY(D949)=DAY($L$1+1),A948+1,A948)</f>
        <v/>
      </c>
      <c r="B949" s="46">
        <f>IF(DAY(D949)=DAY($L$1+1),1,B948+1)</f>
        <v/>
      </c>
      <c r="C949" s="46">
        <f>IF(DAY(D949)=DAY($L$1+1),1,C948+1)</f>
        <v/>
      </c>
      <c r="D949" s="2">
        <f>D948+1</f>
        <v/>
      </c>
      <c r="E949" s="8">
        <f>IF(DAY(D949)=DAY($L$1+1),TRUNC((N948),8),E948)</f>
        <v/>
      </c>
      <c r="F949" s="49">
        <f>TRUNC(((1+VLOOKUP(A949,IPCA!$A$2:$C$140,3,0)))^(C949/(EDATE(D949-C949,1)-(D949-C949))),8)</f>
        <v/>
      </c>
      <c r="G949" s="49">
        <f>TRUNC((E949*F949),8)</f>
        <v/>
      </c>
      <c r="H949" s="49">
        <f>ROUND(((1+$H$4)^(30/360))^(C949/(EDATE(D949-B949,1)-(D949-B949))),9)</f>
        <v/>
      </c>
      <c r="I949" s="49">
        <f>TRUNC((G949*H949-G949),8)</f>
        <v/>
      </c>
      <c r="J949" s="49">
        <f>G949+I949</f>
        <v/>
      </c>
      <c r="K949" s="123" t="n"/>
      <c r="L949" s="271" t="n"/>
      <c r="M949" s="256" t="n"/>
      <c r="N949" s="256" t="n"/>
      <c r="O949" s="256" t="n"/>
      <c r="P949" s="256" t="n"/>
      <c r="Q949" s="256" t="n"/>
    </row>
    <row r="950">
      <c r="A950">
        <f>IF(DAY(D950)=DAY($L$1+1),A949+1,A949)</f>
        <v/>
      </c>
      <c r="B950" s="46">
        <f>IF(DAY(D950)=DAY($L$1+1),1,B949+1)</f>
        <v/>
      </c>
      <c r="C950" s="46">
        <f>IF(DAY(D950)=DAY($L$1+1),1,C949+1)</f>
        <v/>
      </c>
      <c r="D950" s="2">
        <f>D949+1</f>
        <v/>
      </c>
      <c r="E950" s="8">
        <f>IF(DAY(D950)=DAY($L$1+1),TRUNC((N949),8),E949)</f>
        <v/>
      </c>
      <c r="F950" s="49">
        <f>TRUNC(((1+VLOOKUP(A950,IPCA!$A$2:$C$140,3,0)))^(C950/(EDATE(D950-C950,1)-(D950-C950))),8)</f>
        <v/>
      </c>
      <c r="G950" s="49">
        <f>TRUNC((E950*F950),8)</f>
        <v/>
      </c>
      <c r="H950" s="49">
        <f>ROUND(((1+$H$4)^(30/360))^(C950/(EDATE(D950-B950,1)-(D950-B950))),9)</f>
        <v/>
      </c>
      <c r="I950" s="49">
        <f>TRUNC((G950*H950-G950),8)</f>
        <v/>
      </c>
      <c r="J950" s="49">
        <f>G950+I950</f>
        <v/>
      </c>
      <c r="K950" s="256" t="n"/>
      <c r="L950" s="256" t="n"/>
      <c r="M950" s="256" t="n"/>
      <c r="N950" s="256" t="n"/>
      <c r="O950" s="256" t="n"/>
      <c r="P950" s="256" t="n"/>
      <c r="Q950" s="256" t="n"/>
    </row>
    <row r="951">
      <c r="A951">
        <f>IF(DAY(D951)=DAY($L$1+1),A950+1,A950)</f>
        <v/>
      </c>
      <c r="B951" s="46">
        <f>IF(DAY(D951)=DAY($L$1+1),1,B950+1)</f>
        <v/>
      </c>
      <c r="C951" s="46">
        <f>IF(DAY(D951)=DAY($L$1+1),1,C950+1)</f>
        <v/>
      </c>
      <c r="D951" s="2">
        <f>D950+1</f>
        <v/>
      </c>
      <c r="E951" s="8">
        <f>IF(DAY(D951)=DAY($L$1+1),TRUNC((N950),8),E950)</f>
        <v/>
      </c>
      <c r="F951" s="49">
        <f>TRUNC(((1+VLOOKUP(A951,IPCA!$A$2:$C$140,3,0)))^(C951/(EDATE(D951-C951,1)-(D951-C951))),8)</f>
        <v/>
      </c>
      <c r="G951" s="49">
        <f>TRUNC((E951*F951),8)</f>
        <v/>
      </c>
      <c r="H951" s="49">
        <f>ROUND(((1+$H$4)^(30/360))^(C951/(EDATE(D951-B951,1)-(D951-B951))),9)</f>
        <v/>
      </c>
      <c r="I951" s="49">
        <f>TRUNC((G951*H951-G951),8)</f>
        <v/>
      </c>
      <c r="J951" s="49">
        <f>G951+I951</f>
        <v/>
      </c>
      <c r="K951" s="256" t="n"/>
      <c r="L951" s="256" t="n"/>
      <c r="M951" s="256" t="n"/>
      <c r="N951" s="256" t="n"/>
      <c r="O951" s="256" t="n"/>
      <c r="P951" s="256" t="n"/>
      <c r="Q951" s="256" t="n"/>
    </row>
    <row r="952">
      <c r="A952">
        <f>IF(DAY(D952)=DAY($L$1+1),A951+1,A951)</f>
        <v/>
      </c>
      <c r="B952" s="46">
        <f>IF(DAY(D952)=DAY($L$1+1),1,B951+1)</f>
        <v/>
      </c>
      <c r="C952" s="46">
        <f>IF(DAY(D952)=DAY($L$1+1),1,C951+1)</f>
        <v/>
      </c>
      <c r="D952" s="2">
        <f>D951+1</f>
        <v/>
      </c>
      <c r="E952" s="8">
        <f>IF(DAY(D952)=DAY($L$1+1),TRUNC((N951),8),E951)</f>
        <v/>
      </c>
      <c r="F952" s="49">
        <f>TRUNC(((1+VLOOKUP(A952,IPCA!$A$2:$C$140,3,0)))^(C952/(EDATE(D952-C952,1)-(D952-C952))),8)</f>
        <v/>
      </c>
      <c r="G952" s="49">
        <f>TRUNC((E952*F952),8)</f>
        <v/>
      </c>
      <c r="H952" s="49">
        <f>ROUND(((1+$H$4)^(30/360))^(C952/(EDATE(D952-B952,1)-(D952-B952))),9)</f>
        <v/>
      </c>
      <c r="I952" s="49">
        <f>TRUNC((G952*H952-G952),8)</f>
        <v/>
      </c>
      <c r="J952" s="49">
        <f>G952+I952</f>
        <v/>
      </c>
      <c r="K952" s="256" t="n"/>
      <c r="L952" s="256" t="n"/>
      <c r="M952" s="256" t="n"/>
      <c r="N952" s="256" t="n"/>
      <c r="O952" s="256" t="n"/>
      <c r="P952" s="256" t="n"/>
      <c r="Q952" s="256" t="n"/>
    </row>
    <row r="953">
      <c r="A953">
        <f>IF(DAY(D953)=DAY($L$1+1),A952+1,A952)</f>
        <v/>
      </c>
      <c r="B953" s="46">
        <f>IF(DAY(D953)=DAY($L$1+1),1,B952+1)</f>
        <v/>
      </c>
      <c r="C953" s="46">
        <f>IF(DAY(D953)=DAY($L$1+1),1,C952+1)</f>
        <v/>
      </c>
      <c r="D953" s="2">
        <f>D952+1</f>
        <v/>
      </c>
      <c r="E953" s="8">
        <f>IF(DAY(D953)=DAY($L$1+1),TRUNC((N952),8),E952)</f>
        <v/>
      </c>
      <c r="F953" s="49">
        <f>TRUNC(((1+VLOOKUP(A953,IPCA!$A$2:$C$140,3,0)))^(C953/(EDATE(D953-C953,1)-(D953-C953))),8)</f>
        <v/>
      </c>
      <c r="G953" s="49">
        <f>TRUNC((E953*F953),8)</f>
        <v/>
      </c>
      <c r="H953" s="49">
        <f>ROUND(((1+$H$4)^(30/360))^(C953/(EDATE(D953-B953,1)-(D953-B953))),9)</f>
        <v/>
      </c>
      <c r="I953" s="49">
        <f>TRUNC((G953*H953-G953),8)</f>
        <v/>
      </c>
      <c r="J953" s="49">
        <f>G953+I953</f>
        <v/>
      </c>
      <c r="K953" s="256" t="n"/>
      <c r="L953" s="256" t="n"/>
      <c r="M953" s="256" t="n"/>
      <c r="N953" s="256" t="n"/>
      <c r="O953" s="256" t="n"/>
      <c r="P953" s="256" t="n"/>
      <c r="Q953" s="256" t="n"/>
    </row>
    <row r="954">
      <c r="A954">
        <f>IF(DAY(D954)=DAY($L$1+1),A953+1,A953)</f>
        <v/>
      </c>
      <c r="B954" s="46">
        <f>IF(DAY(D954)=DAY($L$1+1),1,B953+1)</f>
        <v/>
      </c>
      <c r="C954" s="46">
        <f>IF(DAY(D954)=DAY($L$1+1),1,C953+1)</f>
        <v/>
      </c>
      <c r="D954" s="2">
        <f>D953+1</f>
        <v/>
      </c>
      <c r="E954" s="8">
        <f>IF(DAY(D954)=DAY($L$1+1),TRUNC((N953),8),E953)</f>
        <v/>
      </c>
      <c r="F954" s="49">
        <f>TRUNC(((1+VLOOKUP(A954,IPCA!$A$2:$C$140,3,0)))^(C954/(EDATE(D954-C954,1)-(D954-C954))),8)</f>
        <v/>
      </c>
      <c r="G954" s="49">
        <f>TRUNC((E954*F954),8)</f>
        <v/>
      </c>
      <c r="H954" s="49">
        <f>ROUND(((1+$H$4)^(30/360))^(C954/(EDATE(D954-B954,1)-(D954-B954))),9)</f>
        <v/>
      </c>
      <c r="I954" s="49">
        <f>TRUNC((G954*H954-G954),8)</f>
        <v/>
      </c>
      <c r="J954" s="49">
        <f>G954+I954</f>
        <v/>
      </c>
      <c r="K954" s="256" t="n"/>
      <c r="L954" s="256" t="n"/>
      <c r="M954" s="256" t="n"/>
      <c r="N954" s="256" t="n"/>
      <c r="O954" s="256" t="n"/>
      <c r="P954" s="256" t="n"/>
      <c r="Q954" s="256" t="n"/>
    </row>
    <row r="955">
      <c r="A955">
        <f>IF(DAY(D955)=DAY($L$1+1),A954+1,A954)</f>
        <v/>
      </c>
      <c r="B955" s="46">
        <f>IF(DAY(D955)=DAY($L$1+1),1,B954+1)</f>
        <v/>
      </c>
      <c r="C955" s="46">
        <f>IF(DAY(D955)=DAY($L$1+1),1,C954+1)</f>
        <v/>
      </c>
      <c r="D955" s="2">
        <f>D954+1</f>
        <v/>
      </c>
      <c r="E955" s="8">
        <f>IF(DAY(D955)=DAY($L$1+1),TRUNC((N954),8),E954)</f>
        <v/>
      </c>
      <c r="F955" s="49">
        <f>TRUNC(((1+VLOOKUP(A955,IPCA!$A$2:$C$140,3,0)))^(C955/(EDATE(D955-C955,1)-(D955-C955))),8)</f>
        <v/>
      </c>
      <c r="G955" s="49">
        <f>TRUNC((E955*F955),8)</f>
        <v/>
      </c>
      <c r="H955" s="49">
        <f>ROUND(((1+$H$4)^(30/360))^(C955/(EDATE(D955-B955,1)-(D955-B955))),9)</f>
        <v/>
      </c>
      <c r="I955" s="49">
        <f>TRUNC((G955*H955-G955),8)</f>
        <v/>
      </c>
      <c r="J955" s="49">
        <f>G955+I955</f>
        <v/>
      </c>
      <c r="K955" s="256" t="n"/>
      <c r="L955" s="256" t="n"/>
      <c r="M955" s="256" t="n"/>
      <c r="N955" s="256" t="n"/>
      <c r="O955" s="256" t="n"/>
      <c r="P955" s="256" t="n"/>
      <c r="Q955" s="256" t="n"/>
    </row>
    <row r="956">
      <c r="A956">
        <f>IF(DAY(D956)=DAY($L$1+1),A955+1,A955)</f>
        <v/>
      </c>
      <c r="B956" s="46">
        <f>IF(DAY(D956)=DAY($L$1+1),1,B955+1)</f>
        <v/>
      </c>
      <c r="C956" s="46">
        <f>IF(DAY(D956)=DAY($L$1+1),1,C955+1)</f>
        <v/>
      </c>
      <c r="D956" s="2">
        <f>D955+1</f>
        <v/>
      </c>
      <c r="E956" s="8">
        <f>IF(DAY(D956)=DAY($L$1+1),TRUNC((N955),8),E955)</f>
        <v/>
      </c>
      <c r="F956" s="49">
        <f>TRUNC(((1+VLOOKUP(A956,IPCA!$A$2:$C$140,3,0)))^(C956/(EDATE(D956-C956,1)-(D956-C956))),8)</f>
        <v/>
      </c>
      <c r="G956" s="49">
        <f>TRUNC((E956*F956),8)</f>
        <v/>
      </c>
      <c r="H956" s="49">
        <f>ROUND(((1+$H$4)^(30/360))^(C956/(EDATE(D956-B956,1)-(D956-B956))),9)</f>
        <v/>
      </c>
      <c r="I956" s="49">
        <f>TRUNC((G956*H956-G956),8)</f>
        <v/>
      </c>
      <c r="J956" s="49">
        <f>G956+I956</f>
        <v/>
      </c>
      <c r="K956" s="256" t="n"/>
      <c r="L956" s="256" t="n"/>
      <c r="M956" s="256" t="n"/>
      <c r="N956" s="256" t="n"/>
      <c r="O956" s="256" t="n"/>
      <c r="P956" s="256" t="n"/>
      <c r="Q956" s="256" t="n"/>
    </row>
    <row r="957">
      <c r="A957">
        <f>IF(DAY(D957)=DAY($L$1+1),A956+1,A956)</f>
        <v/>
      </c>
      <c r="B957" s="46">
        <f>IF(DAY(D957)=DAY($L$1+1),1,B956+1)</f>
        <v/>
      </c>
      <c r="C957" s="46">
        <f>IF(DAY(D957)=DAY($L$1+1),1,C956+1)</f>
        <v/>
      </c>
      <c r="D957" s="2">
        <f>D956+1</f>
        <v/>
      </c>
      <c r="E957" s="8">
        <f>IF(DAY(D957)=DAY($L$1+1),TRUNC((N956),8),E956)</f>
        <v/>
      </c>
      <c r="F957" s="49">
        <f>TRUNC(((1+VLOOKUP(A957,IPCA!$A$2:$C$140,3,0)))^(C957/(EDATE(D957-C957,1)-(D957-C957))),8)</f>
        <v/>
      </c>
      <c r="G957" s="49">
        <f>TRUNC((E957*F957),8)</f>
        <v/>
      </c>
      <c r="H957" s="49">
        <f>ROUND(((1+$H$4)^(30/360))^(C957/(EDATE(D957-B957,1)-(D957-B957))),9)</f>
        <v/>
      </c>
      <c r="I957" s="49">
        <f>TRUNC((G957*H957-G957),8)</f>
        <v/>
      </c>
      <c r="J957" s="49">
        <f>G957+I957</f>
        <v/>
      </c>
      <c r="K957" s="256" t="n"/>
      <c r="L957" s="256" t="n"/>
      <c r="M957" s="256" t="n"/>
      <c r="N957" s="256" t="n"/>
      <c r="O957" s="256" t="n"/>
      <c r="P957" s="256" t="n"/>
      <c r="Q957" s="256" t="n"/>
    </row>
    <row r="958">
      <c r="A958">
        <f>IF(DAY(D958)=DAY($L$1+1),A957+1,A957)</f>
        <v/>
      </c>
      <c r="B958" s="46">
        <f>IF(DAY(D958)=DAY($L$1+1),1,B957+1)</f>
        <v/>
      </c>
      <c r="C958" s="46">
        <f>IF(DAY(D958)=DAY($L$1+1),1,C957+1)</f>
        <v/>
      </c>
      <c r="D958" s="2">
        <f>D957+1</f>
        <v/>
      </c>
      <c r="E958" s="8">
        <f>IF(DAY(D958)=DAY($L$1+1),TRUNC((N957),8),E957)</f>
        <v/>
      </c>
      <c r="F958" s="49">
        <f>TRUNC(((1+VLOOKUP(A958,IPCA!$A$2:$C$140,3,0)))^(C958/(EDATE(D958-C958,1)-(D958-C958))),8)</f>
        <v/>
      </c>
      <c r="G958" s="49">
        <f>TRUNC((E958*F958),8)</f>
        <v/>
      </c>
      <c r="H958" s="49">
        <f>ROUND(((1+$H$4)^(30/360))^(C958/(EDATE(D958-B958,1)-(D958-B958))),9)</f>
        <v/>
      </c>
      <c r="I958" s="49">
        <f>TRUNC((G958*H958-G958),8)</f>
        <v/>
      </c>
      <c r="J958" s="49">
        <f>G958+I958</f>
        <v/>
      </c>
      <c r="K958" s="256" t="n"/>
      <c r="L958" s="256" t="n"/>
      <c r="M958" s="256" t="n"/>
      <c r="N958" s="256" t="n"/>
      <c r="O958" s="256" t="n"/>
      <c r="P958" s="256" t="n"/>
      <c r="Q958" s="256" t="n"/>
    </row>
    <row r="959">
      <c r="A959">
        <f>IF(DAY(D959)=DAY($L$1+1),A958+1,A958)</f>
        <v/>
      </c>
      <c r="B959" s="46">
        <f>IF(DAY(D959)=DAY($L$1+1),1,B958+1)</f>
        <v/>
      </c>
      <c r="C959" s="46">
        <f>IF(DAY(D959)=DAY($L$1+1),1,C958+1)</f>
        <v/>
      </c>
      <c r="D959" s="2">
        <f>D958+1</f>
        <v/>
      </c>
      <c r="E959" s="8">
        <f>IF(DAY(D959)=DAY($L$1+1),TRUNC((N958),8),E958)</f>
        <v/>
      </c>
      <c r="F959" s="49">
        <f>TRUNC(((1+VLOOKUP(A959,IPCA!$A$2:$C$140,3,0)))^(C959/(EDATE(D959-C959,1)-(D959-C959))),8)</f>
        <v/>
      </c>
      <c r="G959" s="49">
        <f>TRUNC((E959*F959),8)</f>
        <v/>
      </c>
      <c r="H959" s="49">
        <f>ROUND(((1+$H$4)^(30/360))^(C959/(EDATE(D959-B959,1)-(D959-B959))),9)</f>
        <v/>
      </c>
      <c r="I959" s="49">
        <f>TRUNC((G959*H959-G959),8)</f>
        <v/>
      </c>
      <c r="J959" s="49">
        <f>G959+I959</f>
        <v/>
      </c>
      <c r="K959" s="256" t="n"/>
      <c r="L959" s="256" t="n"/>
      <c r="M959" s="256" t="n"/>
      <c r="N959" s="256" t="n"/>
      <c r="O959" s="256" t="n"/>
      <c r="P959" s="256" t="n"/>
      <c r="Q959" s="256" t="n"/>
    </row>
    <row r="960">
      <c r="A960">
        <f>IF(DAY(D960)=DAY($L$1+1),A959+1,A959)</f>
        <v/>
      </c>
      <c r="B960" s="46">
        <f>IF(DAY(D960)=DAY($L$1+1),1,B959+1)</f>
        <v/>
      </c>
      <c r="C960" s="46">
        <f>IF(DAY(D960)=DAY($L$1+1),1,C959+1)</f>
        <v/>
      </c>
      <c r="D960" s="2">
        <f>D959+1</f>
        <v/>
      </c>
      <c r="E960" s="8">
        <f>IF(DAY(D960)=DAY($L$1+1),TRUNC((N959),8),E959)</f>
        <v/>
      </c>
      <c r="F960" s="49">
        <f>TRUNC(((1+VLOOKUP(A960,IPCA!$A$2:$C$140,3,0)))^(C960/(EDATE(D960-C960,1)-(D960-C960))),8)</f>
        <v/>
      </c>
      <c r="G960" s="49">
        <f>TRUNC((E960*F960),8)</f>
        <v/>
      </c>
      <c r="H960" s="49">
        <f>ROUND(((1+$H$4)^(30/360))^(C960/(EDATE(D960-B960,1)-(D960-B960))),9)</f>
        <v/>
      </c>
      <c r="I960" s="49">
        <f>TRUNC((G960*H960-G960),8)</f>
        <v/>
      </c>
      <c r="J960" s="49">
        <f>G960+I960</f>
        <v/>
      </c>
      <c r="K960" s="256" t="n"/>
      <c r="L960" s="256" t="n"/>
      <c r="M960" s="256" t="n"/>
      <c r="N960" s="256" t="n"/>
      <c r="O960" s="256" t="n"/>
      <c r="P960" s="256" t="n"/>
      <c r="Q960" s="256" t="n"/>
    </row>
    <row r="961">
      <c r="A961">
        <f>IF(DAY(D961)=DAY($L$1+1),A960+1,A960)</f>
        <v/>
      </c>
      <c r="B961" s="46">
        <f>IF(DAY(D961)=DAY($L$1+1),1,B960+1)</f>
        <v/>
      </c>
      <c r="C961" s="46">
        <f>IF(DAY(D961)=DAY($L$1+1),1,C960+1)</f>
        <v/>
      </c>
      <c r="D961" s="2">
        <f>D960+1</f>
        <v/>
      </c>
      <c r="E961" s="8">
        <f>IF(DAY(D961)=DAY($L$1+1),TRUNC((N960),8),E960)</f>
        <v/>
      </c>
      <c r="F961" s="49">
        <f>TRUNC(((1+VLOOKUP(A961,IPCA!$A$2:$C$140,3,0)))^(C961/(EDATE(D961-C961,1)-(D961-C961))),8)</f>
        <v/>
      </c>
      <c r="G961" s="49">
        <f>TRUNC((E961*F961),8)</f>
        <v/>
      </c>
      <c r="H961" s="49">
        <f>ROUND(((1+$H$4)^(30/360))^(C961/(EDATE(D961-B961,1)-(D961-B961))),9)</f>
        <v/>
      </c>
      <c r="I961" s="49">
        <f>TRUNC((G961*H961-G961),8)</f>
        <v/>
      </c>
      <c r="J961" s="49">
        <f>G961+I961</f>
        <v/>
      </c>
      <c r="K961" s="256" t="n"/>
      <c r="L961" s="256" t="n"/>
      <c r="M961" s="256" t="n"/>
      <c r="N961" s="256" t="n"/>
      <c r="O961" s="256" t="n"/>
      <c r="P961" s="256" t="n"/>
      <c r="Q961" s="256" t="n"/>
    </row>
    <row r="962">
      <c r="A962">
        <f>IF(DAY(D962)=DAY($L$1+1),A961+1,A961)</f>
        <v/>
      </c>
      <c r="B962" s="46">
        <f>IF(DAY(D962)=DAY($L$1+1),1,B961+1)</f>
        <v/>
      </c>
      <c r="C962" s="46">
        <f>IF(DAY(D962)=DAY($L$1+1),1,C961+1)</f>
        <v/>
      </c>
      <c r="D962" s="2">
        <f>D961+1</f>
        <v/>
      </c>
      <c r="E962" s="8">
        <f>IF(DAY(D962)=DAY($L$1+1),TRUNC((N961),8),E961)</f>
        <v/>
      </c>
      <c r="F962" s="49">
        <f>TRUNC(((1+VLOOKUP(A962,IPCA!$A$2:$C$140,3,0)))^(C962/(EDATE(D962-C962,1)-(D962-C962))),8)</f>
        <v/>
      </c>
      <c r="G962" s="49">
        <f>TRUNC((E962*F962),8)</f>
        <v/>
      </c>
      <c r="H962" s="49">
        <f>ROUND(((1+$H$4)^(30/360))^(C962/(EDATE(D962-B962,1)-(D962-B962))),9)</f>
        <v/>
      </c>
      <c r="I962" s="49">
        <f>TRUNC((G962*H962-G962),8)</f>
        <v/>
      </c>
      <c r="J962" s="49">
        <f>G962+I962</f>
        <v/>
      </c>
      <c r="K962" s="256" t="n"/>
      <c r="L962" s="256" t="n"/>
      <c r="M962" s="256" t="n"/>
      <c r="N962" s="256" t="n"/>
      <c r="O962" s="256" t="n"/>
      <c r="P962" s="256" t="n"/>
      <c r="Q962" s="256" t="n"/>
    </row>
    <row r="963">
      <c r="A963">
        <f>IF(DAY(D963)=DAY($L$1+1),A962+1,A962)</f>
        <v/>
      </c>
      <c r="B963" s="46">
        <f>IF(DAY(D963)=DAY($L$1+1),1,B962+1)</f>
        <v/>
      </c>
      <c r="C963" s="46">
        <f>IF(DAY(D963)=DAY($L$1+1),1,C962+1)</f>
        <v/>
      </c>
      <c r="D963" s="2">
        <f>D962+1</f>
        <v/>
      </c>
      <c r="E963" s="8">
        <f>IF(DAY(D963)=DAY($L$1+1),TRUNC((N962),8),E962)</f>
        <v/>
      </c>
      <c r="F963" s="49">
        <f>TRUNC(((1+VLOOKUP(A963,IPCA!$A$2:$C$140,3,0)))^(C963/(EDATE(D963-C963,1)-(D963-C963))),8)</f>
        <v/>
      </c>
      <c r="G963" s="49">
        <f>TRUNC((E963*F963),8)</f>
        <v/>
      </c>
      <c r="H963" s="49">
        <f>ROUND(((1+$H$4)^(30/360))^(C963/(EDATE(D963-B963,1)-(D963-B963))),9)</f>
        <v/>
      </c>
      <c r="I963" s="49">
        <f>TRUNC((G963*H963-G963),8)</f>
        <v/>
      </c>
      <c r="J963" s="49">
        <f>G963+I963</f>
        <v/>
      </c>
      <c r="K963" s="256" t="inlineStr">
        <is>
          <t>Cri Integralizado</t>
        </is>
      </c>
      <c r="L963" s="270">
        <f>L932</f>
        <v/>
      </c>
      <c r="M963" s="256" t="n"/>
      <c r="N963" s="256" t="n"/>
      <c r="O963" s="256" t="n"/>
      <c r="P963" s="256" t="n"/>
      <c r="Q963" s="256" t="n"/>
    </row>
    <row r="964">
      <c r="A964">
        <f>IF(DAY(D964)=DAY($L$1+1),A963+1,A963)</f>
        <v/>
      </c>
      <c r="B964" s="46">
        <f>IF(DAY(D964)=DAY($L$1+1),1,B963+1)</f>
        <v/>
      </c>
      <c r="C964" s="46">
        <f>IF(DAY(D964)=DAY($L$1+1),1,C963+1)</f>
        <v/>
      </c>
      <c r="D964" s="47">
        <f>D963+1</f>
        <v/>
      </c>
      <c r="E964" s="8">
        <f>IF(DAY(D964)=DAY($L$1+1),TRUNC((N963),8),E963)</f>
        <v/>
      </c>
      <c r="F964" s="49">
        <f>TRUNC(((1+VLOOKUP(A964,IPCA!$A$2:$C$140,3,0)))^(C964/(EDATE(D964-C964,1)-(D964-C964))),8)</f>
        <v/>
      </c>
      <c r="G964" s="49">
        <f>TRUNC((E964*F964),8)</f>
        <v/>
      </c>
      <c r="H964" s="49">
        <f>ROUND(((1+$H$4)^(30/360))^(C964/(EDATE(D964-B964,1)-(D964-B964))),9)</f>
        <v/>
      </c>
      <c r="I964" s="49">
        <f>TRUNC((G964*H964-G964),8)</f>
        <v/>
      </c>
      <c r="J964" s="49">
        <f>G964+I964</f>
        <v/>
      </c>
      <c r="K964" s="118" t="inlineStr">
        <is>
          <t>JUROS</t>
        </is>
      </c>
      <c r="L964" s="118" t="inlineStr">
        <is>
          <t>AMORTIZAÇÃO</t>
        </is>
      </c>
      <c r="M964" s="118" t="inlineStr">
        <is>
          <t>AMEX</t>
        </is>
      </c>
      <c r="N964" s="118" t="inlineStr">
        <is>
          <t>RESIDUAL</t>
        </is>
      </c>
      <c r="O964" s="256" t="n"/>
      <c r="P964" s="256" t="n"/>
      <c r="Q964" s="256" t="n"/>
    </row>
    <row r="965">
      <c r="A965">
        <f>IF(DAY(D965)=DAY($L$1+1),A964+1,A964)</f>
        <v/>
      </c>
      <c r="B965" s="111">
        <f>IF(DAY(D965)=DAY($L$1+1),1,B964+1)</f>
        <v/>
      </c>
      <c r="C965" s="111">
        <f>IF(DAY(D965)=DAY($L$1+1),1,C964+1)</f>
        <v/>
      </c>
      <c r="D965" s="112">
        <f>D964+1</f>
        <v/>
      </c>
      <c r="E965" s="113">
        <f>IF(DAY(D965)=DAY($L$1+1),TRUNC((N964),8),E964)</f>
        <v/>
      </c>
      <c r="F965" s="114">
        <f>TRUNC(((1+VLOOKUP(A965,IPCA!$A$2:$C$140,3,0)))^(C965/(EDATE(D965-C965,1)-(D965-C965))),8)</f>
        <v/>
      </c>
      <c r="G965" s="114">
        <f>TRUNC((E965*F965),8)</f>
        <v/>
      </c>
      <c r="H965" s="114">
        <f>ROUND(((1+$H$4)^(30/360))^(C965/(EDATE(D965-B965,1)-(D965-B965))),9)</f>
        <v/>
      </c>
      <c r="I965" s="114">
        <f>TRUNC((G965*H965-G965),8)</f>
        <v/>
      </c>
      <c r="J965" s="114">
        <f>G965+I965</f>
        <v/>
      </c>
      <c r="K965" s="119" t="n">
        <v>0</v>
      </c>
      <c r="L965" s="120" t="n">
        <v>0</v>
      </c>
      <c r="M965" s="120" t="n">
        <v>0</v>
      </c>
      <c r="N965" s="120">
        <f>J965-K965-L965-M965</f>
        <v/>
      </c>
      <c r="O965" s="256" t="n"/>
      <c r="P965" s="256" t="n"/>
      <c r="Q965" s="256" t="n"/>
    </row>
    <row r="966">
      <c r="A966">
        <f>IF(DAY(D966)=DAY($L$1+1),A965+1,A965)</f>
        <v/>
      </c>
      <c r="B966" s="46">
        <f>IF(DAY(D966)=DAY($L$1+1),1,B965+1)</f>
        <v/>
      </c>
      <c r="C966" s="46">
        <f>IF(DAY(D966)=DAY($L$1+1),1,C965+1)</f>
        <v/>
      </c>
      <c r="D966" s="2">
        <f>D965+1</f>
        <v/>
      </c>
      <c r="E966" s="8">
        <f>IF(DAY(D966)=DAY($L$1+1),TRUNC((N965),8),E965)</f>
        <v/>
      </c>
      <c r="F966" s="49">
        <f>TRUNC(((1+VLOOKUP(A966,IPCA!$A$2:$C$140,3,0)))^(C966/(EDATE(D966-C966,1)-(D966-C966))),8)</f>
        <v/>
      </c>
      <c r="G966" s="49">
        <f>TRUNC((E966*F966),8)</f>
        <v/>
      </c>
      <c r="H966" s="49">
        <f>ROUND(((1+$H$4)^(30/360))^(C966/(EDATE(D966-B966,1)-(D966-B966))),9)</f>
        <v/>
      </c>
      <c r="I966" s="49">
        <f>TRUNC((G966*H966-G966),8)</f>
        <v/>
      </c>
      <c r="J966" s="49">
        <f>G966+I966</f>
        <v/>
      </c>
      <c r="K966" s="121">
        <f>K965*L963</f>
        <v/>
      </c>
      <c r="L966" s="121">
        <f>L965*L963</f>
        <v/>
      </c>
      <c r="M966" s="121">
        <f>M965*L963</f>
        <v/>
      </c>
      <c r="N966" s="121">
        <f>N965*L963</f>
        <v/>
      </c>
      <c r="O966" s="256" t="n"/>
      <c r="P966" s="256" t="n"/>
      <c r="Q966" s="256" t="n"/>
    </row>
    <row r="967">
      <c r="A967">
        <f>IF(DAY(D967)=DAY($L$1+1),A966+1,A966)</f>
        <v/>
      </c>
      <c r="B967" s="46">
        <f>IF(DAY(D967)=DAY($L$1+1),1,B966+1)</f>
        <v/>
      </c>
      <c r="C967" s="46">
        <f>IF(DAY(D967)=DAY($L$1+1),1,C966+1)</f>
        <v/>
      </c>
      <c r="D967" s="2">
        <f>D966+1</f>
        <v/>
      </c>
      <c r="E967" s="8">
        <f>IF(DAY(D967)=DAY($L$1+1),TRUNC((N966),8),E966)</f>
        <v/>
      </c>
      <c r="F967" s="49">
        <f>TRUNC(((1+VLOOKUP(A967,IPCA!$A$2:$C$140,3,0)))^(C967/(EDATE(D967-C967,1)-(D967-C967))),8)</f>
        <v/>
      </c>
      <c r="G967" s="49">
        <f>TRUNC((E967*F967),8)</f>
        <v/>
      </c>
      <c r="H967" s="49">
        <f>ROUND(((1+$H$4)^(30/360))^(C967/(EDATE(D967-B967,1)-(D967-B967))),9)</f>
        <v/>
      </c>
      <c r="I967" s="49">
        <f>TRUNC((G967*H967-G967),8)</f>
        <v/>
      </c>
      <c r="J967" s="49">
        <f>G967+I967</f>
        <v/>
      </c>
      <c r="K967" s="256" t="n"/>
      <c r="L967" s="256" t="n"/>
      <c r="M967" s="256" t="n"/>
      <c r="N967" s="256" t="n"/>
      <c r="O967" s="256" t="n"/>
      <c r="P967" s="256" t="n"/>
      <c r="Q967" s="256" t="n"/>
    </row>
    <row r="968">
      <c r="A968">
        <f>IF(DAY(D968)=DAY($L$1+1),A967+1,A967)</f>
        <v/>
      </c>
      <c r="B968" s="46">
        <f>IF(DAY(D968)=DAY($L$1+1),1,B967+1)</f>
        <v/>
      </c>
      <c r="C968" s="46">
        <f>IF(DAY(D968)=DAY($L$1+1),1,C967+1)</f>
        <v/>
      </c>
      <c r="D968" s="2">
        <f>D967+1</f>
        <v/>
      </c>
      <c r="E968" s="8">
        <f>IF(DAY(D968)=DAY($L$1+1),TRUNC((#REF!),8),E967)</f>
        <v/>
      </c>
      <c r="F968" s="49">
        <f>TRUNC(((1+VLOOKUP(A968,IPCA!$A$2:$C$140,3,0)))^(C968/(EDATE(D968-C968,1)-(D968-C968))),8)</f>
        <v/>
      </c>
      <c r="G968" s="49">
        <f>TRUNC((E968*F968),8)</f>
        <v/>
      </c>
      <c r="H968" s="49">
        <f>ROUND(((1+$H$4)^(30/360))^(C968/(EDATE(D968-B968,1)-(D968-B968))),9)</f>
        <v/>
      </c>
      <c r="I968" s="49">
        <f>TRUNC((G968*H968-G968),8)</f>
        <v/>
      </c>
      <c r="J968" s="49">
        <f>G968+I968</f>
        <v/>
      </c>
      <c r="K968" s="256" t="n"/>
      <c r="L968" s="256" t="n"/>
      <c r="M968" s="256" t="n"/>
      <c r="N968" s="256" t="n"/>
      <c r="O968" s="256" t="n"/>
      <c r="P968" s="256" t="n"/>
      <c r="Q968" s="256" t="n"/>
    </row>
    <row r="969">
      <c r="A969">
        <f>IF(DAY(D969)=DAY($L$1+1),A968+1,A968)</f>
        <v/>
      </c>
      <c r="B969" s="46">
        <f>IF(DAY(D969)=DAY($L$1+1),1,B968+1)</f>
        <v/>
      </c>
      <c r="C969" s="46">
        <f>IF(DAY(D969)=DAY($L$1+1),1,C968+1)</f>
        <v/>
      </c>
      <c r="D969" s="2">
        <f>D968+1</f>
        <v/>
      </c>
      <c r="E969" s="8">
        <f>IF(DAY(D969)=DAY($L$1+1),TRUNC((#REF!),8),E968)</f>
        <v/>
      </c>
      <c r="F969" s="49">
        <f>TRUNC(((1+VLOOKUP(A969,IPCA!$A$2:$C$140,3,0)))^(C969/(EDATE(D969-C969,1)-(D969-C969))),8)</f>
        <v/>
      </c>
      <c r="G969" s="49">
        <f>TRUNC((E969*F969),8)</f>
        <v/>
      </c>
      <c r="H969" s="49">
        <f>ROUND(((1+$H$4)^(30/360))^(C969/(EDATE(D969-B969,1)-(D969-B969))),9)</f>
        <v/>
      </c>
      <c r="I969" s="49">
        <f>TRUNC((G969*H969-G969),8)</f>
        <v/>
      </c>
      <c r="J969" s="49">
        <f>G969+I969</f>
        <v/>
      </c>
      <c r="K969" s="256" t="n"/>
      <c r="L969" s="256" t="n"/>
      <c r="M969" s="256" t="n"/>
      <c r="N969" s="256" t="n"/>
      <c r="O969" s="256" t="n"/>
      <c r="P969" s="256" t="n"/>
      <c r="Q969" s="256" t="n"/>
    </row>
    <row r="970">
      <c r="A970">
        <f>IF(DAY(D970)=DAY($L$1+1),A969+1,A969)</f>
        <v/>
      </c>
      <c r="B970" s="46">
        <f>IF(DAY(D970)=DAY($L$1+1),1,B969+1)</f>
        <v/>
      </c>
      <c r="C970" s="46">
        <f>IF(DAY(D970)=DAY($L$1+1),1,C969+1)</f>
        <v/>
      </c>
      <c r="D970" s="2">
        <f>D969+1</f>
        <v/>
      </c>
      <c r="E970" s="8">
        <f>IF(DAY(D970)=DAY($L$1+1),TRUNC((#REF!),8),E969)</f>
        <v/>
      </c>
      <c r="F970" s="49">
        <f>TRUNC(((1+VLOOKUP(A970,IPCA!$A$2:$C$140,3,0)))^(C970/(EDATE(D970-C970,1)-(D970-C970))),8)</f>
        <v/>
      </c>
      <c r="G970" s="49">
        <f>TRUNC((E970*F970),8)</f>
        <v/>
      </c>
      <c r="H970" s="49">
        <f>ROUND(((1+$H$4)^(30/360))^(C970/(EDATE(D970-B970,1)-(D970-B970))),9)</f>
        <v/>
      </c>
      <c r="I970" s="49">
        <f>TRUNC((G970*H970-G970),8)</f>
        <v/>
      </c>
      <c r="J970" s="49">
        <f>G970+I970</f>
        <v/>
      </c>
      <c r="K970" s="256" t="n"/>
      <c r="L970" s="256" t="n"/>
      <c r="M970" s="256" t="n"/>
      <c r="N970" s="256" t="n"/>
      <c r="O970" s="256" t="n"/>
      <c r="P970" s="256" t="n"/>
      <c r="Q970" s="256" t="n"/>
    </row>
    <row r="971">
      <c r="A971">
        <f>IF(DAY(D971)=DAY($L$1+1),A970+1,A970)</f>
        <v/>
      </c>
      <c r="B971" s="46">
        <f>IF(DAY(D971)=DAY($L$1+1),1,B970+1)</f>
        <v/>
      </c>
      <c r="C971" s="46">
        <f>IF(DAY(D971)=DAY($L$1+1),1,C970+1)</f>
        <v/>
      </c>
      <c r="D971" s="2">
        <f>D970+1</f>
        <v/>
      </c>
      <c r="E971" s="8">
        <f>IF(DAY(D971)=DAY($L$1+1),TRUNC((#REF!),8),E970)</f>
        <v/>
      </c>
      <c r="F971" s="49">
        <f>TRUNC(((1+VLOOKUP(A971,IPCA!$A$2:$C$140,3,0)))^(C971/(EDATE(D971-C971,1)-(D971-C971))),8)</f>
        <v/>
      </c>
      <c r="G971" s="49">
        <f>TRUNC((E971*F971),8)</f>
        <v/>
      </c>
      <c r="H971" s="49">
        <f>ROUND(((1+$H$4)^(30/360))^(C971/(EDATE(D971-B971,1)-(D971-B971))),9)</f>
        <v/>
      </c>
      <c r="I971" s="49">
        <f>TRUNC((G971*H971-G971),8)</f>
        <v/>
      </c>
      <c r="J971" s="49">
        <f>G971+I971</f>
        <v/>
      </c>
      <c r="K971" s="256" t="n"/>
      <c r="L971" s="256" t="n"/>
      <c r="M971" s="256" t="n"/>
      <c r="N971" s="256" t="n"/>
      <c r="O971" s="256" t="n"/>
      <c r="P971" s="256" t="n"/>
      <c r="Q971" s="256" t="n"/>
    </row>
    <row r="972">
      <c r="A972">
        <f>IF(DAY(D972)=DAY($L$1+1),A971+1,A971)</f>
        <v/>
      </c>
      <c r="B972" s="46">
        <f>IF(DAY(D972)=DAY($L$1+1),1,B971+1)</f>
        <v/>
      </c>
      <c r="C972" s="46">
        <f>IF(DAY(D972)=DAY($L$1+1),1,C971+1)</f>
        <v/>
      </c>
      <c r="D972" s="2">
        <f>D971+1</f>
        <v/>
      </c>
      <c r="E972" s="8">
        <f>IF(DAY(D972)=DAY($L$1+1),TRUNC((#REF!),8),E971)</f>
        <v/>
      </c>
      <c r="F972" s="49">
        <f>TRUNC(((1+VLOOKUP(A972,IPCA!$A$2:$C$140,3,0)))^(C972/(EDATE(D972-C972,1)-(D972-C972))),8)</f>
        <v/>
      </c>
      <c r="G972" s="49">
        <f>TRUNC((E972*F972),8)</f>
        <v/>
      </c>
      <c r="H972" s="49">
        <f>ROUND(((1+$H$4)^(30/360))^(C972/(EDATE(D972-B972,1)-(D972-B972))),9)</f>
        <v/>
      </c>
      <c r="I972" s="49">
        <f>TRUNC((G972*H972-G972),8)</f>
        <v/>
      </c>
      <c r="J972" s="49">
        <f>G972+I972</f>
        <v/>
      </c>
      <c r="K972" s="256" t="n"/>
      <c r="L972" s="256" t="n"/>
      <c r="M972" s="256" t="n"/>
      <c r="N972" s="256" t="n"/>
      <c r="O972" s="256" t="n"/>
      <c r="P972" s="256" t="n"/>
      <c r="Q972" s="256" t="n"/>
    </row>
    <row r="973">
      <c r="A973">
        <f>IF(DAY(D973)=DAY($L$1+1),A972+1,A972)</f>
        <v/>
      </c>
      <c r="B973" s="46">
        <f>IF(DAY(D973)=DAY($L$1+1),1,B972+1)</f>
        <v/>
      </c>
      <c r="C973" s="46">
        <f>IF(DAY(D973)=DAY($L$1+1),1,C972+1)</f>
        <v/>
      </c>
      <c r="D973" s="2">
        <f>D972+1</f>
        <v/>
      </c>
      <c r="E973" s="8">
        <f>IF(DAY(D973)=DAY($L$1+1),TRUNC((#REF!),8),E972)</f>
        <v/>
      </c>
      <c r="F973" s="49">
        <f>TRUNC(((1+VLOOKUP(A973,IPCA!$A$2:$C$140,3,0)))^(C973/(EDATE(D973-C973,1)-(D973-C973))),8)</f>
        <v/>
      </c>
      <c r="G973" s="49">
        <f>TRUNC((E973*F973),8)</f>
        <v/>
      </c>
      <c r="H973" s="49">
        <f>ROUND(((1+$H$4)^(30/360))^(C973/(EDATE(D973-B973,1)-(D973-B973))),9)</f>
        <v/>
      </c>
      <c r="I973" s="49">
        <f>TRUNC((G973*H973-G973),8)</f>
        <v/>
      </c>
      <c r="J973" s="49">
        <f>G973+I973</f>
        <v/>
      </c>
      <c r="K973" s="256" t="n"/>
      <c r="L973" s="256" t="n"/>
      <c r="M973" s="256" t="n"/>
      <c r="N973" s="256" t="n"/>
      <c r="O973" s="256" t="n"/>
      <c r="P973" s="256" t="n"/>
      <c r="Q973" s="256" t="n"/>
    </row>
    <row r="974">
      <c r="A974">
        <f>IF(DAY(D974)=DAY($L$1+1),A973+1,A973)</f>
        <v/>
      </c>
      <c r="B974" s="46">
        <f>IF(DAY(D974)=DAY($L$1+1),1,B973+1)</f>
        <v/>
      </c>
      <c r="C974" s="46">
        <f>IF(DAY(D974)=DAY($L$1+1),1,C973+1)</f>
        <v/>
      </c>
      <c r="D974" s="2">
        <f>D973+1</f>
        <v/>
      </c>
      <c r="E974" s="8">
        <f>IF(DAY(D974)=DAY($L$1+1),TRUNC((#REF!),8),E973)</f>
        <v/>
      </c>
      <c r="F974" s="49">
        <f>TRUNC(((1+VLOOKUP(A974,IPCA!$A$2:$C$140,3,0)))^(C974/(EDATE(D974-C974,1)-(D974-C974))),8)</f>
        <v/>
      </c>
      <c r="G974" s="49">
        <f>TRUNC((E974*F974),8)</f>
        <v/>
      </c>
      <c r="H974" s="49">
        <f>ROUND(((1+$H$4)^(30/360))^(C974/(EDATE(D974-B974,1)-(D974-B974))),9)</f>
        <v/>
      </c>
      <c r="I974" s="49">
        <f>TRUNC((G974*H974-G974),8)</f>
        <v/>
      </c>
      <c r="J974" s="49">
        <f>G974+I974</f>
        <v/>
      </c>
      <c r="K974" s="256" t="n"/>
      <c r="L974" s="256" t="n"/>
      <c r="M974" s="256" t="n"/>
      <c r="N974" s="256" t="n"/>
      <c r="O974" s="256" t="n"/>
      <c r="P974" s="256" t="n"/>
      <c r="Q974" s="256" t="n"/>
    </row>
    <row r="975">
      <c r="A975">
        <f>IF(DAY(D975)=DAY($L$1+1),A974+1,A974)</f>
        <v/>
      </c>
      <c r="B975" s="46">
        <f>IF(DAY(D975)=DAY($L$1+1),1,B974+1)</f>
        <v/>
      </c>
      <c r="C975" s="46">
        <f>IF(DAY(D975)=DAY($L$1+1),1,C974+1)</f>
        <v/>
      </c>
      <c r="D975" s="2">
        <f>D974+1</f>
        <v/>
      </c>
      <c r="E975" s="8">
        <f>IF(DAY(D975)=DAY($L$1+1),TRUNC((#REF!),8),E974)</f>
        <v/>
      </c>
      <c r="F975" s="49">
        <f>TRUNC(((1+VLOOKUP(A975,IPCA!$A$2:$C$140,3,0)))^(C975/(EDATE(D975-C975,1)-(D975-C975))),8)</f>
        <v/>
      </c>
      <c r="G975" s="49">
        <f>TRUNC((E975*F975),8)</f>
        <v/>
      </c>
      <c r="H975" s="49">
        <f>ROUND(((1+$H$4)^(30/360))^(C975/(EDATE(D975-B975,1)-(D975-B975))),9)</f>
        <v/>
      </c>
      <c r="I975" s="49">
        <f>TRUNC((G975*H975-G975),8)</f>
        <v/>
      </c>
      <c r="J975" s="49">
        <f>G975+I975</f>
        <v/>
      </c>
      <c r="K975" s="256" t="n"/>
      <c r="L975" s="256" t="n"/>
      <c r="M975" s="256" t="n"/>
      <c r="N975" s="256" t="n"/>
      <c r="O975" s="256" t="n"/>
      <c r="P975" s="256" t="n"/>
      <c r="Q975" s="256" t="n"/>
    </row>
    <row r="976">
      <c r="A976">
        <f>IF(DAY(D976)=DAY($L$1+1),A975+1,A975)</f>
        <v/>
      </c>
      <c r="B976" s="46">
        <f>IF(DAY(D976)=DAY($L$1+1),1,B975+1)</f>
        <v/>
      </c>
      <c r="C976" s="46">
        <f>IF(DAY(D976)=DAY($L$1+1),1,C975+1)</f>
        <v/>
      </c>
      <c r="D976" s="2">
        <f>D975+1</f>
        <v/>
      </c>
      <c r="E976" s="8">
        <f>IF(DAY(D976)=DAY($L$1+1),TRUNC((#REF!),8),E975)</f>
        <v/>
      </c>
      <c r="F976" s="49">
        <f>TRUNC(((1+VLOOKUP(A976,IPCA!$A$2:$C$140,3,0)))^(C976/(EDATE(D976-C976,1)-(D976-C976))),8)</f>
        <v/>
      </c>
      <c r="G976" s="49">
        <f>TRUNC((E976*F976),8)</f>
        <v/>
      </c>
      <c r="H976" s="49">
        <f>ROUND(((1+$H$4)^(30/360))^(C976/(EDATE(D976-B976,1)-(D976-B976))),9)</f>
        <v/>
      </c>
      <c r="I976" s="49">
        <f>TRUNC((G976*H976-G976),8)</f>
        <v/>
      </c>
      <c r="J976" s="49">
        <f>G976+I976</f>
        <v/>
      </c>
      <c r="K976" s="256" t="n"/>
      <c r="L976" s="256" t="n"/>
      <c r="M976" s="256" t="n"/>
      <c r="N976" s="256" t="n"/>
      <c r="O976" s="256" t="n"/>
      <c r="P976" s="256" t="n"/>
      <c r="Q976" s="256" t="n"/>
    </row>
    <row r="977">
      <c r="A977">
        <f>IF(DAY(D977)=DAY($L$1+1),A976+1,A976)</f>
        <v/>
      </c>
      <c r="B977" s="46">
        <f>IF(DAY(D977)=DAY($L$1+1),1,B976+1)</f>
        <v/>
      </c>
      <c r="C977" s="46">
        <f>IF(DAY(D977)=DAY($L$1+1),1,C976+1)</f>
        <v/>
      </c>
      <c r="D977" s="2">
        <f>D976+1</f>
        <v/>
      </c>
      <c r="E977" s="8">
        <f>IF(DAY(D977)=DAY($L$1+1),TRUNC((#REF!),8),E976)</f>
        <v/>
      </c>
      <c r="F977" s="49">
        <f>TRUNC(((1+VLOOKUP(A977,IPCA!$A$2:$C$140,3,0)))^(C977/(EDATE(D977-C977,1)-(D977-C977))),8)</f>
        <v/>
      </c>
      <c r="G977" s="49">
        <f>TRUNC((E977*F977),8)</f>
        <v/>
      </c>
      <c r="H977" s="49">
        <f>ROUND(((1+$H$4)^(30/360))^(C977/(EDATE(D977-B977,1)-(D977-B977))),9)</f>
        <v/>
      </c>
      <c r="I977" s="49">
        <f>TRUNC((G977*H977-G977),8)</f>
        <v/>
      </c>
      <c r="J977" s="49">
        <f>G977+I977</f>
        <v/>
      </c>
      <c r="K977" s="256" t="n"/>
      <c r="L977" s="256" t="n"/>
      <c r="M977" s="256" t="n"/>
      <c r="N977" s="256" t="n"/>
      <c r="O977" s="256" t="n"/>
      <c r="P977" s="256" t="n"/>
      <c r="Q977" s="256" t="n"/>
    </row>
    <row r="978">
      <c r="A978">
        <f>IF(DAY(D978)=DAY($L$1+1),A977+1,A977)</f>
        <v/>
      </c>
      <c r="B978" s="46">
        <f>IF(DAY(D978)=DAY($L$1+1),1,B977+1)</f>
        <v/>
      </c>
      <c r="C978" s="46">
        <f>IF(DAY(D978)=DAY($L$1+1),1,C977+1)</f>
        <v/>
      </c>
      <c r="D978" s="2">
        <f>D977+1</f>
        <v/>
      </c>
      <c r="E978" s="8">
        <f>IF(DAY(D978)=DAY($L$1+1),TRUNC((#REF!),8),E977)</f>
        <v/>
      </c>
      <c r="F978" s="49">
        <f>TRUNC(((1+VLOOKUP(A978,IPCA!$A$2:$C$140,3,0)))^(C978/(EDATE(D978-C978,1)-(D978-C978))),8)</f>
        <v/>
      </c>
      <c r="G978" s="49">
        <f>TRUNC((E978*F978),8)</f>
        <v/>
      </c>
      <c r="H978" s="49">
        <f>ROUND(((1+$H$4)^(30/360))^(C978/(EDATE(D978-B978,1)-(D978-B978))),9)</f>
        <v/>
      </c>
      <c r="I978" s="49">
        <f>TRUNC((G978*H978-G978),8)</f>
        <v/>
      </c>
      <c r="J978" s="49">
        <f>G978+I978</f>
        <v/>
      </c>
      <c r="K978" s="256" t="n"/>
      <c r="L978" s="256" t="n"/>
      <c r="M978" s="256" t="n"/>
      <c r="N978" s="256" t="n"/>
      <c r="O978" s="256" t="n"/>
      <c r="P978" s="256" t="n"/>
      <c r="Q978" s="256" t="n"/>
    </row>
    <row r="979">
      <c r="A979">
        <f>IF(DAY(D979)=DAY($L$1+1),A978+1,A978)</f>
        <v/>
      </c>
      <c r="B979" s="46">
        <f>IF(DAY(D979)=DAY($L$1+1),1,B978+1)</f>
        <v/>
      </c>
      <c r="C979" s="46">
        <f>IF(DAY(D979)=DAY($L$1+1),1,C978+1)</f>
        <v/>
      </c>
      <c r="D979" s="2">
        <f>D978+1</f>
        <v/>
      </c>
      <c r="E979" s="8">
        <f>IF(DAY(D979)=DAY($L$1+1),TRUNC((#REF!),8),E978)</f>
        <v/>
      </c>
      <c r="F979" s="49">
        <f>TRUNC(((1+VLOOKUP(A979,IPCA!$A$2:$C$140,3,0)))^(C979/(EDATE(D979-C979,1)-(D979-C979))),8)</f>
        <v/>
      </c>
      <c r="G979" s="49">
        <f>TRUNC((E979*F979),8)</f>
        <v/>
      </c>
      <c r="H979" s="49">
        <f>ROUND(((1+$H$4)^(30/360))^(C979/(EDATE(D979-B979,1)-(D979-B979))),9)</f>
        <v/>
      </c>
      <c r="I979" s="49">
        <f>TRUNC((G979*H979-G979),8)</f>
        <v/>
      </c>
      <c r="J979" s="49">
        <f>G979+I979</f>
        <v/>
      </c>
      <c r="K979" s="256" t="n"/>
      <c r="L979" s="256" t="n"/>
      <c r="M979" s="256" t="n"/>
      <c r="N979" s="256" t="n"/>
      <c r="O979" s="256" t="n"/>
      <c r="P979" s="256" t="n"/>
      <c r="Q979" s="256" t="n"/>
    </row>
    <row r="980">
      <c r="A980">
        <f>IF(DAY(D980)=DAY($L$1+1),A979+1,A979)</f>
        <v/>
      </c>
      <c r="B980" s="46">
        <f>IF(DAY(D980)=DAY($L$1+1),1,B979+1)</f>
        <v/>
      </c>
      <c r="C980" s="46">
        <f>IF(DAY(D980)=DAY($L$1+1),1,C979+1)</f>
        <v/>
      </c>
      <c r="D980" s="2">
        <f>D979+1</f>
        <v/>
      </c>
      <c r="E980" s="8">
        <f>IF(DAY(D980)=DAY($L$1+1),TRUNC((#REF!),8),E979)</f>
        <v/>
      </c>
      <c r="F980" s="49">
        <f>TRUNC(((1+VLOOKUP(A980,IPCA!$A$2:$C$140,3,0)))^(C980/(EDATE(D980-C980,1)-(D980-C980))),8)</f>
        <v/>
      </c>
      <c r="G980" s="49">
        <f>TRUNC((E980*F980),8)</f>
        <v/>
      </c>
      <c r="H980" s="49">
        <f>ROUND(((1+$H$4)^(30/360))^(C980/(EDATE(D980-B980,1)-(D980-B980))),9)</f>
        <v/>
      </c>
      <c r="I980" s="49">
        <f>TRUNC((G980*H980-G980),8)</f>
        <v/>
      </c>
      <c r="J980" s="49">
        <f>G980+I980</f>
        <v/>
      </c>
      <c r="K980" s="256" t="n"/>
      <c r="L980" s="256" t="n"/>
      <c r="M980" s="256" t="n"/>
      <c r="N980" s="256" t="n"/>
      <c r="O980" s="256" t="n"/>
      <c r="P980" s="256" t="n"/>
      <c r="Q980" s="256" t="n"/>
    </row>
    <row r="981">
      <c r="A981">
        <f>IF(DAY(D981)=DAY($L$1+1),A980+1,A980)</f>
        <v/>
      </c>
      <c r="B981" s="46">
        <f>IF(DAY(D981)=DAY($L$1+1),1,B980+1)</f>
        <v/>
      </c>
      <c r="C981" s="46">
        <f>IF(DAY(D981)=DAY($L$1+1),1,C980+1)</f>
        <v/>
      </c>
      <c r="D981" s="2">
        <f>D980+1</f>
        <v/>
      </c>
      <c r="E981" s="8">
        <f>IF(DAY(D981)=DAY($L$1+1),TRUNC((#REF!),8),E980)</f>
        <v/>
      </c>
      <c r="F981" s="49">
        <f>TRUNC(((1+VLOOKUP(A981,IPCA!$A$2:$C$140,3,0)))^(C981/(EDATE(D981-C981,1)-(D981-C981))),8)</f>
        <v/>
      </c>
      <c r="G981" s="49">
        <f>TRUNC((E981*F981),8)</f>
        <v/>
      </c>
      <c r="H981" s="49">
        <f>ROUND(((1+$H$4)^(30/360))^(C981/(EDATE(D981-B981,1)-(D981-B981))),9)</f>
        <v/>
      </c>
      <c r="I981" s="49">
        <f>TRUNC((G981*H981-G981),8)</f>
        <v/>
      </c>
      <c r="J981" s="49">
        <f>G981+I981</f>
        <v/>
      </c>
      <c r="K981" s="256" t="n"/>
      <c r="L981" s="256" t="n"/>
      <c r="M981" s="256" t="n"/>
      <c r="N981" s="256" t="n"/>
      <c r="O981" s="256" t="n"/>
      <c r="P981" s="256" t="n"/>
      <c r="Q981" s="256" t="n"/>
    </row>
    <row r="982">
      <c r="A982">
        <f>IF(DAY(D982)=DAY($L$1+1),A981+1,A981)</f>
        <v/>
      </c>
      <c r="B982" s="46">
        <f>IF(DAY(D982)=DAY($L$1+1),1,B981+1)</f>
        <v/>
      </c>
      <c r="C982" s="46">
        <f>IF(DAY(D982)=DAY($L$1+1),1,C981+1)</f>
        <v/>
      </c>
      <c r="D982" s="2">
        <f>D981+1</f>
        <v/>
      </c>
      <c r="E982" s="8">
        <f>IF(DAY(D982)=DAY($L$1+1),TRUNC((#REF!),8),E981)</f>
        <v/>
      </c>
      <c r="F982" s="49">
        <f>TRUNC(((1+VLOOKUP(A982,IPCA!$A$2:$C$140,3,0)))^(C982/(EDATE(D982-C982,1)-(D982-C982))),8)</f>
        <v/>
      </c>
      <c r="G982" s="49">
        <f>TRUNC((E982*F982),8)</f>
        <v/>
      </c>
      <c r="H982" s="49">
        <f>ROUND(((1+$H$4)^(30/360))^(C982/(EDATE(D982-B982,1)-(D982-B982))),9)</f>
        <v/>
      </c>
      <c r="I982" s="49">
        <f>TRUNC((G982*H982-G982),8)</f>
        <v/>
      </c>
      <c r="J982" s="49">
        <f>G982+I982</f>
        <v/>
      </c>
      <c r="K982" s="256" t="n"/>
      <c r="L982" s="256" t="n"/>
      <c r="M982" s="256" t="n"/>
      <c r="N982" s="256" t="n"/>
      <c r="O982" s="256" t="n"/>
      <c r="P982" s="256" t="n"/>
      <c r="Q982" s="256" t="n"/>
    </row>
    <row r="983">
      <c r="A983">
        <f>IF(DAY(D983)=DAY($L$1+1),A982+1,A982)</f>
        <v/>
      </c>
      <c r="B983" s="46">
        <f>IF(DAY(D983)=DAY($L$1+1),1,B982+1)</f>
        <v/>
      </c>
      <c r="C983" s="46">
        <f>IF(DAY(D983)=DAY($L$1+1),1,C982+1)</f>
        <v/>
      </c>
      <c r="D983" s="2">
        <f>D982+1</f>
        <v/>
      </c>
      <c r="E983" s="8">
        <f>IF(DAY(D983)=DAY($L$1+1),TRUNC((#REF!),8),E982)</f>
        <v/>
      </c>
      <c r="F983" s="49">
        <f>TRUNC(((1+VLOOKUP(A983,IPCA!$A$2:$C$140,3,0)))^(C983/(EDATE(D983-C983,1)-(D983-C983))),8)</f>
        <v/>
      </c>
      <c r="G983" s="49">
        <f>TRUNC((E983*F983),8)</f>
        <v/>
      </c>
      <c r="H983" s="49">
        <f>ROUND(((1+$H$4)^(30/360))^(C983/(EDATE(D983-B983,1)-(D983-B983))),9)</f>
        <v/>
      </c>
      <c r="I983" s="49">
        <f>TRUNC((G983*H983-G983),8)</f>
        <v/>
      </c>
      <c r="J983" s="49">
        <f>G983+I983</f>
        <v/>
      </c>
      <c r="K983" s="256" t="n"/>
      <c r="L983" s="256" t="n"/>
      <c r="M983" s="256" t="n"/>
      <c r="N983" s="256" t="n"/>
      <c r="O983" s="256" t="n"/>
      <c r="P983" s="256" t="n"/>
      <c r="Q983" s="256" t="n"/>
    </row>
    <row r="984">
      <c r="A984">
        <f>IF(DAY(D984)=DAY($L$1+1),A983+1,A983)</f>
        <v/>
      </c>
      <c r="B984" s="46">
        <f>IF(DAY(D984)=DAY($L$1+1),1,B983+1)</f>
        <v/>
      </c>
      <c r="C984" s="46">
        <f>IF(DAY(D984)=DAY($L$1+1),1,C983+1)</f>
        <v/>
      </c>
      <c r="D984" s="2">
        <f>D983+1</f>
        <v/>
      </c>
      <c r="E984" s="8">
        <f>IF(DAY(D984)=DAY($L$1+1),TRUNC((#REF!),8),E983)</f>
        <v/>
      </c>
      <c r="F984" s="49">
        <f>TRUNC(((1+VLOOKUP(A984,IPCA!$A$2:$C$140,3,0)))^(C984/(EDATE(D984-C984,1)-(D984-C984))),8)</f>
        <v/>
      </c>
      <c r="G984" s="49">
        <f>TRUNC((E984*F984),8)</f>
        <v/>
      </c>
      <c r="H984" s="49">
        <f>ROUND(((1+$H$4)^(30/360))^(C984/(EDATE(D984-B984,1)-(D984-B984))),9)</f>
        <v/>
      </c>
      <c r="I984" s="49">
        <f>TRUNC((G984*H984-G984),8)</f>
        <v/>
      </c>
      <c r="J984" s="49">
        <f>G984+I984</f>
        <v/>
      </c>
      <c r="K984" s="256" t="n"/>
      <c r="L984" s="256" t="n"/>
      <c r="M984" s="256" t="n"/>
      <c r="N984" s="256" t="n"/>
      <c r="O984" s="256" t="n"/>
      <c r="P984" s="256" t="n"/>
      <c r="Q984" s="256" t="n"/>
    </row>
    <row r="985">
      <c r="A985">
        <f>IF(DAY(D985)=DAY($L$1+1),A984+1,A984)</f>
        <v/>
      </c>
      <c r="B985" s="46">
        <f>IF(DAY(D985)=DAY($L$1+1),1,B984+1)</f>
        <v/>
      </c>
      <c r="C985" s="46">
        <f>IF(DAY(D985)=DAY($L$1+1),1,C984+1)</f>
        <v/>
      </c>
      <c r="D985" s="2">
        <f>D984+1</f>
        <v/>
      </c>
      <c r="E985" s="8">
        <f>IF(DAY(D985)=DAY($L$1+1),TRUNC((#REF!),8),E984)</f>
        <v/>
      </c>
      <c r="F985" s="49">
        <f>TRUNC(((1+VLOOKUP(A985,IPCA!$A$2:$C$140,3,0)))^(C985/(EDATE(D985-C985,1)-(D985-C985))),8)</f>
        <v/>
      </c>
      <c r="G985" s="49">
        <f>TRUNC((E985*F985),8)</f>
        <v/>
      </c>
      <c r="H985" s="49">
        <f>ROUND(((1+$H$4)^(30/360))^(C985/(EDATE(D985-B985,1)-(D985-B985))),9)</f>
        <v/>
      </c>
      <c r="I985" s="49">
        <f>TRUNC((G985*H985-G985),8)</f>
        <v/>
      </c>
      <c r="J985" s="49">
        <f>G985+I985</f>
        <v/>
      </c>
      <c r="K985" s="256" t="n"/>
      <c r="L985" s="256" t="n"/>
      <c r="M985" s="256" t="n"/>
      <c r="N985" s="256" t="n"/>
      <c r="O985" s="256" t="n"/>
      <c r="P985" s="256" t="n"/>
      <c r="Q985" s="256" t="n"/>
    </row>
    <row r="986">
      <c r="A986">
        <f>IF(DAY(D986)=DAY($L$1+1),A985+1,A985)</f>
        <v/>
      </c>
      <c r="B986" s="46">
        <f>IF(DAY(D986)=DAY($L$1+1),1,B985+1)</f>
        <v/>
      </c>
      <c r="C986" s="46">
        <f>IF(DAY(D986)=DAY($L$1+1),1,C985+1)</f>
        <v/>
      </c>
      <c r="D986" s="2">
        <f>D985+1</f>
        <v/>
      </c>
      <c r="E986" s="8">
        <f>IF(DAY(D986)=DAY($L$1+1),TRUNC((#REF!),8),E985)</f>
        <v/>
      </c>
      <c r="F986" s="49">
        <f>TRUNC(((1+VLOOKUP(A986,IPCA!$A$2:$C$140,3,0)))^(C986/(EDATE(D986-C986,1)-(D986-C986))),8)</f>
        <v/>
      </c>
      <c r="G986" s="49">
        <f>TRUNC((E986*F986),8)</f>
        <v/>
      </c>
      <c r="H986" s="49">
        <f>ROUND(((1+$H$4)^(30/360))^(C986/(EDATE(D986-B986,1)-(D986-B986))),9)</f>
        <v/>
      </c>
      <c r="I986" s="49">
        <f>TRUNC((G986*H986-G986),8)</f>
        <v/>
      </c>
      <c r="J986" s="49">
        <f>G986+I986</f>
        <v/>
      </c>
      <c r="K986" s="256" t="n"/>
      <c r="L986" s="256" t="n"/>
      <c r="M986" s="256" t="n"/>
      <c r="N986" s="256" t="n"/>
      <c r="O986" s="256" t="n"/>
      <c r="P986" s="256" t="n"/>
      <c r="Q986" s="256" t="n"/>
    </row>
    <row r="987">
      <c r="A987">
        <f>IF(DAY(D987)=DAY($L$1+1),A986+1,A986)</f>
        <v/>
      </c>
      <c r="B987" s="46">
        <f>IF(DAY(D987)=DAY($L$1+1),1,B986+1)</f>
        <v/>
      </c>
      <c r="C987" s="46">
        <f>IF(DAY(D987)=DAY($L$1+1),1,C986+1)</f>
        <v/>
      </c>
      <c r="D987" s="2">
        <f>D986+1</f>
        <v/>
      </c>
      <c r="E987" s="8">
        <f>IF(DAY(D987)=DAY($L$1+1),TRUNC((N986),8),E986)</f>
        <v/>
      </c>
      <c r="F987" s="49">
        <f>TRUNC(((1+VLOOKUP(A987,IPCA!$A$2:$C$140,3,0)))^(C987/(EDATE(D987-C987,1)-(D987-C987))),8)</f>
        <v/>
      </c>
      <c r="G987" s="49">
        <f>TRUNC((E987*F987),8)</f>
        <v/>
      </c>
      <c r="H987" s="49">
        <f>ROUND(((1+$H$4)^(30/360))^(C987/(EDATE(D987-B987,1)-(D987-B987))),9)</f>
        <v/>
      </c>
      <c r="I987" s="49">
        <f>TRUNC((G987*H987-G987),8)</f>
        <v/>
      </c>
      <c r="J987" s="49">
        <f>G987+I987</f>
        <v/>
      </c>
      <c r="K987" s="256" t="n"/>
      <c r="L987" s="256" t="n"/>
      <c r="M987" s="256" t="n"/>
      <c r="N987" s="256" t="n"/>
      <c r="O987" s="256" t="n"/>
      <c r="P987" s="256" t="n"/>
      <c r="Q987" s="256" t="n"/>
    </row>
    <row r="988">
      <c r="A988">
        <f>IF(DAY(D988)=DAY($L$1+1),A987+1,A987)</f>
        <v/>
      </c>
      <c r="B988" s="46">
        <f>IF(DAY(D988)=DAY($L$1+1),1,B987+1)</f>
        <v/>
      </c>
      <c r="C988" s="46">
        <f>IF(DAY(D988)=DAY($L$1+1),1,C987+1)</f>
        <v/>
      </c>
      <c r="D988" s="2">
        <f>D987+1</f>
        <v/>
      </c>
      <c r="E988" s="8">
        <f>IF(DAY(D988)=DAY($L$1+1),TRUNC((N987),8),E987)</f>
        <v/>
      </c>
      <c r="F988" s="49">
        <f>TRUNC(((1+VLOOKUP(A988,IPCA!$A$2:$C$140,3,0)))^(C988/(EDATE(D988-C988,1)-(D988-C988))),8)</f>
        <v/>
      </c>
      <c r="G988" s="49">
        <f>TRUNC((E988*F988),8)</f>
        <v/>
      </c>
      <c r="H988" s="49">
        <f>ROUND(((1+$H$4)^(30/360))^(C988/(EDATE(D988-B988,1)-(D988-B988))),9)</f>
        <v/>
      </c>
      <c r="I988" s="49">
        <f>TRUNC((G988*H988-G988),8)</f>
        <v/>
      </c>
      <c r="J988" s="49">
        <f>G988+I988</f>
        <v/>
      </c>
      <c r="K988" s="256" t="n"/>
      <c r="L988" s="256" t="n"/>
      <c r="M988" s="256" t="n"/>
      <c r="N988" s="256" t="n"/>
      <c r="O988" s="256" t="n"/>
      <c r="P988" s="256" t="n"/>
      <c r="Q988" s="256" t="n"/>
    </row>
    <row r="989">
      <c r="A989">
        <f>IF(DAY(D989)=DAY($L$1+1),A988+1,A988)</f>
        <v/>
      </c>
      <c r="B989" s="46">
        <f>IF(DAY(D989)=DAY($L$1+1),1,B988+1)</f>
        <v/>
      </c>
      <c r="C989" s="46">
        <f>IF(DAY(D989)=DAY($L$1+1),1,C988+1)</f>
        <v/>
      </c>
      <c r="D989" s="2">
        <f>D988+1</f>
        <v/>
      </c>
      <c r="E989" s="8">
        <f>IF(DAY(D989)=DAY($L$1+1),TRUNC((N988),8),E988)</f>
        <v/>
      </c>
      <c r="F989" s="49">
        <f>TRUNC(((1+VLOOKUP(A989,IPCA!$A$2:$C$140,3,0)))^(C989/(EDATE(D989-C989,1)-(D989-C989))),8)</f>
        <v/>
      </c>
      <c r="G989" s="49">
        <f>TRUNC((E989*F989),8)</f>
        <v/>
      </c>
      <c r="H989" s="49">
        <f>ROUND(((1+$H$4)^(30/360))^(C989/(EDATE(D989-B989,1)-(D989-B989))),9)</f>
        <v/>
      </c>
      <c r="I989" s="49">
        <f>TRUNC((G989*H989-G989),8)</f>
        <v/>
      </c>
      <c r="J989" s="49">
        <f>G989+I989</f>
        <v/>
      </c>
      <c r="K989" s="256" t="n"/>
      <c r="L989" s="256" t="n"/>
      <c r="M989" s="256" t="n"/>
      <c r="N989" s="256" t="n"/>
      <c r="O989" s="256" t="n"/>
      <c r="P989" s="256" t="n"/>
      <c r="Q989" s="256" t="n"/>
    </row>
    <row r="990">
      <c r="A990">
        <f>IF(DAY(D990)=DAY($L$1+1),A989+1,A989)</f>
        <v/>
      </c>
      <c r="B990" s="46">
        <f>IF(DAY(D990)=DAY($L$1+1),1,B989+1)</f>
        <v/>
      </c>
      <c r="C990" s="46">
        <f>IF(DAY(D990)=DAY($L$1+1),1,C989+1)</f>
        <v/>
      </c>
      <c r="D990" s="2">
        <f>D989+1</f>
        <v/>
      </c>
      <c r="E990" s="8">
        <f>IF(DAY(D990)=DAY($L$1+1),TRUNC((N989),8),E989)</f>
        <v/>
      </c>
      <c r="F990" s="49">
        <f>TRUNC(((1+VLOOKUP(A990,IPCA!$A$2:$C$140,3,0)))^(C990/(EDATE(D990-C990,1)-(D990-C990))),8)</f>
        <v/>
      </c>
      <c r="G990" s="49">
        <f>TRUNC((E990*F990),8)</f>
        <v/>
      </c>
      <c r="H990" s="49">
        <f>ROUND(((1+$H$4)^(30/360))^(C990/(EDATE(D990-B990,1)-(D990-B990))),9)</f>
        <v/>
      </c>
      <c r="I990" s="49">
        <f>TRUNC((G990*H990-G990),8)</f>
        <v/>
      </c>
      <c r="J990" s="49">
        <f>G990+I990</f>
        <v/>
      </c>
      <c r="K990" s="256" t="n"/>
      <c r="L990" s="256" t="n"/>
      <c r="M990" s="256" t="n"/>
      <c r="N990" s="256" t="n"/>
      <c r="O990" s="256" t="n"/>
      <c r="P990" s="256" t="n"/>
      <c r="Q990" s="256" t="n"/>
    </row>
    <row r="991">
      <c r="A991">
        <f>IF(DAY(D991)=DAY($L$1+1),A990+1,A990)</f>
        <v/>
      </c>
      <c r="B991" s="46">
        <f>IF(DAY(D991)=DAY($L$1+1),1,B990+1)</f>
        <v/>
      </c>
      <c r="C991" s="46">
        <f>IF(DAY(D991)=DAY($L$1+1),1,C990+1)</f>
        <v/>
      </c>
      <c r="D991" s="2">
        <f>D990+1</f>
        <v/>
      </c>
      <c r="E991" s="8">
        <f>IF(DAY(D991)=DAY($L$1+1),TRUNC((N990),8),E990)</f>
        <v/>
      </c>
      <c r="F991" s="49">
        <f>TRUNC(((1+VLOOKUP(A991,IPCA!$A$2:$C$140,3,0)))^(C991/(EDATE(D991-C991,1)-(D991-C991))),8)</f>
        <v/>
      </c>
      <c r="G991" s="49">
        <f>TRUNC((E991*F991),8)</f>
        <v/>
      </c>
      <c r="H991" s="49">
        <f>ROUND(((1+$H$4)^(30/360))^(C991/(EDATE(D991-B991,1)-(D991-B991))),9)</f>
        <v/>
      </c>
      <c r="I991" s="49">
        <f>TRUNC((G991*H991-G991),8)</f>
        <v/>
      </c>
      <c r="J991" s="49">
        <f>G991+I991</f>
        <v/>
      </c>
      <c r="K991" s="256" t="inlineStr">
        <is>
          <t>Cri Integralizado</t>
        </is>
      </c>
      <c r="L991" s="270">
        <f>L963</f>
        <v/>
      </c>
      <c r="M991" s="256" t="n"/>
      <c r="N991" s="256" t="n"/>
      <c r="O991" s="256" t="n"/>
      <c r="P991" s="256" t="n"/>
      <c r="Q991" s="256" t="n"/>
    </row>
    <row r="992">
      <c r="A992">
        <f>IF(DAY(D992)=DAY($L$1+1),A991+1,A991)</f>
        <v/>
      </c>
      <c r="B992" s="46">
        <f>IF(DAY(D992)=DAY($L$1+1),1,B991+1)</f>
        <v/>
      </c>
      <c r="C992" s="46">
        <f>IF(DAY(D992)=DAY($L$1+1),1,C991+1)</f>
        <v/>
      </c>
      <c r="D992" s="47">
        <f>D991+1</f>
        <v/>
      </c>
      <c r="E992" s="8">
        <f>IF(DAY(D992)=DAY($L$1+1),TRUNC((N991),8),E991)</f>
        <v/>
      </c>
      <c r="F992" s="49">
        <f>TRUNC(((1+VLOOKUP(A992,IPCA!$A$2:$C$140,3,0)))^(C992/(EDATE(D992-C992,1)-(D992-C992))),8)</f>
        <v/>
      </c>
      <c r="G992" s="49">
        <f>TRUNC((E992*F992),8)</f>
        <v/>
      </c>
      <c r="H992" s="49">
        <f>ROUND(((1+$H$4)^(30/360))^(C992/(EDATE(D992-B992,1)-(D992-B992))),9)</f>
        <v/>
      </c>
      <c r="I992" s="49">
        <f>TRUNC((G992*H992-G992),8)</f>
        <v/>
      </c>
      <c r="J992" s="49">
        <f>G992+I992</f>
        <v/>
      </c>
      <c r="K992" s="118" t="inlineStr">
        <is>
          <t>JUROS</t>
        </is>
      </c>
      <c r="L992" s="118" t="inlineStr">
        <is>
          <t>AMORTIZAÇÃO</t>
        </is>
      </c>
      <c r="M992" s="118" t="inlineStr">
        <is>
          <t>AMEX</t>
        </is>
      </c>
      <c r="N992" s="118" t="inlineStr">
        <is>
          <t>RESIDUAL</t>
        </is>
      </c>
      <c r="O992" s="256" t="n"/>
      <c r="P992" s="256" t="n"/>
      <c r="Q992" s="256" t="n"/>
    </row>
    <row r="993">
      <c r="A993">
        <f>IF(DAY(D993)=DAY($L$1+1),A992+1,A992)</f>
        <v/>
      </c>
      <c r="B993" s="111">
        <f>IF(DAY(D993)=DAY($L$1+1),1,B992+1)</f>
        <v/>
      </c>
      <c r="C993" s="111">
        <f>IF(DAY(D993)=DAY($L$1+1),1,C992+1)</f>
        <v/>
      </c>
      <c r="D993" s="112">
        <f>D992+1</f>
        <v/>
      </c>
      <c r="E993" s="113">
        <f>IF(DAY(D993)=DAY($L$1+1),TRUNC((N992),8),E992)</f>
        <v/>
      </c>
      <c r="F993" s="114">
        <f>TRUNC(((1+VLOOKUP(A993,IPCA!$A$2:$C$140,3,0)))^(C993/(EDATE(D993-C993,1)-(D993-C993))),8)</f>
        <v/>
      </c>
      <c r="G993" s="114">
        <f>TRUNC((E993*F993),8)</f>
        <v/>
      </c>
      <c r="H993" s="114">
        <f>ROUND(((1+$H$4)^(30/360))^(C993/(EDATE(D993-B993,1)-(D993-B993))),9)</f>
        <v/>
      </c>
      <c r="I993" s="114">
        <f>TRUNC((G993*H993-G993),8)</f>
        <v/>
      </c>
      <c r="J993" s="114">
        <f>G993+I993</f>
        <v/>
      </c>
      <c r="K993" s="119" t="n"/>
      <c r="L993" s="120" t="n"/>
      <c r="M993" s="120" t="n">
        <v>0</v>
      </c>
      <c r="N993" s="120">
        <f>J993-K993-L993-M993</f>
        <v/>
      </c>
      <c r="O993" s="256" t="n"/>
      <c r="P993" s="256" t="n"/>
      <c r="Q993" s="256" t="n"/>
    </row>
    <row r="994">
      <c r="A994">
        <f>IF(DAY(D994)=DAY($L$1+1),A993+1,A993)</f>
        <v/>
      </c>
      <c r="B994" s="46">
        <f>IF(DAY(D994)=DAY($L$1+1),1,B993+1)</f>
        <v/>
      </c>
      <c r="C994" s="46">
        <f>IF(DAY(D994)=DAY($L$1+1),1,C993+1)</f>
        <v/>
      </c>
      <c r="D994" s="2">
        <f>D993+1</f>
        <v/>
      </c>
      <c r="E994" s="8">
        <f>IF(DAY(D994)=DAY($L$1+1),TRUNC((N993),8),E993)</f>
        <v/>
      </c>
      <c r="F994" s="49">
        <f>TRUNC(((1+VLOOKUP(A994,IPCA!$A$2:$C$140,3,0)))^(C994/(EDATE(D994-C994,1)-(D994-C994))),8)</f>
        <v/>
      </c>
      <c r="G994" s="49">
        <f>TRUNC((E994*F994),8)</f>
        <v/>
      </c>
      <c r="H994" s="49">
        <f>ROUND(((1+$H$4)^(30/360))^(C994/(EDATE(D994-B994,1)-(D994-B994))),9)</f>
        <v/>
      </c>
      <c r="I994" s="49">
        <f>TRUNC((G994*H994-G994),8)</f>
        <v/>
      </c>
      <c r="J994" s="49">
        <f>G994+I994</f>
        <v/>
      </c>
      <c r="K994" s="121">
        <f>K993*L991</f>
        <v/>
      </c>
      <c r="L994" s="121">
        <f>L993*L991</f>
        <v/>
      </c>
      <c r="M994" s="121">
        <f>M993*L991</f>
        <v/>
      </c>
      <c r="N994" s="121">
        <f>N993*L991</f>
        <v/>
      </c>
      <c r="O994" s="256" t="n"/>
      <c r="P994" s="256" t="n"/>
      <c r="Q994" s="256" t="n"/>
    </row>
    <row r="995">
      <c r="A995">
        <f>IF(DAY(D995)=DAY($L$1+1),A994+1,A994)</f>
        <v/>
      </c>
      <c r="B995" s="46">
        <f>IF(DAY(D995)=DAY($L$1+1),1,B994+1)</f>
        <v/>
      </c>
      <c r="C995" s="46">
        <f>IF(DAY(D995)=DAY($L$1+1),1,C994+1)</f>
        <v/>
      </c>
      <c r="D995" s="47">
        <f>D994+1</f>
        <v/>
      </c>
      <c r="E995" s="8">
        <f>IF(DAY(D995)=DAY($L$1+1),TRUNC((N994),8),E994)</f>
        <v/>
      </c>
      <c r="F995" s="49">
        <f>TRUNC(((1+VLOOKUP(A995,IPCA!$A$2:$C$140,3,0)))^(C995/(EDATE(D995-C995,1)-(D995-C995))),8)</f>
        <v/>
      </c>
      <c r="G995" s="49">
        <f>TRUNC((E995*F995),8)</f>
        <v/>
      </c>
      <c r="H995" s="49">
        <f>ROUND(((1+$H$4)^(30/360))^(C995/(EDATE(D995-B995,1)-(D995-B995))),9)</f>
        <v/>
      </c>
      <c r="I995" s="49">
        <f>TRUNC((G995*H995-G995),8)</f>
        <v/>
      </c>
      <c r="J995" s="49">
        <f>G995+I995</f>
        <v/>
      </c>
      <c r="K995" s="256" t="n"/>
      <c r="L995" s="256" t="n"/>
      <c r="M995" s="256" t="n"/>
      <c r="N995" s="256" t="n"/>
      <c r="O995" s="256" t="n"/>
      <c r="P995" s="256" t="n"/>
      <c r="Q995" s="256" t="n"/>
    </row>
    <row r="996">
      <c r="A996">
        <f>IF(DAY(D996)=DAY($L$1+1),A995+1,A995)</f>
        <v/>
      </c>
      <c r="B996" s="46">
        <f>IF(DAY(D996)=DAY($L$1+1),1,B995+1)</f>
        <v/>
      </c>
      <c r="C996" s="46">
        <f>IF(DAY(D996)=DAY($L$1+1),1,C995+1)</f>
        <v/>
      </c>
      <c r="D996" s="2">
        <f>D995+1</f>
        <v/>
      </c>
      <c r="E996" s="8">
        <f>IF(DAY(D996)=DAY($L$1+1),TRUNC((#REF!),8),E995)</f>
        <v/>
      </c>
      <c r="F996" s="49">
        <f>TRUNC(((1+VLOOKUP(A996,IPCA!$A$2:$C$140,3,0)))^(C996/(EDATE(D996-C996,1)-(D996-C996))),8)</f>
        <v/>
      </c>
      <c r="G996" s="49">
        <f>TRUNC((E996*F996),8)</f>
        <v/>
      </c>
      <c r="H996" s="49">
        <f>ROUND(((1+$H$4)^(30/360))^(C996/(EDATE(D996-B996,1)-(D996-B996))),9)</f>
        <v/>
      </c>
      <c r="I996" s="49">
        <f>TRUNC((G996*H996-G996),8)</f>
        <v/>
      </c>
      <c r="J996" s="49">
        <f>G996+I996</f>
        <v/>
      </c>
      <c r="K996" s="256" t="n"/>
      <c r="L996" s="256" t="n"/>
      <c r="M996" s="256" t="n"/>
      <c r="N996" s="256" t="n"/>
      <c r="O996" s="256" t="n"/>
      <c r="P996" s="256" t="n"/>
      <c r="Q996" s="256" t="n"/>
    </row>
    <row r="997">
      <c r="A997">
        <f>IF(DAY(D997)=DAY($L$1+1),A996+1,A996)</f>
        <v/>
      </c>
      <c r="B997" s="46">
        <f>IF(DAY(D997)=DAY($L$1+1),1,B996+1)</f>
        <v/>
      </c>
      <c r="C997" s="46">
        <f>IF(DAY(D997)=DAY($L$1+1),1,C996+1)</f>
        <v/>
      </c>
      <c r="D997" s="2">
        <f>D996+1</f>
        <v/>
      </c>
      <c r="E997" s="8">
        <f>IF(DAY(D997)=DAY($L$1+1),TRUNC((#REF!),8),E996)</f>
        <v/>
      </c>
      <c r="F997" s="49">
        <f>TRUNC(((1+VLOOKUP(A997,IPCA!$A$2:$C$140,3,0)))^(C997/(EDATE(D997-C997,1)-(D997-C997))),8)</f>
        <v/>
      </c>
      <c r="G997" s="49">
        <f>TRUNC((E997*F997),8)</f>
        <v/>
      </c>
      <c r="H997" s="49">
        <f>ROUND(((1+$H$4)^(30/360))^(C997/(EDATE(D997-B997,1)-(D997-B997))),9)</f>
        <v/>
      </c>
      <c r="I997" s="49">
        <f>TRUNC((G997*H997-G997),8)</f>
        <v/>
      </c>
      <c r="J997" s="49">
        <f>G997+I997</f>
        <v/>
      </c>
      <c r="K997" s="256" t="n"/>
      <c r="L997" s="256" t="n"/>
      <c r="M997" s="256" t="n"/>
      <c r="N997" s="256" t="n"/>
      <c r="O997" s="256" t="n"/>
      <c r="P997" s="256" t="n"/>
      <c r="Q997" s="256" t="n"/>
    </row>
    <row r="998">
      <c r="A998">
        <f>IF(DAY(D998)=DAY($L$1+1),A997+1,A997)</f>
        <v/>
      </c>
      <c r="B998" s="46">
        <f>IF(DAY(D998)=DAY($L$1+1),1,B997+1)</f>
        <v/>
      </c>
      <c r="C998" s="46">
        <f>IF(DAY(D998)=DAY($L$1+1),1,C997+1)</f>
        <v/>
      </c>
      <c r="D998" s="2">
        <f>D997+1</f>
        <v/>
      </c>
      <c r="E998" s="8">
        <f>IF(DAY(D998)=DAY($L$1+1),TRUNC((#REF!),8),E997)</f>
        <v/>
      </c>
      <c r="F998" s="49">
        <f>TRUNC(((1+VLOOKUP(A998,IPCA!$A$2:$C$140,3,0)))^(C998/(EDATE(D998-C998,1)-(D998-C998))),8)</f>
        <v/>
      </c>
      <c r="G998" s="49">
        <f>TRUNC((E998*F998),8)</f>
        <v/>
      </c>
      <c r="H998" s="49">
        <f>ROUND(((1+$H$4)^(30/360))^(C998/(EDATE(D998-B998,1)-(D998-B998))),9)</f>
        <v/>
      </c>
      <c r="I998" s="49">
        <f>TRUNC((G998*H998-G998),8)</f>
        <v/>
      </c>
      <c r="J998" s="49">
        <f>G998+I998</f>
        <v/>
      </c>
      <c r="K998" s="256" t="n">
        <v>0.0107044</v>
      </c>
      <c r="L998" s="256" t="n">
        <v>0.00811621</v>
      </c>
      <c r="M998" s="256" t="n"/>
      <c r="N998" s="256" t="n"/>
      <c r="O998" s="256" t="n"/>
      <c r="P998" s="256" t="n"/>
      <c r="Q998" s="256" t="n"/>
    </row>
    <row r="999">
      <c r="A999">
        <f>IF(DAY(D999)=DAY($L$1+1),A998+1,A998)</f>
        <v/>
      </c>
      <c r="B999" s="46">
        <f>IF(DAY(D999)=DAY($L$1+1),1,B998+1)</f>
        <v/>
      </c>
      <c r="C999" s="46">
        <f>IF(DAY(D999)=DAY($L$1+1),1,C998+1)</f>
        <v/>
      </c>
      <c r="D999" s="2">
        <f>D998+1</f>
        <v/>
      </c>
      <c r="E999" s="8">
        <f>IF(DAY(D999)=DAY($L$1+1),TRUNC((#REF!),8),E998)</f>
        <v/>
      </c>
      <c r="F999" s="49">
        <f>TRUNC(((1+VLOOKUP(A999,IPCA!$A$2:$C$140,3,0)))^(C999/(EDATE(D999-C999,1)-(D999-C999))),8)</f>
        <v/>
      </c>
      <c r="G999" s="49">
        <f>TRUNC((E999*F999),8)</f>
        <v/>
      </c>
      <c r="H999" s="49">
        <f>ROUND(((1+$H$4)^(30/360))^(C999/(EDATE(D999-B999,1)-(D999-B999))),9)</f>
        <v/>
      </c>
      <c r="I999" s="49">
        <f>TRUNC((G999*H999-G999),8)</f>
        <v/>
      </c>
      <c r="J999" s="49">
        <f>G999+I999</f>
        <v/>
      </c>
      <c r="K999" s="256" t="n"/>
      <c r="L999" s="256" t="n"/>
      <c r="M999" s="256" t="n"/>
      <c r="N999" s="256" t="n"/>
      <c r="O999" s="256" t="n"/>
      <c r="P999" s="256" t="n"/>
      <c r="Q999" s="256" t="n"/>
    </row>
    <row r="1000">
      <c r="A1000">
        <f>IF(DAY(D1000)=DAY($L$1+1),A999+1,A999)</f>
        <v/>
      </c>
      <c r="B1000" s="46">
        <f>IF(DAY(D1000)=DAY($L$1+1),1,B999+1)</f>
        <v/>
      </c>
      <c r="C1000" s="46">
        <f>IF(DAY(D1000)=DAY($L$1+1),1,C999+1)</f>
        <v/>
      </c>
      <c r="D1000" s="2">
        <f>D999+1</f>
        <v/>
      </c>
      <c r="E1000" s="8">
        <f>IF(DAY(D1000)=DAY($L$1+1),TRUNC((#REF!),8),E999)</f>
        <v/>
      </c>
      <c r="F1000" s="49">
        <f>TRUNC(((1+VLOOKUP(A1000,IPCA!$A$2:$C$140,3,0)))^(C1000/(EDATE(D1000-C1000,1)-(D1000-C1000))),8)</f>
        <v/>
      </c>
      <c r="G1000" s="49">
        <f>TRUNC((E1000*F1000),8)</f>
        <v/>
      </c>
      <c r="H1000" s="49">
        <f>ROUND(((1+$H$4)^(30/360))^(C1000/(EDATE(D1000-B1000,1)-(D1000-B1000))),9)</f>
        <v/>
      </c>
      <c r="I1000" s="49">
        <f>TRUNC((G1000*H1000-G1000),8)</f>
        <v/>
      </c>
      <c r="J1000" s="49">
        <f>G1000+I1000</f>
        <v/>
      </c>
      <c r="K1000" s="256" t="n"/>
      <c r="L1000" s="256" t="n"/>
      <c r="M1000" s="256" t="n"/>
      <c r="N1000" s="256" t="n"/>
      <c r="O1000" s="256" t="n"/>
      <c r="P1000" s="256" t="n"/>
      <c r="Q1000" s="256" t="n"/>
    </row>
    <row r="1001">
      <c r="A1001">
        <f>IF(DAY(D1001)=DAY($L$1+1),A1000+1,A1000)</f>
        <v/>
      </c>
      <c r="B1001" s="46">
        <f>IF(DAY(D1001)=DAY($L$1+1),1,B1000+1)</f>
        <v/>
      </c>
      <c r="C1001" s="46">
        <f>IF(DAY(D1001)=DAY($L$1+1),1,C1000+1)</f>
        <v/>
      </c>
      <c r="D1001" s="2">
        <f>D1000+1</f>
        <v/>
      </c>
      <c r="E1001" s="8">
        <f>IF(DAY(D1001)=DAY($L$1+1),TRUNC((#REF!),8),E1000)</f>
        <v/>
      </c>
      <c r="F1001" s="49">
        <f>TRUNC(((1+VLOOKUP(A1001,IPCA!$A$2:$C$140,3,0)))^(C1001/(EDATE(D1001-C1001,1)-(D1001-C1001))),8)</f>
        <v/>
      </c>
      <c r="G1001" s="49">
        <f>TRUNC((E1001*F1001),8)</f>
        <v/>
      </c>
      <c r="H1001" s="49">
        <f>ROUND(((1+$H$4)^(30/360))^(C1001/(EDATE(D1001-B1001,1)-(D1001-B1001))),9)</f>
        <v/>
      </c>
      <c r="I1001" s="49">
        <f>TRUNC((G1001*H1001-G1001),8)</f>
        <v/>
      </c>
      <c r="J1001" s="49">
        <f>G1001+I1001</f>
        <v/>
      </c>
      <c r="K1001" s="256" t="n"/>
      <c r="L1001" s="256" t="n"/>
      <c r="M1001" s="256" t="n"/>
      <c r="N1001" s="256" t="n"/>
      <c r="O1001" s="256" t="n"/>
      <c r="P1001" s="256" t="n"/>
      <c r="Q1001" s="256" t="n"/>
    </row>
    <row r="1002">
      <c r="A1002">
        <f>IF(DAY(D1002)=DAY($L$1+1),A1001+1,A1001)</f>
        <v/>
      </c>
      <c r="B1002" s="46">
        <f>IF(DAY(D1002)=DAY($L$1+1),1,B1001+1)</f>
        <v/>
      </c>
      <c r="C1002" s="46">
        <f>IF(DAY(D1002)=DAY($L$1+1),1,C1001+1)</f>
        <v/>
      </c>
      <c r="D1002" s="2">
        <f>D1001+1</f>
        <v/>
      </c>
      <c r="E1002" s="8">
        <f>IF(DAY(D1002)=DAY($L$1+1),TRUNC((#REF!),8),E1001)</f>
        <v/>
      </c>
      <c r="F1002" s="49">
        <f>TRUNC(((1+VLOOKUP(A1002,IPCA!$A$2:$C$140,3,0)))^(C1002/(EDATE(D1002-C1002,1)-(D1002-C1002))),8)</f>
        <v/>
      </c>
      <c r="G1002" s="49">
        <f>TRUNC((E1002*F1002),8)</f>
        <v/>
      </c>
      <c r="H1002" s="49">
        <f>ROUND(((1+$H$4)^(30/360))^(C1002/(EDATE(D1002-B1002,1)-(D1002-B1002))),9)</f>
        <v/>
      </c>
      <c r="I1002" s="49">
        <f>TRUNC((G1002*H1002-G1002),8)</f>
        <v/>
      </c>
      <c r="J1002" s="49">
        <f>G1002+I1002</f>
        <v/>
      </c>
      <c r="K1002" s="256" t="n"/>
      <c r="L1002" s="256" t="n"/>
      <c r="M1002" s="256" t="n"/>
      <c r="N1002" s="256" t="n"/>
      <c r="O1002" s="256" t="n"/>
      <c r="P1002" s="256" t="n"/>
      <c r="Q1002" s="256" t="n"/>
    </row>
    <row r="1003">
      <c r="A1003">
        <f>IF(DAY(D1003)=DAY($L$1+1),A1002+1,A1002)</f>
        <v/>
      </c>
      <c r="B1003" s="46">
        <f>IF(DAY(D1003)=DAY($L$1+1),1,B1002+1)</f>
        <v/>
      </c>
      <c r="C1003" s="46">
        <f>IF(DAY(D1003)=DAY($L$1+1),1,C1002+1)</f>
        <v/>
      </c>
      <c r="D1003" s="2">
        <f>D1002+1</f>
        <v/>
      </c>
      <c r="E1003" s="8">
        <f>IF(DAY(D1003)=DAY($L$1+1),TRUNC((#REF!),8),E1002)</f>
        <v/>
      </c>
      <c r="F1003" s="49">
        <f>TRUNC(((1+VLOOKUP(A1003,IPCA!$A$2:$C$140,3,0)))^(C1003/(EDATE(D1003-C1003,1)-(D1003-C1003))),8)</f>
        <v/>
      </c>
      <c r="G1003" s="49">
        <f>TRUNC((E1003*F1003),8)</f>
        <v/>
      </c>
      <c r="H1003" s="49">
        <f>ROUND(((1+$H$4)^(30/360))^(C1003/(EDATE(D1003-B1003,1)-(D1003-B1003))),9)</f>
        <v/>
      </c>
      <c r="I1003" s="49">
        <f>TRUNC((G1003*H1003-G1003),8)</f>
        <v/>
      </c>
      <c r="J1003" s="49">
        <f>G1003+I1003</f>
        <v/>
      </c>
      <c r="K1003" s="256" t="n"/>
      <c r="L1003" s="256" t="n"/>
      <c r="M1003" s="256" t="n"/>
      <c r="N1003" s="256" t="n"/>
      <c r="O1003" s="256" t="n"/>
      <c r="P1003" s="256" t="n"/>
      <c r="Q1003" s="256" t="n"/>
    </row>
    <row r="1004">
      <c r="A1004">
        <f>IF(DAY(D1004)=DAY($L$1+1),A1003+1,A1003)</f>
        <v/>
      </c>
      <c r="B1004" s="46">
        <f>IF(DAY(D1004)=DAY($L$1+1),1,B1003+1)</f>
        <v/>
      </c>
      <c r="C1004" s="46">
        <f>IF(DAY(D1004)=DAY($L$1+1),1,C1003+1)</f>
        <v/>
      </c>
      <c r="D1004" s="2">
        <f>D1003+1</f>
        <v/>
      </c>
      <c r="E1004" s="8">
        <f>IF(DAY(D1004)=DAY($L$1+1),TRUNC((#REF!),8),E1003)</f>
        <v/>
      </c>
      <c r="F1004" s="49">
        <f>TRUNC(((1+VLOOKUP(A1004,IPCA!$A$2:$C$140,3,0)))^(C1004/(EDATE(D1004-C1004,1)-(D1004-C1004))),8)</f>
        <v/>
      </c>
      <c r="G1004" s="49">
        <f>TRUNC((E1004*F1004),8)</f>
        <v/>
      </c>
      <c r="H1004" s="49">
        <f>ROUND(((1+$H$4)^(30/360))^(C1004/(EDATE(D1004-B1004,1)-(D1004-B1004))),9)</f>
        <v/>
      </c>
      <c r="I1004" s="49">
        <f>TRUNC((G1004*H1004-G1004),8)</f>
        <v/>
      </c>
      <c r="J1004" s="49">
        <f>G1004+I1004</f>
        <v/>
      </c>
      <c r="K1004" s="256" t="n"/>
      <c r="L1004" s="256" t="n"/>
      <c r="M1004" s="256" t="n"/>
      <c r="N1004" s="256" t="n"/>
      <c r="O1004" s="256" t="n"/>
      <c r="P1004" s="256" t="n"/>
      <c r="Q1004" s="256" t="n"/>
    </row>
    <row r="1005">
      <c r="A1005">
        <f>IF(DAY(D1005)=DAY($L$1+1),A1004+1,A1004)</f>
        <v/>
      </c>
      <c r="B1005" s="46">
        <f>IF(DAY(D1005)=DAY($L$1+1),1,B1004+1)</f>
        <v/>
      </c>
      <c r="C1005" s="46">
        <f>IF(DAY(D1005)=DAY($L$1+1),1,C1004+1)</f>
        <v/>
      </c>
      <c r="D1005" s="2">
        <f>D1004+1</f>
        <v/>
      </c>
      <c r="E1005" s="8">
        <f>IF(DAY(D1005)=DAY($L$1+1),TRUNC((#REF!),8),E1004)</f>
        <v/>
      </c>
      <c r="F1005" s="49">
        <f>TRUNC(((1+VLOOKUP(A1005,IPCA!$A$2:$C$140,3,0)))^(C1005/(EDATE(D1005-C1005,1)-(D1005-C1005))),8)</f>
        <v/>
      </c>
      <c r="G1005" s="49">
        <f>TRUNC((E1005*F1005),8)</f>
        <v/>
      </c>
      <c r="H1005" s="49">
        <f>ROUND(((1+$H$4)^(30/360))^(C1005/(EDATE(D1005-B1005,1)-(D1005-B1005))),9)</f>
        <v/>
      </c>
      <c r="I1005" s="49">
        <f>TRUNC((G1005*H1005-G1005),8)</f>
        <v/>
      </c>
      <c r="J1005" s="49">
        <f>G1005+I1005</f>
        <v/>
      </c>
      <c r="K1005" s="256" t="n"/>
      <c r="L1005" s="256" t="n"/>
      <c r="M1005" s="256" t="n"/>
      <c r="N1005" s="256" t="n"/>
      <c r="O1005" s="256" t="n"/>
      <c r="P1005" s="256" t="n"/>
      <c r="Q1005" s="256" t="n"/>
    </row>
    <row r="1006">
      <c r="A1006">
        <f>IF(DAY(D1006)=DAY($L$1+1),A1005+1,A1005)</f>
        <v/>
      </c>
      <c r="B1006" s="46">
        <f>IF(DAY(D1006)=DAY($L$1+1),1,B1005+1)</f>
        <v/>
      </c>
      <c r="C1006" s="46">
        <f>IF(DAY(D1006)=DAY($L$1+1),1,C1005+1)</f>
        <v/>
      </c>
      <c r="D1006" s="2">
        <f>D1005+1</f>
        <v/>
      </c>
      <c r="E1006" s="8">
        <f>IF(DAY(D1006)=DAY($L$1+1),TRUNC((#REF!),8),E1005)</f>
        <v/>
      </c>
      <c r="F1006" s="49">
        <f>TRUNC(((1+VLOOKUP(A1006,IPCA!$A$2:$C$140,3,0)))^(C1006/(EDATE(D1006-C1006,1)-(D1006-C1006))),8)</f>
        <v/>
      </c>
      <c r="G1006" s="49">
        <f>TRUNC((E1006*F1006),8)</f>
        <v/>
      </c>
      <c r="H1006" s="49">
        <f>ROUND(((1+$H$4)^(30/360))^(C1006/(EDATE(D1006-B1006,1)-(D1006-B1006))),9)</f>
        <v/>
      </c>
      <c r="I1006" s="49">
        <f>TRUNC((G1006*H1006-G1006),8)</f>
        <v/>
      </c>
      <c r="J1006" s="49">
        <f>G1006+I1006</f>
        <v/>
      </c>
      <c r="K1006" s="256" t="n"/>
      <c r="L1006" s="256" t="n"/>
      <c r="M1006" s="256" t="n"/>
      <c r="N1006" s="256" t="n"/>
      <c r="O1006" s="256" t="n"/>
      <c r="P1006" s="256" t="n"/>
      <c r="Q1006" s="256" t="n"/>
    </row>
    <row r="1007">
      <c r="A1007">
        <f>IF(DAY(D1007)=DAY($L$1+1),A1006+1,A1006)</f>
        <v/>
      </c>
      <c r="B1007" s="46">
        <f>IF(DAY(D1007)=DAY($L$1+1),1,B1006+1)</f>
        <v/>
      </c>
      <c r="C1007" s="46">
        <f>IF(DAY(D1007)=DAY($L$1+1),1,C1006+1)</f>
        <v/>
      </c>
      <c r="D1007" s="2">
        <f>D1006+1</f>
        <v/>
      </c>
      <c r="E1007" s="8">
        <f>IF(DAY(D1007)=DAY($L$1+1),TRUNC((#REF!),8),E1006)</f>
        <v/>
      </c>
      <c r="F1007" s="49">
        <f>TRUNC(((1+VLOOKUP(A1007,IPCA!$A$2:$C$140,3,0)))^(C1007/(EDATE(D1007-C1007,1)-(D1007-C1007))),8)</f>
        <v/>
      </c>
      <c r="G1007" s="49">
        <f>TRUNC((E1007*F1007),8)</f>
        <v/>
      </c>
      <c r="H1007" s="49">
        <f>ROUND(((1+$H$4)^(30/360))^(C1007/(EDATE(D1007-B1007,1)-(D1007-B1007))),9)</f>
        <v/>
      </c>
      <c r="I1007" s="49">
        <f>TRUNC((G1007*H1007-G1007),8)</f>
        <v/>
      </c>
      <c r="J1007" s="49">
        <f>G1007+I1007</f>
        <v/>
      </c>
      <c r="K1007" s="256" t="n"/>
      <c r="L1007" s="256" t="n"/>
      <c r="M1007" s="256" t="n"/>
      <c r="N1007" s="256" t="n"/>
      <c r="O1007" s="256" t="n"/>
      <c r="P1007" s="256" t="n"/>
      <c r="Q1007" s="256" t="n"/>
    </row>
    <row r="1008">
      <c r="A1008">
        <f>IF(DAY(D1008)=DAY($L$1+1),A1007+1,A1007)</f>
        <v/>
      </c>
      <c r="B1008" s="46">
        <f>IF(DAY(D1008)=DAY($L$1+1),1,B1007+1)</f>
        <v/>
      </c>
      <c r="C1008" s="46">
        <f>IF(DAY(D1008)=DAY($L$1+1),1,C1007+1)</f>
        <v/>
      </c>
      <c r="D1008" s="2">
        <f>D1007+1</f>
        <v/>
      </c>
      <c r="E1008" s="8">
        <f>IF(DAY(D1008)=DAY($L$1+1),TRUNC((N1007),8),E1007)</f>
        <v/>
      </c>
      <c r="F1008" s="49">
        <f>TRUNC(((1+VLOOKUP(A1008,IPCA!$A$2:$C$140,3,0)))^(C1008/(EDATE(D1008-C1008,1)-(D1008-C1008))),8)</f>
        <v/>
      </c>
      <c r="G1008" s="49">
        <f>TRUNC((E1008*F1008),8)</f>
        <v/>
      </c>
      <c r="H1008" s="49">
        <f>ROUND(((1+$H$4)^(30/360))^(C1008/(EDATE(D1008-B1008,1)-(D1008-B1008))),9)</f>
        <v/>
      </c>
      <c r="I1008" s="49">
        <f>TRUNC((G1008*H1008-G1008),8)</f>
        <v/>
      </c>
      <c r="J1008" s="49">
        <f>G1008+I1008</f>
        <v/>
      </c>
      <c r="K1008" s="123" t="n"/>
      <c r="L1008" s="271" t="n"/>
      <c r="M1008" s="256" t="n"/>
      <c r="N1008" s="256" t="n"/>
      <c r="O1008" s="256" t="n"/>
      <c r="P1008" s="256" t="n"/>
      <c r="Q1008" s="256" t="n"/>
    </row>
    <row r="1009">
      <c r="A1009">
        <f>IF(DAY(D1009)=DAY($L$1+1),A1008+1,A1008)</f>
        <v/>
      </c>
      <c r="B1009" s="46">
        <f>IF(DAY(D1009)=DAY($L$1+1),1,B1008+1)</f>
        <v/>
      </c>
      <c r="C1009" s="46">
        <f>IF(DAY(D1009)=DAY($L$1+1),1,C1008+1)</f>
        <v/>
      </c>
      <c r="D1009" s="2">
        <f>D1008+1</f>
        <v/>
      </c>
      <c r="E1009" s="8">
        <f>IF(DAY(D1009)=DAY($L$1+1),TRUNC((N1008),8),E1008)</f>
        <v/>
      </c>
      <c r="F1009" s="49">
        <f>TRUNC(((1+VLOOKUP(A1009,IPCA!$A$2:$C$140,3,0)))^(C1009/(EDATE(D1009-C1009,1)-(D1009-C1009))),8)</f>
        <v/>
      </c>
      <c r="G1009" s="49">
        <f>TRUNC((E1009*F1009),8)</f>
        <v/>
      </c>
      <c r="H1009" s="49">
        <f>ROUND(((1+$H$4)^(30/360))^(C1009/(EDATE(D1009-B1009,1)-(D1009-B1009))),9)</f>
        <v/>
      </c>
      <c r="I1009" s="49">
        <f>TRUNC((G1009*H1009-G1009),8)</f>
        <v/>
      </c>
      <c r="J1009" s="49">
        <f>G1009+I1009</f>
        <v/>
      </c>
      <c r="K1009" s="256" t="n"/>
      <c r="L1009" s="256" t="n"/>
      <c r="M1009" s="256" t="n"/>
      <c r="N1009" s="256" t="n"/>
      <c r="O1009" s="256" t="n"/>
      <c r="P1009" s="256" t="n"/>
      <c r="Q1009" s="256" t="n"/>
    </row>
    <row r="1010">
      <c r="A1010">
        <f>IF(DAY(D1010)=DAY($L$1+1),A1009+1,A1009)</f>
        <v/>
      </c>
      <c r="B1010" s="46">
        <f>IF(DAY(D1010)=DAY($L$1+1),1,B1009+1)</f>
        <v/>
      </c>
      <c r="C1010" s="46">
        <f>IF(DAY(D1010)=DAY($L$1+1),1,C1009+1)</f>
        <v/>
      </c>
      <c r="D1010" s="2">
        <f>D1009+1</f>
        <v/>
      </c>
      <c r="E1010" s="8">
        <f>IF(DAY(D1010)=DAY($L$1+1),TRUNC((N1009),8),E1009)</f>
        <v/>
      </c>
      <c r="F1010" s="49">
        <f>TRUNC(((1+VLOOKUP(A1010,IPCA!$A$2:$C$140,3,0)))^(C1010/(EDATE(D1010-C1010,1)-(D1010-C1010))),8)</f>
        <v/>
      </c>
      <c r="G1010" s="49">
        <f>TRUNC((E1010*F1010),8)</f>
        <v/>
      </c>
      <c r="H1010" s="49">
        <f>ROUND(((1+$H$4)^(30/360))^(C1010/(EDATE(D1010-B1010,1)-(D1010-B1010))),9)</f>
        <v/>
      </c>
      <c r="I1010" s="49">
        <f>TRUNC((G1010*H1010-G1010),8)</f>
        <v/>
      </c>
      <c r="J1010" s="49">
        <f>G1010+I1010</f>
        <v/>
      </c>
      <c r="K1010" s="256" t="n"/>
      <c r="L1010" s="256" t="n"/>
      <c r="M1010" s="256" t="n"/>
      <c r="N1010" s="256" t="n"/>
      <c r="O1010" s="256" t="n"/>
      <c r="P1010" s="256" t="n"/>
      <c r="Q1010" s="256" t="n"/>
    </row>
    <row r="1011">
      <c r="A1011">
        <f>IF(DAY(D1011)=DAY($L$1+1),A1010+1,A1010)</f>
        <v/>
      </c>
      <c r="B1011" s="46">
        <f>IF(DAY(D1011)=DAY($L$1+1),1,B1010+1)</f>
        <v/>
      </c>
      <c r="C1011" s="46">
        <f>IF(DAY(D1011)=DAY($L$1+1),1,C1010+1)</f>
        <v/>
      </c>
      <c r="D1011" s="2">
        <f>D1010+1</f>
        <v/>
      </c>
      <c r="E1011" s="8">
        <f>IF(DAY(D1011)=DAY($L$1+1),TRUNC((N1010),8),E1010)</f>
        <v/>
      </c>
      <c r="F1011" s="49">
        <f>TRUNC(((1+VLOOKUP(A1011,IPCA!$A$2:$C$140,3,0)))^(C1011/(EDATE(D1011-C1011,1)-(D1011-C1011))),8)</f>
        <v/>
      </c>
      <c r="G1011" s="49">
        <f>TRUNC((E1011*F1011),8)</f>
        <v/>
      </c>
      <c r="H1011" s="49">
        <f>ROUND(((1+$H$4)^(30/360))^(C1011/(EDATE(D1011-B1011,1)-(D1011-B1011))),9)</f>
        <v/>
      </c>
      <c r="I1011" s="49">
        <f>TRUNC((G1011*H1011-G1011),8)</f>
        <v/>
      </c>
      <c r="J1011" s="49">
        <f>G1011+I1011</f>
        <v/>
      </c>
      <c r="K1011" s="256" t="n"/>
      <c r="L1011" s="256" t="n"/>
      <c r="M1011" s="256" t="n"/>
      <c r="N1011" s="256" t="n"/>
      <c r="O1011" s="256" t="n"/>
      <c r="P1011" s="256" t="n"/>
      <c r="Q1011" s="256" t="n"/>
    </row>
    <row r="1012">
      <c r="A1012">
        <f>IF(DAY(D1012)=DAY($L$1+1),A1011+1,A1011)</f>
        <v/>
      </c>
      <c r="B1012" s="46">
        <f>IF(DAY(D1012)=DAY($L$1+1),1,B1011+1)</f>
        <v/>
      </c>
      <c r="C1012" s="46">
        <f>IF(DAY(D1012)=DAY($L$1+1),1,C1011+1)</f>
        <v/>
      </c>
      <c r="D1012" s="2">
        <f>D1011+1</f>
        <v/>
      </c>
      <c r="E1012" s="8">
        <f>IF(DAY(D1012)=DAY($L$1+1),TRUNC((N1011),8),E1011)</f>
        <v/>
      </c>
      <c r="F1012" s="49">
        <f>TRUNC(((1+VLOOKUP(A1012,IPCA!$A$2:$C$140,3,0)))^(C1012/(EDATE(D1012-C1012,1)-(D1012-C1012))),8)</f>
        <v/>
      </c>
      <c r="G1012" s="49">
        <f>TRUNC((E1012*F1012),8)</f>
        <v/>
      </c>
      <c r="H1012" s="49">
        <f>ROUND(((1+$H$4)^(30/360))^(C1012/(EDATE(D1012-B1012,1)-(D1012-B1012))),9)</f>
        <v/>
      </c>
      <c r="I1012" s="49">
        <f>TRUNC((G1012*H1012-G1012),8)</f>
        <v/>
      </c>
      <c r="J1012" s="49">
        <f>G1012+I1012</f>
        <v/>
      </c>
      <c r="K1012" s="256" t="n"/>
      <c r="L1012" s="256" t="n"/>
      <c r="M1012" s="256" t="n"/>
      <c r="N1012" s="256" t="n"/>
      <c r="O1012" s="256" t="n"/>
      <c r="P1012" s="256" t="n"/>
      <c r="Q1012" s="256" t="n"/>
    </row>
    <row r="1013">
      <c r="A1013">
        <f>IF(DAY(D1013)=DAY($L$1+1),A1012+1,A1012)</f>
        <v/>
      </c>
      <c r="B1013" s="46">
        <f>IF(DAY(D1013)=DAY($L$1+1),1,B1012+1)</f>
        <v/>
      </c>
      <c r="C1013" s="46">
        <f>IF(DAY(D1013)=DAY($L$1+1),1,C1012+1)</f>
        <v/>
      </c>
      <c r="D1013" s="2">
        <f>D1012+1</f>
        <v/>
      </c>
      <c r="E1013" s="8">
        <f>IF(DAY(D1013)=DAY($L$1+1),TRUNC((N1012),8),E1012)</f>
        <v/>
      </c>
      <c r="F1013" s="49">
        <f>TRUNC(((1+VLOOKUP(A1013,IPCA!$A$2:$C$140,3,0)))^(C1013/(EDATE(D1013-C1013,1)-(D1013-C1013))),8)</f>
        <v/>
      </c>
      <c r="G1013" s="49">
        <f>TRUNC((E1013*F1013),8)</f>
        <v/>
      </c>
      <c r="H1013" s="49">
        <f>ROUND(((1+$H$4)^(30/360))^(C1013/(EDATE(D1013-B1013,1)-(D1013-B1013))),9)</f>
        <v/>
      </c>
      <c r="I1013" s="49">
        <f>TRUNC((G1013*H1013-G1013),8)</f>
        <v/>
      </c>
      <c r="J1013" s="49">
        <f>G1013+I1013</f>
        <v/>
      </c>
      <c r="K1013" s="256" t="n"/>
      <c r="L1013" s="256" t="n"/>
      <c r="M1013" s="256" t="n"/>
      <c r="N1013" s="256" t="n"/>
      <c r="O1013" s="256" t="n"/>
      <c r="P1013" s="256" t="n"/>
      <c r="Q1013" s="256" t="n"/>
    </row>
    <row r="1014">
      <c r="A1014">
        <f>IF(DAY(D1014)=DAY($L$1+1),A1013+1,A1013)</f>
        <v/>
      </c>
      <c r="B1014" s="46">
        <f>IF(DAY(D1014)=DAY($L$1+1),1,B1013+1)</f>
        <v/>
      </c>
      <c r="C1014" s="46">
        <f>IF(DAY(D1014)=DAY($L$1+1),1,C1013+1)</f>
        <v/>
      </c>
      <c r="D1014" s="2">
        <f>D1013+1</f>
        <v/>
      </c>
      <c r="E1014" s="8">
        <f>IF(DAY(D1014)=DAY($L$1+1),TRUNC((N1013),8),E1013)</f>
        <v/>
      </c>
      <c r="F1014" s="49">
        <f>TRUNC(((1+VLOOKUP(A1014,IPCA!$A$2:$C$140,3,0)))^(C1014/(EDATE(D1014-C1014,1)-(D1014-C1014))),8)</f>
        <v/>
      </c>
      <c r="G1014" s="49">
        <f>TRUNC((E1014*F1014),8)</f>
        <v/>
      </c>
      <c r="H1014" s="49">
        <f>ROUND(((1+$H$4)^(30/360))^(C1014/(EDATE(D1014-B1014,1)-(D1014-B1014))),9)</f>
        <v/>
      </c>
      <c r="I1014" s="49">
        <f>TRUNC((G1014*H1014-G1014),8)</f>
        <v/>
      </c>
      <c r="J1014" s="49">
        <f>G1014+I1014</f>
        <v/>
      </c>
      <c r="K1014" s="256" t="n"/>
      <c r="L1014" s="256" t="n"/>
      <c r="M1014" s="256" t="n"/>
      <c r="N1014" s="256" t="n"/>
      <c r="O1014" s="256" t="n"/>
      <c r="P1014" s="256" t="n"/>
      <c r="Q1014" s="256" t="n"/>
    </row>
    <row r="1015">
      <c r="A1015">
        <f>IF(DAY(D1015)=DAY($L$1+1),A1014+1,A1014)</f>
        <v/>
      </c>
      <c r="B1015" s="46">
        <f>IF(DAY(D1015)=DAY($L$1+1),1,B1014+1)</f>
        <v/>
      </c>
      <c r="C1015" s="46">
        <f>IF(DAY(D1015)=DAY($L$1+1),1,C1014+1)</f>
        <v/>
      </c>
      <c r="D1015" s="2">
        <f>D1014+1</f>
        <v/>
      </c>
      <c r="E1015" s="8">
        <f>IF(DAY(D1015)=DAY($L$1+1),TRUNC((N1014),8),E1014)</f>
        <v/>
      </c>
      <c r="F1015" s="49">
        <f>TRUNC(((1+VLOOKUP(A1015,IPCA!$A$2:$C$140,3,0)))^(C1015/(EDATE(D1015-C1015,1)-(D1015-C1015))),8)</f>
        <v/>
      </c>
      <c r="G1015" s="49">
        <f>TRUNC((E1015*F1015),8)</f>
        <v/>
      </c>
      <c r="H1015" s="49">
        <f>ROUND(((1+$H$4)^(30/360))^(C1015/(EDATE(D1015-B1015,1)-(D1015-B1015))),9)</f>
        <v/>
      </c>
      <c r="I1015" s="49">
        <f>TRUNC((G1015*H1015-G1015),8)</f>
        <v/>
      </c>
      <c r="J1015" s="49">
        <f>G1015+I1015</f>
        <v/>
      </c>
      <c r="K1015" s="256" t="n"/>
      <c r="L1015" s="256" t="n"/>
      <c r="M1015" s="256" t="n"/>
      <c r="N1015" s="256" t="n"/>
      <c r="O1015" s="256" t="n"/>
      <c r="P1015" s="256" t="n"/>
      <c r="Q1015" s="256" t="n"/>
    </row>
    <row r="1016">
      <c r="A1016">
        <f>IF(DAY(D1016)=DAY($L$1+1),A1015+1,A1015)</f>
        <v/>
      </c>
      <c r="B1016" s="46">
        <f>IF(DAY(D1016)=DAY($L$1+1),1,B1015+1)</f>
        <v/>
      </c>
      <c r="C1016" s="46">
        <f>IF(DAY(D1016)=DAY($L$1+1),1,C1015+1)</f>
        <v/>
      </c>
      <c r="D1016" s="2">
        <f>D1015+1</f>
        <v/>
      </c>
      <c r="E1016" s="8">
        <f>IF(DAY(D1016)=DAY($L$1+1),TRUNC((N1015),8),E1015)</f>
        <v/>
      </c>
      <c r="F1016" s="49">
        <f>TRUNC(((1+VLOOKUP(A1016,IPCA!$A$2:$C$140,3,0)))^(C1016/(EDATE(D1016-C1016,1)-(D1016-C1016))),8)</f>
        <v/>
      </c>
      <c r="G1016" s="49">
        <f>TRUNC((E1016*F1016),8)</f>
        <v/>
      </c>
      <c r="H1016" s="49">
        <f>ROUND(((1+$H$4)^(30/360))^(C1016/(EDATE(D1016-B1016,1)-(D1016-B1016))),9)</f>
        <v/>
      </c>
      <c r="I1016" s="49">
        <f>TRUNC((G1016*H1016-G1016),8)</f>
        <v/>
      </c>
      <c r="J1016" s="49">
        <f>G1016+I1016</f>
        <v/>
      </c>
      <c r="K1016" s="256" t="n"/>
      <c r="L1016" s="256" t="n"/>
      <c r="M1016" s="256" t="n"/>
      <c r="N1016" s="256" t="n"/>
      <c r="O1016" s="256" t="n"/>
      <c r="P1016" s="256" t="n"/>
      <c r="Q1016" s="256" t="n"/>
    </row>
    <row r="1017">
      <c r="A1017">
        <f>IF(DAY(D1017)=DAY($L$1+1),A1016+1,A1016)</f>
        <v/>
      </c>
      <c r="B1017" s="46">
        <f>IF(DAY(D1017)=DAY($L$1+1),1,B1016+1)</f>
        <v/>
      </c>
      <c r="C1017" s="46">
        <f>IF(DAY(D1017)=DAY($L$1+1),1,C1016+1)</f>
        <v/>
      </c>
      <c r="D1017" s="2">
        <f>D1016+1</f>
        <v/>
      </c>
      <c r="E1017" s="8">
        <f>IF(DAY(D1017)=DAY($L$1+1),TRUNC((N1016),8),E1016)</f>
        <v/>
      </c>
      <c r="F1017" s="49">
        <f>TRUNC(((1+VLOOKUP(A1017,IPCA!$A$2:$C$140,3,0)))^(C1017/(EDATE(D1017-C1017,1)-(D1017-C1017))),8)</f>
        <v/>
      </c>
      <c r="G1017" s="49">
        <f>TRUNC((E1017*F1017),8)</f>
        <v/>
      </c>
      <c r="H1017" s="49">
        <f>ROUND(((1+$H$4)^(30/360))^(C1017/(EDATE(D1017-B1017,1)-(D1017-B1017))),9)</f>
        <v/>
      </c>
      <c r="I1017" s="49">
        <f>TRUNC((G1017*H1017-G1017),8)</f>
        <v/>
      </c>
      <c r="J1017" s="49">
        <f>G1017+I1017</f>
        <v/>
      </c>
      <c r="K1017" s="256" t="n"/>
      <c r="L1017" s="256" t="n"/>
      <c r="M1017" s="256" t="n"/>
      <c r="N1017" s="256" t="n"/>
      <c r="O1017" s="256" t="n"/>
      <c r="P1017" s="256" t="n"/>
      <c r="Q1017" s="256" t="n"/>
    </row>
    <row r="1018">
      <c r="A1018">
        <f>IF(DAY(D1018)=DAY($L$1+1),A1017+1,A1017)</f>
        <v/>
      </c>
      <c r="B1018" s="46">
        <f>IF(DAY(D1018)=DAY($L$1+1),1,B1017+1)</f>
        <v/>
      </c>
      <c r="C1018" s="46">
        <f>IF(DAY(D1018)=DAY($L$1+1),1,C1017+1)</f>
        <v/>
      </c>
      <c r="D1018" s="2">
        <f>D1017+1</f>
        <v/>
      </c>
      <c r="E1018" s="8">
        <f>IF(DAY(D1018)=DAY($L$1+1),TRUNC((N1017),8),E1017)</f>
        <v/>
      </c>
      <c r="F1018" s="49">
        <f>TRUNC(((1+VLOOKUP(A1018,IPCA!$A$2:$C$140,3,0)))^(C1018/(EDATE(D1018-C1018,1)-(D1018-C1018))),8)</f>
        <v/>
      </c>
      <c r="G1018" s="49">
        <f>TRUNC((E1018*F1018),8)</f>
        <v/>
      </c>
      <c r="H1018" s="49">
        <f>ROUND(((1+$H$4)^(30/360))^(C1018/(EDATE(D1018-B1018,1)-(D1018-B1018))),9)</f>
        <v/>
      </c>
      <c r="I1018" s="49">
        <f>TRUNC((G1018*H1018-G1018),8)</f>
        <v/>
      </c>
      <c r="J1018" s="49">
        <f>G1018+I1018</f>
        <v/>
      </c>
      <c r="K1018" s="256" t="n"/>
      <c r="L1018" s="256" t="n"/>
      <c r="M1018" s="256" t="n"/>
      <c r="N1018" s="256" t="n"/>
      <c r="O1018" s="256" t="n"/>
      <c r="P1018" s="256" t="n"/>
      <c r="Q1018" s="256" t="n"/>
    </row>
    <row r="1019">
      <c r="A1019">
        <f>IF(DAY(D1019)=DAY($L$1+1),A1018+1,A1018)</f>
        <v/>
      </c>
      <c r="B1019" s="46">
        <f>IF(DAY(D1019)=DAY($L$1+1),1,B1018+1)</f>
        <v/>
      </c>
      <c r="C1019" s="46">
        <f>IF(DAY(D1019)=DAY($L$1+1),1,C1018+1)</f>
        <v/>
      </c>
      <c r="D1019" s="2">
        <f>D1018+1</f>
        <v/>
      </c>
      <c r="E1019" s="8">
        <f>IF(DAY(D1019)=DAY($L$1+1),TRUNC((N1018),8),E1018)</f>
        <v/>
      </c>
      <c r="F1019" s="49">
        <f>TRUNC(((1+VLOOKUP(A1019,IPCA!$A$2:$C$140,3,0)))^(C1019/(EDATE(D1019-C1019,1)-(D1019-C1019))),8)</f>
        <v/>
      </c>
      <c r="G1019" s="49">
        <f>TRUNC((E1019*F1019),8)</f>
        <v/>
      </c>
      <c r="H1019" s="49">
        <f>ROUND(((1+$H$4)^(30/360))^(C1019/(EDATE(D1019-B1019,1)-(D1019-B1019))),9)</f>
        <v/>
      </c>
      <c r="I1019" s="49">
        <f>TRUNC((G1019*H1019-G1019),8)</f>
        <v/>
      </c>
      <c r="J1019" s="49">
        <f>G1019+I1019</f>
        <v/>
      </c>
      <c r="K1019" s="256" t="n"/>
      <c r="L1019" s="256" t="n"/>
      <c r="M1019" s="256" t="n"/>
      <c r="N1019" s="256" t="n"/>
      <c r="O1019" s="256" t="n"/>
      <c r="P1019" s="256" t="n"/>
      <c r="Q1019" s="256" t="n"/>
    </row>
    <row r="1020">
      <c r="A1020">
        <f>IF(DAY(D1020)=DAY($L$1+1),A1019+1,A1019)</f>
        <v/>
      </c>
      <c r="B1020" s="46">
        <f>IF(DAY(D1020)=DAY($L$1+1),1,B1019+1)</f>
        <v/>
      </c>
      <c r="C1020" s="46">
        <f>IF(DAY(D1020)=DAY($L$1+1),1,C1019+1)</f>
        <v/>
      </c>
      <c r="D1020" s="2">
        <f>D1019+1</f>
        <v/>
      </c>
      <c r="E1020" s="8">
        <f>IF(DAY(D1020)=DAY($L$1+1),TRUNC((N1019),8),E1019)</f>
        <v/>
      </c>
      <c r="F1020" s="49">
        <f>TRUNC(((1+VLOOKUP(A1020,IPCA!$A$2:$C$140,3,0)))^(C1020/(EDATE(D1020-C1020,1)-(D1020-C1020))),8)</f>
        <v/>
      </c>
      <c r="G1020" s="49">
        <f>TRUNC((E1020*F1020),8)</f>
        <v/>
      </c>
      <c r="H1020" s="49">
        <f>ROUND(((1+$H$4)^(30/360))^(C1020/(EDATE(D1020-B1020,1)-(D1020-B1020))),9)</f>
        <v/>
      </c>
      <c r="I1020" s="49">
        <f>TRUNC((G1020*H1020-G1020),8)</f>
        <v/>
      </c>
      <c r="J1020" s="49">
        <f>G1020+I1020</f>
        <v/>
      </c>
      <c r="K1020" s="256" t="n"/>
      <c r="L1020" s="256" t="n"/>
      <c r="M1020" s="256" t="n"/>
      <c r="N1020" s="256" t="n"/>
      <c r="O1020" s="256" t="n"/>
      <c r="P1020" s="256" t="n"/>
      <c r="Q1020" s="256" t="n"/>
    </row>
    <row r="1021">
      <c r="A1021">
        <f>IF(DAY(D1021)=DAY($L$1+1),A1020+1,A1020)</f>
        <v/>
      </c>
      <c r="B1021" s="46">
        <f>IF(DAY(D1021)=DAY($L$1+1),1,B1020+1)</f>
        <v/>
      </c>
      <c r="C1021" s="46">
        <f>IF(DAY(D1021)=DAY($L$1+1),1,C1020+1)</f>
        <v/>
      </c>
      <c r="D1021" s="2">
        <f>D1020+1</f>
        <v/>
      </c>
      <c r="E1021" s="8">
        <f>IF(DAY(D1021)=DAY($L$1+1),TRUNC((N1020),8),E1020)</f>
        <v/>
      </c>
      <c r="F1021" s="49">
        <f>TRUNC(((1+VLOOKUP(A1021,IPCA!$A$2:$C$140,3,0)))^(C1021/(EDATE(D1021-C1021,1)-(D1021-C1021))),8)</f>
        <v/>
      </c>
      <c r="G1021" s="49">
        <f>TRUNC((E1021*F1021),8)</f>
        <v/>
      </c>
      <c r="H1021" s="49">
        <f>ROUND(((1+$H$4)^(30/360))^(C1021/(EDATE(D1021-B1021,1)-(D1021-B1021))),9)</f>
        <v/>
      </c>
      <c r="I1021" s="49">
        <f>TRUNC((G1021*H1021-G1021),8)</f>
        <v/>
      </c>
      <c r="J1021" s="49">
        <f>G1021+I1021</f>
        <v/>
      </c>
      <c r="K1021" s="256" t="n"/>
      <c r="L1021" s="256" t="n"/>
      <c r="M1021" s="256" t="n"/>
      <c r="N1021" s="256" t="n"/>
      <c r="O1021" s="256" t="n"/>
      <c r="P1021" s="256" t="n"/>
      <c r="Q1021" s="256" t="n"/>
    </row>
    <row r="1022">
      <c r="A1022">
        <f>IF(DAY(D1022)=DAY($L$1+1),A1021+1,A1021)</f>
        <v/>
      </c>
      <c r="B1022" s="46">
        <f>IF(DAY(D1022)=DAY($L$1+1),1,B1021+1)</f>
        <v/>
      </c>
      <c r="C1022" s="46">
        <f>IF(DAY(D1022)=DAY($L$1+1),1,C1021+1)</f>
        <v/>
      </c>
      <c r="D1022" s="2">
        <f>D1021+1</f>
        <v/>
      </c>
      <c r="E1022" s="8">
        <f>IF(DAY(D1022)=DAY($L$1+1),TRUNC((N1021),8),E1021)</f>
        <v/>
      </c>
      <c r="F1022" s="49">
        <f>TRUNC(((1+VLOOKUP(A1022,IPCA!$A$2:$C$140,3,0)))^(C1022/(EDATE(D1022-C1022,1)-(D1022-C1022))),8)</f>
        <v/>
      </c>
      <c r="G1022" s="49">
        <f>TRUNC((E1022*F1022),8)</f>
        <v/>
      </c>
      <c r="H1022" s="49">
        <f>ROUND(((1+$H$4)^(30/360))^(C1022/(EDATE(D1022-B1022,1)-(D1022-B1022))),9)</f>
        <v/>
      </c>
      <c r="I1022" s="49">
        <f>TRUNC((G1022*H1022-G1022),8)</f>
        <v/>
      </c>
      <c r="J1022" s="49">
        <f>G1022+I1022</f>
        <v/>
      </c>
      <c r="K1022" s="256" t="inlineStr">
        <is>
          <t>Cri Integralizado</t>
        </is>
      </c>
      <c r="L1022" s="270">
        <f>L991</f>
        <v/>
      </c>
      <c r="M1022" s="256" t="n"/>
      <c r="N1022" s="256" t="n"/>
      <c r="O1022" s="256" t="n"/>
      <c r="P1022" s="256" t="n"/>
      <c r="Q1022" s="256" t="n"/>
    </row>
    <row r="1023">
      <c r="A1023">
        <f>IF(DAY(D1023)=DAY($L$1+1),A1022+1,A1022)</f>
        <v/>
      </c>
      <c r="B1023" s="46">
        <f>IF(DAY(D1023)=DAY($L$1+1),1,B1022+1)</f>
        <v/>
      </c>
      <c r="C1023" s="46">
        <f>IF(DAY(D1023)=DAY($L$1+1),1,C1022+1)</f>
        <v/>
      </c>
      <c r="D1023" s="47">
        <f>D1022+1</f>
        <v/>
      </c>
      <c r="E1023" s="8">
        <f>IF(DAY(D1023)=DAY($L$1+1),TRUNC((N1022),8),E1022)</f>
        <v/>
      </c>
      <c r="F1023" s="49">
        <f>TRUNC(((1+VLOOKUP(A1023,IPCA!$A$2:$C$140,3,0)))^(C1023/(EDATE(D1023-C1023,1)-(D1023-C1023))),8)</f>
        <v/>
      </c>
      <c r="G1023" s="49">
        <f>TRUNC((E1023*F1023),8)</f>
        <v/>
      </c>
      <c r="H1023" s="49">
        <f>ROUND(((1+$H$4)^(30/360))^(C1023/(EDATE(D1023-B1023,1)-(D1023-B1023))),9)</f>
        <v/>
      </c>
      <c r="I1023" s="49">
        <f>TRUNC((G1023*H1023-G1023),8)</f>
        <v/>
      </c>
      <c r="J1023" s="49">
        <f>G1023+I1023</f>
        <v/>
      </c>
      <c r="K1023" s="118" t="inlineStr">
        <is>
          <t>JUROS</t>
        </is>
      </c>
      <c r="L1023" s="118" t="inlineStr">
        <is>
          <t>AMORTIZAÇÃO</t>
        </is>
      </c>
      <c r="M1023" s="118" t="inlineStr">
        <is>
          <t>AMEX</t>
        </is>
      </c>
      <c r="N1023" s="118" t="inlineStr">
        <is>
          <t>RESIDUAL</t>
        </is>
      </c>
      <c r="O1023" s="256" t="n"/>
      <c r="P1023" s="256" t="n"/>
      <c r="Q1023" s="256" t="n"/>
    </row>
    <row r="1024">
      <c r="A1024">
        <f>IF(DAY(D1024)=DAY($L$1+1),A1023+1,A1023)</f>
        <v/>
      </c>
      <c r="B1024" s="111">
        <f>IF(DAY(D1024)=DAY($L$1+1),1,B1023+1)</f>
        <v/>
      </c>
      <c r="C1024" s="111">
        <f>IF(DAY(D1024)=DAY($L$1+1),1,C1023+1)</f>
        <v/>
      </c>
      <c r="D1024" s="112">
        <f>D1023+1</f>
        <v/>
      </c>
      <c r="E1024" s="113">
        <f>IF(DAY(D1024)=DAY($L$1+1),TRUNC((N1023),8),E1023)</f>
        <v/>
      </c>
      <c r="F1024" s="114">
        <f>TRUNC(((1+VLOOKUP(A1024,IPCA!$A$2:$C$140,3,0)))^(C1024/(EDATE(D1024-C1024,1)-(D1024-C1024))),8)</f>
        <v/>
      </c>
      <c r="G1024" s="114">
        <f>TRUNC((E1024*F1024),8)</f>
        <v/>
      </c>
      <c r="H1024" s="114">
        <f>ROUND(((1+$H$4)^(30/360))^(C1024/(EDATE(D1024-B1024,1)-(D1024-B1024))),9)</f>
        <v/>
      </c>
      <c r="I1024" s="114">
        <f>TRUNC((G1024*H1024-G1024),8)</f>
        <v/>
      </c>
      <c r="J1024" s="114">
        <f>G1024+I1024</f>
        <v/>
      </c>
      <c r="K1024" s="119" t="n"/>
      <c r="L1024" s="120" t="n"/>
      <c r="M1024" s="120" t="n">
        <v>0</v>
      </c>
      <c r="N1024" s="120">
        <f>J1024-K1024-L1024-M1024</f>
        <v/>
      </c>
      <c r="O1024" s="256" t="n"/>
      <c r="P1024" s="256" t="n"/>
      <c r="Q1024" s="256" t="n"/>
    </row>
    <row r="1025">
      <c r="A1025">
        <f>IF(DAY(D1025)=DAY($L$1+1),A1024+1,A1024)</f>
        <v/>
      </c>
      <c r="B1025" s="46">
        <f>IF(DAY(D1025)=DAY($L$1+1),1,B1024+1)</f>
        <v/>
      </c>
      <c r="C1025" s="46">
        <f>IF(DAY(D1025)=DAY($L$1+1),1,C1024+1)</f>
        <v/>
      </c>
      <c r="D1025" s="2">
        <f>D1024+1</f>
        <v/>
      </c>
      <c r="E1025" s="8">
        <f>IF(DAY(D1025)=DAY($L$1+1),TRUNC((N1024),8),E1024)</f>
        <v/>
      </c>
      <c r="F1025" s="49">
        <f>TRUNC(((1+VLOOKUP(A1025,IPCA!$A$2:$C$140,3,0)))^(C1025/(EDATE(D1025-C1025,1)-(D1025-C1025))),8)</f>
        <v/>
      </c>
      <c r="G1025" s="49">
        <f>TRUNC((E1025*F1025),8)</f>
        <v/>
      </c>
      <c r="H1025" s="49">
        <f>ROUND(((1+$H$4)^(30/360))^(C1025/(EDATE(D1025-B1025,1)-(D1025-B1025))),9)</f>
        <v/>
      </c>
      <c r="I1025" s="49">
        <f>TRUNC((G1025*H1025-G1025),8)</f>
        <v/>
      </c>
      <c r="J1025" s="49">
        <f>G1025+I1025</f>
        <v/>
      </c>
      <c r="K1025" s="121">
        <f>K1024*L1022</f>
        <v/>
      </c>
      <c r="L1025" s="121">
        <f>L1024*L1022</f>
        <v/>
      </c>
      <c r="M1025" s="121">
        <f>M1024*L1022</f>
        <v/>
      </c>
      <c r="N1025" s="121">
        <f>N1024*L1022</f>
        <v/>
      </c>
      <c r="O1025" s="256" t="n"/>
      <c r="P1025" s="256" t="n"/>
      <c r="Q1025" s="256" t="n"/>
    </row>
    <row r="1026">
      <c r="A1026">
        <f>IF(DAY(D1026)=DAY($L$1+1),A1025+1,A1025)</f>
        <v/>
      </c>
      <c r="B1026" s="46">
        <f>IF(DAY(D1026)=DAY($L$1+1),1,B1025+1)</f>
        <v/>
      </c>
      <c r="C1026" s="46">
        <f>IF(DAY(D1026)=DAY($L$1+1),1,C1025+1)</f>
        <v/>
      </c>
      <c r="D1026" s="47">
        <f>D1025+1</f>
        <v/>
      </c>
      <c r="E1026" s="8">
        <f>IF(DAY(D1026)=DAY($L$1+1),TRUNC((N1025),8),E1025)</f>
        <v/>
      </c>
      <c r="F1026" s="49">
        <f>TRUNC(((1+VLOOKUP(A1026,IPCA!$A$2:$C$140,3,0)))^(C1026/(EDATE(D1026-C1026,1)-(D1026-C1026))),8)</f>
        <v/>
      </c>
      <c r="G1026" s="49">
        <f>TRUNC((E1026*F1026),8)</f>
        <v/>
      </c>
      <c r="H1026" s="49">
        <f>ROUND(((1+$H$4)^(30/360))^(C1026/(EDATE(D1026-B1026,1)-(D1026-B1026))),9)</f>
        <v/>
      </c>
      <c r="I1026" s="49">
        <f>TRUNC((G1026*H1026-G1026),8)</f>
        <v/>
      </c>
      <c r="J1026" s="49">
        <f>G1026+I1026</f>
        <v/>
      </c>
      <c r="K1026" s="256" t="n"/>
      <c r="L1026" s="256" t="n"/>
      <c r="M1026" s="256" t="n"/>
      <c r="N1026" s="256" t="n"/>
      <c r="O1026" s="256" t="n"/>
      <c r="P1026" s="256" t="n"/>
      <c r="Q1026" s="256" t="n"/>
    </row>
    <row r="1027">
      <c r="A1027">
        <f>IF(DAY(D1027)=DAY($L$1+1),A1026+1,A1026)</f>
        <v/>
      </c>
      <c r="B1027" s="46">
        <f>IF(DAY(D1027)=DAY($L$1+1),1,B1026+1)</f>
        <v/>
      </c>
      <c r="C1027" s="46">
        <f>IF(DAY(D1027)=DAY($L$1+1),1,C1026+1)</f>
        <v/>
      </c>
      <c r="D1027" s="2">
        <f>D1026+1</f>
        <v/>
      </c>
      <c r="E1027" s="8">
        <f>IF(DAY(D1027)=DAY($L$1+1),TRUNC((#REF!),8),E1026)</f>
        <v/>
      </c>
      <c r="F1027" s="49">
        <f>TRUNC(((1+VLOOKUP(A1027,IPCA!$A$2:$C$140,3,0)))^(C1027/(EDATE(D1027-C1027,1)-(D1027-C1027))),8)</f>
        <v/>
      </c>
      <c r="G1027" s="49">
        <f>TRUNC((E1027*F1027),8)</f>
        <v/>
      </c>
      <c r="H1027" s="49">
        <f>ROUND(((1+$H$4)^(30/360))^(C1027/(EDATE(D1027-B1027,1)-(D1027-B1027))),9)</f>
        <v/>
      </c>
      <c r="I1027" s="49">
        <f>TRUNC((G1027*H1027-G1027),8)</f>
        <v/>
      </c>
      <c r="J1027" s="49">
        <f>G1027+I1027</f>
        <v/>
      </c>
      <c r="K1027" s="256" t="n"/>
      <c r="L1027" s="256" t="n"/>
      <c r="M1027" s="256" t="n"/>
      <c r="N1027" s="256" t="n"/>
      <c r="O1027" s="256" t="n"/>
      <c r="P1027" s="256" t="n"/>
      <c r="Q1027" s="256" t="n"/>
    </row>
    <row r="1028">
      <c r="A1028">
        <f>IF(DAY(D1028)=DAY($L$1+1),A1027+1,A1027)</f>
        <v/>
      </c>
      <c r="B1028" s="46">
        <f>IF(DAY(D1028)=DAY($L$1+1),1,B1027+1)</f>
        <v/>
      </c>
      <c r="C1028" s="46">
        <f>IF(DAY(D1028)=DAY($L$1+1),1,C1027+1)</f>
        <v/>
      </c>
      <c r="D1028" s="2">
        <f>D1027+1</f>
        <v/>
      </c>
      <c r="E1028" s="8">
        <f>IF(DAY(D1028)=DAY($L$1+1),TRUNC((#REF!),8),E1027)</f>
        <v/>
      </c>
      <c r="F1028" s="49">
        <f>TRUNC(((1+VLOOKUP(A1028,IPCA!$A$2:$C$140,3,0)))^(C1028/(EDATE(D1028-C1028,1)-(D1028-C1028))),8)</f>
        <v/>
      </c>
      <c r="G1028" s="49">
        <f>TRUNC((E1028*F1028),8)</f>
        <v/>
      </c>
      <c r="H1028" s="49">
        <f>ROUND(((1+$H$4)^(30/360))^(C1028/(EDATE(D1028-B1028,1)-(D1028-B1028))),9)</f>
        <v/>
      </c>
      <c r="I1028" s="49">
        <f>TRUNC((G1028*H1028-G1028),8)</f>
        <v/>
      </c>
      <c r="J1028" s="49">
        <f>G1028+I1028</f>
        <v/>
      </c>
      <c r="K1028" s="256" t="n"/>
      <c r="L1028" s="256" t="n"/>
      <c r="M1028" s="256" t="n"/>
      <c r="N1028" s="256" t="n"/>
      <c r="O1028" s="256" t="n"/>
      <c r="P1028" s="256" t="n"/>
      <c r="Q1028" s="256" t="n"/>
    </row>
    <row r="1029">
      <c r="A1029">
        <f>IF(DAY(D1029)=DAY($L$1+1),A1028+1,A1028)</f>
        <v/>
      </c>
      <c r="B1029" s="46">
        <f>IF(DAY(D1029)=DAY($L$1+1),1,B1028+1)</f>
        <v/>
      </c>
      <c r="C1029" s="46">
        <f>IF(DAY(D1029)=DAY($L$1+1),1,C1028+1)</f>
        <v/>
      </c>
      <c r="D1029" s="2">
        <f>D1028+1</f>
        <v/>
      </c>
      <c r="E1029" s="8">
        <f>IF(DAY(D1029)=DAY($L$1+1),TRUNC((#REF!),8),E1028)</f>
        <v/>
      </c>
      <c r="F1029" s="49">
        <f>TRUNC(((1+VLOOKUP(A1029,IPCA!$A$2:$C$140,3,0)))^(C1029/(EDATE(D1029-C1029,1)-(D1029-C1029))),8)</f>
        <v/>
      </c>
      <c r="G1029" s="49">
        <f>TRUNC((E1029*F1029),8)</f>
        <v/>
      </c>
      <c r="H1029" s="49">
        <f>ROUND(((1+$H$4)^(30/360))^(C1029/(EDATE(D1029-B1029,1)-(D1029-B1029))),9)</f>
        <v/>
      </c>
      <c r="I1029" s="49">
        <f>TRUNC((G1029*H1029-G1029),8)</f>
        <v/>
      </c>
      <c r="J1029" s="49">
        <f>G1029+I1029</f>
        <v/>
      </c>
      <c r="K1029" s="256" t="n">
        <v>0.01092696</v>
      </c>
      <c r="L1029" s="256" t="n">
        <v>0.008379960000000001</v>
      </c>
      <c r="M1029" s="256" t="n"/>
      <c r="N1029" s="256" t="n"/>
      <c r="O1029" s="256" t="n"/>
      <c r="P1029" s="256" t="n"/>
      <c r="Q1029" s="256" t="n"/>
    </row>
    <row r="1030">
      <c r="A1030">
        <f>IF(DAY(D1030)=DAY($L$1+1),A1029+1,A1029)</f>
        <v/>
      </c>
      <c r="B1030" s="46">
        <f>IF(DAY(D1030)=DAY($L$1+1),1,B1029+1)</f>
        <v/>
      </c>
      <c r="C1030" s="46">
        <f>IF(DAY(D1030)=DAY($L$1+1),1,C1029+1)</f>
        <v/>
      </c>
      <c r="D1030" s="2">
        <f>D1029+1</f>
        <v/>
      </c>
      <c r="E1030" s="8">
        <f>IF(DAY(D1030)=DAY($L$1+1),TRUNC((#REF!),8),E1029)</f>
        <v/>
      </c>
      <c r="F1030" s="49">
        <f>TRUNC(((1+VLOOKUP(A1030,IPCA!$A$2:$C$140,3,0)))^(C1030/(EDATE(D1030-C1030,1)-(D1030-C1030))),8)</f>
        <v/>
      </c>
      <c r="G1030" s="49">
        <f>TRUNC((E1030*F1030),8)</f>
        <v/>
      </c>
      <c r="H1030" s="49">
        <f>ROUND(((1+$H$4)^(30/360))^(C1030/(EDATE(D1030-B1030,1)-(D1030-B1030))),9)</f>
        <v/>
      </c>
      <c r="I1030" s="49">
        <f>TRUNC((G1030*H1030-G1030),8)</f>
        <v/>
      </c>
      <c r="J1030" s="49">
        <f>G1030+I1030</f>
        <v/>
      </c>
      <c r="K1030" s="256" t="n"/>
      <c r="L1030" s="256" t="n"/>
      <c r="M1030" s="256" t="n"/>
      <c r="N1030" s="256" t="n"/>
      <c r="O1030" s="256" t="n"/>
      <c r="P1030" s="256" t="n"/>
      <c r="Q1030" s="256" t="n"/>
    </row>
    <row r="1031">
      <c r="A1031">
        <f>IF(DAY(D1031)=DAY($L$1+1),A1030+1,A1030)</f>
        <v/>
      </c>
      <c r="B1031" s="46">
        <f>IF(DAY(D1031)=DAY($L$1+1),1,B1030+1)</f>
        <v/>
      </c>
      <c r="C1031" s="46">
        <f>IF(DAY(D1031)=DAY($L$1+1),1,C1030+1)</f>
        <v/>
      </c>
      <c r="D1031" s="2">
        <f>D1030+1</f>
        <v/>
      </c>
      <c r="E1031" s="8">
        <f>IF(DAY(D1031)=DAY($L$1+1),TRUNC((#REF!),8),E1030)</f>
        <v/>
      </c>
      <c r="F1031" s="49">
        <f>TRUNC(((1+VLOOKUP(A1031,IPCA!$A$2:$C$140,3,0)))^(C1031/(EDATE(D1031-C1031,1)-(D1031-C1031))),8)</f>
        <v/>
      </c>
      <c r="G1031" s="49">
        <f>TRUNC((E1031*F1031),8)</f>
        <v/>
      </c>
      <c r="H1031" s="49">
        <f>ROUND(((1+$H$4)^(30/360))^(C1031/(EDATE(D1031-B1031,1)-(D1031-B1031))),9)</f>
        <v/>
      </c>
      <c r="I1031" s="49">
        <f>TRUNC((G1031*H1031-G1031),8)</f>
        <v/>
      </c>
      <c r="J1031" s="49">
        <f>G1031+I1031</f>
        <v/>
      </c>
      <c r="K1031" s="256" t="n"/>
      <c r="L1031" s="256" t="n"/>
      <c r="M1031" s="256" t="n"/>
      <c r="N1031" s="256" t="n"/>
      <c r="O1031" s="256" t="n"/>
      <c r="P1031" s="256" t="n"/>
      <c r="Q1031" s="256" t="n"/>
    </row>
    <row r="1032">
      <c r="A1032">
        <f>IF(DAY(D1032)=DAY($L$1+1),A1031+1,A1031)</f>
        <v/>
      </c>
      <c r="B1032" s="46">
        <f>IF(DAY(D1032)=DAY($L$1+1),1,B1031+1)</f>
        <v/>
      </c>
      <c r="C1032" s="46">
        <f>IF(DAY(D1032)=DAY($L$1+1),1,C1031+1)</f>
        <v/>
      </c>
      <c r="D1032" s="2">
        <f>D1031+1</f>
        <v/>
      </c>
      <c r="E1032" s="8">
        <f>IF(DAY(D1032)=DAY($L$1+1),TRUNC((#REF!),8),E1031)</f>
        <v/>
      </c>
      <c r="F1032" s="49">
        <f>TRUNC(((1+VLOOKUP(A1032,IPCA!$A$2:$C$140,3,0)))^(C1032/(EDATE(D1032-C1032,1)-(D1032-C1032))),8)</f>
        <v/>
      </c>
      <c r="G1032" s="49">
        <f>TRUNC((E1032*F1032),8)</f>
        <v/>
      </c>
      <c r="H1032" s="49">
        <f>ROUND(((1+$H$4)^(30/360))^(C1032/(EDATE(D1032-B1032,1)-(D1032-B1032))),9)</f>
        <v/>
      </c>
      <c r="I1032" s="49">
        <f>TRUNC((G1032*H1032-G1032),8)</f>
        <v/>
      </c>
      <c r="J1032" s="49">
        <f>G1032+I1032</f>
        <v/>
      </c>
      <c r="K1032" s="256" t="n"/>
      <c r="L1032" s="256" t="n"/>
      <c r="M1032" s="256" t="n"/>
      <c r="N1032" s="256" t="n"/>
      <c r="O1032" s="256" t="n"/>
      <c r="P1032" s="256" t="n"/>
      <c r="Q1032" s="256" t="n"/>
    </row>
    <row r="1033">
      <c r="A1033">
        <f>IF(DAY(D1033)=DAY($L$1+1),A1032+1,A1032)</f>
        <v/>
      </c>
      <c r="B1033" s="46">
        <f>IF(DAY(D1033)=DAY($L$1+1),1,B1032+1)</f>
        <v/>
      </c>
      <c r="C1033" s="46">
        <f>IF(DAY(D1033)=DAY($L$1+1),1,C1032+1)</f>
        <v/>
      </c>
      <c r="D1033" s="2">
        <f>D1032+1</f>
        <v/>
      </c>
      <c r="E1033" s="8">
        <f>IF(DAY(D1033)=DAY($L$1+1),TRUNC((#REF!),8),E1032)</f>
        <v/>
      </c>
      <c r="F1033" s="49">
        <f>TRUNC(((1+VLOOKUP(A1033,IPCA!$A$2:$C$140,3,0)))^(C1033/(EDATE(D1033-C1033,1)-(D1033-C1033))),8)</f>
        <v/>
      </c>
      <c r="G1033" s="49">
        <f>TRUNC((E1033*F1033),8)</f>
        <v/>
      </c>
      <c r="H1033" s="49">
        <f>ROUND(((1+$H$4)^(30/360))^(C1033/(EDATE(D1033-B1033,1)-(D1033-B1033))),9)</f>
        <v/>
      </c>
      <c r="I1033" s="49">
        <f>TRUNC((G1033*H1033-G1033),8)</f>
        <v/>
      </c>
      <c r="J1033" s="49">
        <f>G1033+I1033</f>
        <v/>
      </c>
      <c r="K1033" s="256" t="n"/>
      <c r="L1033" s="256" t="n"/>
      <c r="M1033" s="256" t="n"/>
      <c r="N1033" s="256" t="n"/>
      <c r="O1033" s="256" t="n"/>
      <c r="P1033" s="256" t="n"/>
      <c r="Q1033" s="256" t="n"/>
    </row>
    <row r="1034">
      <c r="A1034">
        <f>IF(DAY(D1034)=DAY($L$1+1),A1033+1,A1033)</f>
        <v/>
      </c>
      <c r="B1034" s="46">
        <f>IF(DAY(D1034)=DAY($L$1+1),1,B1033+1)</f>
        <v/>
      </c>
      <c r="C1034" s="46">
        <f>IF(DAY(D1034)=DAY($L$1+1),1,C1033+1)</f>
        <v/>
      </c>
      <c r="D1034" s="2">
        <f>D1033+1</f>
        <v/>
      </c>
      <c r="E1034" s="8">
        <f>IF(DAY(D1034)=DAY($L$1+1),TRUNC((#REF!),8),E1033)</f>
        <v/>
      </c>
      <c r="F1034" s="49">
        <f>TRUNC(((1+VLOOKUP(A1034,IPCA!$A$2:$C$140,3,0)))^(C1034/(EDATE(D1034-C1034,1)-(D1034-C1034))),8)</f>
        <v/>
      </c>
      <c r="G1034" s="49">
        <f>TRUNC((E1034*F1034),8)</f>
        <v/>
      </c>
      <c r="H1034" s="49">
        <f>ROUND(((1+$H$4)^(30/360))^(C1034/(EDATE(D1034-B1034,1)-(D1034-B1034))),9)</f>
        <v/>
      </c>
      <c r="I1034" s="49">
        <f>TRUNC((G1034*H1034-G1034),8)</f>
        <v/>
      </c>
      <c r="J1034" s="49">
        <f>G1034+I1034</f>
        <v/>
      </c>
      <c r="K1034" s="256" t="n"/>
      <c r="L1034" s="256" t="n"/>
      <c r="M1034" s="256" t="n"/>
      <c r="N1034" s="256" t="n"/>
      <c r="O1034" s="256" t="n"/>
      <c r="P1034" s="256" t="n"/>
      <c r="Q1034" s="256" t="n"/>
    </row>
    <row r="1035">
      <c r="A1035">
        <f>IF(DAY(D1035)=DAY($L$1+1),A1034+1,A1034)</f>
        <v/>
      </c>
      <c r="B1035" s="46">
        <f>IF(DAY(D1035)=DAY($L$1+1),1,B1034+1)</f>
        <v/>
      </c>
      <c r="C1035" s="46">
        <f>IF(DAY(D1035)=DAY($L$1+1),1,C1034+1)</f>
        <v/>
      </c>
      <c r="D1035" s="2">
        <f>D1034+1</f>
        <v/>
      </c>
      <c r="E1035" s="8">
        <f>IF(DAY(D1035)=DAY($L$1+1),TRUNC((#REF!),8),E1034)</f>
        <v/>
      </c>
      <c r="F1035" s="49">
        <f>TRUNC(((1+VLOOKUP(A1035,IPCA!$A$2:$C$140,3,0)))^(C1035/(EDATE(D1035-C1035,1)-(D1035-C1035))),8)</f>
        <v/>
      </c>
      <c r="G1035" s="49">
        <f>TRUNC((E1035*F1035),8)</f>
        <v/>
      </c>
      <c r="H1035" s="49">
        <f>ROUND(((1+$H$4)^(30/360))^(C1035/(EDATE(D1035-B1035,1)-(D1035-B1035))),9)</f>
        <v/>
      </c>
      <c r="I1035" s="49">
        <f>TRUNC((G1035*H1035-G1035),8)</f>
        <v/>
      </c>
      <c r="J1035" s="49">
        <f>G1035+I1035</f>
        <v/>
      </c>
      <c r="K1035" s="256" t="n"/>
      <c r="L1035" s="256" t="n"/>
      <c r="M1035" s="256" t="n"/>
      <c r="N1035" s="256" t="n"/>
      <c r="O1035" s="256" t="n"/>
      <c r="P1035" s="256" t="n"/>
      <c r="Q1035" s="256" t="n"/>
    </row>
    <row r="1036">
      <c r="A1036">
        <f>IF(DAY(D1036)=DAY($L$1+1),A1035+1,A1035)</f>
        <v/>
      </c>
      <c r="B1036" s="46">
        <f>IF(DAY(D1036)=DAY($L$1+1),1,B1035+1)</f>
        <v/>
      </c>
      <c r="C1036" s="46">
        <f>IF(DAY(D1036)=DAY($L$1+1),1,C1035+1)</f>
        <v/>
      </c>
      <c r="D1036" s="2">
        <f>D1035+1</f>
        <v/>
      </c>
      <c r="E1036" s="8">
        <f>IF(DAY(D1036)=DAY($L$1+1),TRUNC((#REF!),8),E1035)</f>
        <v/>
      </c>
      <c r="F1036" s="49">
        <f>TRUNC(((1+VLOOKUP(A1036,IPCA!$A$2:$C$140,3,0)))^(C1036/(EDATE(D1036-C1036,1)-(D1036-C1036))),8)</f>
        <v/>
      </c>
      <c r="G1036" s="49">
        <f>TRUNC((E1036*F1036),8)</f>
        <v/>
      </c>
      <c r="H1036" s="49">
        <f>ROUND(((1+$H$4)^(30/360))^(C1036/(EDATE(D1036-B1036,1)-(D1036-B1036))),9)</f>
        <v/>
      </c>
      <c r="I1036" s="49">
        <f>TRUNC((G1036*H1036-G1036),8)</f>
        <v/>
      </c>
      <c r="J1036" s="49">
        <f>G1036+I1036</f>
        <v/>
      </c>
      <c r="K1036" s="256" t="n"/>
      <c r="L1036" s="256" t="n"/>
      <c r="M1036" s="256" t="n"/>
      <c r="N1036" s="256" t="n"/>
      <c r="O1036" s="256" t="n"/>
      <c r="P1036" s="256" t="n"/>
      <c r="Q1036" s="256" t="n"/>
    </row>
    <row r="1037">
      <c r="A1037">
        <f>IF(DAY(D1037)=DAY($L$1+1),A1036+1,A1036)</f>
        <v/>
      </c>
      <c r="B1037" s="46">
        <f>IF(DAY(D1037)=DAY($L$1+1),1,B1036+1)</f>
        <v/>
      </c>
      <c r="C1037" s="46">
        <f>IF(DAY(D1037)=DAY($L$1+1),1,C1036+1)</f>
        <v/>
      </c>
      <c r="D1037" s="2">
        <f>D1036+1</f>
        <v/>
      </c>
      <c r="E1037" s="8">
        <f>IF(DAY(D1037)=DAY($L$1+1),TRUNC((#REF!),8),E1036)</f>
        <v/>
      </c>
      <c r="F1037" s="49">
        <f>TRUNC(((1+VLOOKUP(A1037,IPCA!$A$2:$C$140,3,0)))^(C1037/(EDATE(D1037-C1037,1)-(D1037-C1037))),8)</f>
        <v/>
      </c>
      <c r="G1037" s="49">
        <f>TRUNC((E1037*F1037),8)</f>
        <v/>
      </c>
      <c r="H1037" s="49">
        <f>ROUND(((1+$H$4)^(30/360))^(C1037/(EDATE(D1037-B1037,1)-(D1037-B1037))),9)</f>
        <v/>
      </c>
      <c r="I1037" s="49">
        <f>TRUNC((G1037*H1037-G1037),8)</f>
        <v/>
      </c>
      <c r="J1037" s="49">
        <f>G1037+I1037</f>
        <v/>
      </c>
      <c r="K1037" s="256" t="n"/>
      <c r="L1037" s="256" t="n"/>
      <c r="M1037" s="256" t="n"/>
      <c r="N1037" s="256" t="n"/>
      <c r="O1037" s="256" t="n"/>
      <c r="P1037" s="256" t="n"/>
      <c r="Q1037" s="256" t="n"/>
    </row>
    <row r="1038">
      <c r="A1038">
        <f>IF(DAY(D1038)=DAY($L$1+1),A1037+1,A1037)</f>
        <v/>
      </c>
      <c r="B1038" s="46">
        <f>IF(DAY(D1038)=DAY($L$1+1),1,B1037+1)</f>
        <v/>
      </c>
      <c r="C1038" s="46">
        <f>IF(DAY(D1038)=DAY($L$1+1),1,C1037+1)</f>
        <v/>
      </c>
      <c r="D1038" s="2">
        <f>D1037+1</f>
        <v/>
      </c>
      <c r="E1038" s="8">
        <f>IF(DAY(D1038)=DAY($L$1+1),TRUNC((#REF!),8),E1037)</f>
        <v/>
      </c>
      <c r="F1038" s="49">
        <f>TRUNC(((1+VLOOKUP(A1038,IPCA!$A$2:$C$140,3,0)))^(C1038/(EDATE(D1038-C1038,1)-(D1038-C1038))),8)</f>
        <v/>
      </c>
      <c r="G1038" s="49">
        <f>TRUNC((E1038*F1038),8)</f>
        <v/>
      </c>
      <c r="H1038" s="49">
        <f>ROUND(((1+$H$4)^(30/360))^(C1038/(EDATE(D1038-B1038,1)-(D1038-B1038))),9)</f>
        <v/>
      </c>
      <c r="I1038" s="49">
        <f>TRUNC((G1038*H1038-G1038),8)</f>
        <v/>
      </c>
      <c r="J1038" s="49">
        <f>G1038+I1038</f>
        <v/>
      </c>
      <c r="K1038" s="256" t="n"/>
      <c r="L1038" s="256" t="n"/>
      <c r="M1038" s="256" t="n"/>
      <c r="N1038" s="256" t="n"/>
      <c r="O1038" s="256" t="n"/>
      <c r="P1038" s="256" t="n"/>
      <c r="Q1038" s="256" t="n"/>
    </row>
    <row r="1039">
      <c r="A1039">
        <f>IF(DAY(D1039)=DAY($L$1+1),A1038+1,A1038)</f>
        <v/>
      </c>
      <c r="B1039" s="46">
        <f>IF(DAY(D1039)=DAY($L$1+1),1,B1038+1)</f>
        <v/>
      </c>
      <c r="C1039" s="46">
        <f>IF(DAY(D1039)=DAY($L$1+1),1,C1038+1)</f>
        <v/>
      </c>
      <c r="D1039" s="2">
        <f>D1038+1</f>
        <v/>
      </c>
      <c r="E1039" s="8">
        <f>IF(DAY(D1039)=DAY($L$1+1),TRUNC((#REF!),8),E1038)</f>
        <v/>
      </c>
      <c r="F1039" s="49">
        <f>TRUNC(((1+VLOOKUP(A1039,IPCA!$A$2:$C$140,3,0)))^(C1039/(EDATE(D1039-C1039,1)-(D1039-C1039))),8)</f>
        <v/>
      </c>
      <c r="G1039" s="49">
        <f>TRUNC((E1039*F1039),8)</f>
        <v/>
      </c>
      <c r="H1039" s="49">
        <f>ROUND(((1+$H$4)^(30/360))^(C1039/(EDATE(D1039-B1039,1)-(D1039-B1039))),9)</f>
        <v/>
      </c>
      <c r="I1039" s="49">
        <f>TRUNC((G1039*H1039-G1039),8)</f>
        <v/>
      </c>
      <c r="J1039" s="49">
        <f>G1039+I1039</f>
        <v/>
      </c>
      <c r="K1039" s="256" t="n"/>
      <c r="L1039" s="256" t="n"/>
      <c r="M1039" s="256" t="n"/>
      <c r="N1039" s="256" t="n"/>
      <c r="O1039" s="256" t="n"/>
      <c r="P1039" s="256" t="n"/>
      <c r="Q1039" s="256" t="n"/>
    </row>
    <row r="1040">
      <c r="A1040">
        <f>IF(DAY(D1040)=DAY($L$1+1),A1039+1,A1039)</f>
        <v/>
      </c>
      <c r="B1040" s="46">
        <f>IF(DAY(D1040)=DAY($L$1+1),1,B1039+1)</f>
        <v/>
      </c>
      <c r="C1040" s="46">
        <f>IF(DAY(D1040)=DAY($L$1+1),1,C1039+1)</f>
        <v/>
      </c>
      <c r="D1040" s="2">
        <f>D1039+1</f>
        <v/>
      </c>
      <c r="E1040" s="8">
        <f>IF(DAY(D1040)=DAY($L$1+1),TRUNC((#REF!),8),E1039)</f>
        <v/>
      </c>
      <c r="F1040" s="49">
        <f>TRUNC(((1+VLOOKUP(A1040,IPCA!$A$2:$C$140,3,0)))^(C1040/(EDATE(D1040-C1040,1)-(D1040-C1040))),8)</f>
        <v/>
      </c>
      <c r="G1040" s="49">
        <f>TRUNC((E1040*F1040),8)</f>
        <v/>
      </c>
      <c r="H1040" s="49">
        <f>ROUND(((1+$H$4)^(30/360))^(C1040/(EDATE(D1040-B1040,1)-(D1040-B1040))),9)</f>
        <v/>
      </c>
      <c r="I1040" s="49">
        <f>TRUNC((G1040*H1040-G1040),8)</f>
        <v/>
      </c>
      <c r="J1040" s="49">
        <f>G1040+I1040</f>
        <v/>
      </c>
      <c r="K1040" s="256" t="n"/>
      <c r="L1040" s="256" t="n"/>
      <c r="M1040" s="256" t="n"/>
      <c r="N1040" s="256" t="n"/>
      <c r="O1040" s="256" t="n"/>
      <c r="P1040" s="256" t="n"/>
      <c r="Q1040" s="256" t="n"/>
    </row>
    <row r="1041">
      <c r="A1041">
        <f>IF(DAY(D1041)=DAY($L$1+1),A1040+1,A1040)</f>
        <v/>
      </c>
      <c r="B1041" s="46">
        <f>IF(DAY(D1041)=DAY($L$1+1),1,B1040+1)</f>
        <v/>
      </c>
      <c r="C1041" s="46">
        <f>IF(DAY(D1041)=DAY($L$1+1),1,C1040+1)</f>
        <v/>
      </c>
      <c r="D1041" s="2">
        <f>D1040+1</f>
        <v/>
      </c>
      <c r="E1041" s="8">
        <f>IF(DAY(D1041)=DAY($L$1+1),TRUNC((#REF!),8),E1040)</f>
        <v/>
      </c>
      <c r="F1041" s="49">
        <f>TRUNC(((1+VLOOKUP(A1041,IPCA!$A$2:$C$140,3,0)))^(C1041/(EDATE(D1041-C1041,1)-(D1041-C1041))),8)</f>
        <v/>
      </c>
      <c r="G1041" s="49">
        <f>TRUNC((E1041*F1041),8)</f>
        <v/>
      </c>
      <c r="H1041" s="49">
        <f>ROUND(((1+$H$4)^(30/360))^(C1041/(EDATE(D1041-B1041,1)-(D1041-B1041))),9)</f>
        <v/>
      </c>
      <c r="I1041" s="49">
        <f>TRUNC((G1041*H1041-G1041),8)</f>
        <v/>
      </c>
      <c r="J1041" s="49">
        <f>G1041+I1041</f>
        <v/>
      </c>
      <c r="K1041" s="256" t="n"/>
      <c r="L1041" s="256" t="n"/>
      <c r="M1041" s="256" t="n"/>
      <c r="N1041" s="256" t="n"/>
      <c r="O1041" s="256" t="n"/>
      <c r="P1041" s="256" t="n"/>
      <c r="Q1041" s="256" t="n"/>
    </row>
    <row r="1042">
      <c r="A1042">
        <f>IF(DAY(D1042)=DAY($L$1+1),A1041+1,A1041)</f>
        <v/>
      </c>
      <c r="B1042" s="46">
        <f>IF(DAY(D1042)=DAY($L$1+1),1,B1041+1)</f>
        <v/>
      </c>
      <c r="C1042" s="46">
        <f>IF(DAY(D1042)=DAY($L$1+1),1,C1041+1)</f>
        <v/>
      </c>
      <c r="D1042" s="2">
        <f>D1041+1</f>
        <v/>
      </c>
      <c r="E1042" s="8">
        <f>IF(DAY(D1042)=DAY($L$1+1),TRUNC((#REF!),8),E1041)</f>
        <v/>
      </c>
      <c r="F1042" s="49">
        <f>TRUNC(((1+VLOOKUP(A1042,IPCA!$A$2:$C$140,3,0)))^(C1042/(EDATE(D1042-C1042,1)-(D1042-C1042))),8)</f>
        <v/>
      </c>
      <c r="G1042" s="49">
        <f>TRUNC((E1042*F1042),8)</f>
        <v/>
      </c>
      <c r="H1042" s="49">
        <f>ROUND(((1+$H$4)^(30/360))^(C1042/(EDATE(D1042-B1042,1)-(D1042-B1042))),9)</f>
        <v/>
      </c>
      <c r="I1042" s="49">
        <f>TRUNC((G1042*H1042-G1042),8)</f>
        <v/>
      </c>
      <c r="J1042" s="49">
        <f>G1042+I1042</f>
        <v/>
      </c>
      <c r="K1042" s="256" t="n"/>
      <c r="L1042" s="256" t="n"/>
      <c r="M1042" s="256" t="n"/>
      <c r="N1042" s="256" t="n"/>
      <c r="O1042" s="256" t="n"/>
      <c r="P1042" s="256" t="n"/>
      <c r="Q1042" s="256" t="n"/>
    </row>
    <row r="1043">
      <c r="A1043">
        <f>IF(DAY(D1043)=DAY($L$1+1),A1042+1,A1042)</f>
        <v/>
      </c>
      <c r="B1043" s="46">
        <f>IF(DAY(D1043)=DAY($L$1+1),1,B1042+1)</f>
        <v/>
      </c>
      <c r="C1043" s="46">
        <f>IF(DAY(D1043)=DAY($L$1+1),1,C1042+1)</f>
        <v/>
      </c>
      <c r="D1043" s="2">
        <f>D1042+1</f>
        <v/>
      </c>
      <c r="E1043" s="8">
        <f>IF(DAY(D1043)=DAY($L$1+1),TRUNC((#REF!),8),E1042)</f>
        <v/>
      </c>
      <c r="F1043" s="49">
        <f>TRUNC(((1+VLOOKUP(A1043,IPCA!$A$2:$C$140,3,0)))^(C1043/(EDATE(D1043-C1043,1)-(D1043-C1043))),8)</f>
        <v/>
      </c>
      <c r="G1043" s="49">
        <f>TRUNC((E1043*F1043),8)</f>
        <v/>
      </c>
      <c r="H1043" s="49">
        <f>ROUND(((1+$H$4)^(30/360))^(C1043/(EDATE(D1043-B1043,1)-(D1043-B1043))),9)</f>
        <v/>
      </c>
      <c r="I1043" s="49">
        <f>TRUNC((G1043*H1043-G1043),8)</f>
        <v/>
      </c>
      <c r="J1043" s="49">
        <f>G1043+I1043</f>
        <v/>
      </c>
      <c r="K1043" s="256" t="n"/>
      <c r="L1043" s="256" t="n"/>
      <c r="M1043" s="256" t="n"/>
      <c r="N1043" s="256" t="n"/>
      <c r="O1043" s="256" t="n"/>
      <c r="P1043" s="256" t="n"/>
      <c r="Q1043" s="256" t="n"/>
    </row>
    <row r="1044">
      <c r="A1044">
        <f>IF(DAY(D1044)=DAY($L$1+1),A1043+1,A1043)</f>
        <v/>
      </c>
      <c r="B1044" s="46">
        <f>IF(DAY(D1044)=DAY($L$1+1),1,B1043+1)</f>
        <v/>
      </c>
      <c r="C1044" s="46">
        <f>IF(DAY(D1044)=DAY($L$1+1),1,C1043+1)</f>
        <v/>
      </c>
      <c r="D1044" s="2">
        <f>D1043+1</f>
        <v/>
      </c>
      <c r="E1044" s="8">
        <f>IF(DAY(D1044)=DAY($L$1+1),TRUNC((#REF!),8),E1043)</f>
        <v/>
      </c>
      <c r="F1044" s="49">
        <f>TRUNC(((1+VLOOKUP(A1044,IPCA!$A$2:$C$140,3,0)))^(C1044/(EDATE(D1044-C1044,1)-(D1044-C1044))),8)</f>
        <v/>
      </c>
      <c r="G1044" s="49">
        <f>TRUNC((E1044*F1044),8)</f>
        <v/>
      </c>
      <c r="H1044" s="49">
        <f>ROUND(((1+$H$4)^(30/360))^(C1044/(EDATE(D1044-B1044,1)-(D1044-B1044))),9)</f>
        <v/>
      </c>
      <c r="I1044" s="49">
        <f>TRUNC((G1044*H1044-G1044),8)</f>
        <v/>
      </c>
      <c r="J1044" s="49">
        <f>G1044+I1044</f>
        <v/>
      </c>
      <c r="K1044" s="256" t="n"/>
      <c r="L1044" s="256" t="n"/>
      <c r="M1044" s="256" t="n"/>
      <c r="N1044" s="256" t="n"/>
      <c r="O1044" s="256" t="n"/>
      <c r="P1044" s="256" t="n"/>
      <c r="Q1044" s="256" t="n"/>
    </row>
    <row r="1045">
      <c r="A1045">
        <f>IF(DAY(D1045)=DAY($L$1+1),A1044+1,A1044)</f>
        <v/>
      </c>
      <c r="B1045" s="46">
        <f>IF(DAY(D1045)=DAY($L$1+1),1,B1044+1)</f>
        <v/>
      </c>
      <c r="C1045" s="46">
        <f>IF(DAY(D1045)=DAY($L$1+1),1,C1044+1)</f>
        <v/>
      </c>
      <c r="D1045" s="2">
        <f>D1044+1</f>
        <v/>
      </c>
      <c r="E1045" s="8">
        <f>IF(DAY(D1045)=DAY($L$1+1),TRUNC((#REF!),8),E1044)</f>
        <v/>
      </c>
      <c r="F1045" s="49">
        <f>TRUNC(((1+VLOOKUP(A1045,IPCA!$A$2:$C$140,3,0)))^(C1045/(EDATE(D1045-C1045,1)-(D1045-C1045))),8)</f>
        <v/>
      </c>
      <c r="G1045" s="49">
        <f>TRUNC((E1045*F1045),8)</f>
        <v/>
      </c>
      <c r="H1045" s="49">
        <f>ROUND(((1+$H$4)^(30/360))^(C1045/(EDATE(D1045-B1045,1)-(D1045-B1045))),9)</f>
        <v/>
      </c>
      <c r="I1045" s="49">
        <f>TRUNC((G1045*H1045-G1045),8)</f>
        <v/>
      </c>
      <c r="J1045" s="49">
        <f>G1045+I1045</f>
        <v/>
      </c>
      <c r="K1045" s="256" t="n"/>
      <c r="L1045" s="256" t="n"/>
      <c r="M1045" s="256" t="n"/>
      <c r="N1045" s="256" t="n"/>
      <c r="O1045" s="256" t="n"/>
      <c r="P1045" s="256" t="n"/>
      <c r="Q1045" s="256" t="n"/>
    </row>
    <row r="1046">
      <c r="A1046">
        <f>IF(DAY(D1046)=DAY($L$1+1),A1045+1,A1045)</f>
        <v/>
      </c>
      <c r="B1046" s="46">
        <f>IF(DAY(D1046)=DAY($L$1+1),1,B1045+1)</f>
        <v/>
      </c>
      <c r="C1046" s="46">
        <f>IF(DAY(D1046)=DAY($L$1+1),1,C1045+1)</f>
        <v/>
      </c>
      <c r="D1046" s="2">
        <f>D1045+1</f>
        <v/>
      </c>
      <c r="E1046" s="8">
        <f>IF(DAY(D1046)=DAY($L$1+1),TRUNC((#REF!),8),E1045)</f>
        <v/>
      </c>
      <c r="F1046" s="49">
        <f>TRUNC(((1+VLOOKUP(A1046,IPCA!$A$2:$C$140,3,0)))^(C1046/(EDATE(D1046-C1046,1)-(D1046-C1046))),8)</f>
        <v/>
      </c>
      <c r="G1046" s="49">
        <f>TRUNC((E1046*F1046),8)</f>
        <v/>
      </c>
      <c r="H1046" s="49">
        <f>ROUND(((1+$H$4)^(30/360))^(C1046/(EDATE(D1046-B1046,1)-(D1046-B1046))),9)</f>
        <v/>
      </c>
      <c r="I1046" s="49">
        <f>TRUNC((G1046*H1046-G1046),8)</f>
        <v/>
      </c>
      <c r="J1046" s="49">
        <f>G1046+I1046</f>
        <v/>
      </c>
      <c r="K1046" s="256" t="n"/>
      <c r="L1046" s="256" t="n"/>
      <c r="M1046" s="256" t="n"/>
      <c r="N1046" s="256" t="n"/>
      <c r="O1046" s="256" t="n"/>
      <c r="P1046" s="256" t="n"/>
      <c r="Q1046" s="256" t="n"/>
    </row>
    <row r="1047">
      <c r="A1047">
        <f>IF(DAY(D1047)=DAY($L$1+1),A1046+1,A1046)</f>
        <v/>
      </c>
      <c r="B1047" s="46">
        <f>IF(DAY(D1047)=DAY($L$1+1),1,B1046+1)</f>
        <v/>
      </c>
      <c r="C1047" s="46">
        <f>IF(DAY(D1047)=DAY($L$1+1),1,C1046+1)</f>
        <v/>
      </c>
      <c r="D1047" s="2">
        <f>D1046+1</f>
        <v/>
      </c>
      <c r="E1047" s="8">
        <f>IF(DAY(D1047)=DAY($L$1+1),TRUNC((N1046),8),E1046)</f>
        <v/>
      </c>
      <c r="F1047" s="49">
        <f>TRUNC(((1+VLOOKUP(A1047,IPCA!$A$2:$C$140,3,0)))^(C1047/(EDATE(D1047-C1047,1)-(D1047-C1047))),8)</f>
        <v/>
      </c>
      <c r="G1047" s="49">
        <f>TRUNC((E1047*F1047),8)</f>
        <v/>
      </c>
      <c r="H1047" s="49">
        <f>ROUND(((1+$H$4)^(30/360))^(C1047/(EDATE(D1047-B1047,1)-(D1047-B1047))),9)</f>
        <v/>
      </c>
      <c r="I1047" s="49">
        <f>TRUNC((G1047*H1047-G1047),8)</f>
        <v/>
      </c>
      <c r="J1047" s="49">
        <f>G1047+I1047</f>
        <v/>
      </c>
      <c r="K1047" s="256" t="n"/>
      <c r="L1047" s="256" t="n"/>
      <c r="M1047" s="256" t="n"/>
      <c r="N1047" s="256" t="n"/>
      <c r="O1047" s="256" t="n"/>
      <c r="P1047" s="256" t="n"/>
      <c r="Q1047" s="256" t="n"/>
    </row>
    <row r="1048">
      <c r="A1048">
        <f>IF(DAY(D1048)=DAY($L$1+1),A1047+1,A1047)</f>
        <v/>
      </c>
      <c r="B1048" s="46">
        <f>IF(DAY(D1048)=DAY($L$1+1),1,B1047+1)</f>
        <v/>
      </c>
      <c r="C1048" s="46">
        <f>IF(DAY(D1048)=DAY($L$1+1),1,C1047+1)</f>
        <v/>
      </c>
      <c r="D1048" s="2">
        <f>D1047+1</f>
        <v/>
      </c>
      <c r="E1048" s="8">
        <f>IF(DAY(D1048)=DAY($L$1+1),TRUNC((N1047),8),E1047)</f>
        <v/>
      </c>
      <c r="F1048" s="49">
        <f>TRUNC(((1+VLOOKUP(A1048,IPCA!$A$2:$C$140,3,0)))^(C1048/(EDATE(D1048-C1048,1)-(D1048-C1048))),8)</f>
        <v/>
      </c>
      <c r="G1048" s="49">
        <f>TRUNC((E1048*F1048),8)</f>
        <v/>
      </c>
      <c r="H1048" s="49">
        <f>ROUND(((1+$H$4)^(30/360))^(C1048/(EDATE(D1048-B1048,1)-(D1048-B1048))),9)</f>
        <v/>
      </c>
      <c r="I1048" s="49">
        <f>TRUNC((G1048*H1048-G1048),8)</f>
        <v/>
      </c>
      <c r="J1048" s="49">
        <f>G1048+I1048</f>
        <v/>
      </c>
      <c r="K1048" s="256" t="n"/>
      <c r="L1048" s="256" t="n"/>
      <c r="M1048" s="256" t="n"/>
      <c r="N1048" s="256" t="n"/>
      <c r="O1048" s="256" t="n"/>
      <c r="P1048" s="256" t="n"/>
      <c r="Q1048" s="256" t="n"/>
    </row>
    <row r="1049">
      <c r="A1049">
        <f>IF(DAY(D1049)=DAY($L$1+1),A1048+1,A1048)</f>
        <v/>
      </c>
      <c r="B1049" s="46">
        <f>IF(DAY(D1049)=DAY($L$1+1),1,B1048+1)</f>
        <v/>
      </c>
      <c r="C1049" s="46">
        <f>IF(DAY(D1049)=DAY($L$1+1),1,C1048+1)</f>
        <v/>
      </c>
      <c r="D1049" s="2">
        <f>D1048+1</f>
        <v/>
      </c>
      <c r="E1049" s="8">
        <f>IF(DAY(D1049)=DAY($L$1+1),TRUNC((N1048),8),E1048)</f>
        <v/>
      </c>
      <c r="F1049" s="49">
        <f>TRUNC(((1+VLOOKUP(A1049,IPCA!$A$2:$C$140,3,0)))^(C1049/(EDATE(D1049-C1049,1)-(D1049-C1049))),8)</f>
        <v/>
      </c>
      <c r="G1049" s="49">
        <f>TRUNC((E1049*F1049),8)</f>
        <v/>
      </c>
      <c r="H1049" s="49">
        <f>ROUND(((1+$H$4)^(30/360))^(C1049/(EDATE(D1049-B1049,1)-(D1049-B1049))),9)</f>
        <v/>
      </c>
      <c r="I1049" s="49">
        <f>TRUNC((G1049*H1049-G1049),8)</f>
        <v/>
      </c>
      <c r="J1049" s="49">
        <f>G1049+I1049</f>
        <v/>
      </c>
      <c r="K1049" s="256" t="n"/>
      <c r="L1049" s="256" t="n"/>
      <c r="M1049" s="256" t="n"/>
      <c r="N1049" s="256" t="n"/>
      <c r="O1049" s="256" t="n"/>
      <c r="P1049" s="256" t="n"/>
      <c r="Q1049" s="256" t="n"/>
    </row>
    <row r="1050">
      <c r="A1050">
        <f>IF(DAY(D1050)=DAY($L$1+1),A1049+1,A1049)</f>
        <v/>
      </c>
      <c r="B1050" s="46">
        <f>IF(DAY(D1050)=DAY($L$1+1),1,B1049+1)</f>
        <v/>
      </c>
      <c r="C1050" s="46">
        <f>IF(DAY(D1050)=DAY($L$1+1),1,C1049+1)</f>
        <v/>
      </c>
      <c r="D1050" s="2">
        <f>D1049+1</f>
        <v/>
      </c>
      <c r="E1050" s="8">
        <f>IF(DAY(D1050)=DAY($L$1+1),TRUNC((N1049),8),E1049)</f>
        <v/>
      </c>
      <c r="F1050" s="49">
        <f>TRUNC(((1+VLOOKUP(A1050,IPCA!$A$2:$C$140,3,0)))^(C1050/(EDATE(D1050-C1050,1)-(D1050-C1050))),8)</f>
        <v/>
      </c>
      <c r="G1050" s="49">
        <f>TRUNC((E1050*F1050),8)</f>
        <v/>
      </c>
      <c r="H1050" s="49">
        <f>ROUND(((1+$H$4)^(30/360))^(C1050/(EDATE(D1050-B1050,1)-(D1050-B1050))),9)</f>
        <v/>
      </c>
      <c r="I1050" s="49">
        <f>TRUNC((G1050*H1050-G1050),8)</f>
        <v/>
      </c>
      <c r="J1050" s="49">
        <f>G1050+I1050</f>
        <v/>
      </c>
      <c r="K1050" s="256" t="n"/>
      <c r="L1050" s="256" t="n"/>
      <c r="M1050" s="256" t="n"/>
      <c r="N1050" s="256" t="n"/>
      <c r="O1050" s="256" t="n"/>
      <c r="P1050" s="256" t="n"/>
      <c r="Q1050" s="256" t="n"/>
    </row>
    <row r="1051">
      <c r="A1051">
        <f>IF(DAY(D1051)=DAY($L$1+1),A1050+1,A1050)</f>
        <v/>
      </c>
      <c r="B1051" s="46">
        <f>IF(DAY(D1051)=DAY($L$1+1),1,B1050+1)</f>
        <v/>
      </c>
      <c r="C1051" s="46">
        <f>IF(DAY(D1051)=DAY($L$1+1),1,C1050+1)</f>
        <v/>
      </c>
      <c r="D1051" s="2">
        <f>D1050+1</f>
        <v/>
      </c>
      <c r="E1051" s="8">
        <f>IF(DAY(D1051)=DAY($L$1+1),TRUNC((N1050),8),E1050)</f>
        <v/>
      </c>
      <c r="F1051" s="49">
        <f>TRUNC(((1+VLOOKUP(A1051,IPCA!$A$2:$C$140,3,0)))^(C1051/(EDATE(D1051-C1051,1)-(D1051-C1051))),8)</f>
        <v/>
      </c>
      <c r="G1051" s="49">
        <f>TRUNC((E1051*F1051),8)</f>
        <v/>
      </c>
      <c r="H1051" s="49">
        <f>ROUND(((1+$H$4)^(30/360))^(C1051/(EDATE(D1051-B1051,1)-(D1051-B1051))),9)</f>
        <v/>
      </c>
      <c r="I1051" s="49">
        <f>TRUNC((G1051*H1051-G1051),8)</f>
        <v/>
      </c>
      <c r="J1051" s="49">
        <f>G1051+I1051</f>
        <v/>
      </c>
      <c r="K1051" s="256" t="n"/>
      <c r="L1051" s="256" t="n"/>
      <c r="M1051" s="256" t="n"/>
      <c r="N1051" s="256" t="n"/>
      <c r="O1051" s="256" t="n"/>
      <c r="P1051" s="256" t="n"/>
      <c r="Q1051" s="256" t="n"/>
    </row>
    <row r="1052">
      <c r="A1052">
        <f>IF(DAY(D1052)=DAY($L$1+1),A1051+1,A1051)</f>
        <v/>
      </c>
      <c r="B1052" s="46">
        <f>IF(DAY(D1052)=DAY($L$1+1),1,B1051+1)</f>
        <v/>
      </c>
      <c r="C1052" s="46">
        <f>IF(DAY(D1052)=DAY($L$1+1),1,C1051+1)</f>
        <v/>
      </c>
      <c r="D1052" s="2">
        <f>D1051+1</f>
        <v/>
      </c>
      <c r="E1052" s="8">
        <f>IF(DAY(D1052)=DAY($L$1+1),TRUNC((N1051),8),E1051)</f>
        <v/>
      </c>
      <c r="F1052" s="49">
        <f>TRUNC(((1+VLOOKUP(A1052,IPCA!$A$2:$C$140,3,0)))^(C1052/(EDATE(D1052-C1052,1)-(D1052-C1052))),8)</f>
        <v/>
      </c>
      <c r="G1052" s="49">
        <f>TRUNC((E1052*F1052),8)</f>
        <v/>
      </c>
      <c r="H1052" s="49">
        <f>ROUND(((1+$H$4)^(30/360))^(C1052/(EDATE(D1052-B1052,1)-(D1052-B1052))),9)</f>
        <v/>
      </c>
      <c r="I1052" s="49">
        <f>TRUNC((G1052*H1052-G1052),8)</f>
        <v/>
      </c>
      <c r="J1052" s="49">
        <f>G1052+I1052</f>
        <v/>
      </c>
      <c r="K1052" s="256" t="inlineStr">
        <is>
          <t>Cri Integralizado</t>
        </is>
      </c>
      <c r="L1052" s="270">
        <f>L1022</f>
        <v/>
      </c>
      <c r="M1052" s="256" t="n"/>
      <c r="N1052" s="256" t="n"/>
      <c r="O1052" s="256" t="n"/>
      <c r="P1052" s="256" t="n"/>
      <c r="Q1052" s="256" t="n"/>
    </row>
    <row r="1053">
      <c r="A1053">
        <f>IF(DAY(D1053)=DAY($L$1+1),A1052+1,A1052)</f>
        <v/>
      </c>
      <c r="B1053" s="46">
        <f>IF(DAY(D1053)=DAY($L$1+1),1,B1052+1)</f>
        <v/>
      </c>
      <c r="C1053" s="46">
        <f>IF(DAY(D1053)=DAY($L$1+1),1,C1052+1)</f>
        <v/>
      </c>
      <c r="D1053" s="47">
        <f>D1052+1</f>
        <v/>
      </c>
      <c r="E1053" s="8">
        <f>IF(DAY(D1053)=DAY($L$1+1),TRUNC((N1052),8),E1052)</f>
        <v/>
      </c>
      <c r="F1053" s="49">
        <f>TRUNC(((1+VLOOKUP(A1053,IPCA!$A$2:$C$140,3,0)))^(C1053/(EDATE(D1053-C1053,1)-(D1053-C1053))),8)</f>
        <v/>
      </c>
      <c r="G1053" s="49">
        <f>TRUNC((E1053*F1053),8)</f>
        <v/>
      </c>
      <c r="H1053" s="49">
        <f>ROUND(((1+$H$4)^(30/360))^(C1053/(EDATE(D1053-B1053,1)-(D1053-B1053))),9)</f>
        <v/>
      </c>
      <c r="I1053" s="49">
        <f>TRUNC((G1053*H1053-G1053),8)</f>
        <v/>
      </c>
      <c r="J1053" s="49">
        <f>G1053+I1053</f>
        <v/>
      </c>
      <c r="K1053" s="118" t="inlineStr">
        <is>
          <t>JUROS</t>
        </is>
      </c>
      <c r="L1053" s="118" t="inlineStr">
        <is>
          <t>AMORTIZAÇÃO</t>
        </is>
      </c>
      <c r="M1053" s="118" t="inlineStr">
        <is>
          <t>AMEX</t>
        </is>
      </c>
      <c r="N1053" s="118" t="inlineStr">
        <is>
          <t>RESIDUAL</t>
        </is>
      </c>
      <c r="O1053" s="256" t="n"/>
      <c r="P1053" s="256" t="n"/>
      <c r="Q1053" s="256" t="n"/>
    </row>
    <row r="1054">
      <c r="A1054">
        <f>IF(DAY(D1054)=DAY($L$1+1),A1053+1,A1053)</f>
        <v/>
      </c>
      <c r="B1054" s="111">
        <f>IF(DAY(D1054)=DAY($L$1+1),1,B1053+1)</f>
        <v/>
      </c>
      <c r="C1054" s="111">
        <f>IF(DAY(D1054)=DAY($L$1+1),1,C1053+1)</f>
        <v/>
      </c>
      <c r="D1054" s="112">
        <f>D1053+1</f>
        <v/>
      </c>
      <c r="E1054" s="113">
        <f>IF(DAY(D1054)=DAY($L$1+1),TRUNC((N1053),8),E1053)</f>
        <v/>
      </c>
      <c r="F1054" s="114">
        <f>TRUNC(((1+VLOOKUP(A1054,IPCA!$A$2:$C$140,3,0)))^(C1054/(EDATE(D1054-C1054,1)-(D1054-C1054))),8)</f>
        <v/>
      </c>
      <c r="G1054" s="114">
        <f>TRUNC((E1054*F1054),8)</f>
        <v/>
      </c>
      <c r="H1054" s="114">
        <f>ROUND(((1+$H$4)^(30/360))^(C1054/(EDATE(D1054-B1054,1)-(D1054-B1054))),9)</f>
        <v/>
      </c>
      <c r="I1054" s="114">
        <f>TRUNC((G1054*H1054-G1054),8)</f>
        <v/>
      </c>
      <c r="J1054" s="114">
        <f>G1054+I1054</f>
        <v/>
      </c>
      <c r="K1054" s="119" t="n"/>
      <c r="L1054" s="120" t="n"/>
      <c r="M1054" s="120" t="n">
        <v>0</v>
      </c>
      <c r="N1054" s="120">
        <f>J1054-K1054-L1054-M1054</f>
        <v/>
      </c>
      <c r="O1054" s="256" t="n"/>
      <c r="P1054" s="256" t="n"/>
      <c r="Q1054" s="256" t="n"/>
    </row>
    <row r="1055">
      <c r="A1055">
        <f>IF(DAY(D1055)=DAY($L$1+1),A1054+1,A1054)</f>
        <v/>
      </c>
      <c r="B1055" s="46">
        <f>IF(DAY(D1055)=DAY($L$1+1),1,B1054+1)</f>
        <v/>
      </c>
      <c r="C1055" s="46">
        <f>IF(DAY(D1055)=DAY($L$1+1),1,C1054+1)</f>
        <v/>
      </c>
      <c r="D1055" s="2">
        <f>D1054+1</f>
        <v/>
      </c>
      <c r="E1055" s="8">
        <f>IF(DAY(D1055)=DAY($L$1+1),TRUNC((N1054),8),E1054)</f>
        <v/>
      </c>
      <c r="F1055" s="49">
        <f>TRUNC(((1+VLOOKUP(A1055,IPCA!$A$2:$C$140,3,0)))^(C1055/(EDATE(D1055-C1055,1)-(D1055-C1055))),8)</f>
        <v/>
      </c>
      <c r="G1055" s="49">
        <f>TRUNC((E1055*F1055),8)</f>
        <v/>
      </c>
      <c r="H1055" s="49">
        <f>ROUND(((1+$H$4)^(30/360))^(C1055/(EDATE(D1055-B1055,1)-(D1055-B1055))),9)</f>
        <v/>
      </c>
      <c r="I1055" s="49">
        <f>TRUNC((G1055*H1055-G1055),8)</f>
        <v/>
      </c>
      <c r="J1055" s="49">
        <f>G1055+I1055</f>
        <v/>
      </c>
      <c r="K1055" s="121">
        <f>K1054*L1052</f>
        <v/>
      </c>
      <c r="L1055" s="121">
        <f>L1054*L1052</f>
        <v/>
      </c>
      <c r="M1055" s="121">
        <f>M1054*L1052</f>
        <v/>
      </c>
      <c r="N1055" s="121">
        <f>N1054*L1052</f>
        <v/>
      </c>
      <c r="O1055" s="256" t="n"/>
      <c r="P1055" s="256" t="n"/>
      <c r="Q1055" s="256" t="n"/>
    </row>
    <row r="1056">
      <c r="A1056">
        <f>IF(DAY(D1056)=DAY($L$1+1),A1055+1,A1055)</f>
        <v/>
      </c>
      <c r="B1056" s="46">
        <f>IF(DAY(D1056)=DAY($L$1+1),1,B1055+1)</f>
        <v/>
      </c>
      <c r="C1056" s="46">
        <f>IF(DAY(D1056)=DAY($L$1+1),1,C1055+1)</f>
        <v/>
      </c>
      <c r="D1056" s="47">
        <f>D1055+1</f>
        <v/>
      </c>
      <c r="E1056" s="8">
        <f>IF(DAY(D1056)=DAY($L$1+1),TRUNC((N1055),8),E1055)</f>
        <v/>
      </c>
      <c r="F1056" s="49">
        <f>TRUNC(((1+VLOOKUP(A1056,IPCA!$A$2:$C$140,3,0)))^(C1056/(EDATE(D1056-C1056,1)-(D1056-C1056))),8)</f>
        <v/>
      </c>
      <c r="G1056" s="49">
        <f>TRUNC((E1056*F1056),8)</f>
        <v/>
      </c>
      <c r="H1056" s="49">
        <f>ROUND(((1+$H$4)^(30/360))^(C1056/(EDATE(D1056-B1056,1)-(D1056-B1056))),9)</f>
        <v/>
      </c>
      <c r="I1056" s="49">
        <f>TRUNC((G1056*H1056-G1056),8)</f>
        <v/>
      </c>
      <c r="J1056" s="49">
        <f>G1056+I1056</f>
        <v/>
      </c>
      <c r="K1056" s="256" t="n"/>
      <c r="L1056" s="256" t="n"/>
      <c r="M1056" s="256" t="n"/>
      <c r="N1056" s="256" t="n"/>
      <c r="O1056" s="256" t="n"/>
      <c r="P1056" s="256" t="n"/>
      <c r="Q1056" s="256" t="n"/>
    </row>
    <row r="1057">
      <c r="A1057">
        <f>IF(DAY(D1057)=DAY($L$1+1),A1056+1,A1056)</f>
        <v/>
      </c>
      <c r="B1057" s="46">
        <f>IF(DAY(D1057)=DAY($L$1+1),1,B1056+1)</f>
        <v/>
      </c>
      <c r="C1057" s="46">
        <f>IF(DAY(D1057)=DAY($L$1+1),1,C1056+1)</f>
        <v/>
      </c>
      <c r="D1057" s="2">
        <f>D1056+1</f>
        <v/>
      </c>
      <c r="E1057" s="8">
        <f>IF(DAY(D1057)=DAY($L$1+1),TRUNC((#REF!),8),E1056)</f>
        <v/>
      </c>
      <c r="F1057" s="49">
        <f>TRUNC(((1+VLOOKUP(A1057,IPCA!$A$2:$C$140,3,0)))^(C1057/(EDATE(D1057-C1057,1)-(D1057-C1057))),8)</f>
        <v/>
      </c>
      <c r="G1057" s="49">
        <f>TRUNC((E1057*F1057),8)</f>
        <v/>
      </c>
      <c r="H1057" s="49">
        <f>ROUND(((1+$H$4)^(30/360))^(C1057/(EDATE(D1057-B1057,1)-(D1057-B1057))),9)</f>
        <v/>
      </c>
      <c r="I1057" s="49">
        <f>TRUNC((G1057*H1057-G1057),8)</f>
        <v/>
      </c>
      <c r="J1057" s="49">
        <f>G1057+I1057</f>
        <v/>
      </c>
      <c r="K1057" s="256" t="n"/>
      <c r="L1057" s="256" t="n"/>
      <c r="M1057" s="256" t="n"/>
      <c r="N1057" s="256" t="n"/>
      <c r="O1057" s="256" t="n"/>
      <c r="P1057" s="256" t="n"/>
      <c r="Q1057" s="256" t="n"/>
    </row>
    <row r="1058">
      <c r="A1058">
        <f>IF(DAY(D1058)=DAY($L$1+1),A1057+1,A1057)</f>
        <v/>
      </c>
      <c r="B1058" s="46">
        <f>IF(DAY(D1058)=DAY($L$1+1),1,B1057+1)</f>
        <v/>
      </c>
      <c r="C1058" s="46">
        <f>IF(DAY(D1058)=DAY($L$1+1),1,C1057+1)</f>
        <v/>
      </c>
      <c r="D1058" s="2">
        <f>D1057+1</f>
        <v/>
      </c>
      <c r="E1058" s="8">
        <f>IF(DAY(D1058)=DAY($L$1+1),TRUNC((#REF!),8),E1057)</f>
        <v/>
      </c>
      <c r="F1058" s="49">
        <f>TRUNC(((1+VLOOKUP(A1058,IPCA!$A$2:$C$140,3,0)))^(C1058/(EDATE(D1058-C1058,1)-(D1058-C1058))),8)</f>
        <v/>
      </c>
      <c r="G1058" s="49">
        <f>TRUNC((E1058*F1058),8)</f>
        <v/>
      </c>
      <c r="H1058" s="49">
        <f>ROUND(((1+$H$4)^(30/360))^(C1058/(EDATE(D1058-B1058,1)-(D1058-B1058))),9)</f>
        <v/>
      </c>
      <c r="I1058" s="49">
        <f>TRUNC((G1058*H1058-G1058),8)</f>
        <v/>
      </c>
      <c r="J1058" s="49">
        <f>G1058+I1058</f>
        <v/>
      </c>
      <c r="K1058" s="256" t="n">
        <v>0.01107157</v>
      </c>
      <c r="L1058" s="256" t="n">
        <v>0.00858857</v>
      </c>
      <c r="M1058" s="256" t="n"/>
      <c r="N1058" s="256" t="n"/>
      <c r="O1058" s="256" t="n"/>
      <c r="P1058" s="256" t="n"/>
      <c r="Q1058" s="256" t="n"/>
    </row>
    <row r="1059">
      <c r="A1059">
        <f>IF(DAY(D1059)=DAY($L$1+1),A1058+1,A1058)</f>
        <v/>
      </c>
      <c r="B1059" s="46">
        <f>IF(DAY(D1059)=DAY($L$1+1),1,B1058+1)</f>
        <v/>
      </c>
      <c r="C1059" s="46">
        <f>IF(DAY(D1059)=DAY($L$1+1),1,C1058+1)</f>
        <v/>
      </c>
      <c r="D1059" s="2">
        <f>D1058+1</f>
        <v/>
      </c>
      <c r="E1059" s="8">
        <f>IF(DAY(D1059)=DAY($L$1+1),TRUNC((#REF!),8),E1058)</f>
        <v/>
      </c>
      <c r="F1059" s="49">
        <f>TRUNC(((1+VLOOKUP(A1059,IPCA!$A$2:$C$140,3,0)))^(C1059/(EDATE(D1059-C1059,1)-(D1059-C1059))),8)</f>
        <v/>
      </c>
      <c r="G1059" s="49">
        <f>TRUNC((E1059*F1059),8)</f>
        <v/>
      </c>
      <c r="H1059" s="49">
        <f>ROUND(((1+$H$4)^(30/360))^(C1059/(EDATE(D1059-B1059,1)-(D1059-B1059))),9)</f>
        <v/>
      </c>
      <c r="I1059" s="49">
        <f>TRUNC((G1059*H1059-G1059),8)</f>
        <v/>
      </c>
      <c r="J1059" s="49">
        <f>G1059+I1059</f>
        <v/>
      </c>
      <c r="K1059" s="256" t="n"/>
      <c r="L1059" s="256" t="n"/>
      <c r="M1059" s="256" t="n"/>
      <c r="N1059" s="256" t="n"/>
      <c r="O1059" s="256" t="n"/>
      <c r="P1059" s="256" t="n"/>
      <c r="Q1059" s="256" t="n"/>
    </row>
    <row r="1060">
      <c r="A1060">
        <f>IF(DAY(D1060)=DAY($L$1+1),A1059+1,A1059)</f>
        <v/>
      </c>
      <c r="B1060" s="46">
        <f>IF(DAY(D1060)=DAY($L$1+1),1,B1059+1)</f>
        <v/>
      </c>
      <c r="C1060" s="46">
        <f>IF(DAY(D1060)=DAY($L$1+1),1,C1059+1)</f>
        <v/>
      </c>
      <c r="D1060" s="2">
        <f>D1059+1</f>
        <v/>
      </c>
      <c r="E1060" s="8">
        <f>IF(DAY(D1060)=DAY($L$1+1),TRUNC((#REF!),8),E1059)</f>
        <v/>
      </c>
      <c r="F1060" s="49">
        <f>TRUNC(((1+VLOOKUP(A1060,IPCA!$A$2:$C$140,3,0)))^(C1060/(EDATE(D1060-C1060,1)-(D1060-C1060))),8)</f>
        <v/>
      </c>
      <c r="G1060" s="49">
        <f>TRUNC((E1060*F1060),8)</f>
        <v/>
      </c>
      <c r="H1060" s="49">
        <f>ROUND(((1+$H$4)^(30/360))^(C1060/(EDATE(D1060-B1060,1)-(D1060-B1060))),9)</f>
        <v/>
      </c>
      <c r="I1060" s="49">
        <f>TRUNC((G1060*H1060-G1060),8)</f>
        <v/>
      </c>
      <c r="J1060" s="49">
        <f>G1060+I1060</f>
        <v/>
      </c>
      <c r="K1060" s="256" t="n"/>
      <c r="L1060" s="256" t="n"/>
      <c r="M1060" s="256" t="n"/>
      <c r="N1060" s="256" t="n"/>
      <c r="O1060" s="256" t="n"/>
      <c r="P1060" s="256" t="n"/>
      <c r="Q1060" s="256" t="n"/>
    </row>
    <row r="1061">
      <c r="A1061">
        <f>IF(DAY(D1061)=DAY($L$1+1),A1060+1,A1060)</f>
        <v/>
      </c>
      <c r="B1061" s="46">
        <f>IF(DAY(D1061)=DAY($L$1+1),1,B1060+1)</f>
        <v/>
      </c>
      <c r="C1061" s="46">
        <f>IF(DAY(D1061)=DAY($L$1+1),1,C1060+1)</f>
        <v/>
      </c>
      <c r="D1061" s="2">
        <f>D1060+1</f>
        <v/>
      </c>
      <c r="E1061" s="8">
        <f>IF(DAY(D1061)=DAY($L$1+1),TRUNC((#REF!),8),E1060)</f>
        <v/>
      </c>
      <c r="F1061" s="49">
        <f>TRUNC(((1+VLOOKUP(A1061,IPCA!$A$2:$C$140,3,0)))^(C1061/(EDATE(D1061-C1061,1)-(D1061-C1061))),8)</f>
        <v/>
      </c>
      <c r="G1061" s="49">
        <f>TRUNC((E1061*F1061),8)</f>
        <v/>
      </c>
      <c r="H1061" s="49">
        <f>ROUND(((1+$H$4)^(30/360))^(C1061/(EDATE(D1061-B1061,1)-(D1061-B1061))),9)</f>
        <v/>
      </c>
      <c r="I1061" s="49">
        <f>TRUNC((G1061*H1061-G1061),8)</f>
        <v/>
      </c>
      <c r="J1061" s="49">
        <f>G1061+I1061</f>
        <v/>
      </c>
      <c r="K1061" s="256" t="n"/>
      <c r="L1061" s="256" t="n"/>
      <c r="M1061" s="256" t="n"/>
      <c r="N1061" s="256" t="n"/>
      <c r="O1061" s="256" t="n"/>
      <c r="P1061" s="256" t="n"/>
      <c r="Q1061" s="256" t="n"/>
    </row>
    <row r="1062">
      <c r="A1062">
        <f>IF(DAY(D1062)=DAY($L$1+1),A1061+1,A1061)</f>
        <v/>
      </c>
      <c r="B1062" s="46">
        <f>IF(DAY(D1062)=DAY($L$1+1),1,B1061+1)</f>
        <v/>
      </c>
      <c r="C1062" s="46">
        <f>IF(DAY(D1062)=DAY($L$1+1),1,C1061+1)</f>
        <v/>
      </c>
      <c r="D1062" s="2">
        <f>D1061+1</f>
        <v/>
      </c>
      <c r="E1062" s="8">
        <f>IF(DAY(D1062)=DAY($L$1+1),TRUNC((#REF!),8),E1061)</f>
        <v/>
      </c>
      <c r="F1062" s="49">
        <f>TRUNC(((1+VLOOKUP(A1062,IPCA!$A$2:$C$140,3,0)))^(C1062/(EDATE(D1062-C1062,1)-(D1062-C1062))),8)</f>
        <v/>
      </c>
      <c r="G1062" s="49">
        <f>TRUNC((E1062*F1062),8)</f>
        <v/>
      </c>
      <c r="H1062" s="49">
        <f>ROUND(((1+$H$4)^(30/360))^(C1062/(EDATE(D1062-B1062,1)-(D1062-B1062))),9)</f>
        <v/>
      </c>
      <c r="I1062" s="49">
        <f>TRUNC((G1062*H1062-G1062),8)</f>
        <v/>
      </c>
      <c r="J1062" s="49">
        <f>G1062+I1062</f>
        <v/>
      </c>
      <c r="K1062" s="256" t="n"/>
      <c r="L1062" s="256" t="n"/>
      <c r="M1062" s="256" t="n"/>
      <c r="N1062" s="256" t="n"/>
      <c r="O1062" s="256" t="n"/>
      <c r="P1062" s="256" t="n"/>
      <c r="Q1062" s="256" t="n"/>
    </row>
    <row r="1063">
      <c r="A1063">
        <f>IF(DAY(D1063)=DAY($L$1+1),A1062+1,A1062)</f>
        <v/>
      </c>
      <c r="B1063" s="46">
        <f>IF(DAY(D1063)=DAY($L$1+1),1,B1062+1)</f>
        <v/>
      </c>
      <c r="C1063" s="46">
        <f>IF(DAY(D1063)=DAY($L$1+1),1,C1062+1)</f>
        <v/>
      </c>
      <c r="D1063" s="2">
        <f>D1062+1</f>
        <v/>
      </c>
      <c r="E1063" s="8">
        <f>IF(DAY(D1063)=DAY($L$1+1),TRUNC((#REF!),8),E1062)</f>
        <v/>
      </c>
      <c r="F1063" s="49">
        <f>TRUNC(((1+VLOOKUP(A1063,IPCA!$A$2:$C$140,3,0)))^(C1063/(EDATE(D1063-C1063,1)-(D1063-C1063))),8)</f>
        <v/>
      </c>
      <c r="G1063" s="49">
        <f>TRUNC((E1063*F1063),8)</f>
        <v/>
      </c>
      <c r="H1063" s="49">
        <f>ROUND(((1+$H$4)^(30/360))^(C1063/(EDATE(D1063-B1063,1)-(D1063-B1063))),9)</f>
        <v/>
      </c>
      <c r="I1063" s="49">
        <f>TRUNC((G1063*H1063-G1063),8)</f>
        <v/>
      </c>
      <c r="J1063" s="49">
        <f>G1063+I1063</f>
        <v/>
      </c>
      <c r="K1063" s="256" t="n"/>
      <c r="L1063" s="256" t="n"/>
      <c r="M1063" s="256" t="n"/>
      <c r="N1063" s="256" t="n"/>
      <c r="O1063" s="256" t="n"/>
      <c r="P1063" s="256" t="n"/>
      <c r="Q1063" s="256" t="n"/>
    </row>
    <row r="1064">
      <c r="A1064">
        <f>IF(DAY(D1064)=DAY($L$1+1),A1063+1,A1063)</f>
        <v/>
      </c>
      <c r="B1064" s="46">
        <f>IF(DAY(D1064)=DAY($L$1+1),1,B1063+1)</f>
        <v/>
      </c>
      <c r="C1064" s="46">
        <f>IF(DAY(D1064)=DAY($L$1+1),1,C1063+1)</f>
        <v/>
      </c>
      <c r="D1064" s="2">
        <f>D1063+1</f>
        <v/>
      </c>
      <c r="E1064" s="8">
        <f>IF(DAY(D1064)=DAY($L$1+1),TRUNC((#REF!),8),E1063)</f>
        <v/>
      </c>
      <c r="F1064" s="49">
        <f>TRUNC(((1+VLOOKUP(A1064,IPCA!$A$2:$C$140,3,0)))^(C1064/(EDATE(D1064-C1064,1)-(D1064-C1064))),8)</f>
        <v/>
      </c>
      <c r="G1064" s="49">
        <f>TRUNC((E1064*F1064),8)</f>
        <v/>
      </c>
      <c r="H1064" s="49">
        <f>ROUND(((1+$H$4)^(30/360))^(C1064/(EDATE(D1064-B1064,1)-(D1064-B1064))),9)</f>
        <v/>
      </c>
      <c r="I1064" s="49">
        <f>TRUNC((G1064*H1064-G1064),8)</f>
        <v/>
      </c>
      <c r="J1064" s="49">
        <f>G1064+I1064</f>
        <v/>
      </c>
      <c r="K1064" s="256" t="n"/>
      <c r="L1064" s="256" t="n"/>
      <c r="M1064" s="256" t="n"/>
      <c r="N1064" s="256" t="n"/>
      <c r="O1064" s="256" t="n"/>
      <c r="P1064" s="256" t="n"/>
      <c r="Q1064" s="256" t="n"/>
    </row>
    <row r="1065">
      <c r="A1065">
        <f>IF(DAY(D1065)=DAY($L$1+1),A1064+1,A1064)</f>
        <v/>
      </c>
      <c r="B1065" s="46">
        <f>IF(DAY(D1065)=DAY($L$1+1),1,B1064+1)</f>
        <v/>
      </c>
      <c r="C1065" s="46">
        <f>IF(DAY(D1065)=DAY($L$1+1),1,C1064+1)</f>
        <v/>
      </c>
      <c r="D1065" s="2">
        <f>D1064+1</f>
        <v/>
      </c>
      <c r="E1065" s="8">
        <f>IF(DAY(D1065)=DAY($L$1+1),TRUNC((#REF!),8),E1064)</f>
        <v/>
      </c>
      <c r="F1065" s="49">
        <f>TRUNC(((1+VLOOKUP(A1065,IPCA!$A$2:$C$140,3,0)))^(C1065/(EDATE(D1065-C1065,1)-(D1065-C1065))),8)</f>
        <v/>
      </c>
      <c r="G1065" s="49">
        <f>TRUNC((E1065*F1065),8)</f>
        <v/>
      </c>
      <c r="H1065" s="49">
        <f>ROUND(((1+$H$4)^(30/360))^(C1065/(EDATE(D1065-B1065,1)-(D1065-B1065))),9)</f>
        <v/>
      </c>
      <c r="I1065" s="49">
        <f>TRUNC((G1065*H1065-G1065),8)</f>
        <v/>
      </c>
      <c r="J1065" s="49">
        <f>G1065+I1065</f>
        <v/>
      </c>
      <c r="K1065" s="256" t="n"/>
      <c r="L1065" s="256" t="n"/>
      <c r="M1065" s="256" t="n"/>
      <c r="N1065" s="256" t="n"/>
      <c r="O1065" s="256" t="n"/>
      <c r="P1065" s="256" t="n"/>
      <c r="Q1065" s="256" t="n"/>
    </row>
    <row r="1066">
      <c r="A1066">
        <f>IF(DAY(D1066)=DAY($L$1+1),A1065+1,A1065)</f>
        <v/>
      </c>
      <c r="B1066" s="46">
        <f>IF(DAY(D1066)=DAY($L$1+1),1,B1065+1)</f>
        <v/>
      </c>
      <c r="C1066" s="46">
        <f>IF(DAY(D1066)=DAY($L$1+1),1,C1065+1)</f>
        <v/>
      </c>
      <c r="D1066" s="2">
        <f>D1065+1</f>
        <v/>
      </c>
      <c r="E1066" s="8">
        <f>IF(DAY(D1066)=DAY($L$1+1),TRUNC((#REF!),8),E1065)</f>
        <v/>
      </c>
      <c r="F1066" s="49">
        <f>TRUNC(((1+VLOOKUP(A1066,IPCA!$A$2:$C$140,3,0)))^(C1066/(EDATE(D1066-C1066,1)-(D1066-C1066))),8)</f>
        <v/>
      </c>
      <c r="G1066" s="49">
        <f>TRUNC((E1066*F1066),8)</f>
        <v/>
      </c>
      <c r="H1066" s="49">
        <f>ROUND(((1+$H$4)^(30/360))^(C1066/(EDATE(D1066-B1066,1)-(D1066-B1066))),9)</f>
        <v/>
      </c>
      <c r="I1066" s="49">
        <f>TRUNC((G1066*H1066-G1066),8)</f>
        <v/>
      </c>
      <c r="J1066" s="49">
        <f>G1066+I1066</f>
        <v/>
      </c>
      <c r="K1066" s="256" t="n"/>
      <c r="L1066" s="256" t="n"/>
      <c r="M1066" s="256" t="n"/>
      <c r="N1066" s="256" t="n"/>
      <c r="O1066" s="256" t="n"/>
      <c r="P1066" s="256" t="n"/>
      <c r="Q1066" s="256" t="n"/>
    </row>
    <row r="1067">
      <c r="A1067">
        <f>IF(DAY(D1067)=DAY($L$1+1),A1066+1,A1066)</f>
        <v/>
      </c>
      <c r="B1067" s="46">
        <f>IF(DAY(D1067)=DAY($L$1+1),1,B1066+1)</f>
        <v/>
      </c>
      <c r="C1067" s="46">
        <f>IF(DAY(D1067)=DAY($L$1+1),1,C1066+1)</f>
        <v/>
      </c>
      <c r="D1067" s="2">
        <f>D1066+1</f>
        <v/>
      </c>
      <c r="E1067" s="8">
        <f>IF(DAY(D1067)=DAY($L$1+1),TRUNC((#REF!),8),E1066)</f>
        <v/>
      </c>
      <c r="F1067" s="49">
        <f>TRUNC(((1+VLOOKUP(A1067,IPCA!$A$2:$C$140,3,0)))^(C1067/(EDATE(D1067-C1067,1)-(D1067-C1067))),8)</f>
        <v/>
      </c>
      <c r="G1067" s="49">
        <f>TRUNC((E1067*F1067),8)</f>
        <v/>
      </c>
      <c r="H1067" s="49">
        <f>ROUND(((1+$H$4)^(30/360))^(C1067/(EDATE(D1067-B1067,1)-(D1067-B1067))),9)</f>
        <v/>
      </c>
      <c r="I1067" s="49">
        <f>TRUNC((G1067*H1067-G1067),8)</f>
        <v/>
      </c>
      <c r="J1067" s="49">
        <f>G1067+I1067</f>
        <v/>
      </c>
      <c r="K1067" s="256" t="n"/>
      <c r="L1067" s="256" t="n"/>
      <c r="M1067" s="256" t="n"/>
      <c r="N1067" s="256" t="n"/>
      <c r="O1067" s="256" t="n"/>
      <c r="P1067" s="256" t="n"/>
      <c r="Q1067" s="256" t="n"/>
    </row>
    <row r="1068">
      <c r="A1068">
        <f>IF(DAY(D1068)=DAY($L$1+1),A1067+1,A1067)</f>
        <v/>
      </c>
      <c r="B1068" s="46">
        <f>IF(DAY(D1068)=DAY($L$1+1),1,B1067+1)</f>
        <v/>
      </c>
      <c r="C1068" s="46">
        <f>IF(DAY(D1068)=DAY($L$1+1),1,C1067+1)</f>
        <v/>
      </c>
      <c r="D1068" s="2">
        <f>D1067+1</f>
        <v/>
      </c>
      <c r="E1068" s="8">
        <f>IF(DAY(D1068)=DAY($L$1+1),TRUNC((#REF!),8),E1067)</f>
        <v/>
      </c>
      <c r="F1068" s="49">
        <f>TRUNC(((1+VLOOKUP(A1068,IPCA!$A$2:$C$140,3,0)))^(C1068/(EDATE(D1068-C1068,1)-(D1068-C1068))),8)</f>
        <v/>
      </c>
      <c r="G1068" s="49">
        <f>TRUNC((E1068*F1068),8)</f>
        <v/>
      </c>
      <c r="H1068" s="49">
        <f>ROUND(((1+$H$4)^(30/360))^(C1068/(EDATE(D1068-B1068,1)-(D1068-B1068))),9)</f>
        <v/>
      </c>
      <c r="I1068" s="49">
        <f>TRUNC((G1068*H1068-G1068),8)</f>
        <v/>
      </c>
      <c r="J1068" s="49">
        <f>G1068+I1068</f>
        <v/>
      </c>
      <c r="K1068" s="256" t="n"/>
      <c r="L1068" s="256" t="n"/>
      <c r="M1068" s="256" t="n"/>
      <c r="N1068" s="256" t="n"/>
      <c r="O1068" s="256" t="n"/>
      <c r="P1068" s="256" t="n"/>
      <c r="Q1068" s="256" t="n"/>
    </row>
    <row r="1069">
      <c r="A1069">
        <f>IF(DAY(D1069)=DAY($L$1+1),A1068+1,A1068)</f>
        <v/>
      </c>
      <c r="B1069" s="46">
        <f>IF(DAY(D1069)=DAY($L$1+1),1,B1068+1)</f>
        <v/>
      </c>
      <c r="C1069" s="46">
        <f>IF(DAY(D1069)=DAY($L$1+1),1,C1068+1)</f>
        <v/>
      </c>
      <c r="D1069" s="2">
        <f>D1068+1</f>
        <v/>
      </c>
      <c r="E1069" s="8">
        <f>IF(DAY(D1069)=DAY($L$1+1),TRUNC((#REF!),8),E1068)</f>
        <v/>
      </c>
      <c r="F1069" s="49">
        <f>TRUNC(((1+VLOOKUP(A1069,IPCA!$A$2:$C$140,3,0)))^(C1069/(EDATE(D1069-C1069,1)-(D1069-C1069))),8)</f>
        <v/>
      </c>
      <c r="G1069" s="49">
        <f>TRUNC((E1069*F1069),8)</f>
        <v/>
      </c>
      <c r="H1069" s="49">
        <f>ROUND(((1+$H$4)^(30/360))^(C1069/(EDATE(D1069-B1069,1)-(D1069-B1069))),9)</f>
        <v/>
      </c>
      <c r="I1069" s="49">
        <f>TRUNC((G1069*H1069-G1069),8)</f>
        <v/>
      </c>
      <c r="J1069" s="49">
        <f>G1069+I1069</f>
        <v/>
      </c>
      <c r="K1069" s="256" t="n"/>
      <c r="L1069" s="256" t="n"/>
      <c r="M1069" s="256" t="n"/>
      <c r="N1069" s="256" t="n"/>
      <c r="O1069" s="256" t="n"/>
      <c r="P1069" s="256" t="n"/>
      <c r="Q1069" s="256" t="n"/>
    </row>
    <row r="1070">
      <c r="A1070">
        <f>IF(DAY(D1070)=DAY($L$1+1),A1069+1,A1069)</f>
        <v/>
      </c>
      <c r="B1070" s="46">
        <f>IF(DAY(D1070)=DAY($L$1+1),1,B1069+1)</f>
        <v/>
      </c>
      <c r="C1070" s="46">
        <f>IF(DAY(D1070)=DAY($L$1+1),1,C1069+1)</f>
        <v/>
      </c>
      <c r="D1070" s="2">
        <f>D1069+1</f>
        <v/>
      </c>
      <c r="E1070" s="8">
        <f>IF(DAY(D1070)=DAY($L$1+1),TRUNC((#REF!),8),E1069)</f>
        <v/>
      </c>
      <c r="F1070" s="49">
        <f>TRUNC(((1+VLOOKUP(A1070,IPCA!$A$2:$C$140,3,0)))^(C1070/(EDATE(D1070-C1070,1)-(D1070-C1070))),8)</f>
        <v/>
      </c>
      <c r="G1070" s="49">
        <f>TRUNC((E1070*F1070),8)</f>
        <v/>
      </c>
      <c r="H1070" s="49">
        <f>ROUND(((1+$H$4)^(30/360))^(C1070/(EDATE(D1070-B1070,1)-(D1070-B1070))),9)</f>
        <v/>
      </c>
      <c r="I1070" s="49">
        <f>TRUNC((G1070*H1070-G1070),8)</f>
        <v/>
      </c>
      <c r="J1070" s="49">
        <f>G1070+I1070</f>
        <v/>
      </c>
      <c r="K1070" s="256" t="n"/>
      <c r="L1070" s="256" t="n"/>
      <c r="M1070" s="256" t="n"/>
      <c r="N1070" s="256" t="n"/>
      <c r="O1070" s="256" t="n"/>
      <c r="P1070" s="256" t="n"/>
      <c r="Q1070" s="256" t="n"/>
    </row>
    <row r="1071">
      <c r="A1071">
        <f>IF(DAY(D1071)=DAY($L$1+1),A1070+1,A1070)</f>
        <v/>
      </c>
      <c r="B1071" s="46">
        <f>IF(DAY(D1071)=DAY($L$1+1),1,B1070+1)</f>
        <v/>
      </c>
      <c r="C1071" s="46">
        <f>IF(DAY(D1071)=DAY($L$1+1),1,C1070+1)</f>
        <v/>
      </c>
      <c r="D1071" s="2">
        <f>D1070+1</f>
        <v/>
      </c>
      <c r="E1071" s="8">
        <f>IF(DAY(D1071)=DAY($L$1+1),TRUNC((N1070),8),E1070)</f>
        <v/>
      </c>
      <c r="F1071" s="49">
        <f>TRUNC(((1+VLOOKUP(A1071,IPCA!$A$2:$C$140,3,0)))^(C1071/(EDATE(D1071-C1071,1)-(D1071-C1071))),8)</f>
        <v/>
      </c>
      <c r="G1071" s="49">
        <f>TRUNC((E1071*F1071),8)</f>
        <v/>
      </c>
      <c r="H1071" s="49">
        <f>ROUND(((1+$H$4)^(30/360))^(C1071/(EDATE(D1071-B1071,1)-(D1071-B1071))),9)</f>
        <v/>
      </c>
      <c r="I1071" s="49">
        <f>TRUNC((G1071*H1071-G1071),8)</f>
        <v/>
      </c>
      <c r="J1071" s="49">
        <f>G1071+I1071</f>
        <v/>
      </c>
      <c r="K1071" s="256" t="n"/>
      <c r="L1071" s="256" t="n"/>
      <c r="M1071" s="256" t="n"/>
      <c r="N1071" s="256" t="n"/>
      <c r="O1071" s="256" t="n"/>
      <c r="P1071" s="256" t="n"/>
      <c r="Q1071" s="256" t="n"/>
    </row>
    <row r="1072">
      <c r="A1072">
        <f>IF(DAY(D1072)=DAY($L$1+1),A1071+1,A1071)</f>
        <v/>
      </c>
      <c r="B1072" s="46">
        <f>IF(DAY(D1072)=DAY($L$1+1),1,B1071+1)</f>
        <v/>
      </c>
      <c r="C1072" s="46">
        <f>IF(DAY(D1072)=DAY($L$1+1),1,C1071+1)</f>
        <v/>
      </c>
      <c r="D1072" s="2">
        <f>D1071+1</f>
        <v/>
      </c>
      <c r="E1072" s="8">
        <f>IF(DAY(D1072)=DAY($L$1+1),TRUNC((N1071),8),E1071)</f>
        <v/>
      </c>
      <c r="F1072" s="49">
        <f>TRUNC(((1+VLOOKUP(A1072,IPCA!$A$2:$C$140,3,0)))^(C1072/(EDATE(D1072-C1072,1)-(D1072-C1072))),8)</f>
        <v/>
      </c>
      <c r="G1072" s="49">
        <f>TRUNC((E1072*F1072),8)</f>
        <v/>
      </c>
      <c r="H1072" s="49">
        <f>ROUND(((1+$H$4)^(30/360))^(C1072/(EDATE(D1072-B1072,1)-(D1072-B1072))),9)</f>
        <v/>
      </c>
      <c r="I1072" s="49">
        <f>TRUNC((G1072*H1072-G1072),8)</f>
        <v/>
      </c>
      <c r="J1072" s="49">
        <f>G1072+I1072</f>
        <v/>
      </c>
      <c r="K1072" s="256" t="n"/>
      <c r="L1072" s="256" t="n"/>
      <c r="M1072" s="256" t="n"/>
      <c r="N1072" s="256" t="n"/>
      <c r="O1072" s="256" t="n"/>
      <c r="P1072" s="256" t="n"/>
      <c r="Q1072" s="256" t="n"/>
    </row>
    <row r="1073">
      <c r="A1073">
        <f>IF(DAY(D1073)=DAY($L$1+1),A1072+1,A1072)</f>
        <v/>
      </c>
      <c r="B1073" s="46">
        <f>IF(DAY(D1073)=DAY($L$1+1),1,B1072+1)</f>
        <v/>
      </c>
      <c r="C1073" s="46">
        <f>IF(DAY(D1073)=DAY($L$1+1),1,C1072+1)</f>
        <v/>
      </c>
      <c r="D1073" s="2">
        <f>D1072+1</f>
        <v/>
      </c>
      <c r="E1073" s="8">
        <f>IF(DAY(D1073)=DAY($L$1+1),TRUNC((N1072),8),E1072)</f>
        <v/>
      </c>
      <c r="F1073" s="49">
        <f>TRUNC(((1+VLOOKUP(A1073,IPCA!$A$2:$C$140,3,0)))^(C1073/(EDATE(D1073-C1073,1)-(D1073-C1073))),8)</f>
        <v/>
      </c>
      <c r="G1073" s="49">
        <f>TRUNC((E1073*F1073),8)</f>
        <v/>
      </c>
      <c r="H1073" s="49">
        <f>ROUND(((1+$H$4)^(30/360))^(C1073/(EDATE(D1073-B1073,1)-(D1073-B1073))),9)</f>
        <v/>
      </c>
      <c r="I1073" s="49">
        <f>TRUNC((G1073*H1073-G1073),8)</f>
        <v/>
      </c>
      <c r="J1073" s="49">
        <f>G1073+I1073</f>
        <v/>
      </c>
      <c r="K1073" s="256" t="n"/>
      <c r="L1073" s="256" t="n"/>
      <c r="M1073" s="256" t="n"/>
      <c r="N1073" s="256" t="n"/>
      <c r="O1073" s="256" t="n"/>
      <c r="P1073" s="256" t="n"/>
      <c r="Q1073" s="256" t="n"/>
    </row>
    <row r="1074">
      <c r="A1074">
        <f>IF(DAY(D1074)=DAY($L$1+1),A1073+1,A1073)</f>
        <v/>
      </c>
      <c r="B1074" s="46">
        <f>IF(DAY(D1074)=DAY($L$1+1),1,B1073+1)</f>
        <v/>
      </c>
      <c r="C1074" s="46">
        <f>IF(DAY(D1074)=DAY($L$1+1),1,C1073+1)</f>
        <v/>
      </c>
      <c r="D1074" s="2">
        <f>D1073+1</f>
        <v/>
      </c>
      <c r="E1074" s="8">
        <f>IF(DAY(D1074)=DAY($L$1+1),TRUNC((N1073),8),E1073)</f>
        <v/>
      </c>
      <c r="F1074" s="49">
        <f>TRUNC(((1+VLOOKUP(A1074,IPCA!$A$2:$C$140,3,0)))^(C1074/(EDATE(D1074-C1074,1)-(D1074-C1074))),8)</f>
        <v/>
      </c>
      <c r="G1074" s="49">
        <f>TRUNC((E1074*F1074),8)</f>
        <v/>
      </c>
      <c r="H1074" s="49">
        <f>ROUND(((1+$H$4)^(30/360))^(C1074/(EDATE(D1074-B1074,1)-(D1074-B1074))),9)</f>
        <v/>
      </c>
      <c r="I1074" s="49">
        <f>TRUNC((G1074*H1074-G1074),8)</f>
        <v/>
      </c>
      <c r="J1074" s="49">
        <f>G1074+I1074</f>
        <v/>
      </c>
      <c r="K1074" s="256" t="n"/>
      <c r="L1074" s="256" t="n"/>
      <c r="M1074" s="256" t="n"/>
      <c r="N1074" s="256" t="n"/>
      <c r="O1074" s="256" t="n"/>
      <c r="P1074" s="256" t="n"/>
      <c r="Q1074" s="256" t="n"/>
    </row>
    <row r="1075">
      <c r="A1075">
        <f>IF(DAY(D1075)=DAY($L$1+1),A1074+1,A1074)</f>
        <v/>
      </c>
      <c r="B1075" s="46">
        <f>IF(DAY(D1075)=DAY($L$1+1),1,B1074+1)</f>
        <v/>
      </c>
      <c r="C1075" s="46">
        <f>IF(DAY(D1075)=DAY($L$1+1),1,C1074+1)</f>
        <v/>
      </c>
      <c r="D1075" s="2">
        <f>D1074+1</f>
        <v/>
      </c>
      <c r="E1075" s="8">
        <f>IF(DAY(D1075)=DAY($L$1+1),TRUNC((N1074),8),E1074)</f>
        <v/>
      </c>
      <c r="F1075" s="49">
        <f>TRUNC(((1+VLOOKUP(A1075,IPCA!$A$2:$C$140,3,0)))^(C1075/(EDATE(D1075-C1075,1)-(D1075-C1075))),8)</f>
        <v/>
      </c>
      <c r="G1075" s="49">
        <f>TRUNC((E1075*F1075),8)</f>
        <v/>
      </c>
      <c r="H1075" s="49">
        <f>ROUND(((1+$H$4)^(30/360))^(C1075/(EDATE(D1075-B1075,1)-(D1075-B1075))),9)</f>
        <v/>
      </c>
      <c r="I1075" s="49">
        <f>TRUNC((G1075*H1075-G1075),8)</f>
        <v/>
      </c>
      <c r="J1075" s="49">
        <f>G1075+I1075</f>
        <v/>
      </c>
      <c r="K1075" s="256" t="n"/>
      <c r="L1075" s="256" t="n"/>
      <c r="M1075" s="256" t="n"/>
      <c r="N1075" s="256" t="n"/>
      <c r="O1075" s="256" t="n"/>
      <c r="P1075" s="256" t="n"/>
      <c r="Q1075" s="256" t="n"/>
    </row>
    <row r="1076">
      <c r="A1076">
        <f>IF(DAY(D1076)=DAY($L$1+1),A1075+1,A1075)</f>
        <v/>
      </c>
      <c r="B1076" s="46">
        <f>IF(DAY(D1076)=DAY($L$1+1),1,B1075+1)</f>
        <v/>
      </c>
      <c r="C1076" s="46">
        <f>IF(DAY(D1076)=DAY($L$1+1),1,C1075+1)</f>
        <v/>
      </c>
      <c r="D1076" s="2">
        <f>D1075+1</f>
        <v/>
      </c>
      <c r="E1076" s="8">
        <f>IF(DAY(D1076)=DAY($L$1+1),TRUNC((N1075),8),E1075)</f>
        <v/>
      </c>
      <c r="F1076" s="49">
        <f>TRUNC(((1+VLOOKUP(A1076,IPCA!$A$2:$C$140,3,0)))^(C1076/(EDATE(D1076-C1076,1)-(D1076-C1076))),8)</f>
        <v/>
      </c>
      <c r="G1076" s="49">
        <f>TRUNC((E1076*F1076),8)</f>
        <v/>
      </c>
      <c r="H1076" s="49">
        <f>ROUND(((1+$H$4)^(30/360))^(C1076/(EDATE(D1076-B1076,1)-(D1076-B1076))),9)</f>
        <v/>
      </c>
      <c r="I1076" s="49">
        <f>TRUNC((G1076*H1076-G1076),8)</f>
        <v/>
      </c>
      <c r="J1076" s="49">
        <f>G1076+I1076</f>
        <v/>
      </c>
      <c r="K1076" s="256" t="n"/>
      <c r="L1076" s="256" t="n"/>
      <c r="M1076" s="256" t="n"/>
      <c r="N1076" s="256" t="n"/>
      <c r="O1076" s="256" t="n"/>
      <c r="P1076" s="256" t="n"/>
      <c r="Q1076" s="256" t="n"/>
    </row>
    <row r="1077">
      <c r="A1077">
        <f>IF(DAY(D1077)=DAY($L$1+1),A1076+1,A1076)</f>
        <v/>
      </c>
      <c r="B1077" s="46">
        <f>IF(DAY(D1077)=DAY($L$1+1),1,B1076+1)</f>
        <v/>
      </c>
      <c r="C1077" s="46">
        <f>IF(DAY(D1077)=DAY($L$1+1),1,C1076+1)</f>
        <v/>
      </c>
      <c r="D1077" s="2">
        <f>D1076+1</f>
        <v/>
      </c>
      <c r="E1077" s="8">
        <f>IF(DAY(D1077)=DAY($L$1+1),TRUNC((N1076),8),E1076)</f>
        <v/>
      </c>
      <c r="F1077" s="49">
        <f>TRUNC(((1+VLOOKUP(A1077,IPCA!$A$2:$C$140,3,0)))^(C1077/(EDATE(D1077-C1077,1)-(D1077-C1077))),8)</f>
        <v/>
      </c>
      <c r="G1077" s="49">
        <f>TRUNC((E1077*F1077),8)</f>
        <v/>
      </c>
      <c r="H1077" s="49">
        <f>ROUND(((1+$H$4)^(30/360))^(C1077/(EDATE(D1077-B1077,1)-(D1077-B1077))),9)</f>
        <v/>
      </c>
      <c r="I1077" s="49">
        <f>TRUNC((G1077*H1077-G1077),8)</f>
        <v/>
      </c>
      <c r="J1077" s="49">
        <f>G1077+I1077</f>
        <v/>
      </c>
      <c r="K1077" s="256" t="n"/>
      <c r="L1077" s="256" t="n"/>
      <c r="M1077" s="256" t="n"/>
      <c r="N1077" s="256" t="n"/>
      <c r="O1077" s="256" t="n"/>
      <c r="P1077" s="256" t="n"/>
      <c r="Q1077" s="256" t="n"/>
    </row>
    <row r="1078">
      <c r="A1078">
        <f>IF(DAY(D1078)=DAY($L$1+1),A1077+1,A1077)</f>
        <v/>
      </c>
      <c r="B1078" s="46">
        <f>IF(DAY(D1078)=DAY($L$1+1),1,B1077+1)</f>
        <v/>
      </c>
      <c r="C1078" s="46">
        <f>IF(DAY(D1078)=DAY($L$1+1),1,C1077+1)</f>
        <v/>
      </c>
      <c r="D1078" s="2">
        <f>D1077+1</f>
        <v/>
      </c>
      <c r="E1078" s="8">
        <f>IF(DAY(D1078)=DAY($L$1+1),TRUNC((N1077),8),E1077)</f>
        <v/>
      </c>
      <c r="F1078" s="49">
        <f>TRUNC(((1+VLOOKUP(A1078,IPCA!$A$2:$C$140,3,0)))^(C1078/(EDATE(D1078-C1078,1)-(D1078-C1078))),8)</f>
        <v/>
      </c>
      <c r="G1078" s="49">
        <f>TRUNC((E1078*F1078),8)</f>
        <v/>
      </c>
      <c r="H1078" s="49">
        <f>ROUND(((1+$H$4)^(30/360))^(C1078/(EDATE(D1078-B1078,1)-(D1078-B1078))),9)</f>
        <v/>
      </c>
      <c r="I1078" s="49">
        <f>TRUNC((G1078*H1078-G1078),8)</f>
        <v/>
      </c>
      <c r="J1078" s="49">
        <f>G1078+I1078</f>
        <v/>
      </c>
      <c r="K1078" s="256" t="n"/>
      <c r="L1078" s="256" t="n"/>
      <c r="M1078" s="256" t="n"/>
      <c r="N1078" s="256" t="n"/>
      <c r="O1078" s="256" t="n"/>
      <c r="P1078" s="256" t="n"/>
      <c r="Q1078" s="256" t="n"/>
    </row>
    <row r="1079">
      <c r="A1079">
        <f>IF(DAY(D1079)=DAY($L$1+1),A1078+1,A1078)</f>
        <v/>
      </c>
      <c r="B1079" s="46">
        <f>IF(DAY(D1079)=DAY($L$1+1),1,B1078+1)</f>
        <v/>
      </c>
      <c r="C1079" s="46">
        <f>IF(DAY(D1079)=DAY($L$1+1),1,C1078+1)</f>
        <v/>
      </c>
      <c r="D1079" s="2">
        <f>D1078+1</f>
        <v/>
      </c>
      <c r="E1079" s="8">
        <f>IF(DAY(D1079)=DAY($L$1+1),TRUNC((N1078),8),E1078)</f>
        <v/>
      </c>
      <c r="F1079" s="49">
        <f>TRUNC(((1+VLOOKUP(A1079,IPCA!$A$2:$C$140,3,0)))^(C1079/(EDATE(D1079-C1079,1)-(D1079-C1079))),8)</f>
        <v/>
      </c>
      <c r="G1079" s="49">
        <f>TRUNC((E1079*F1079),8)</f>
        <v/>
      </c>
      <c r="H1079" s="49">
        <f>ROUND(((1+$H$4)^(30/360))^(C1079/(EDATE(D1079-B1079,1)-(D1079-B1079))),9)</f>
        <v/>
      </c>
      <c r="I1079" s="49">
        <f>TRUNC((G1079*H1079-G1079),8)</f>
        <v/>
      </c>
      <c r="J1079" s="49">
        <f>G1079+I1079</f>
        <v/>
      </c>
      <c r="K1079" s="256" t="n"/>
      <c r="L1079" s="256" t="n"/>
      <c r="M1079" s="256" t="n"/>
      <c r="N1079" s="256" t="n"/>
      <c r="O1079" s="256" t="n"/>
      <c r="P1079" s="256" t="n"/>
      <c r="Q1079" s="256" t="n"/>
    </row>
    <row r="1080">
      <c r="A1080">
        <f>IF(DAY(D1080)=DAY($L$1+1),A1079+1,A1079)</f>
        <v/>
      </c>
      <c r="B1080" s="46">
        <f>IF(DAY(D1080)=DAY($L$1+1),1,B1079+1)</f>
        <v/>
      </c>
      <c r="C1080" s="46">
        <f>IF(DAY(D1080)=DAY($L$1+1),1,C1079+1)</f>
        <v/>
      </c>
      <c r="D1080" s="2">
        <f>D1079+1</f>
        <v/>
      </c>
      <c r="E1080" s="8">
        <f>IF(DAY(D1080)=DAY($L$1+1),TRUNC((N1079),8),E1079)</f>
        <v/>
      </c>
      <c r="F1080" s="49">
        <f>TRUNC(((1+VLOOKUP(A1080,IPCA!$A$2:$C$140,3,0)))^(C1080/(EDATE(D1080-C1080,1)-(D1080-C1080))),8)</f>
        <v/>
      </c>
      <c r="G1080" s="49">
        <f>TRUNC((E1080*F1080),8)</f>
        <v/>
      </c>
      <c r="H1080" s="49">
        <f>ROUND(((1+$H$4)^(30/360))^(C1080/(EDATE(D1080-B1080,1)-(D1080-B1080))),9)</f>
        <v/>
      </c>
      <c r="I1080" s="49">
        <f>TRUNC((G1080*H1080-G1080),8)</f>
        <v/>
      </c>
      <c r="J1080" s="49">
        <f>G1080+I1080</f>
        <v/>
      </c>
      <c r="K1080" s="256" t="n"/>
      <c r="L1080" s="256" t="n"/>
      <c r="M1080" s="256" t="n"/>
      <c r="N1080" s="256" t="n"/>
      <c r="O1080" s="256" t="n"/>
      <c r="P1080" s="256" t="n"/>
      <c r="Q1080" s="256" t="n"/>
    </row>
    <row r="1081">
      <c r="A1081">
        <f>IF(DAY(D1081)=DAY($L$1+1),A1080+1,A1080)</f>
        <v/>
      </c>
      <c r="B1081" s="46">
        <f>IF(DAY(D1081)=DAY($L$1+1),1,B1080+1)</f>
        <v/>
      </c>
      <c r="C1081" s="46">
        <f>IF(DAY(D1081)=DAY($L$1+1),1,C1080+1)</f>
        <v/>
      </c>
      <c r="D1081" s="2">
        <f>D1080+1</f>
        <v/>
      </c>
      <c r="E1081" s="8">
        <f>IF(DAY(D1081)=DAY($L$1+1),TRUNC((N1080),8),E1080)</f>
        <v/>
      </c>
      <c r="F1081" s="49">
        <f>TRUNC(((1+VLOOKUP(A1081,IPCA!$A$2:$C$140,3,0)))^(C1081/(EDATE(D1081-C1081,1)-(D1081-C1081))),8)</f>
        <v/>
      </c>
      <c r="G1081" s="49">
        <f>TRUNC((E1081*F1081),8)</f>
        <v/>
      </c>
      <c r="H1081" s="49">
        <f>ROUND(((1+$H$4)^(30/360))^(C1081/(EDATE(D1081-B1081,1)-(D1081-B1081))),9)</f>
        <v/>
      </c>
      <c r="I1081" s="49">
        <f>TRUNC((G1081*H1081-G1081),8)</f>
        <v/>
      </c>
      <c r="J1081" s="49">
        <f>G1081+I1081</f>
        <v/>
      </c>
      <c r="K1081" s="256" t="n"/>
      <c r="L1081" s="256" t="n"/>
      <c r="M1081" s="256" t="n"/>
      <c r="N1081" s="256" t="n"/>
      <c r="O1081" s="256" t="n"/>
      <c r="P1081" s="256" t="n"/>
      <c r="Q1081" s="256" t="n"/>
    </row>
    <row r="1082">
      <c r="A1082">
        <f>IF(DAY(D1082)=DAY($L$1+1),A1081+1,A1081)</f>
        <v/>
      </c>
      <c r="B1082" s="46">
        <f>IF(DAY(D1082)=DAY($L$1+1),1,B1081+1)</f>
        <v/>
      </c>
      <c r="C1082" s="46">
        <f>IF(DAY(D1082)=DAY($L$1+1),1,C1081+1)</f>
        <v/>
      </c>
      <c r="D1082" s="2">
        <f>D1081+1</f>
        <v/>
      </c>
      <c r="E1082" s="8">
        <f>IF(DAY(D1082)=DAY($L$1+1),TRUNC((N1081),8),E1081)</f>
        <v/>
      </c>
      <c r="F1082" s="49">
        <f>TRUNC(((1+VLOOKUP(A1082,IPCA!$A$2:$C$140,3,0)))^(C1082/(EDATE(D1082-C1082,1)-(D1082-C1082))),8)</f>
        <v/>
      </c>
      <c r="G1082" s="49">
        <f>TRUNC((E1082*F1082),8)</f>
        <v/>
      </c>
      <c r="H1082" s="49">
        <f>ROUND(((1+$H$4)^(30/360))^(C1082/(EDATE(D1082-B1082,1)-(D1082-B1082))),9)</f>
        <v/>
      </c>
      <c r="I1082" s="49">
        <f>TRUNC((G1082*H1082-G1082),8)</f>
        <v/>
      </c>
      <c r="J1082" s="49">
        <f>G1082+I1082</f>
        <v/>
      </c>
      <c r="K1082" s="256" t="n"/>
      <c r="L1082" s="256" t="n"/>
      <c r="M1082" s="256" t="n"/>
      <c r="N1082" s="256" t="n"/>
      <c r="O1082" s="256" t="n"/>
      <c r="P1082" s="256" t="n"/>
      <c r="Q1082" s="256" t="n"/>
    </row>
    <row r="1083">
      <c r="A1083">
        <f>IF(DAY(D1083)=DAY($L$1+1),A1082+1,A1082)</f>
        <v/>
      </c>
      <c r="B1083" s="46">
        <f>IF(DAY(D1083)=DAY($L$1+1),1,B1082+1)</f>
        <v/>
      </c>
      <c r="C1083" s="46">
        <f>IF(DAY(D1083)=DAY($L$1+1),1,C1082+1)</f>
        <v/>
      </c>
      <c r="D1083" s="2">
        <f>D1082+1</f>
        <v/>
      </c>
      <c r="E1083" s="8">
        <f>IF(DAY(D1083)=DAY($L$1+1),TRUNC((N1082),8),E1082)</f>
        <v/>
      </c>
      <c r="F1083" s="49">
        <f>TRUNC(((1+VLOOKUP(A1083,IPCA!$A$2:$C$140,3,0)))^(C1083/(EDATE(D1083-C1083,1)-(D1083-C1083))),8)</f>
        <v/>
      </c>
      <c r="G1083" s="49">
        <f>TRUNC((E1083*F1083),8)</f>
        <v/>
      </c>
      <c r="H1083" s="49">
        <f>ROUND(((1+$H$4)^(30/360))^(C1083/(EDATE(D1083-B1083,1)-(D1083-B1083))),9)</f>
        <v/>
      </c>
      <c r="I1083" s="49">
        <f>TRUNC((G1083*H1083-G1083),8)</f>
        <v/>
      </c>
      <c r="J1083" s="49">
        <f>G1083+I1083</f>
        <v/>
      </c>
      <c r="K1083" s="256" t="inlineStr">
        <is>
          <t>Cri Integralizado</t>
        </is>
      </c>
      <c r="L1083" s="270">
        <f>L1052</f>
        <v/>
      </c>
      <c r="M1083" s="256" t="n"/>
      <c r="N1083" s="256" t="n"/>
      <c r="O1083" s="256" t="n"/>
      <c r="P1083" s="256" t="n"/>
      <c r="Q1083" s="256" t="n"/>
    </row>
    <row r="1084">
      <c r="A1084">
        <f>IF(DAY(D1084)=DAY($L$1+1),A1083+1,A1083)</f>
        <v/>
      </c>
      <c r="B1084" s="46">
        <f>IF(DAY(D1084)=DAY($L$1+1),1,B1083+1)</f>
        <v/>
      </c>
      <c r="C1084" s="46">
        <f>IF(DAY(D1084)=DAY($L$1+1),1,C1083+1)</f>
        <v/>
      </c>
      <c r="D1084" s="47">
        <f>D1083+1</f>
        <v/>
      </c>
      <c r="E1084" s="8">
        <f>IF(DAY(D1084)=DAY($L$1+1),TRUNC((N1083),8),E1083)</f>
        <v/>
      </c>
      <c r="F1084" s="49">
        <f>TRUNC(((1+VLOOKUP(A1084,IPCA!$A$2:$C$140,3,0)))^(C1084/(EDATE(D1084-C1084,1)-(D1084-C1084))),8)</f>
        <v/>
      </c>
      <c r="G1084" s="49">
        <f>TRUNC((E1084*F1084),8)</f>
        <v/>
      </c>
      <c r="H1084" s="49">
        <f>ROUND(((1+$H$4)^(30/360))^(C1084/(EDATE(D1084-B1084,1)-(D1084-B1084))),9)</f>
        <v/>
      </c>
      <c r="I1084" s="49">
        <f>TRUNC((G1084*H1084-G1084),8)</f>
        <v/>
      </c>
      <c r="J1084" s="49">
        <f>G1084+I1084</f>
        <v/>
      </c>
      <c r="K1084" s="118" t="inlineStr">
        <is>
          <t>JUROS</t>
        </is>
      </c>
      <c r="L1084" s="118" t="inlineStr">
        <is>
          <t>AMORTIZAÇÃO</t>
        </is>
      </c>
      <c r="M1084" s="118" t="inlineStr">
        <is>
          <t>AMEX</t>
        </is>
      </c>
      <c r="N1084" s="118" t="inlineStr">
        <is>
          <t>RESIDUAL</t>
        </is>
      </c>
      <c r="O1084" s="256" t="n"/>
      <c r="P1084" s="256" t="n"/>
      <c r="Q1084" s="256" t="n"/>
    </row>
    <row r="1085">
      <c r="A1085">
        <f>IF(DAY(D1085)=DAY($L$1+1),A1084+1,A1084)</f>
        <v/>
      </c>
      <c r="B1085" s="111">
        <f>IF(DAY(D1085)=DAY($L$1+1),1,B1084+1)</f>
        <v/>
      </c>
      <c r="C1085" s="111">
        <f>IF(DAY(D1085)=DAY($L$1+1),1,C1084+1)</f>
        <v/>
      </c>
      <c r="D1085" s="112">
        <f>D1084+1</f>
        <v/>
      </c>
      <c r="E1085" s="113">
        <f>IF(DAY(D1085)=DAY($L$1+1),TRUNC((N1084),8),E1084)</f>
        <v/>
      </c>
      <c r="F1085" s="114">
        <f>TRUNC(((1+VLOOKUP(A1085,IPCA!$A$2:$C$140,3,0)))^(C1085/(EDATE(D1085-C1085,1)-(D1085-C1085))),8)</f>
        <v/>
      </c>
      <c r="G1085" s="114">
        <f>TRUNC((E1085*F1085),8)</f>
        <v/>
      </c>
      <c r="H1085" s="114">
        <f>ROUND(((1+$H$4)^(30/360))^(C1085/(EDATE(D1085-B1085,1)-(D1085-B1085))),9)</f>
        <v/>
      </c>
      <c r="I1085" s="114">
        <f>TRUNC((G1085*H1085-G1085),8)</f>
        <v/>
      </c>
      <c r="J1085" s="114">
        <f>G1085+I1085</f>
        <v/>
      </c>
      <c r="K1085" s="119">
        <f>I1085</f>
        <v/>
      </c>
      <c r="L1085" s="120">
        <f>TRUNC(G1085*VLOOKUP(D1085,'Amort TS'!$G$3:$H$140,2,0),8)</f>
        <v/>
      </c>
      <c r="M1085" s="120" t="n">
        <v>0</v>
      </c>
      <c r="N1085" s="120">
        <f>J1085-K1085-L1085-M1085</f>
        <v/>
      </c>
      <c r="O1085" s="256" t="n"/>
      <c r="P1085" s="256" t="n"/>
      <c r="Q1085" s="256" t="n"/>
    </row>
    <row r="1086">
      <c r="A1086">
        <f>IF(DAY(D1086)=DAY($L$1+1),A1085+1,A1085)</f>
        <v/>
      </c>
      <c r="B1086" s="46">
        <f>IF(DAY(D1086)=DAY($L$1+1),1,B1085+1)</f>
        <v/>
      </c>
      <c r="C1086" s="46">
        <f>IF(DAY(D1086)=DAY($L$1+1),1,C1085+1)</f>
        <v/>
      </c>
      <c r="D1086" s="2">
        <f>D1085+1</f>
        <v/>
      </c>
      <c r="E1086" s="8">
        <f>IF(DAY(D1086)=DAY($L$1+1),TRUNC((N1085),8),E1085)</f>
        <v/>
      </c>
      <c r="F1086" s="49">
        <f>TRUNC(((1+VLOOKUP(A1086,IPCA!$A$2:$C$140,3,0)))^(C1086/(EDATE(D1086-C1086,1)-(D1086-C1086))),8)</f>
        <v/>
      </c>
      <c r="G1086" s="49">
        <f>TRUNC((E1086*F1086),8)</f>
        <v/>
      </c>
      <c r="H1086" s="49">
        <f>ROUND(((1+$H$4)^(30/360))^(C1086/(EDATE(D1086-B1086,1)-(D1086-B1086))),9)</f>
        <v/>
      </c>
      <c r="I1086" s="49">
        <f>TRUNC((G1086*H1086-G1086),8)</f>
        <v/>
      </c>
      <c r="J1086" s="49">
        <f>G1086+I1086</f>
        <v/>
      </c>
      <c r="K1086" s="121">
        <f>K1085*L1083</f>
        <v/>
      </c>
      <c r="L1086" s="121">
        <f>L1085*L1083</f>
        <v/>
      </c>
      <c r="M1086" s="121">
        <f>M1085*L1083</f>
        <v/>
      </c>
      <c r="N1086" s="121">
        <f>N1085*L1083</f>
        <v/>
      </c>
      <c r="O1086" s="256" t="n"/>
      <c r="P1086" s="256" t="n"/>
      <c r="Q1086" s="256" t="n"/>
    </row>
    <row r="1087">
      <c r="A1087">
        <f>IF(DAY(D1087)=DAY($L$1+1),A1086+1,A1086)</f>
        <v/>
      </c>
      <c r="B1087" s="46">
        <f>IF(DAY(D1087)=DAY($L$1+1),1,B1086+1)</f>
        <v/>
      </c>
      <c r="C1087" s="46">
        <f>IF(DAY(D1087)=DAY($L$1+1),1,C1086+1)</f>
        <v/>
      </c>
      <c r="D1087" s="47">
        <f>D1086+1</f>
        <v/>
      </c>
      <c r="E1087" s="8">
        <f>IF(DAY(D1087)=DAY($L$1+1),TRUNC((N1086),8),E1086)</f>
        <v/>
      </c>
      <c r="F1087" s="49">
        <f>TRUNC(((1+VLOOKUP(A1087,IPCA!$A$2:$C$140,3,0)))^(C1087/(EDATE(D1087-C1087,1)-(D1087-C1087))),8)</f>
        <v/>
      </c>
      <c r="G1087" s="49">
        <f>TRUNC((E1087*F1087),8)</f>
        <v/>
      </c>
      <c r="H1087" s="49">
        <f>ROUND(((1+$H$4)^(30/360))^(C1087/(EDATE(D1087-B1087,1)-(D1087-B1087))),9)</f>
        <v/>
      </c>
      <c r="I1087" s="49">
        <f>TRUNC((G1087*H1087-G1087),8)</f>
        <v/>
      </c>
      <c r="J1087" s="49">
        <f>G1087+I1087</f>
        <v/>
      </c>
      <c r="K1087" s="256" t="n"/>
      <c r="L1087" s="256" t="n"/>
      <c r="M1087" s="256" t="n"/>
      <c r="N1087" s="256" t="n"/>
      <c r="O1087" s="256" t="n"/>
      <c r="P1087" s="256" t="n"/>
      <c r="Q1087" s="256" t="n"/>
    </row>
    <row r="1088">
      <c r="A1088">
        <f>IF(DAY(D1088)=DAY($L$1+1),A1087+1,A1087)</f>
        <v/>
      </c>
      <c r="B1088" s="46">
        <f>IF(DAY(D1088)=DAY($L$1+1),1,B1087+1)</f>
        <v/>
      </c>
      <c r="C1088" s="46">
        <f>IF(DAY(D1088)=DAY($L$1+1),1,C1087+1)</f>
        <v/>
      </c>
      <c r="D1088" s="2">
        <f>D1087+1</f>
        <v/>
      </c>
      <c r="E1088" s="8">
        <f>IF(DAY(D1088)=DAY($L$1+1),TRUNC((#REF!),8),E1087)</f>
        <v/>
      </c>
      <c r="F1088" s="49">
        <f>TRUNC(((1+VLOOKUP(A1088,IPCA!$A$2:$C$140,3,0)))^(C1088/(EDATE(D1088-C1088,1)-(D1088-C1088))),8)</f>
        <v/>
      </c>
      <c r="G1088" s="49">
        <f>TRUNC((E1088*F1088),8)</f>
        <v/>
      </c>
      <c r="H1088" s="49">
        <f>ROUND(((1+$H$4)^(30/360))^(C1088/(EDATE(D1088-B1088,1)-(D1088-B1088))),9)</f>
        <v/>
      </c>
      <c r="I1088" s="49">
        <f>TRUNC((G1088*H1088-G1088),8)</f>
        <v/>
      </c>
      <c r="J1088" s="49">
        <f>G1088+I1088</f>
        <v/>
      </c>
      <c r="K1088" s="256" t="n"/>
      <c r="L1088" s="256" t="n"/>
      <c r="M1088" s="256" t="n"/>
      <c r="N1088" s="256" t="n"/>
      <c r="O1088" s="256" t="n"/>
      <c r="P1088" s="256" t="n"/>
      <c r="Q1088" s="256" t="n"/>
    </row>
    <row r="1089">
      <c r="A1089">
        <f>IF(DAY(D1089)=DAY($L$1+1),A1088+1,A1088)</f>
        <v/>
      </c>
      <c r="B1089" s="46">
        <f>IF(DAY(D1089)=DAY($L$1+1),1,B1088+1)</f>
        <v/>
      </c>
      <c r="C1089" s="46">
        <f>IF(DAY(D1089)=DAY($L$1+1),1,C1088+1)</f>
        <v/>
      </c>
      <c r="D1089" s="2">
        <f>D1088+1</f>
        <v/>
      </c>
      <c r="E1089" s="8">
        <f>IF(DAY(D1089)=DAY($L$1+1),TRUNC((#REF!),8),E1088)</f>
        <v/>
      </c>
      <c r="F1089" s="49">
        <f>TRUNC(((1+VLOOKUP(A1089,IPCA!$A$2:$C$140,3,0)))^(C1089/(EDATE(D1089-C1089,1)-(D1089-C1089))),8)</f>
        <v/>
      </c>
      <c r="G1089" s="49">
        <f>TRUNC((E1089*F1089),8)</f>
        <v/>
      </c>
      <c r="H1089" s="49">
        <f>ROUND(((1+$H$4)^(30/360))^(C1089/(EDATE(D1089-B1089,1)-(D1089-B1089))),9)</f>
        <v/>
      </c>
      <c r="I1089" s="49">
        <f>TRUNC((G1089*H1089-G1089),8)</f>
        <v/>
      </c>
      <c r="J1089" s="49">
        <f>G1089+I1089</f>
        <v/>
      </c>
      <c r="K1089" s="256" t="n"/>
      <c r="L1089" s="256" t="n"/>
      <c r="M1089" s="256" t="n"/>
      <c r="N1089" s="256" t="n"/>
      <c r="O1089" s="256" t="n"/>
      <c r="P1089" s="256" t="n"/>
      <c r="Q1089" s="256" t="n"/>
    </row>
    <row r="1090">
      <c r="A1090">
        <f>IF(DAY(D1090)=DAY($L$1+1),A1089+1,A1089)</f>
        <v/>
      </c>
      <c r="B1090" s="46">
        <f>IF(DAY(D1090)=DAY($L$1+1),1,B1089+1)</f>
        <v/>
      </c>
      <c r="C1090" s="46">
        <f>IF(DAY(D1090)=DAY($L$1+1),1,C1089+1)</f>
        <v/>
      </c>
      <c r="D1090" s="2">
        <f>D1089+1</f>
        <v/>
      </c>
      <c r="E1090" s="8">
        <f>IF(DAY(D1090)=DAY($L$1+1),TRUNC((#REF!),8),E1089)</f>
        <v/>
      </c>
      <c r="F1090" s="49">
        <f>TRUNC(((1+VLOOKUP(A1090,IPCA!$A$2:$C$140,3,0)))^(C1090/(EDATE(D1090-C1090,1)-(D1090-C1090))),8)</f>
        <v/>
      </c>
      <c r="G1090" s="49">
        <f>TRUNC((E1090*F1090),8)</f>
        <v/>
      </c>
      <c r="H1090" s="49">
        <f>ROUND(((1+$H$4)^(30/360))^(C1090/(EDATE(D1090-B1090,1)-(D1090-B1090))),9)</f>
        <v/>
      </c>
      <c r="I1090" s="49">
        <f>TRUNC((G1090*H1090-G1090),8)</f>
        <v/>
      </c>
      <c r="J1090" s="49">
        <f>G1090+I1090</f>
        <v/>
      </c>
      <c r="K1090" s="256" t="n"/>
      <c r="L1090" s="256" t="n"/>
      <c r="M1090" s="256" t="n"/>
      <c r="N1090" s="256" t="n"/>
      <c r="O1090" s="256" t="n"/>
      <c r="P1090" s="256" t="n"/>
      <c r="Q1090" s="256" t="n"/>
    </row>
    <row r="1091">
      <c r="A1091">
        <f>IF(DAY(D1091)=DAY($L$1+1),A1090+1,A1090)</f>
        <v/>
      </c>
      <c r="B1091" s="46">
        <f>IF(DAY(D1091)=DAY($L$1+1),1,B1090+1)</f>
        <v/>
      </c>
      <c r="C1091" s="46">
        <f>IF(DAY(D1091)=DAY($L$1+1),1,C1090+1)</f>
        <v/>
      </c>
      <c r="D1091" s="2">
        <f>D1090+1</f>
        <v/>
      </c>
      <c r="E1091" s="8">
        <f>IF(DAY(D1091)=DAY($L$1+1),TRUNC((#REF!),8),E1090)</f>
        <v/>
      </c>
      <c r="F1091" s="49">
        <f>TRUNC(((1+VLOOKUP(A1091,IPCA!$A$2:$C$140,3,0)))^(C1091/(EDATE(D1091-C1091,1)-(D1091-C1091))),8)</f>
        <v/>
      </c>
      <c r="G1091" s="49">
        <f>TRUNC((E1091*F1091),8)</f>
        <v/>
      </c>
      <c r="H1091" s="49">
        <f>ROUND(((1+$H$4)^(30/360))^(C1091/(EDATE(D1091-B1091,1)-(D1091-B1091))),9)</f>
        <v/>
      </c>
      <c r="I1091" s="49">
        <f>TRUNC((G1091*H1091-G1091),8)</f>
        <v/>
      </c>
      <c r="J1091" s="49">
        <f>G1091+I1091</f>
        <v/>
      </c>
      <c r="K1091" s="256" t="n"/>
      <c r="L1091" s="256" t="n"/>
      <c r="M1091" s="256" t="n"/>
      <c r="N1091" s="256" t="n"/>
      <c r="O1091" s="256" t="n"/>
      <c r="P1091" s="256" t="n"/>
      <c r="Q1091" s="256" t="n"/>
    </row>
    <row r="1092">
      <c r="A1092">
        <f>IF(DAY(D1092)=DAY($L$1+1),A1091+1,A1091)</f>
        <v/>
      </c>
      <c r="B1092" s="46">
        <f>IF(DAY(D1092)=DAY($L$1+1),1,B1091+1)</f>
        <v/>
      </c>
      <c r="C1092" s="46">
        <f>IF(DAY(D1092)=DAY($L$1+1),1,C1091+1)</f>
        <v/>
      </c>
      <c r="D1092" s="2">
        <f>D1091+1</f>
        <v/>
      </c>
      <c r="E1092" s="8">
        <f>IF(DAY(D1092)=DAY($L$1+1),TRUNC((#REF!),8),E1091)</f>
        <v/>
      </c>
      <c r="F1092" s="49">
        <f>TRUNC(((1+VLOOKUP(A1092,IPCA!$A$2:$C$140,3,0)))^(C1092/(EDATE(D1092-C1092,1)-(D1092-C1092))),8)</f>
        <v/>
      </c>
      <c r="G1092" s="49">
        <f>TRUNC((E1092*F1092),8)</f>
        <v/>
      </c>
      <c r="H1092" s="49">
        <f>ROUND(((1+$H$4)^(30/360))^(C1092/(EDATE(D1092-B1092,1)-(D1092-B1092))),9)</f>
        <v/>
      </c>
      <c r="I1092" s="49">
        <f>TRUNC((G1092*H1092-G1092),8)</f>
        <v/>
      </c>
      <c r="J1092" s="49">
        <f>G1092+I1092</f>
        <v/>
      </c>
      <c r="K1092" s="256" t="n"/>
      <c r="L1092" s="256" t="n"/>
      <c r="M1092" s="256" t="n"/>
      <c r="N1092" s="256" t="n"/>
      <c r="O1092" s="256" t="n"/>
      <c r="P1092" s="256" t="n"/>
      <c r="Q1092" s="256" t="n"/>
    </row>
    <row r="1093">
      <c r="A1093">
        <f>IF(DAY(D1093)=DAY($L$1+1),A1092+1,A1092)</f>
        <v/>
      </c>
      <c r="B1093" s="46">
        <f>IF(DAY(D1093)=DAY($L$1+1),1,B1092+1)</f>
        <v/>
      </c>
      <c r="C1093" s="46">
        <f>IF(DAY(D1093)=DAY($L$1+1),1,C1092+1)</f>
        <v/>
      </c>
      <c r="D1093" s="2">
        <f>D1092+1</f>
        <v/>
      </c>
      <c r="E1093" s="8">
        <f>IF(DAY(D1093)=DAY($L$1+1),TRUNC((#REF!),8),E1092)</f>
        <v/>
      </c>
      <c r="F1093" s="49">
        <f>TRUNC(((1+VLOOKUP(A1093,IPCA!$A$2:$C$140,3,0)))^(C1093/(EDATE(D1093-C1093,1)-(D1093-C1093))),8)</f>
        <v/>
      </c>
      <c r="G1093" s="49">
        <f>TRUNC((E1093*F1093),8)</f>
        <v/>
      </c>
      <c r="H1093" s="49">
        <f>ROUND(((1+$H$4)^(30/360))^(C1093/(EDATE(D1093-B1093,1)-(D1093-B1093))),9)</f>
        <v/>
      </c>
      <c r="I1093" s="49">
        <f>TRUNC((G1093*H1093-G1093),8)</f>
        <v/>
      </c>
      <c r="J1093" s="49">
        <f>G1093+I1093</f>
        <v/>
      </c>
      <c r="K1093" s="256" t="n"/>
      <c r="L1093" s="256" t="n"/>
      <c r="M1093" s="256" t="n"/>
      <c r="N1093" s="256" t="n"/>
      <c r="O1093" s="256" t="n"/>
      <c r="P1093" s="256" t="n"/>
      <c r="Q1093" s="256" t="n"/>
    </row>
    <row r="1094">
      <c r="A1094">
        <f>IF(DAY(D1094)=DAY($L$1+1),A1093+1,A1093)</f>
        <v/>
      </c>
      <c r="B1094" s="46">
        <f>IF(DAY(D1094)=DAY($L$1+1),1,B1093+1)</f>
        <v/>
      </c>
      <c r="C1094" s="46">
        <f>IF(DAY(D1094)=DAY($L$1+1),1,C1093+1)</f>
        <v/>
      </c>
      <c r="D1094" s="2">
        <f>D1093+1</f>
        <v/>
      </c>
      <c r="E1094" s="8">
        <f>IF(DAY(D1094)=DAY($L$1+1),TRUNC((#REF!),8),E1093)</f>
        <v/>
      </c>
      <c r="F1094" s="49">
        <f>TRUNC(((1+VLOOKUP(A1094,IPCA!$A$2:$C$140,3,0)))^(C1094/(EDATE(D1094-C1094,1)-(D1094-C1094))),8)</f>
        <v/>
      </c>
      <c r="G1094" s="49">
        <f>TRUNC((E1094*F1094),8)</f>
        <v/>
      </c>
      <c r="H1094" s="49">
        <f>ROUND(((1+$H$4)^(30/360))^(C1094/(EDATE(D1094-B1094,1)-(D1094-B1094))),9)</f>
        <v/>
      </c>
      <c r="I1094" s="49">
        <f>TRUNC((G1094*H1094-G1094),8)</f>
        <v/>
      </c>
      <c r="J1094" s="49">
        <f>G1094+I1094</f>
        <v/>
      </c>
      <c r="K1094" s="256" t="n"/>
      <c r="L1094" s="256" t="n"/>
      <c r="M1094" s="256" t="n"/>
      <c r="N1094" s="256" t="n"/>
      <c r="O1094" s="256" t="n"/>
      <c r="P1094" s="256" t="n"/>
      <c r="Q1094" s="256" t="n"/>
    </row>
    <row r="1095">
      <c r="A1095">
        <f>IF(DAY(D1095)=DAY($L$1+1),A1094+1,A1094)</f>
        <v/>
      </c>
      <c r="B1095" s="46">
        <f>IF(DAY(D1095)=DAY($L$1+1),1,B1094+1)</f>
        <v/>
      </c>
      <c r="C1095" s="46">
        <f>IF(DAY(D1095)=DAY($L$1+1),1,C1094+1)</f>
        <v/>
      </c>
      <c r="D1095" s="2">
        <f>D1094+1</f>
        <v/>
      </c>
      <c r="E1095" s="8">
        <f>IF(DAY(D1095)=DAY($L$1+1),TRUNC((#REF!),8),E1094)</f>
        <v/>
      </c>
      <c r="F1095" s="49">
        <f>TRUNC(((1+VLOOKUP(A1095,IPCA!$A$2:$C$140,3,0)))^(C1095/(EDATE(D1095-C1095,1)-(D1095-C1095))),8)</f>
        <v/>
      </c>
      <c r="G1095" s="49">
        <f>TRUNC((E1095*F1095),8)</f>
        <v/>
      </c>
      <c r="H1095" s="49">
        <f>ROUND(((1+$H$4)^(30/360))^(C1095/(EDATE(D1095-B1095,1)-(D1095-B1095))),9)</f>
        <v/>
      </c>
      <c r="I1095" s="49">
        <f>TRUNC((G1095*H1095-G1095),8)</f>
        <v/>
      </c>
      <c r="J1095" s="49">
        <f>G1095+I1095</f>
        <v/>
      </c>
      <c r="K1095" s="256" t="n"/>
      <c r="L1095" s="256" t="n"/>
      <c r="M1095" s="256" t="n"/>
      <c r="N1095" s="256" t="n"/>
      <c r="O1095" s="256" t="n"/>
      <c r="P1095" s="256" t="n"/>
      <c r="Q1095" s="256" t="n"/>
    </row>
    <row r="1096">
      <c r="A1096">
        <f>IF(DAY(D1096)=DAY($L$1+1),A1095+1,A1095)</f>
        <v/>
      </c>
      <c r="B1096" s="46">
        <f>IF(DAY(D1096)=DAY($L$1+1),1,B1095+1)</f>
        <v/>
      </c>
      <c r="C1096" s="46">
        <f>IF(DAY(D1096)=DAY($L$1+1),1,C1095+1)</f>
        <v/>
      </c>
      <c r="D1096" s="2">
        <f>D1095+1</f>
        <v/>
      </c>
      <c r="E1096" s="8">
        <f>IF(DAY(D1096)=DAY($L$1+1),TRUNC((#REF!),8),E1095)</f>
        <v/>
      </c>
      <c r="F1096" s="49">
        <f>TRUNC(((1+VLOOKUP(A1096,IPCA!$A$2:$C$140,3,0)))^(C1096/(EDATE(D1096-C1096,1)-(D1096-C1096))),8)</f>
        <v/>
      </c>
      <c r="G1096" s="49">
        <f>TRUNC((E1096*F1096),8)</f>
        <v/>
      </c>
      <c r="H1096" s="49">
        <f>ROUND(((1+$H$4)^(30/360))^(C1096/(EDATE(D1096-B1096,1)-(D1096-B1096))),9)</f>
        <v/>
      </c>
      <c r="I1096" s="49">
        <f>TRUNC((G1096*H1096-G1096),8)</f>
        <v/>
      </c>
      <c r="J1096" s="49">
        <f>G1096+I1096</f>
        <v/>
      </c>
      <c r="K1096" s="256" t="n"/>
      <c r="L1096" s="256" t="n"/>
      <c r="M1096" s="256" t="n"/>
      <c r="N1096" s="256" t="n"/>
      <c r="O1096" s="256" t="n"/>
      <c r="P1096" s="256" t="n"/>
      <c r="Q1096" s="256" t="n"/>
    </row>
    <row r="1097">
      <c r="A1097">
        <f>IF(DAY(D1097)=DAY($L$1+1),A1096+1,A1096)</f>
        <v/>
      </c>
      <c r="B1097" s="46">
        <f>IF(DAY(D1097)=DAY($L$1+1),1,B1096+1)</f>
        <v/>
      </c>
      <c r="C1097" s="46">
        <f>IF(DAY(D1097)=DAY($L$1+1),1,C1096+1)</f>
        <v/>
      </c>
      <c r="D1097" s="2">
        <f>D1096+1</f>
        <v/>
      </c>
      <c r="E1097" s="8">
        <f>IF(DAY(D1097)=DAY($L$1+1),TRUNC((#REF!),8),E1096)</f>
        <v/>
      </c>
      <c r="F1097" s="49">
        <f>TRUNC(((1+VLOOKUP(A1097,IPCA!$A$2:$C$140,3,0)))^(C1097/(EDATE(D1097-C1097,1)-(D1097-C1097))),8)</f>
        <v/>
      </c>
      <c r="G1097" s="49">
        <f>TRUNC((E1097*F1097),8)</f>
        <v/>
      </c>
      <c r="H1097" s="49">
        <f>ROUND(((1+$H$4)^(30/360))^(C1097/(EDATE(D1097-B1097,1)-(D1097-B1097))),9)</f>
        <v/>
      </c>
      <c r="I1097" s="49">
        <f>TRUNC((G1097*H1097-G1097),8)</f>
        <v/>
      </c>
      <c r="J1097" s="49">
        <f>G1097+I1097</f>
        <v/>
      </c>
      <c r="K1097" s="256" t="n"/>
      <c r="L1097" s="256" t="n"/>
      <c r="M1097" s="256" t="n"/>
      <c r="N1097" s="256" t="n"/>
      <c r="O1097" s="256" t="n"/>
      <c r="P1097" s="256" t="n"/>
      <c r="Q1097" s="256" t="n"/>
    </row>
    <row r="1098">
      <c r="A1098">
        <f>IF(DAY(D1098)=DAY($L$1+1),A1097+1,A1097)</f>
        <v/>
      </c>
      <c r="B1098" s="46">
        <f>IF(DAY(D1098)=DAY($L$1+1),1,B1097+1)</f>
        <v/>
      </c>
      <c r="C1098" s="46">
        <f>IF(DAY(D1098)=DAY($L$1+1),1,C1097+1)</f>
        <v/>
      </c>
      <c r="D1098" s="2">
        <f>D1097+1</f>
        <v/>
      </c>
      <c r="E1098" s="8">
        <f>IF(DAY(D1098)=DAY($L$1+1),TRUNC((#REF!),8),E1097)</f>
        <v/>
      </c>
      <c r="F1098" s="49">
        <f>TRUNC(((1+VLOOKUP(A1098,IPCA!$A$2:$C$140,3,0)))^(C1098/(EDATE(D1098-C1098,1)-(D1098-C1098))),8)</f>
        <v/>
      </c>
      <c r="G1098" s="49">
        <f>TRUNC((E1098*F1098),8)</f>
        <v/>
      </c>
      <c r="H1098" s="49">
        <f>ROUND(((1+$H$4)^(30/360))^(C1098/(EDATE(D1098-B1098,1)-(D1098-B1098))),9)</f>
        <v/>
      </c>
      <c r="I1098" s="49">
        <f>TRUNC((G1098*H1098-G1098),8)</f>
        <v/>
      </c>
      <c r="J1098" s="49">
        <f>G1098+I1098</f>
        <v/>
      </c>
      <c r="K1098" s="256" t="n"/>
      <c r="L1098" s="256" t="n"/>
      <c r="M1098" s="256" t="n"/>
      <c r="N1098" s="256" t="n"/>
      <c r="O1098" s="256" t="n"/>
      <c r="P1098" s="256" t="n"/>
      <c r="Q1098" s="256" t="n"/>
    </row>
    <row r="1099">
      <c r="A1099">
        <f>IF(DAY(D1099)=DAY($L$1+1),A1098+1,A1098)</f>
        <v/>
      </c>
      <c r="B1099" s="46">
        <f>IF(DAY(D1099)=DAY($L$1+1),1,B1098+1)</f>
        <v/>
      </c>
      <c r="C1099" s="46">
        <f>IF(DAY(D1099)=DAY($L$1+1),1,C1098+1)</f>
        <v/>
      </c>
      <c r="D1099" s="2">
        <f>D1098+1</f>
        <v/>
      </c>
      <c r="E1099" s="8">
        <f>IF(DAY(D1099)=DAY($L$1+1),TRUNC((#REF!),8),E1098)</f>
        <v/>
      </c>
      <c r="F1099" s="49">
        <f>TRUNC(((1+VLOOKUP(A1099,IPCA!$A$2:$C$140,3,0)))^(C1099/(EDATE(D1099-C1099,1)-(D1099-C1099))),8)</f>
        <v/>
      </c>
      <c r="G1099" s="49">
        <f>TRUNC((E1099*F1099),8)</f>
        <v/>
      </c>
      <c r="H1099" s="49">
        <f>ROUND(((1+$H$4)^(30/360))^(C1099/(EDATE(D1099-B1099,1)-(D1099-B1099))),9)</f>
        <v/>
      </c>
      <c r="I1099" s="49">
        <f>TRUNC((G1099*H1099-G1099),8)</f>
        <v/>
      </c>
      <c r="J1099" s="49">
        <f>G1099+I1099</f>
        <v/>
      </c>
      <c r="K1099" s="256" t="n"/>
      <c r="L1099" s="256" t="n"/>
      <c r="M1099" s="256" t="n"/>
      <c r="N1099" s="256" t="n"/>
      <c r="O1099" s="256" t="n"/>
      <c r="P1099" s="256" t="n"/>
      <c r="Q1099" s="256" t="n"/>
    </row>
    <row r="1100">
      <c r="A1100">
        <f>IF(DAY(D1100)=DAY($L$1+1),A1099+1,A1099)</f>
        <v/>
      </c>
      <c r="B1100" s="46">
        <f>IF(DAY(D1100)=DAY($L$1+1),1,B1099+1)</f>
        <v/>
      </c>
      <c r="C1100" s="46">
        <f>IF(DAY(D1100)=DAY($L$1+1),1,C1099+1)</f>
        <v/>
      </c>
      <c r="D1100" s="2">
        <f>D1099+1</f>
        <v/>
      </c>
      <c r="E1100" s="8">
        <f>IF(DAY(D1100)=DAY($L$1+1),TRUNC((#REF!),8),E1099)</f>
        <v/>
      </c>
      <c r="F1100" s="49">
        <f>TRUNC(((1+VLOOKUP(A1100,IPCA!$A$2:$C$140,3,0)))^(C1100/(EDATE(D1100-C1100,1)-(D1100-C1100))),8)</f>
        <v/>
      </c>
      <c r="G1100" s="49">
        <f>TRUNC((E1100*F1100),8)</f>
        <v/>
      </c>
      <c r="H1100" s="49">
        <f>ROUND(((1+$H$4)^(30/360))^(C1100/(EDATE(D1100-B1100,1)-(D1100-B1100))),9)</f>
        <v/>
      </c>
      <c r="I1100" s="49">
        <f>TRUNC((G1100*H1100-G1100),8)</f>
        <v/>
      </c>
      <c r="J1100" s="49">
        <f>G1100+I1100</f>
        <v/>
      </c>
      <c r="K1100" s="256" t="n"/>
      <c r="L1100" s="256" t="n"/>
      <c r="M1100" s="256" t="n"/>
      <c r="N1100" s="256" t="n"/>
      <c r="O1100" s="256" t="n"/>
      <c r="P1100" s="256" t="n"/>
      <c r="Q1100" s="256" t="n"/>
    </row>
    <row r="1101">
      <c r="A1101">
        <f>IF(DAY(D1101)=DAY($L$1+1),A1100+1,A1100)</f>
        <v/>
      </c>
      <c r="B1101" s="46">
        <f>IF(DAY(D1101)=DAY($L$1+1),1,B1100+1)</f>
        <v/>
      </c>
      <c r="C1101" s="46">
        <f>IF(DAY(D1101)=DAY($L$1+1),1,C1100+1)</f>
        <v/>
      </c>
      <c r="D1101" s="2">
        <f>D1100+1</f>
        <v/>
      </c>
      <c r="E1101" s="8">
        <f>IF(DAY(D1101)=DAY($L$1+1),TRUNC((#REF!),8),E1100)</f>
        <v/>
      </c>
      <c r="F1101" s="49">
        <f>TRUNC(((1+VLOOKUP(A1101,IPCA!$A$2:$C$140,3,0)))^(C1101/(EDATE(D1101-C1101,1)-(D1101-C1101))),8)</f>
        <v/>
      </c>
      <c r="G1101" s="49">
        <f>TRUNC((E1101*F1101),8)</f>
        <v/>
      </c>
      <c r="H1101" s="49">
        <f>ROUND(((1+$H$4)^(30/360))^(C1101/(EDATE(D1101-B1101,1)-(D1101-B1101))),9)</f>
        <v/>
      </c>
      <c r="I1101" s="49">
        <f>TRUNC((G1101*H1101-G1101),8)</f>
        <v/>
      </c>
      <c r="J1101" s="49">
        <f>G1101+I1101</f>
        <v/>
      </c>
      <c r="K1101" s="256" t="n"/>
      <c r="L1101" s="256" t="n"/>
      <c r="M1101" s="256" t="n"/>
      <c r="N1101" s="256" t="n"/>
      <c r="O1101" s="256" t="n"/>
      <c r="P1101" s="256" t="n"/>
      <c r="Q1101" s="256" t="n"/>
    </row>
    <row r="1102">
      <c r="A1102">
        <f>IF(DAY(D1102)=DAY($L$1+1),A1101+1,A1101)</f>
        <v/>
      </c>
      <c r="B1102" s="46">
        <f>IF(DAY(D1102)=DAY($L$1+1),1,B1101+1)</f>
        <v/>
      </c>
      <c r="C1102" s="46">
        <f>IF(DAY(D1102)=DAY($L$1+1),1,C1101+1)</f>
        <v/>
      </c>
      <c r="D1102" s="2">
        <f>D1101+1</f>
        <v/>
      </c>
      <c r="E1102" s="8">
        <f>IF(DAY(D1102)=DAY($L$1+1),TRUNC((#REF!),8),E1101)</f>
        <v/>
      </c>
      <c r="F1102" s="49">
        <f>TRUNC(((1+VLOOKUP(A1102,IPCA!$A$2:$C$140,3,0)))^(C1102/(EDATE(D1102-C1102,1)-(D1102-C1102))),8)</f>
        <v/>
      </c>
      <c r="G1102" s="49">
        <f>TRUNC((E1102*F1102),8)</f>
        <v/>
      </c>
      <c r="H1102" s="49">
        <f>ROUND(((1+$H$4)^(30/360))^(C1102/(EDATE(D1102-B1102,1)-(D1102-B1102))),9)</f>
        <v/>
      </c>
      <c r="I1102" s="49">
        <f>TRUNC((G1102*H1102-G1102),8)</f>
        <v/>
      </c>
      <c r="J1102" s="49">
        <f>G1102+I1102</f>
        <v/>
      </c>
      <c r="K1102" s="256" t="n"/>
      <c r="L1102" s="256" t="n"/>
      <c r="M1102" s="256" t="n"/>
      <c r="N1102" s="256" t="n"/>
      <c r="O1102" s="256" t="n"/>
      <c r="P1102" s="256" t="n"/>
      <c r="Q1102" s="256" t="n"/>
    </row>
    <row r="1103">
      <c r="A1103">
        <f>IF(DAY(D1103)=DAY($L$1+1),A1102+1,A1102)</f>
        <v/>
      </c>
      <c r="B1103" s="46">
        <f>IF(DAY(D1103)=DAY($L$1+1),1,B1102+1)</f>
        <v/>
      </c>
      <c r="C1103" s="46">
        <f>IF(DAY(D1103)=DAY($L$1+1),1,C1102+1)</f>
        <v/>
      </c>
      <c r="D1103" s="2">
        <f>D1102+1</f>
        <v/>
      </c>
      <c r="E1103" s="8">
        <f>IF(DAY(D1103)=DAY($L$1+1),TRUNC((N1102),8),E1102)</f>
        <v/>
      </c>
      <c r="F1103" s="49">
        <f>TRUNC(((1+VLOOKUP(A1103,IPCA!$A$2:$C$140,3,0)))^(C1103/(EDATE(D1103-C1103,1)-(D1103-C1103))),8)</f>
        <v/>
      </c>
      <c r="G1103" s="49">
        <f>TRUNC((E1103*F1103),8)</f>
        <v/>
      </c>
      <c r="H1103" s="49">
        <f>ROUND(((1+$H$4)^(30/360))^(C1103/(EDATE(D1103-B1103,1)-(D1103-B1103))),9)</f>
        <v/>
      </c>
      <c r="I1103" s="49">
        <f>TRUNC((G1103*H1103-G1103),8)</f>
        <v/>
      </c>
      <c r="J1103" s="49">
        <f>G1103+I1103</f>
        <v/>
      </c>
      <c r="K1103" s="256" t="n"/>
      <c r="L1103" s="256" t="n"/>
      <c r="M1103" s="256" t="n"/>
      <c r="N1103" s="256" t="n"/>
      <c r="O1103" s="256" t="n"/>
      <c r="P1103" s="256" t="n"/>
      <c r="Q1103" s="256" t="n"/>
    </row>
    <row r="1104">
      <c r="A1104">
        <f>IF(DAY(D1104)=DAY($L$1+1),A1103+1,A1103)</f>
        <v/>
      </c>
      <c r="B1104" s="46">
        <f>IF(DAY(D1104)=DAY($L$1+1),1,B1103+1)</f>
        <v/>
      </c>
      <c r="C1104" s="46">
        <f>IF(DAY(D1104)=DAY($L$1+1),1,C1103+1)</f>
        <v/>
      </c>
      <c r="D1104" s="2">
        <f>D1103+1</f>
        <v/>
      </c>
      <c r="E1104" s="8">
        <f>IF(DAY(D1104)=DAY($L$1+1),TRUNC((N1103),8),E1103)</f>
        <v/>
      </c>
      <c r="F1104" s="49">
        <f>TRUNC(((1+VLOOKUP(A1104,IPCA!$A$2:$C$140,3,0)))^(C1104/(EDATE(D1104-C1104,1)-(D1104-C1104))),8)</f>
        <v/>
      </c>
      <c r="G1104" s="49">
        <f>TRUNC((E1104*F1104),8)</f>
        <v/>
      </c>
      <c r="H1104" s="49">
        <f>ROUND(((1+$H$4)^(30/360))^(C1104/(EDATE(D1104-B1104,1)-(D1104-B1104))),9)</f>
        <v/>
      </c>
      <c r="I1104" s="49">
        <f>TRUNC((G1104*H1104-G1104),8)</f>
        <v/>
      </c>
      <c r="J1104" s="49">
        <f>G1104+I1104</f>
        <v/>
      </c>
      <c r="K1104" s="256" t="n"/>
      <c r="L1104" s="256" t="n"/>
      <c r="M1104" s="256" t="n"/>
      <c r="N1104" s="256" t="n"/>
      <c r="O1104" s="256" t="n"/>
      <c r="P1104" s="256" t="n"/>
      <c r="Q1104" s="256" t="n"/>
    </row>
    <row r="1105">
      <c r="A1105">
        <f>IF(DAY(D1105)=DAY($L$1+1),A1104+1,A1104)</f>
        <v/>
      </c>
      <c r="B1105" s="46">
        <f>IF(DAY(D1105)=DAY($L$1+1),1,B1104+1)</f>
        <v/>
      </c>
      <c r="C1105" s="46">
        <f>IF(DAY(D1105)=DAY($L$1+1),1,C1104+1)</f>
        <v/>
      </c>
      <c r="D1105" s="2">
        <f>D1104+1</f>
        <v/>
      </c>
      <c r="E1105" s="8">
        <f>IF(DAY(D1105)=DAY($L$1+1),TRUNC((N1104),8),E1104)</f>
        <v/>
      </c>
      <c r="F1105" s="49">
        <f>TRUNC(((1+VLOOKUP(A1105,IPCA!$A$2:$C$140,3,0)))^(C1105/(EDATE(D1105-C1105,1)-(D1105-C1105))),8)</f>
        <v/>
      </c>
      <c r="G1105" s="49">
        <f>TRUNC((E1105*F1105),8)</f>
        <v/>
      </c>
      <c r="H1105" s="49">
        <f>ROUND(((1+$H$4)^(30/360))^(C1105/(EDATE(D1105-B1105,1)-(D1105-B1105))),9)</f>
        <v/>
      </c>
      <c r="I1105" s="49">
        <f>TRUNC((G1105*H1105-G1105),8)</f>
        <v/>
      </c>
      <c r="J1105" s="49">
        <f>G1105+I1105</f>
        <v/>
      </c>
      <c r="K1105" s="256" t="n"/>
      <c r="L1105" s="256" t="n"/>
      <c r="M1105" s="256" t="n"/>
      <c r="N1105" s="256" t="n"/>
      <c r="O1105" s="256" t="n"/>
      <c r="P1105" s="256" t="n"/>
      <c r="Q1105" s="256" t="n"/>
    </row>
    <row r="1106">
      <c r="A1106">
        <f>IF(DAY(D1106)=DAY($L$1+1),A1105+1,A1105)</f>
        <v/>
      </c>
      <c r="B1106" s="46">
        <f>IF(DAY(D1106)=DAY($L$1+1),1,B1105+1)</f>
        <v/>
      </c>
      <c r="C1106" s="46">
        <f>IF(DAY(D1106)=DAY($L$1+1),1,C1105+1)</f>
        <v/>
      </c>
      <c r="D1106" s="2">
        <f>D1105+1</f>
        <v/>
      </c>
      <c r="E1106" s="8">
        <f>IF(DAY(D1106)=DAY($L$1+1),TRUNC((N1105),8),E1105)</f>
        <v/>
      </c>
      <c r="F1106" s="49">
        <f>TRUNC(((1+VLOOKUP(A1106,IPCA!$A$2:$C$140,3,0)))^(C1106/(EDATE(D1106-C1106,1)-(D1106-C1106))),8)</f>
        <v/>
      </c>
      <c r="G1106" s="49">
        <f>TRUNC((E1106*F1106),8)</f>
        <v/>
      </c>
      <c r="H1106" s="49">
        <f>ROUND(((1+$H$4)^(30/360))^(C1106/(EDATE(D1106-B1106,1)-(D1106-B1106))),9)</f>
        <v/>
      </c>
      <c r="I1106" s="49">
        <f>TRUNC((G1106*H1106-G1106),8)</f>
        <v/>
      </c>
      <c r="J1106" s="49">
        <f>G1106+I1106</f>
        <v/>
      </c>
      <c r="K1106" s="256" t="n"/>
      <c r="L1106" s="256" t="n"/>
      <c r="M1106" s="256" t="n"/>
      <c r="N1106" s="256" t="n"/>
      <c r="O1106" s="256" t="n"/>
      <c r="P1106" s="256" t="n"/>
      <c r="Q1106" s="256" t="n"/>
    </row>
    <row r="1107">
      <c r="A1107">
        <f>IF(DAY(D1107)=DAY($L$1+1),A1106+1,A1106)</f>
        <v/>
      </c>
      <c r="B1107" s="46">
        <f>IF(DAY(D1107)=DAY($L$1+1),1,B1106+1)</f>
        <v/>
      </c>
      <c r="C1107" s="46">
        <f>IF(DAY(D1107)=DAY($L$1+1),1,C1106+1)</f>
        <v/>
      </c>
      <c r="D1107" s="2">
        <f>D1106+1</f>
        <v/>
      </c>
      <c r="E1107" s="8">
        <f>IF(DAY(D1107)=DAY($L$1+1),TRUNC((N1106),8),E1106)</f>
        <v/>
      </c>
      <c r="F1107" s="49">
        <f>TRUNC(((1+VLOOKUP(A1107,IPCA!$A$2:$C$140,3,0)))^(C1107/(EDATE(D1107-C1107,1)-(D1107-C1107))),8)</f>
        <v/>
      </c>
      <c r="G1107" s="49">
        <f>TRUNC((E1107*F1107),8)</f>
        <v/>
      </c>
      <c r="H1107" s="49">
        <f>ROUND(((1+$H$4)^(30/360))^(C1107/(EDATE(D1107-B1107,1)-(D1107-B1107))),9)</f>
        <v/>
      </c>
      <c r="I1107" s="49">
        <f>TRUNC((G1107*H1107-G1107),8)</f>
        <v/>
      </c>
      <c r="J1107" s="49">
        <f>G1107+I1107</f>
        <v/>
      </c>
      <c r="K1107" s="256" t="n"/>
      <c r="L1107" s="256" t="n"/>
      <c r="M1107" s="256" t="n"/>
      <c r="N1107" s="256" t="n"/>
      <c r="O1107" s="256" t="n"/>
      <c r="P1107" s="256" t="n"/>
      <c r="Q1107" s="256" t="n"/>
    </row>
    <row r="1108">
      <c r="A1108">
        <f>IF(DAY(D1108)=DAY($L$1+1),A1107+1,A1107)</f>
        <v/>
      </c>
      <c r="B1108" s="46">
        <f>IF(DAY(D1108)=DAY($L$1+1),1,B1107+1)</f>
        <v/>
      </c>
      <c r="C1108" s="46">
        <f>IF(DAY(D1108)=DAY($L$1+1),1,C1107+1)</f>
        <v/>
      </c>
      <c r="D1108" s="2">
        <f>D1107+1</f>
        <v/>
      </c>
      <c r="E1108" s="8">
        <f>IF(DAY(D1108)=DAY($L$1+1),TRUNC((N1107),8),E1107)</f>
        <v/>
      </c>
      <c r="F1108" s="49">
        <f>TRUNC(((1+VLOOKUP(A1108,IPCA!$A$2:$C$140,3,0)))^(C1108/(EDATE(D1108-C1108,1)-(D1108-C1108))),8)</f>
        <v/>
      </c>
      <c r="G1108" s="49">
        <f>TRUNC((E1108*F1108),8)</f>
        <v/>
      </c>
      <c r="H1108" s="49">
        <f>ROUND(((1+$H$4)^(30/360))^(C1108/(EDATE(D1108-B1108,1)-(D1108-B1108))),9)</f>
        <v/>
      </c>
      <c r="I1108" s="49">
        <f>TRUNC((G1108*H1108-G1108),8)</f>
        <v/>
      </c>
      <c r="J1108" s="49">
        <f>G1108+I1108</f>
        <v/>
      </c>
      <c r="K1108" s="256" t="n"/>
      <c r="L1108" s="256" t="n"/>
      <c r="M1108" s="256" t="n"/>
      <c r="N1108" s="256" t="n"/>
      <c r="O1108" s="256" t="n"/>
      <c r="P1108" s="256" t="n"/>
      <c r="Q1108" s="256" t="n"/>
    </row>
    <row r="1109">
      <c r="A1109">
        <f>IF(DAY(D1109)=DAY($L$1+1),A1108+1,A1108)</f>
        <v/>
      </c>
      <c r="B1109" s="46">
        <f>IF(DAY(D1109)=DAY($L$1+1),1,B1108+1)</f>
        <v/>
      </c>
      <c r="C1109" s="46">
        <f>IF(DAY(D1109)=DAY($L$1+1),1,C1108+1)</f>
        <v/>
      </c>
      <c r="D1109" s="2">
        <f>D1108+1</f>
        <v/>
      </c>
      <c r="E1109" s="8">
        <f>IF(DAY(D1109)=DAY($L$1+1),TRUNC((N1108),8),E1108)</f>
        <v/>
      </c>
      <c r="F1109" s="49">
        <f>TRUNC(((1+VLOOKUP(A1109,IPCA!$A$2:$C$140,3,0)))^(C1109/(EDATE(D1109-C1109,1)-(D1109-C1109))),8)</f>
        <v/>
      </c>
      <c r="G1109" s="49">
        <f>TRUNC((E1109*F1109),8)</f>
        <v/>
      </c>
      <c r="H1109" s="49">
        <f>ROUND(((1+$H$4)^(30/360))^(C1109/(EDATE(D1109-B1109,1)-(D1109-B1109))),9)</f>
        <v/>
      </c>
      <c r="I1109" s="49">
        <f>TRUNC((G1109*H1109-G1109),8)</f>
        <v/>
      </c>
      <c r="J1109" s="49">
        <f>G1109+I1109</f>
        <v/>
      </c>
      <c r="K1109" s="256" t="n"/>
      <c r="L1109" s="256" t="n"/>
      <c r="M1109" s="256" t="n"/>
      <c r="N1109" s="256" t="n"/>
      <c r="O1109" s="256" t="n"/>
      <c r="P1109" s="256" t="n"/>
      <c r="Q1109" s="256" t="n"/>
    </row>
    <row r="1110">
      <c r="A1110">
        <f>IF(DAY(D1110)=DAY($L$1+1),A1109+1,A1109)</f>
        <v/>
      </c>
      <c r="B1110" s="46">
        <f>IF(DAY(D1110)=DAY($L$1+1),1,B1109+1)</f>
        <v/>
      </c>
      <c r="C1110" s="46">
        <f>IF(DAY(D1110)=DAY($L$1+1),1,C1109+1)</f>
        <v/>
      </c>
      <c r="D1110" s="2">
        <f>D1109+1</f>
        <v/>
      </c>
      <c r="E1110" s="8">
        <f>IF(DAY(D1110)=DAY($L$1+1),TRUNC((N1109),8),E1109)</f>
        <v/>
      </c>
      <c r="F1110" s="49">
        <f>TRUNC(((1+VLOOKUP(A1110,IPCA!$A$2:$C$140,3,0)))^(C1110/(EDATE(D1110-C1110,1)-(D1110-C1110))),8)</f>
        <v/>
      </c>
      <c r="G1110" s="49">
        <f>TRUNC((E1110*F1110),8)</f>
        <v/>
      </c>
      <c r="H1110" s="49">
        <f>ROUND(((1+$H$4)^(30/360))^(C1110/(EDATE(D1110-B1110,1)-(D1110-B1110))),9)</f>
        <v/>
      </c>
      <c r="I1110" s="49">
        <f>TRUNC((G1110*H1110-G1110),8)</f>
        <v/>
      </c>
      <c r="J1110" s="49">
        <f>G1110+I1110</f>
        <v/>
      </c>
      <c r="K1110" s="256" t="n"/>
      <c r="L1110" s="256" t="n"/>
      <c r="M1110" s="256" t="n"/>
      <c r="N1110" s="256" t="n"/>
      <c r="O1110" s="256" t="n"/>
      <c r="P1110" s="256" t="n"/>
      <c r="Q1110" s="256" t="n"/>
    </row>
    <row r="1111">
      <c r="A1111">
        <f>IF(DAY(D1111)=DAY($L$1+1),A1110+1,A1110)</f>
        <v/>
      </c>
      <c r="B1111" s="46">
        <f>IF(DAY(D1111)=DAY($L$1+1),1,B1110+1)</f>
        <v/>
      </c>
      <c r="C1111" s="46">
        <f>IF(DAY(D1111)=DAY($L$1+1),1,C1110+1)</f>
        <v/>
      </c>
      <c r="D1111" s="2">
        <f>D1110+1</f>
        <v/>
      </c>
      <c r="E1111" s="8">
        <f>IF(DAY(D1111)=DAY($L$1+1),TRUNC((N1110),8),E1110)</f>
        <v/>
      </c>
      <c r="F1111" s="49">
        <f>TRUNC(((1+VLOOKUP(A1111,IPCA!$A$2:$C$140,3,0)))^(C1111/(EDATE(D1111-C1111,1)-(D1111-C1111))),8)</f>
        <v/>
      </c>
      <c r="G1111" s="49">
        <f>TRUNC((E1111*F1111),8)</f>
        <v/>
      </c>
      <c r="H1111" s="49">
        <f>ROUND(((1+$H$4)^(30/360))^(C1111/(EDATE(D1111-B1111,1)-(D1111-B1111))),9)</f>
        <v/>
      </c>
      <c r="I1111" s="49">
        <f>TRUNC((G1111*H1111-G1111),8)</f>
        <v/>
      </c>
      <c r="J1111" s="49">
        <f>G1111+I1111</f>
        <v/>
      </c>
      <c r="K1111" s="256" t="n"/>
      <c r="L1111" s="256" t="n"/>
      <c r="M1111" s="256" t="n"/>
      <c r="N1111" s="256" t="n"/>
      <c r="O1111" s="256" t="n"/>
      <c r="P1111" s="256" t="n"/>
      <c r="Q1111" s="256" t="n"/>
    </row>
    <row r="1112">
      <c r="A1112">
        <f>IF(DAY(D1112)=DAY($L$1+1),A1111+1,A1111)</f>
        <v/>
      </c>
      <c r="B1112" s="46">
        <f>IF(DAY(D1112)=DAY($L$1+1),1,B1111+1)</f>
        <v/>
      </c>
      <c r="C1112" s="46">
        <f>IF(DAY(D1112)=DAY($L$1+1),1,C1111+1)</f>
        <v/>
      </c>
      <c r="D1112" s="2">
        <f>D1111+1</f>
        <v/>
      </c>
      <c r="E1112" s="8">
        <f>IF(DAY(D1112)=DAY($L$1+1),TRUNC((N1111),8),E1111)</f>
        <v/>
      </c>
      <c r="F1112" s="49">
        <f>TRUNC(((1+VLOOKUP(A1112,IPCA!$A$2:$C$140,3,0)))^(C1112/(EDATE(D1112-C1112,1)-(D1112-C1112))),8)</f>
        <v/>
      </c>
      <c r="G1112" s="49">
        <f>TRUNC((E1112*F1112),8)</f>
        <v/>
      </c>
      <c r="H1112" s="49">
        <f>ROUND(((1+$H$4)^(30/360))^(C1112/(EDATE(D1112-B1112,1)-(D1112-B1112))),9)</f>
        <v/>
      </c>
      <c r="I1112" s="49">
        <f>TRUNC((G1112*H1112-G1112),8)</f>
        <v/>
      </c>
      <c r="J1112" s="49">
        <f>G1112+I1112</f>
        <v/>
      </c>
      <c r="K1112" s="256" t="n"/>
      <c r="L1112" s="256" t="n"/>
      <c r="M1112" s="256" t="n"/>
      <c r="N1112" s="256" t="n"/>
      <c r="O1112" s="256" t="n"/>
      <c r="P1112" s="256" t="n"/>
      <c r="Q1112" s="256" t="n"/>
    </row>
    <row r="1113">
      <c r="A1113">
        <f>IF(DAY(D1113)=DAY($L$1+1),A1112+1,A1112)</f>
        <v/>
      </c>
      <c r="B1113" s="46">
        <f>IF(DAY(D1113)=DAY($L$1+1),1,B1112+1)</f>
        <v/>
      </c>
      <c r="C1113" s="46">
        <f>IF(DAY(D1113)=DAY($L$1+1),1,C1112+1)</f>
        <v/>
      </c>
      <c r="D1113" s="2">
        <f>D1112+1</f>
        <v/>
      </c>
      <c r="E1113" s="8">
        <f>IF(DAY(D1113)=DAY($L$1+1),TRUNC((N1112),8),E1112)</f>
        <v/>
      </c>
      <c r="F1113" s="49">
        <f>TRUNC(((1+VLOOKUP(A1113,IPCA!$A$2:$C$140,3,0)))^(C1113/(EDATE(D1113-C1113,1)-(D1113-C1113))),8)</f>
        <v/>
      </c>
      <c r="G1113" s="49">
        <f>TRUNC((E1113*F1113),8)</f>
        <v/>
      </c>
      <c r="H1113" s="49">
        <f>ROUND(((1+$H$4)^(30/360))^(C1113/(EDATE(D1113-B1113,1)-(D1113-B1113))),9)</f>
        <v/>
      </c>
      <c r="I1113" s="49">
        <f>TRUNC((G1113*H1113-G1113),8)</f>
        <v/>
      </c>
      <c r="J1113" s="49">
        <f>G1113+I1113</f>
        <v/>
      </c>
      <c r="K1113" s="256" t="inlineStr">
        <is>
          <t>Cri Integralizado</t>
        </is>
      </c>
      <c r="L1113" s="270">
        <f>L1083</f>
        <v/>
      </c>
      <c r="M1113" s="256" t="n"/>
      <c r="N1113" s="256" t="n"/>
      <c r="O1113" s="256" t="n"/>
      <c r="P1113" s="256" t="n"/>
      <c r="Q1113" s="256" t="n"/>
    </row>
    <row r="1114">
      <c r="A1114">
        <f>IF(DAY(D1114)=DAY($L$1+1),A1113+1,A1113)</f>
        <v/>
      </c>
      <c r="B1114" s="46">
        <f>IF(DAY(D1114)=DAY($L$1+1),1,B1113+1)</f>
        <v/>
      </c>
      <c r="C1114" s="46">
        <f>IF(DAY(D1114)=DAY($L$1+1),1,C1113+1)</f>
        <v/>
      </c>
      <c r="D1114" s="47">
        <f>D1113+1</f>
        <v/>
      </c>
      <c r="E1114" s="8">
        <f>IF(DAY(D1114)=DAY($L$1+1),TRUNC((N1113),8),E1113)</f>
        <v/>
      </c>
      <c r="F1114" s="49">
        <f>TRUNC(((1+VLOOKUP(A1114,IPCA!$A$2:$C$140,3,0)))^(C1114/(EDATE(D1114-C1114,1)-(D1114-C1114))),8)</f>
        <v/>
      </c>
      <c r="G1114" s="49">
        <f>TRUNC((E1114*F1114),8)</f>
        <v/>
      </c>
      <c r="H1114" s="49">
        <f>ROUND(((1+$H$4)^(30/360))^(C1114/(EDATE(D1114-B1114,1)-(D1114-B1114))),9)</f>
        <v/>
      </c>
      <c r="I1114" s="49">
        <f>TRUNC((G1114*H1114-G1114),8)</f>
        <v/>
      </c>
      <c r="J1114" s="49">
        <f>G1114+I1114</f>
        <v/>
      </c>
      <c r="K1114" s="118" t="inlineStr">
        <is>
          <t>JUROS</t>
        </is>
      </c>
      <c r="L1114" s="118" t="inlineStr">
        <is>
          <t>AMORTIZAÇÃO</t>
        </is>
      </c>
      <c r="M1114" s="118" t="inlineStr">
        <is>
          <t>AMEX</t>
        </is>
      </c>
      <c r="N1114" s="118" t="inlineStr">
        <is>
          <t>RESIDUAL</t>
        </is>
      </c>
      <c r="O1114" s="256" t="n"/>
      <c r="P1114" s="256" t="n"/>
      <c r="Q1114" s="256" t="n"/>
    </row>
    <row r="1115">
      <c r="A1115">
        <f>IF(DAY(D1115)=DAY($L$1+1),A1114+1,A1114)</f>
        <v/>
      </c>
      <c r="B1115" s="111">
        <f>IF(DAY(D1115)=DAY($L$1+1),1,B1114+1)</f>
        <v/>
      </c>
      <c r="C1115" s="111">
        <f>IF(DAY(D1115)=DAY($L$1+1),1,C1114+1)</f>
        <v/>
      </c>
      <c r="D1115" s="112">
        <f>D1114+1</f>
        <v/>
      </c>
      <c r="E1115" s="113">
        <f>IF(DAY(D1115)=DAY($L$1+1),TRUNC((N1114),8),E1114)</f>
        <v/>
      </c>
      <c r="F1115" s="114">
        <f>TRUNC(((1+VLOOKUP(A1115,IPCA!$A$2:$C$140,3,0)))^(C1115/(EDATE(D1115-C1115,1)-(D1115-C1115))),8)</f>
        <v/>
      </c>
      <c r="G1115" s="114">
        <f>TRUNC((E1115*F1115),8)</f>
        <v/>
      </c>
      <c r="H1115" s="114">
        <f>ROUND(((1+$H$4)^(30/360))^(C1115/(EDATE(D1115-B1115,1)-(D1115-B1115))),9)</f>
        <v/>
      </c>
      <c r="I1115" s="114">
        <f>TRUNC((G1115*H1115-G1115),8)</f>
        <v/>
      </c>
      <c r="J1115" s="114">
        <f>G1115+I1115</f>
        <v/>
      </c>
      <c r="K1115" s="119">
        <f>I1115</f>
        <v/>
      </c>
      <c r="L1115" s="120">
        <f>TRUNC(G1115*VLOOKUP(D1115,'Amort TS'!$G$3:$H$140,2,0),8)</f>
        <v/>
      </c>
      <c r="M1115" s="120" t="n">
        <v>0</v>
      </c>
      <c r="N1115" s="120">
        <f>J1115-K1115-L1115-M1115</f>
        <v/>
      </c>
      <c r="O1115" s="256" t="n"/>
      <c r="P1115" s="256" t="n"/>
      <c r="Q1115" s="256" t="n"/>
    </row>
    <row r="1116">
      <c r="A1116">
        <f>IF(DAY(D1116)=DAY($L$1+1),A1115+1,A1115)</f>
        <v/>
      </c>
      <c r="B1116" s="46">
        <f>IF(DAY(D1116)=DAY($L$1+1),1,B1115+1)</f>
        <v/>
      </c>
      <c r="C1116" s="46">
        <f>IF(DAY(D1116)=DAY($L$1+1),1,C1115+1)</f>
        <v/>
      </c>
      <c r="D1116" s="2">
        <f>D1115+1</f>
        <v/>
      </c>
      <c r="E1116" s="8">
        <f>IF(DAY(D1116)=DAY($L$1+1),TRUNC((N1115),8),E1115)</f>
        <v/>
      </c>
      <c r="F1116" s="49">
        <f>TRUNC(((1+VLOOKUP(A1116,IPCA!$A$2:$C$140,3,0)))^(C1116/(EDATE(D1116-C1116,1)-(D1116-C1116))),8)</f>
        <v/>
      </c>
      <c r="G1116" s="49">
        <f>TRUNC((E1116*F1116),8)</f>
        <v/>
      </c>
      <c r="H1116" s="49">
        <f>ROUND(((1+$H$4)^(30/360))^(C1116/(EDATE(D1116-B1116,1)-(D1116-B1116))),9)</f>
        <v/>
      </c>
      <c r="I1116" s="49">
        <f>TRUNC((G1116*H1116-G1116),8)</f>
        <v/>
      </c>
      <c r="J1116" s="49">
        <f>G1116+I1116</f>
        <v/>
      </c>
      <c r="K1116" s="121">
        <f>K1115*L1113</f>
        <v/>
      </c>
      <c r="L1116" s="121">
        <f>L1115*L1113</f>
        <v/>
      </c>
      <c r="M1116" s="121">
        <f>M1115*L1113</f>
        <v/>
      </c>
      <c r="N1116" s="121">
        <f>N1115*L1113</f>
        <v/>
      </c>
      <c r="O1116" s="256" t="n"/>
      <c r="P1116" s="256" t="n"/>
      <c r="Q1116" s="256" t="n"/>
    </row>
    <row r="1117">
      <c r="A1117">
        <f>IF(DAY(D1117)=DAY($L$1+1),A1116+1,A1116)</f>
        <v/>
      </c>
      <c r="B1117" s="46">
        <f>IF(DAY(D1117)=DAY($L$1+1),1,B1116+1)</f>
        <v/>
      </c>
      <c r="C1117" s="46">
        <f>IF(DAY(D1117)=DAY($L$1+1),1,C1116+1)</f>
        <v/>
      </c>
      <c r="D1117" s="47">
        <f>D1116+1</f>
        <v/>
      </c>
      <c r="E1117" s="8">
        <f>IF(DAY(D1117)=DAY($L$1+1),TRUNC((N1116),8),E1116)</f>
        <v/>
      </c>
      <c r="F1117" s="49">
        <f>TRUNC(((1+VLOOKUP(A1117,IPCA!$A$2:$C$140,3,0)))^(C1117/(EDATE(D1117-C1117,1)-(D1117-C1117))),8)</f>
        <v/>
      </c>
      <c r="G1117" s="49">
        <f>TRUNC((E1117*F1117),8)</f>
        <v/>
      </c>
      <c r="H1117" s="49">
        <f>ROUND(((1+$H$4)^(30/360))^(C1117/(EDATE(D1117-B1117,1)-(D1117-B1117))),9)</f>
        <v/>
      </c>
      <c r="I1117" s="49">
        <f>TRUNC((G1117*H1117-G1117),8)</f>
        <v/>
      </c>
      <c r="J1117" s="49">
        <f>G1117+I1117</f>
        <v/>
      </c>
      <c r="K1117" s="256" t="n"/>
      <c r="L1117" s="256" t="n"/>
      <c r="M1117" s="256" t="n"/>
      <c r="N1117" s="256" t="n"/>
      <c r="O1117" s="256" t="n"/>
      <c r="P1117" s="256" t="n"/>
      <c r="Q1117" s="256" t="n"/>
    </row>
    <row r="1118">
      <c r="A1118">
        <f>IF(DAY(D1118)=DAY($L$1+1),A1117+1,A1117)</f>
        <v/>
      </c>
      <c r="B1118" s="46">
        <f>IF(DAY(D1118)=DAY($L$1+1),1,B1117+1)</f>
        <v/>
      </c>
      <c r="C1118" s="46">
        <f>IF(DAY(D1118)=DAY($L$1+1),1,C1117+1)</f>
        <v/>
      </c>
      <c r="D1118" s="2">
        <f>D1117+1</f>
        <v/>
      </c>
      <c r="E1118" s="8">
        <f>IF(DAY(D1118)=DAY($L$1+1),TRUNC((#REF!),8),E1117)</f>
        <v/>
      </c>
      <c r="F1118" s="49">
        <f>TRUNC(((1+VLOOKUP(A1118,IPCA!$A$2:$C$140,3,0)))^(C1118/(EDATE(D1118-C1118,1)-(D1118-C1118))),8)</f>
        <v/>
      </c>
      <c r="G1118" s="49">
        <f>TRUNC((E1118*F1118),8)</f>
        <v/>
      </c>
      <c r="H1118" s="49">
        <f>ROUND(((1+$H$4)^(30/360))^(C1118/(EDATE(D1118-B1118,1)-(D1118-B1118))),9)</f>
        <v/>
      </c>
      <c r="I1118" s="49">
        <f>TRUNC((G1118*H1118-G1118),8)</f>
        <v/>
      </c>
      <c r="J1118" s="49">
        <f>G1118+I1118</f>
        <v/>
      </c>
      <c r="K1118" s="256" t="n"/>
      <c r="L1118" s="256" t="n"/>
      <c r="M1118" s="256" t="n"/>
      <c r="N1118" s="256" t="n"/>
      <c r="O1118" s="256" t="n"/>
      <c r="P1118" s="256" t="n"/>
      <c r="Q1118" s="256" t="n"/>
    </row>
    <row r="1119">
      <c r="A1119">
        <f>IF(DAY(D1119)=DAY($L$1+1),A1118+1,A1118)</f>
        <v/>
      </c>
      <c r="B1119" s="46">
        <f>IF(DAY(D1119)=DAY($L$1+1),1,B1118+1)</f>
        <v/>
      </c>
      <c r="C1119" s="46">
        <f>IF(DAY(D1119)=DAY($L$1+1),1,C1118+1)</f>
        <v/>
      </c>
      <c r="D1119" s="2">
        <f>D1118+1</f>
        <v/>
      </c>
      <c r="E1119" s="8">
        <f>IF(DAY(D1119)=DAY($L$1+1),TRUNC((#REF!),8),E1118)</f>
        <v/>
      </c>
      <c r="F1119" s="49">
        <f>TRUNC(((1+VLOOKUP(A1119,IPCA!$A$2:$C$140,3,0)))^(C1119/(EDATE(D1119-C1119,1)-(D1119-C1119))),8)</f>
        <v/>
      </c>
      <c r="G1119" s="49">
        <f>TRUNC((E1119*F1119),8)</f>
        <v/>
      </c>
      <c r="H1119" s="49">
        <f>ROUND(((1+$H$4)^(30/360))^(C1119/(EDATE(D1119-B1119,1)-(D1119-B1119))),9)</f>
        <v/>
      </c>
      <c r="I1119" s="49">
        <f>TRUNC((G1119*H1119-G1119),8)</f>
        <v/>
      </c>
      <c r="J1119" s="49">
        <f>G1119+I1119</f>
        <v/>
      </c>
      <c r="K1119" s="256" t="n"/>
      <c r="L1119" s="256" t="n"/>
      <c r="M1119" s="256" t="n"/>
      <c r="N1119" s="256" t="n"/>
      <c r="O1119" s="256" t="n"/>
      <c r="P1119" s="256" t="n"/>
      <c r="Q1119" s="256" t="n"/>
    </row>
    <row r="1120">
      <c r="A1120">
        <f>IF(DAY(D1120)=DAY($L$1+1),A1119+1,A1119)</f>
        <v/>
      </c>
      <c r="B1120" s="46">
        <f>IF(DAY(D1120)=DAY($L$1+1),1,B1119+1)</f>
        <v/>
      </c>
      <c r="C1120" s="46">
        <f>IF(DAY(D1120)=DAY($L$1+1),1,C1119+1)</f>
        <v/>
      </c>
      <c r="D1120" s="2">
        <f>D1119+1</f>
        <v/>
      </c>
      <c r="E1120" s="8">
        <f>IF(DAY(D1120)=DAY($L$1+1),TRUNC((#REF!),8),E1119)</f>
        <v/>
      </c>
      <c r="F1120" s="49">
        <f>TRUNC(((1+VLOOKUP(A1120,IPCA!$A$2:$C$140,3,0)))^(C1120/(EDATE(D1120-C1120,1)-(D1120-C1120))),8)</f>
        <v/>
      </c>
      <c r="G1120" s="49">
        <f>TRUNC((E1120*F1120),8)</f>
        <v/>
      </c>
      <c r="H1120" s="49">
        <f>ROUND(((1+$H$4)^(30/360))^(C1120/(EDATE(D1120-B1120,1)-(D1120-B1120))),9)</f>
        <v/>
      </c>
      <c r="I1120" s="49">
        <f>TRUNC((G1120*H1120-G1120),8)</f>
        <v/>
      </c>
      <c r="J1120" s="49">
        <f>G1120+I1120</f>
        <v/>
      </c>
      <c r="K1120" s="256" t="n"/>
      <c r="L1120" s="256" t="n"/>
      <c r="M1120" s="256" t="n"/>
      <c r="N1120" s="256" t="n"/>
      <c r="O1120" s="256" t="n"/>
      <c r="P1120" s="256" t="n"/>
      <c r="Q1120" s="256" t="n"/>
    </row>
    <row r="1121">
      <c r="A1121">
        <f>IF(DAY(D1121)=DAY($L$1+1),A1120+1,A1120)</f>
        <v/>
      </c>
      <c r="B1121" s="46">
        <f>IF(DAY(D1121)=DAY($L$1+1),1,B1120+1)</f>
        <v/>
      </c>
      <c r="C1121" s="46">
        <f>IF(DAY(D1121)=DAY($L$1+1),1,C1120+1)</f>
        <v/>
      </c>
      <c r="D1121" s="2">
        <f>D1120+1</f>
        <v/>
      </c>
      <c r="E1121" s="8">
        <f>IF(DAY(D1121)=DAY($L$1+1),TRUNC((#REF!),8),E1120)</f>
        <v/>
      </c>
      <c r="F1121" s="49">
        <f>TRUNC(((1+VLOOKUP(A1121,IPCA!$A$2:$C$140,3,0)))^(C1121/(EDATE(D1121-C1121,1)-(D1121-C1121))),8)</f>
        <v/>
      </c>
      <c r="G1121" s="49">
        <f>TRUNC((E1121*F1121),8)</f>
        <v/>
      </c>
      <c r="H1121" s="49">
        <f>ROUND(((1+$H$4)^(30/360))^(C1121/(EDATE(D1121-B1121,1)-(D1121-B1121))),9)</f>
        <v/>
      </c>
      <c r="I1121" s="49">
        <f>TRUNC((G1121*H1121-G1121),8)</f>
        <v/>
      </c>
      <c r="J1121" s="49">
        <f>G1121+I1121</f>
        <v/>
      </c>
      <c r="K1121" s="256" t="n"/>
      <c r="L1121" s="256" t="n"/>
      <c r="M1121" s="256" t="n"/>
      <c r="N1121" s="256" t="n"/>
      <c r="O1121" s="256" t="n"/>
      <c r="P1121" s="256" t="n"/>
      <c r="Q1121" s="256" t="n"/>
    </row>
    <row r="1122">
      <c r="A1122">
        <f>IF(DAY(D1122)=DAY($L$1+1),A1121+1,A1121)</f>
        <v/>
      </c>
      <c r="B1122" s="46">
        <f>IF(DAY(D1122)=DAY($L$1+1),1,B1121+1)</f>
        <v/>
      </c>
      <c r="C1122" s="46">
        <f>IF(DAY(D1122)=DAY($L$1+1),1,C1121+1)</f>
        <v/>
      </c>
      <c r="D1122" s="2">
        <f>D1121+1</f>
        <v/>
      </c>
      <c r="E1122" s="8">
        <f>IF(DAY(D1122)=DAY($L$1+1),TRUNC((#REF!),8),E1121)</f>
        <v/>
      </c>
      <c r="F1122" s="49">
        <f>TRUNC(((1+VLOOKUP(A1122,IPCA!$A$2:$C$140,3,0)))^(C1122/(EDATE(D1122-C1122,1)-(D1122-C1122))),8)</f>
        <v/>
      </c>
      <c r="G1122" s="49">
        <f>TRUNC((E1122*F1122),8)</f>
        <v/>
      </c>
      <c r="H1122" s="49">
        <f>ROUND(((1+$H$4)^(30/360))^(C1122/(EDATE(D1122-B1122,1)-(D1122-B1122))),9)</f>
        <v/>
      </c>
      <c r="I1122" s="49">
        <f>TRUNC((G1122*H1122-G1122),8)</f>
        <v/>
      </c>
      <c r="J1122" s="49">
        <f>G1122+I1122</f>
        <v/>
      </c>
      <c r="K1122" s="256" t="n"/>
      <c r="L1122" s="256" t="n"/>
      <c r="M1122" s="256" t="n"/>
      <c r="N1122" s="256" t="n"/>
      <c r="O1122" s="256" t="n"/>
      <c r="P1122" s="256" t="n"/>
      <c r="Q1122" s="256" t="n"/>
    </row>
    <row r="1123">
      <c r="A1123">
        <f>IF(DAY(D1123)=DAY($L$1+1),A1122+1,A1122)</f>
        <v/>
      </c>
      <c r="B1123" s="46">
        <f>IF(DAY(D1123)=DAY($L$1+1),1,B1122+1)</f>
        <v/>
      </c>
      <c r="C1123" s="46">
        <f>IF(DAY(D1123)=DAY($L$1+1),1,C1122+1)</f>
        <v/>
      </c>
      <c r="D1123" s="2">
        <f>D1122+1</f>
        <v/>
      </c>
      <c r="E1123" s="8">
        <f>IF(DAY(D1123)=DAY($L$1+1),TRUNC((#REF!),8),E1122)</f>
        <v/>
      </c>
      <c r="F1123" s="49">
        <f>TRUNC(((1+VLOOKUP(A1123,IPCA!$A$2:$C$140,3,0)))^(C1123/(EDATE(D1123-C1123,1)-(D1123-C1123))),8)</f>
        <v/>
      </c>
      <c r="G1123" s="49">
        <f>TRUNC((E1123*F1123),8)</f>
        <v/>
      </c>
      <c r="H1123" s="49">
        <f>ROUND(((1+$H$4)^(30/360))^(C1123/(EDATE(D1123-B1123,1)-(D1123-B1123))),9)</f>
        <v/>
      </c>
      <c r="I1123" s="49">
        <f>TRUNC((G1123*H1123-G1123),8)</f>
        <v/>
      </c>
      <c r="J1123" s="49">
        <f>G1123+I1123</f>
        <v/>
      </c>
      <c r="K1123" s="256" t="n"/>
      <c r="L1123" s="256" t="n"/>
      <c r="M1123" s="256" t="n"/>
      <c r="N1123" s="256" t="n"/>
      <c r="O1123" s="256" t="n"/>
      <c r="P1123" s="256" t="n"/>
      <c r="Q1123" s="256" t="n"/>
    </row>
    <row r="1124">
      <c r="A1124">
        <f>IF(DAY(D1124)=DAY($L$1+1),A1123+1,A1123)</f>
        <v/>
      </c>
      <c r="B1124" s="46">
        <f>IF(DAY(D1124)=DAY($L$1+1),1,B1123+1)</f>
        <v/>
      </c>
      <c r="C1124" s="46">
        <f>IF(DAY(D1124)=DAY($L$1+1),1,C1123+1)</f>
        <v/>
      </c>
      <c r="D1124" s="2">
        <f>D1123+1</f>
        <v/>
      </c>
      <c r="E1124" s="8">
        <f>IF(DAY(D1124)=DAY($L$1+1),TRUNC((#REF!),8),E1123)</f>
        <v/>
      </c>
      <c r="F1124" s="49">
        <f>TRUNC(((1+VLOOKUP(A1124,IPCA!$A$2:$C$140,3,0)))^(C1124/(EDATE(D1124-C1124,1)-(D1124-C1124))),8)</f>
        <v/>
      </c>
      <c r="G1124" s="49">
        <f>TRUNC((E1124*F1124),8)</f>
        <v/>
      </c>
      <c r="H1124" s="49">
        <f>ROUND(((1+$H$4)^(30/360))^(C1124/(EDATE(D1124-B1124,1)-(D1124-B1124))),9)</f>
        <v/>
      </c>
      <c r="I1124" s="49">
        <f>TRUNC((G1124*H1124-G1124),8)</f>
        <v/>
      </c>
      <c r="J1124" s="49">
        <f>G1124+I1124</f>
        <v/>
      </c>
      <c r="K1124" s="256" t="n"/>
      <c r="L1124" s="256" t="n"/>
      <c r="M1124" s="256" t="n"/>
      <c r="N1124" s="256" t="n"/>
      <c r="O1124" s="256" t="n"/>
      <c r="P1124" s="256" t="n"/>
      <c r="Q1124" s="256" t="n"/>
    </row>
    <row r="1125">
      <c r="A1125">
        <f>IF(DAY(D1125)=DAY($L$1+1),A1124+1,A1124)</f>
        <v/>
      </c>
      <c r="B1125" s="46">
        <f>IF(DAY(D1125)=DAY($L$1+1),1,B1124+1)</f>
        <v/>
      </c>
      <c r="C1125" s="46">
        <f>IF(DAY(D1125)=DAY($L$1+1),1,C1124+1)</f>
        <v/>
      </c>
      <c r="D1125" s="2">
        <f>D1124+1</f>
        <v/>
      </c>
      <c r="E1125" s="8">
        <f>IF(DAY(D1125)=DAY($L$1+1),TRUNC((#REF!),8),E1124)</f>
        <v/>
      </c>
      <c r="F1125" s="49">
        <f>TRUNC(((1+VLOOKUP(A1125,IPCA!$A$2:$C$140,3,0)))^(C1125/(EDATE(D1125-C1125,1)-(D1125-C1125))),8)</f>
        <v/>
      </c>
      <c r="G1125" s="49">
        <f>TRUNC((E1125*F1125),8)</f>
        <v/>
      </c>
      <c r="H1125" s="49">
        <f>ROUND(((1+$H$4)^(30/360))^(C1125/(EDATE(D1125-B1125,1)-(D1125-B1125))),9)</f>
        <v/>
      </c>
      <c r="I1125" s="49">
        <f>TRUNC((G1125*H1125-G1125),8)</f>
        <v/>
      </c>
      <c r="J1125" s="49">
        <f>G1125+I1125</f>
        <v/>
      </c>
      <c r="K1125" s="256" t="n"/>
      <c r="L1125" s="256" t="n"/>
      <c r="M1125" s="256" t="n"/>
      <c r="N1125" s="256" t="n"/>
      <c r="O1125" s="256" t="n"/>
      <c r="P1125" s="256" t="n"/>
      <c r="Q1125" s="256" t="n"/>
    </row>
    <row r="1126">
      <c r="A1126">
        <f>IF(DAY(D1126)=DAY($L$1+1),A1125+1,A1125)</f>
        <v/>
      </c>
      <c r="B1126" s="46">
        <f>IF(DAY(D1126)=DAY($L$1+1),1,B1125+1)</f>
        <v/>
      </c>
      <c r="C1126" s="46">
        <f>IF(DAY(D1126)=DAY($L$1+1),1,C1125+1)</f>
        <v/>
      </c>
      <c r="D1126" s="2">
        <f>D1125+1</f>
        <v/>
      </c>
      <c r="E1126" s="8">
        <f>IF(DAY(D1126)=DAY($L$1+1),TRUNC((#REF!),8),E1125)</f>
        <v/>
      </c>
      <c r="F1126" s="49">
        <f>TRUNC(((1+VLOOKUP(A1126,IPCA!$A$2:$C$140,3,0)))^(C1126/(EDATE(D1126-C1126,1)-(D1126-C1126))),8)</f>
        <v/>
      </c>
      <c r="G1126" s="49">
        <f>TRUNC((E1126*F1126),8)</f>
        <v/>
      </c>
      <c r="H1126" s="49">
        <f>ROUND(((1+$H$4)^(30/360))^(C1126/(EDATE(D1126-B1126,1)-(D1126-B1126))),9)</f>
        <v/>
      </c>
      <c r="I1126" s="49">
        <f>TRUNC((G1126*H1126-G1126),8)</f>
        <v/>
      </c>
      <c r="J1126" s="49">
        <f>G1126+I1126</f>
        <v/>
      </c>
      <c r="K1126" s="256" t="n"/>
      <c r="L1126" s="256" t="n"/>
      <c r="M1126" s="256" t="n"/>
      <c r="N1126" s="256" t="n"/>
      <c r="O1126" s="256" t="n"/>
      <c r="P1126" s="256" t="n"/>
      <c r="Q1126" s="256" t="n"/>
    </row>
    <row r="1127">
      <c r="A1127">
        <f>IF(DAY(D1127)=DAY($L$1+1),A1126+1,A1126)</f>
        <v/>
      </c>
      <c r="B1127" s="46">
        <f>IF(DAY(D1127)=DAY($L$1+1),1,B1126+1)</f>
        <v/>
      </c>
      <c r="C1127" s="46">
        <f>IF(DAY(D1127)=DAY($L$1+1),1,C1126+1)</f>
        <v/>
      </c>
      <c r="D1127" s="2">
        <f>D1126+1</f>
        <v/>
      </c>
      <c r="E1127" s="8">
        <f>IF(DAY(D1127)=DAY($L$1+1),TRUNC((#REF!),8),E1126)</f>
        <v/>
      </c>
      <c r="F1127" s="49">
        <f>TRUNC(((1+VLOOKUP(A1127,IPCA!$A$2:$C$140,3,0)))^(C1127/(EDATE(D1127-C1127,1)-(D1127-C1127))),8)</f>
        <v/>
      </c>
      <c r="G1127" s="49">
        <f>TRUNC((E1127*F1127),8)</f>
        <v/>
      </c>
      <c r="H1127" s="49">
        <f>ROUND(((1+$H$4)^(30/360))^(C1127/(EDATE(D1127-B1127,1)-(D1127-B1127))),9)</f>
        <v/>
      </c>
      <c r="I1127" s="49">
        <f>TRUNC((G1127*H1127-G1127),8)</f>
        <v/>
      </c>
      <c r="J1127" s="49">
        <f>G1127+I1127</f>
        <v/>
      </c>
      <c r="K1127" s="256" t="n"/>
      <c r="L1127" s="256" t="n"/>
      <c r="M1127" s="256" t="n"/>
      <c r="N1127" s="256" t="n"/>
      <c r="O1127" s="256" t="n"/>
      <c r="P1127" s="256" t="n"/>
      <c r="Q1127" s="256" t="n"/>
    </row>
    <row r="1128">
      <c r="A1128">
        <f>IF(DAY(D1128)=DAY($L$1+1),A1127+1,A1127)</f>
        <v/>
      </c>
      <c r="B1128" s="46">
        <f>IF(DAY(D1128)=DAY($L$1+1),1,B1127+1)</f>
        <v/>
      </c>
      <c r="C1128" s="46">
        <f>IF(DAY(D1128)=DAY($L$1+1),1,C1127+1)</f>
        <v/>
      </c>
      <c r="D1128" s="2">
        <f>D1127+1</f>
        <v/>
      </c>
      <c r="E1128" s="8">
        <f>IF(DAY(D1128)=DAY($L$1+1),TRUNC((#REF!),8),E1127)</f>
        <v/>
      </c>
      <c r="F1128" s="49">
        <f>TRUNC(((1+VLOOKUP(A1128,IPCA!$A$2:$C$140,3,0)))^(C1128/(EDATE(D1128-C1128,1)-(D1128-C1128))),8)</f>
        <v/>
      </c>
      <c r="G1128" s="49">
        <f>TRUNC((E1128*F1128),8)</f>
        <v/>
      </c>
      <c r="H1128" s="49">
        <f>ROUND(((1+$H$4)^(30/360))^(C1128/(EDATE(D1128-B1128,1)-(D1128-B1128))),9)</f>
        <v/>
      </c>
      <c r="I1128" s="49">
        <f>TRUNC((G1128*H1128-G1128),8)</f>
        <v/>
      </c>
      <c r="J1128" s="49">
        <f>G1128+I1128</f>
        <v/>
      </c>
      <c r="K1128" s="256" t="n"/>
      <c r="L1128" s="256" t="n"/>
      <c r="M1128" s="256" t="n"/>
      <c r="N1128" s="256" t="n"/>
      <c r="O1128" s="256" t="n"/>
      <c r="P1128" s="256" t="n"/>
      <c r="Q1128" s="256" t="n"/>
    </row>
    <row r="1129">
      <c r="A1129">
        <f>IF(DAY(D1129)=DAY($L$1+1),A1128+1,A1128)</f>
        <v/>
      </c>
      <c r="B1129" s="46">
        <f>IF(DAY(D1129)=DAY($L$1+1),1,B1128+1)</f>
        <v/>
      </c>
      <c r="C1129" s="46">
        <f>IF(DAY(D1129)=DAY($L$1+1),1,C1128+1)</f>
        <v/>
      </c>
      <c r="D1129" s="2">
        <f>D1128+1</f>
        <v/>
      </c>
      <c r="E1129" s="8">
        <f>IF(DAY(D1129)=DAY($L$1+1),TRUNC((N1128),8),E1128)</f>
        <v/>
      </c>
      <c r="F1129" s="49">
        <f>TRUNC(((1+VLOOKUP(A1129,IPCA!$A$2:$C$140,3,0)))^(C1129/(EDATE(D1129-C1129,1)-(D1129-C1129))),8)</f>
        <v/>
      </c>
      <c r="G1129" s="49">
        <f>TRUNC((E1129*F1129),8)</f>
        <v/>
      </c>
      <c r="H1129" s="49">
        <f>ROUND(((1+$H$4)^(30/360))^(C1129/(EDATE(D1129-B1129,1)-(D1129-B1129))),9)</f>
        <v/>
      </c>
      <c r="I1129" s="49">
        <f>TRUNC((G1129*H1129-G1129),8)</f>
        <v/>
      </c>
      <c r="J1129" s="49">
        <f>G1129+I1129</f>
        <v/>
      </c>
      <c r="K1129" s="256" t="n"/>
      <c r="L1129" s="256" t="n"/>
      <c r="M1129" s="256" t="n"/>
      <c r="N1129" s="256" t="n"/>
      <c r="O1129" s="256" t="n"/>
      <c r="P1129" s="256" t="n"/>
      <c r="Q1129" s="256" t="n"/>
    </row>
    <row r="1130">
      <c r="A1130">
        <f>IF(DAY(D1130)=DAY($L$1+1),A1129+1,A1129)</f>
        <v/>
      </c>
      <c r="B1130" s="46">
        <f>IF(DAY(D1130)=DAY($L$1+1),1,B1129+1)</f>
        <v/>
      </c>
      <c r="C1130" s="46">
        <f>IF(DAY(D1130)=DAY($L$1+1),1,C1129+1)</f>
        <v/>
      </c>
      <c r="D1130" s="2">
        <f>D1129+1</f>
        <v/>
      </c>
      <c r="E1130" s="8">
        <f>IF(DAY(D1130)=DAY($L$1+1),TRUNC((N1129),8),E1129)</f>
        <v/>
      </c>
      <c r="F1130" s="49">
        <f>TRUNC(((1+VLOOKUP(A1130,IPCA!$A$2:$C$140,3,0)))^(C1130/(EDATE(D1130-C1130,1)-(D1130-C1130))),8)</f>
        <v/>
      </c>
      <c r="G1130" s="49">
        <f>TRUNC((E1130*F1130),8)</f>
        <v/>
      </c>
      <c r="H1130" s="49">
        <f>ROUND(((1+$H$4)^(30/360))^(C1130/(EDATE(D1130-B1130,1)-(D1130-B1130))),9)</f>
        <v/>
      </c>
      <c r="I1130" s="49">
        <f>TRUNC((G1130*H1130-G1130),8)</f>
        <v/>
      </c>
      <c r="J1130" s="49">
        <f>G1130+I1130</f>
        <v/>
      </c>
      <c r="K1130" s="123" t="n"/>
      <c r="L1130" s="271" t="n"/>
      <c r="M1130" s="256" t="n"/>
      <c r="N1130" s="256" t="n"/>
      <c r="O1130" s="256" t="n"/>
      <c r="P1130" s="256" t="n"/>
      <c r="Q1130" s="256" t="n"/>
    </row>
    <row r="1131">
      <c r="A1131">
        <f>IF(DAY(D1131)=DAY($L$1+1),A1130+1,A1130)</f>
        <v/>
      </c>
      <c r="B1131" s="46">
        <f>IF(DAY(D1131)=DAY($L$1+1),1,B1130+1)</f>
        <v/>
      </c>
      <c r="C1131" s="46">
        <f>IF(DAY(D1131)=DAY($L$1+1),1,C1130+1)</f>
        <v/>
      </c>
      <c r="D1131" s="2">
        <f>D1130+1</f>
        <v/>
      </c>
      <c r="E1131" s="8">
        <f>IF(DAY(D1131)=DAY($L$1+1),TRUNC((N1130),8),E1130)</f>
        <v/>
      </c>
      <c r="F1131" s="49">
        <f>TRUNC(((1+VLOOKUP(A1131,IPCA!$A$2:$C$140,3,0)))^(C1131/(EDATE(D1131-C1131,1)-(D1131-C1131))),8)</f>
        <v/>
      </c>
      <c r="G1131" s="49">
        <f>TRUNC((E1131*F1131),8)</f>
        <v/>
      </c>
      <c r="H1131" s="49">
        <f>ROUND(((1+$H$4)^(30/360))^(C1131/(EDATE(D1131-B1131,1)-(D1131-B1131))),9)</f>
        <v/>
      </c>
      <c r="I1131" s="49">
        <f>TRUNC((G1131*H1131-G1131),8)</f>
        <v/>
      </c>
      <c r="J1131" s="49">
        <f>G1131+I1131</f>
        <v/>
      </c>
      <c r="K1131" s="256" t="n"/>
      <c r="L1131" s="256" t="n"/>
      <c r="M1131" s="256" t="n"/>
      <c r="N1131" s="256" t="n"/>
      <c r="O1131" s="256" t="n"/>
      <c r="P1131" s="256" t="n"/>
      <c r="Q1131" s="256" t="n"/>
    </row>
    <row r="1132">
      <c r="A1132">
        <f>IF(DAY(D1132)=DAY($L$1+1),A1131+1,A1131)</f>
        <v/>
      </c>
      <c r="B1132" s="46">
        <f>IF(DAY(D1132)=DAY($L$1+1),1,B1131+1)</f>
        <v/>
      </c>
      <c r="C1132" s="46">
        <f>IF(DAY(D1132)=DAY($L$1+1),1,C1131+1)</f>
        <v/>
      </c>
      <c r="D1132" s="2">
        <f>D1131+1</f>
        <v/>
      </c>
      <c r="E1132" s="8">
        <f>IF(DAY(D1132)=DAY($L$1+1),TRUNC((N1131),8),E1131)</f>
        <v/>
      </c>
      <c r="F1132" s="49">
        <f>TRUNC(((1+VLOOKUP(A1132,IPCA!$A$2:$C$140,3,0)))^(C1132/(EDATE(D1132-C1132,1)-(D1132-C1132))),8)</f>
        <v/>
      </c>
      <c r="G1132" s="49">
        <f>TRUNC((E1132*F1132),8)</f>
        <v/>
      </c>
      <c r="H1132" s="49">
        <f>ROUND(((1+$H$4)^(30/360))^(C1132/(EDATE(D1132-B1132,1)-(D1132-B1132))),9)</f>
        <v/>
      </c>
      <c r="I1132" s="49">
        <f>TRUNC((G1132*H1132-G1132),8)</f>
        <v/>
      </c>
      <c r="J1132" s="49">
        <f>G1132+I1132</f>
        <v/>
      </c>
      <c r="K1132" s="256" t="n"/>
      <c r="L1132" s="256" t="n"/>
      <c r="M1132" s="256" t="n"/>
      <c r="N1132" s="256" t="n"/>
      <c r="O1132" s="256" t="n"/>
      <c r="P1132" s="256" t="n"/>
      <c r="Q1132" s="256" t="n"/>
    </row>
    <row r="1133">
      <c r="A1133">
        <f>IF(DAY(D1133)=DAY($L$1+1),A1132+1,A1132)</f>
        <v/>
      </c>
      <c r="B1133" s="46">
        <f>IF(DAY(D1133)=DAY($L$1+1),1,B1132+1)</f>
        <v/>
      </c>
      <c r="C1133" s="46">
        <f>IF(DAY(D1133)=DAY($L$1+1),1,C1132+1)</f>
        <v/>
      </c>
      <c r="D1133" s="2">
        <f>D1132+1</f>
        <v/>
      </c>
      <c r="E1133" s="8">
        <f>IF(DAY(D1133)=DAY($L$1+1),TRUNC((N1132),8),E1132)</f>
        <v/>
      </c>
      <c r="F1133" s="49">
        <f>TRUNC(((1+VLOOKUP(A1133,IPCA!$A$2:$C$140,3,0)))^(C1133/(EDATE(D1133-C1133,1)-(D1133-C1133))),8)</f>
        <v/>
      </c>
      <c r="G1133" s="49">
        <f>TRUNC((E1133*F1133),8)</f>
        <v/>
      </c>
      <c r="H1133" s="49">
        <f>ROUND(((1+$H$4)^(30/360))^(C1133/(EDATE(D1133-B1133,1)-(D1133-B1133))),9)</f>
        <v/>
      </c>
      <c r="I1133" s="49">
        <f>TRUNC((G1133*H1133-G1133),8)</f>
        <v/>
      </c>
      <c r="J1133" s="49">
        <f>G1133+I1133</f>
        <v/>
      </c>
      <c r="K1133" s="256" t="n"/>
      <c r="L1133" s="256" t="n"/>
      <c r="M1133" s="256" t="n"/>
      <c r="N1133" s="256" t="n"/>
      <c r="O1133" s="256" t="n"/>
      <c r="P1133" s="256" t="n"/>
      <c r="Q1133" s="256" t="n"/>
    </row>
    <row r="1134">
      <c r="A1134">
        <f>IF(DAY(D1134)=DAY($L$1+1),A1133+1,A1133)</f>
        <v/>
      </c>
      <c r="B1134" s="46">
        <f>IF(DAY(D1134)=DAY($L$1+1),1,B1133+1)</f>
        <v/>
      </c>
      <c r="C1134" s="46">
        <f>IF(DAY(D1134)=DAY($L$1+1),1,C1133+1)</f>
        <v/>
      </c>
      <c r="D1134" s="2">
        <f>D1133+1</f>
        <v/>
      </c>
      <c r="E1134" s="8">
        <f>IF(DAY(D1134)=DAY($L$1+1),TRUNC((N1133),8),E1133)</f>
        <v/>
      </c>
      <c r="F1134" s="49">
        <f>TRUNC(((1+VLOOKUP(A1134,IPCA!$A$2:$C$140,3,0)))^(C1134/(EDATE(D1134-C1134,1)-(D1134-C1134))),8)</f>
        <v/>
      </c>
      <c r="G1134" s="49">
        <f>TRUNC((E1134*F1134),8)</f>
        <v/>
      </c>
      <c r="H1134" s="49">
        <f>ROUND(((1+$H$4)^(30/360))^(C1134/(EDATE(D1134-B1134,1)-(D1134-B1134))),9)</f>
        <v/>
      </c>
      <c r="I1134" s="49">
        <f>TRUNC((G1134*H1134-G1134),8)</f>
        <v/>
      </c>
      <c r="J1134" s="49">
        <f>G1134+I1134</f>
        <v/>
      </c>
      <c r="K1134" s="256" t="n"/>
      <c r="L1134" s="256" t="n"/>
      <c r="M1134" s="256" t="n"/>
      <c r="N1134" s="256" t="n"/>
      <c r="O1134" s="256" t="n"/>
      <c r="P1134" s="256" t="n"/>
      <c r="Q1134" s="256" t="n"/>
    </row>
    <row r="1135">
      <c r="A1135">
        <f>IF(DAY(D1135)=DAY($L$1+1),A1134+1,A1134)</f>
        <v/>
      </c>
      <c r="B1135" s="46">
        <f>IF(DAY(D1135)=DAY($L$1+1),1,B1134+1)</f>
        <v/>
      </c>
      <c r="C1135" s="46">
        <f>IF(DAY(D1135)=DAY($L$1+1),1,C1134+1)</f>
        <v/>
      </c>
      <c r="D1135" s="2">
        <f>D1134+1</f>
        <v/>
      </c>
      <c r="E1135" s="8">
        <f>IF(DAY(D1135)=DAY($L$1+1),TRUNC((N1134),8),E1134)</f>
        <v/>
      </c>
      <c r="F1135" s="49">
        <f>TRUNC(((1+VLOOKUP(A1135,IPCA!$A$2:$C$140,3,0)))^(C1135/(EDATE(D1135-C1135,1)-(D1135-C1135))),8)</f>
        <v/>
      </c>
      <c r="G1135" s="49">
        <f>TRUNC((E1135*F1135),8)</f>
        <v/>
      </c>
      <c r="H1135" s="49">
        <f>ROUND(((1+$H$4)^(30/360))^(C1135/(EDATE(D1135-B1135,1)-(D1135-B1135))),9)</f>
        <v/>
      </c>
      <c r="I1135" s="49">
        <f>TRUNC((G1135*H1135-G1135),8)</f>
        <v/>
      </c>
      <c r="J1135" s="49">
        <f>G1135+I1135</f>
        <v/>
      </c>
      <c r="K1135" s="256" t="n"/>
      <c r="L1135" s="256" t="n"/>
      <c r="M1135" s="256" t="n"/>
      <c r="N1135" s="256" t="n"/>
      <c r="O1135" s="256" t="n"/>
      <c r="P1135" s="256" t="n"/>
      <c r="Q1135" s="256" t="n"/>
    </row>
    <row r="1136">
      <c r="A1136">
        <f>IF(DAY(D1136)=DAY($L$1+1),A1135+1,A1135)</f>
        <v/>
      </c>
      <c r="B1136" s="46">
        <f>IF(DAY(D1136)=DAY($L$1+1),1,B1135+1)</f>
        <v/>
      </c>
      <c r="C1136" s="46">
        <f>IF(DAY(D1136)=DAY($L$1+1),1,C1135+1)</f>
        <v/>
      </c>
      <c r="D1136" s="2">
        <f>D1135+1</f>
        <v/>
      </c>
      <c r="E1136" s="8">
        <f>IF(DAY(D1136)=DAY($L$1+1),TRUNC((N1135),8),E1135)</f>
        <v/>
      </c>
      <c r="F1136" s="49">
        <f>TRUNC(((1+VLOOKUP(A1136,IPCA!$A$2:$C$140,3,0)))^(C1136/(EDATE(D1136-C1136,1)-(D1136-C1136))),8)</f>
        <v/>
      </c>
      <c r="G1136" s="49">
        <f>TRUNC((E1136*F1136),8)</f>
        <v/>
      </c>
      <c r="H1136" s="49">
        <f>ROUND(((1+$H$4)^(30/360))^(C1136/(EDATE(D1136-B1136,1)-(D1136-B1136))),9)</f>
        <v/>
      </c>
      <c r="I1136" s="49">
        <f>TRUNC((G1136*H1136-G1136),8)</f>
        <v/>
      </c>
      <c r="J1136" s="49">
        <f>G1136+I1136</f>
        <v/>
      </c>
      <c r="K1136" s="256" t="n"/>
      <c r="L1136" s="256" t="n"/>
      <c r="M1136" s="256" t="n"/>
      <c r="N1136" s="256" t="n"/>
      <c r="O1136" s="256" t="n"/>
      <c r="P1136" s="256" t="n"/>
      <c r="Q1136" s="256" t="n"/>
    </row>
    <row r="1137">
      <c r="A1137">
        <f>IF(DAY(D1137)=DAY($L$1+1),A1136+1,A1136)</f>
        <v/>
      </c>
      <c r="B1137" s="46">
        <f>IF(DAY(D1137)=DAY($L$1+1),1,B1136+1)</f>
        <v/>
      </c>
      <c r="C1137" s="46">
        <f>IF(DAY(D1137)=DAY($L$1+1),1,C1136+1)</f>
        <v/>
      </c>
      <c r="D1137" s="2">
        <f>D1136+1</f>
        <v/>
      </c>
      <c r="E1137" s="8">
        <f>IF(DAY(D1137)=DAY($L$1+1),TRUNC((N1136),8),E1136)</f>
        <v/>
      </c>
      <c r="F1137" s="49">
        <f>TRUNC(((1+VLOOKUP(A1137,IPCA!$A$2:$C$140,3,0)))^(C1137/(EDATE(D1137-C1137,1)-(D1137-C1137))),8)</f>
        <v/>
      </c>
      <c r="G1137" s="49">
        <f>TRUNC((E1137*F1137),8)</f>
        <v/>
      </c>
      <c r="H1137" s="49">
        <f>ROUND(((1+$H$4)^(30/360))^(C1137/(EDATE(D1137-B1137,1)-(D1137-B1137))),9)</f>
        <v/>
      </c>
      <c r="I1137" s="49">
        <f>TRUNC((G1137*H1137-G1137),8)</f>
        <v/>
      </c>
      <c r="J1137" s="49">
        <f>G1137+I1137</f>
        <v/>
      </c>
      <c r="K1137" s="256" t="n"/>
      <c r="L1137" s="256" t="n"/>
      <c r="M1137" s="256" t="n"/>
      <c r="N1137" s="256" t="n"/>
      <c r="O1137" s="256" t="n"/>
      <c r="P1137" s="256" t="n"/>
      <c r="Q1137" s="256" t="n"/>
    </row>
    <row r="1138">
      <c r="A1138">
        <f>IF(DAY(D1138)=DAY($L$1+1),A1137+1,A1137)</f>
        <v/>
      </c>
      <c r="B1138" s="46">
        <f>IF(DAY(D1138)=DAY($L$1+1),1,B1137+1)</f>
        <v/>
      </c>
      <c r="C1138" s="46">
        <f>IF(DAY(D1138)=DAY($L$1+1),1,C1137+1)</f>
        <v/>
      </c>
      <c r="D1138" s="2">
        <f>D1137+1</f>
        <v/>
      </c>
      <c r="E1138" s="8">
        <f>IF(DAY(D1138)=DAY($L$1+1),TRUNC((N1137),8),E1137)</f>
        <v/>
      </c>
      <c r="F1138" s="49">
        <f>TRUNC(((1+VLOOKUP(A1138,IPCA!$A$2:$C$140,3,0)))^(C1138/(EDATE(D1138-C1138,1)-(D1138-C1138))),8)</f>
        <v/>
      </c>
      <c r="G1138" s="49">
        <f>TRUNC((E1138*F1138),8)</f>
        <v/>
      </c>
      <c r="H1138" s="49">
        <f>ROUND(((1+$H$4)^(30/360))^(C1138/(EDATE(D1138-B1138,1)-(D1138-B1138))),9)</f>
        <v/>
      </c>
      <c r="I1138" s="49">
        <f>TRUNC((G1138*H1138-G1138),8)</f>
        <v/>
      </c>
      <c r="J1138" s="49">
        <f>G1138+I1138</f>
        <v/>
      </c>
      <c r="K1138" s="256" t="n"/>
      <c r="L1138" s="256" t="n"/>
      <c r="M1138" s="256" t="n"/>
      <c r="N1138" s="256" t="n"/>
      <c r="O1138" s="256" t="n"/>
      <c r="P1138" s="256" t="n"/>
      <c r="Q1138" s="256" t="n"/>
    </row>
    <row r="1139">
      <c r="A1139">
        <f>IF(DAY(D1139)=DAY($L$1+1),A1138+1,A1138)</f>
        <v/>
      </c>
      <c r="B1139" s="46">
        <f>IF(DAY(D1139)=DAY($L$1+1),1,B1138+1)</f>
        <v/>
      </c>
      <c r="C1139" s="46">
        <f>IF(DAY(D1139)=DAY($L$1+1),1,C1138+1)</f>
        <v/>
      </c>
      <c r="D1139" s="2">
        <f>D1138+1</f>
        <v/>
      </c>
      <c r="E1139" s="8">
        <f>IF(DAY(D1139)=DAY($L$1+1),TRUNC((N1138),8),E1138)</f>
        <v/>
      </c>
      <c r="F1139" s="49">
        <f>TRUNC(((1+VLOOKUP(A1139,IPCA!$A$2:$C$140,3,0)))^(C1139/(EDATE(D1139-C1139,1)-(D1139-C1139))),8)</f>
        <v/>
      </c>
      <c r="G1139" s="49">
        <f>TRUNC((E1139*F1139),8)</f>
        <v/>
      </c>
      <c r="H1139" s="49">
        <f>ROUND(((1+$H$4)^(30/360))^(C1139/(EDATE(D1139-B1139,1)-(D1139-B1139))),9)</f>
        <v/>
      </c>
      <c r="I1139" s="49">
        <f>TRUNC((G1139*H1139-G1139),8)</f>
        <v/>
      </c>
      <c r="J1139" s="49">
        <f>G1139+I1139</f>
        <v/>
      </c>
      <c r="K1139" s="256" t="n"/>
      <c r="L1139" s="256" t="n"/>
      <c r="M1139" s="256" t="n"/>
      <c r="N1139" s="256" t="n"/>
      <c r="O1139" s="256" t="n"/>
      <c r="P1139" s="256" t="n"/>
      <c r="Q1139" s="256" t="n"/>
    </row>
    <row r="1140">
      <c r="A1140">
        <f>IF(DAY(D1140)=DAY($L$1+1),A1139+1,A1139)</f>
        <v/>
      </c>
      <c r="B1140" s="46">
        <f>IF(DAY(D1140)=DAY($L$1+1),1,B1139+1)</f>
        <v/>
      </c>
      <c r="C1140" s="46">
        <f>IF(DAY(D1140)=DAY($L$1+1),1,C1139+1)</f>
        <v/>
      </c>
      <c r="D1140" s="2">
        <f>D1139+1</f>
        <v/>
      </c>
      <c r="E1140" s="8">
        <f>IF(DAY(D1140)=DAY($L$1+1),TRUNC((N1139),8),E1139)</f>
        <v/>
      </c>
      <c r="F1140" s="49">
        <f>TRUNC(((1+VLOOKUP(A1140,IPCA!$A$2:$C$140,3,0)))^(C1140/(EDATE(D1140-C1140,1)-(D1140-C1140))),8)</f>
        <v/>
      </c>
      <c r="G1140" s="49">
        <f>TRUNC((E1140*F1140),8)</f>
        <v/>
      </c>
      <c r="H1140" s="49">
        <f>ROUND(((1+$H$4)^(30/360))^(C1140/(EDATE(D1140-B1140,1)-(D1140-B1140))),9)</f>
        <v/>
      </c>
      <c r="I1140" s="49">
        <f>TRUNC((G1140*H1140-G1140),8)</f>
        <v/>
      </c>
      <c r="J1140" s="49">
        <f>G1140+I1140</f>
        <v/>
      </c>
      <c r="K1140" s="256" t="n"/>
      <c r="L1140" s="256" t="n"/>
      <c r="M1140" s="256" t="n"/>
      <c r="N1140" s="256" t="n"/>
      <c r="O1140" s="256" t="n"/>
      <c r="P1140" s="256" t="n"/>
      <c r="Q1140" s="256" t="n"/>
    </row>
    <row r="1141">
      <c r="A1141">
        <f>IF(DAY(D1141)=DAY($L$1+1),A1140+1,A1140)</f>
        <v/>
      </c>
      <c r="B1141" s="46">
        <f>IF(DAY(D1141)=DAY($L$1+1),1,B1140+1)</f>
        <v/>
      </c>
      <c r="C1141" s="46">
        <f>IF(DAY(D1141)=DAY($L$1+1),1,C1140+1)</f>
        <v/>
      </c>
      <c r="D1141" s="2">
        <f>D1140+1</f>
        <v/>
      </c>
      <c r="E1141" s="8">
        <f>IF(DAY(D1141)=DAY($L$1+1),TRUNC((N1140),8),E1140)</f>
        <v/>
      </c>
      <c r="F1141" s="49">
        <f>TRUNC(((1+VLOOKUP(A1141,IPCA!$A$2:$C$140,3,0)))^(C1141/(EDATE(D1141-C1141,1)-(D1141-C1141))),8)</f>
        <v/>
      </c>
      <c r="G1141" s="49">
        <f>TRUNC((E1141*F1141),8)</f>
        <v/>
      </c>
      <c r="H1141" s="49">
        <f>ROUND(((1+$H$4)^(30/360))^(C1141/(EDATE(D1141-B1141,1)-(D1141-B1141))),9)</f>
        <v/>
      </c>
      <c r="I1141" s="49">
        <f>TRUNC((G1141*H1141-G1141),8)</f>
        <v/>
      </c>
      <c r="J1141" s="49">
        <f>G1141+I1141</f>
        <v/>
      </c>
      <c r="K1141" s="256" t="n"/>
      <c r="L1141" s="256" t="n"/>
      <c r="M1141" s="256" t="n"/>
      <c r="N1141" s="256" t="n"/>
      <c r="O1141" s="256" t="n"/>
      <c r="P1141" s="256" t="n"/>
      <c r="Q1141" s="256" t="n"/>
    </row>
    <row r="1142">
      <c r="A1142">
        <f>IF(DAY(D1142)=DAY($L$1+1),A1141+1,A1141)</f>
        <v/>
      </c>
      <c r="B1142" s="46">
        <f>IF(DAY(D1142)=DAY($L$1+1),1,B1141+1)</f>
        <v/>
      </c>
      <c r="C1142" s="46">
        <f>IF(DAY(D1142)=DAY($L$1+1),1,C1141+1)</f>
        <v/>
      </c>
      <c r="D1142" s="2">
        <f>D1141+1</f>
        <v/>
      </c>
      <c r="E1142" s="8">
        <f>IF(DAY(D1142)=DAY($L$1+1),TRUNC((N1141),8),E1141)</f>
        <v/>
      </c>
      <c r="F1142" s="49">
        <f>TRUNC(((1+VLOOKUP(A1142,IPCA!$A$2:$C$140,3,0)))^(C1142/(EDATE(D1142-C1142,1)-(D1142-C1142))),8)</f>
        <v/>
      </c>
      <c r="G1142" s="49">
        <f>TRUNC((E1142*F1142),8)</f>
        <v/>
      </c>
      <c r="H1142" s="49">
        <f>ROUND(((1+$H$4)^(30/360))^(C1142/(EDATE(D1142-B1142,1)-(D1142-B1142))),9)</f>
        <v/>
      </c>
      <c r="I1142" s="49">
        <f>TRUNC((G1142*H1142-G1142),8)</f>
        <v/>
      </c>
      <c r="J1142" s="49">
        <f>G1142+I1142</f>
        <v/>
      </c>
      <c r="K1142" s="256" t="n"/>
      <c r="L1142" s="256" t="n"/>
      <c r="M1142" s="256" t="n"/>
      <c r="N1142" s="256" t="n"/>
      <c r="O1142" s="256" t="n"/>
      <c r="P1142" s="256" t="n"/>
      <c r="Q1142" s="256" t="n"/>
    </row>
    <row r="1143">
      <c r="A1143">
        <f>IF(DAY(D1143)=DAY($L$1+1),A1142+1,A1142)</f>
        <v/>
      </c>
      <c r="B1143" s="46">
        <f>IF(DAY(D1143)=DAY($L$1+1),1,B1142+1)</f>
        <v/>
      </c>
      <c r="C1143" s="46">
        <f>IF(DAY(D1143)=DAY($L$1+1),1,C1142+1)</f>
        <v/>
      </c>
      <c r="D1143" s="2">
        <f>D1142+1</f>
        <v/>
      </c>
      <c r="E1143" s="8">
        <f>IF(DAY(D1143)=DAY($L$1+1),TRUNC((N1142),8),E1142)</f>
        <v/>
      </c>
      <c r="F1143" s="49">
        <f>TRUNC(((1+VLOOKUP(A1143,IPCA!$A$2:$C$140,3,0)))^(C1143/(EDATE(D1143-C1143,1)-(D1143-C1143))),8)</f>
        <v/>
      </c>
      <c r="G1143" s="49">
        <f>TRUNC((E1143*F1143),8)</f>
        <v/>
      </c>
      <c r="H1143" s="49">
        <f>ROUND(((1+$H$4)^(30/360))^(C1143/(EDATE(D1143-B1143,1)-(D1143-B1143))),9)</f>
        <v/>
      </c>
      <c r="I1143" s="49">
        <f>TRUNC((G1143*H1143-G1143),8)</f>
        <v/>
      </c>
      <c r="J1143" s="49">
        <f>G1143+I1143</f>
        <v/>
      </c>
      <c r="K1143" s="256" t="n"/>
      <c r="L1143" s="256" t="n"/>
      <c r="M1143" s="256" t="n"/>
      <c r="N1143" s="256" t="n"/>
      <c r="O1143" s="256" t="n"/>
      <c r="P1143" s="256" t="n"/>
      <c r="Q1143" s="256" t="n"/>
    </row>
    <row r="1144">
      <c r="A1144">
        <f>IF(DAY(D1144)=DAY($L$1+1),A1143+1,A1143)</f>
        <v/>
      </c>
      <c r="B1144" s="46">
        <f>IF(DAY(D1144)=DAY($L$1+1),1,B1143+1)</f>
        <v/>
      </c>
      <c r="C1144" s="46">
        <f>IF(DAY(D1144)=DAY($L$1+1),1,C1143+1)</f>
        <v/>
      </c>
      <c r="D1144" s="2">
        <f>D1143+1</f>
        <v/>
      </c>
      <c r="E1144" s="8">
        <f>IF(DAY(D1144)=DAY($L$1+1),TRUNC((N1143),8),E1143)</f>
        <v/>
      </c>
      <c r="F1144" s="49">
        <f>TRUNC(((1+VLOOKUP(A1144,IPCA!$A$2:$C$140,3,0)))^(C1144/(EDATE(D1144-C1144,1)-(D1144-C1144))),8)</f>
        <v/>
      </c>
      <c r="G1144" s="49">
        <f>TRUNC((E1144*F1144),8)</f>
        <v/>
      </c>
      <c r="H1144" s="49">
        <f>ROUND(((1+$H$4)^(30/360))^(C1144/(EDATE(D1144-B1144,1)-(D1144-B1144))),9)</f>
        <v/>
      </c>
      <c r="I1144" s="49">
        <f>TRUNC((G1144*H1144-G1144),8)</f>
        <v/>
      </c>
      <c r="J1144" s="49">
        <f>G1144+I1144</f>
        <v/>
      </c>
      <c r="K1144" s="256" t="inlineStr">
        <is>
          <t>Cri Integralizado</t>
        </is>
      </c>
      <c r="L1144" s="270">
        <f>L1113</f>
        <v/>
      </c>
      <c r="M1144" s="256" t="n"/>
      <c r="N1144" s="256" t="n"/>
      <c r="O1144" s="256" t="n"/>
      <c r="P1144" s="256" t="n"/>
      <c r="Q1144" s="256" t="n"/>
    </row>
    <row r="1145">
      <c r="A1145">
        <f>IF(DAY(D1145)=DAY($L$1+1),A1144+1,A1144)</f>
        <v/>
      </c>
      <c r="B1145" s="46">
        <f>IF(DAY(D1145)=DAY($L$1+1),1,B1144+1)</f>
        <v/>
      </c>
      <c r="C1145" s="46">
        <f>IF(DAY(D1145)=DAY($L$1+1),1,C1144+1)</f>
        <v/>
      </c>
      <c r="D1145" s="47">
        <f>D1144+1</f>
        <v/>
      </c>
      <c r="E1145" s="8">
        <f>IF(DAY(D1145)=DAY($L$1+1),TRUNC((N1144),8),E1144)</f>
        <v/>
      </c>
      <c r="F1145" s="49">
        <f>TRUNC(((1+VLOOKUP(A1145,IPCA!$A$2:$C$140,3,0)))^(C1145/(EDATE(D1145-C1145,1)-(D1145-C1145))),8)</f>
        <v/>
      </c>
      <c r="G1145" s="49">
        <f>TRUNC((E1145*F1145),8)</f>
        <v/>
      </c>
      <c r="H1145" s="49">
        <f>ROUND(((1+$H$4)^(30/360))^(C1145/(EDATE(D1145-B1145,1)-(D1145-B1145))),9)</f>
        <v/>
      </c>
      <c r="I1145" s="49">
        <f>TRUNC((G1145*H1145-G1145),8)</f>
        <v/>
      </c>
      <c r="J1145" s="49">
        <f>G1145+I1145</f>
        <v/>
      </c>
      <c r="K1145" s="118" t="inlineStr">
        <is>
          <t>JUROS</t>
        </is>
      </c>
      <c r="L1145" s="118" t="inlineStr">
        <is>
          <t>AMORTIZAÇÃO</t>
        </is>
      </c>
      <c r="M1145" s="118" t="inlineStr">
        <is>
          <t>AMEX</t>
        </is>
      </c>
      <c r="N1145" s="118" t="inlineStr">
        <is>
          <t>RESIDUAL</t>
        </is>
      </c>
      <c r="O1145" s="256" t="n"/>
      <c r="P1145" s="256" t="n"/>
      <c r="Q1145" s="256" t="n"/>
    </row>
    <row r="1146">
      <c r="A1146">
        <f>IF(DAY(D1146)=DAY($L$1+1),A1145+1,A1145)</f>
        <v/>
      </c>
      <c r="B1146" s="111">
        <f>IF(DAY(D1146)=DAY($L$1+1),1,B1145+1)</f>
        <v/>
      </c>
      <c r="C1146" s="111">
        <f>IF(DAY(D1146)=DAY($L$1+1),1,C1145+1)</f>
        <v/>
      </c>
      <c r="D1146" s="112" t="n">
        <v>45894</v>
      </c>
      <c r="E1146" s="113">
        <f>IF(DAY(D1146)=DAY($L$1+1),TRUNC((N1145),8),E1145)</f>
        <v/>
      </c>
      <c r="F1146" s="114">
        <f>TRUNC(((1+VLOOKUP(A1146,IPCA!$A$2:$C$140,3,0)))^(C1146/(EDATE(D1146-C1146,1)-(D1146-C1146))),8)</f>
        <v/>
      </c>
      <c r="G1146" s="114">
        <f>TRUNC((E1146*F1146),8)</f>
        <v/>
      </c>
      <c r="H1146" s="114">
        <f>ROUND(((1+$H$4)^(30/360))^(C1146/(EDATE(D1146-B1146,1)-(D1146-B1146))),9)</f>
        <v/>
      </c>
      <c r="I1146" s="114">
        <f>TRUNC((G1146*H1146-G1146),8)</f>
        <v/>
      </c>
      <c r="J1146" s="114">
        <f>G1146+I1146</f>
        <v/>
      </c>
      <c r="K1146" s="119">
        <f>I1146</f>
        <v/>
      </c>
      <c r="L1146" s="120">
        <f>TRUNC(G1146*VLOOKUP(D1146,'Amort TS'!$G$3:$H$140,2,0),8)</f>
        <v/>
      </c>
      <c r="M1146" s="120" t="n">
        <v>0</v>
      </c>
      <c r="N1146" s="120" t="n">
        <v>917431.19266055</v>
      </c>
      <c r="O1146" s="256" t="n"/>
      <c r="P1146" s="256" t="n"/>
      <c r="Q1146" s="256" t="n"/>
    </row>
    <row r="1147">
      <c r="A1147">
        <f>IF(DAY(D1147)=DAY($L$1+1),A1146+1,A1146)</f>
        <v/>
      </c>
      <c r="B1147" s="46">
        <f>IF(DAY(D1147)=DAY($L$1+1),1,B1146+1)</f>
        <v/>
      </c>
      <c r="C1147" s="46">
        <f>IF(DAY(D1147)=DAY($L$1+1),1,C1146+1)</f>
        <v/>
      </c>
      <c r="D1147" s="2">
        <f>D1146+1</f>
        <v/>
      </c>
      <c r="E1147" s="8">
        <f>IF(DAY(D1147)=DAY($L$1+1),TRUNC((N1146),8),E1146)</f>
        <v/>
      </c>
      <c r="F1147" s="49">
        <f>TRUNC(((1+VLOOKUP(A1147,IPCA!$A$2:$C$140,3,0)))^(C1147/(EDATE(D1147-C1147,1)-(D1147-C1147))),8)</f>
        <v/>
      </c>
      <c r="G1147" s="49">
        <f>TRUNC((E1147*F1147),8)</f>
        <v/>
      </c>
      <c r="H1147" s="49">
        <f>ROUND(((1+$H$4)^(30/360))^(C1147/(EDATE(D1147-B1147,1)-(D1147-B1147))),9)</f>
        <v/>
      </c>
      <c r="I1147" s="49">
        <f>TRUNC((G1147*H1147-G1147),8)</f>
        <v/>
      </c>
      <c r="J1147" s="49">
        <f>G1147+I1147</f>
        <v/>
      </c>
      <c r="K1147" s="121">
        <f>K1146*L1144</f>
        <v/>
      </c>
      <c r="L1147" s="121">
        <f>L1146*L1144</f>
        <v/>
      </c>
      <c r="M1147" s="121">
        <f>M1146*L1144</f>
        <v/>
      </c>
      <c r="N1147" s="121">
        <f>N1146*L1144</f>
        <v/>
      </c>
      <c r="O1147" s="256" t="n"/>
      <c r="P1147" s="256" t="n"/>
      <c r="Q1147" s="256" t="n"/>
    </row>
    <row r="1148">
      <c r="A1148">
        <f>IF(DAY(D1148)=DAY($L$1+1),A1147+1,A1147)</f>
        <v/>
      </c>
      <c r="B1148" s="46">
        <f>IF(DAY(D1148)=DAY($L$1+1),1,B1147+1)</f>
        <v/>
      </c>
      <c r="C1148" s="46">
        <f>IF(DAY(D1148)=DAY($L$1+1),1,C1147+1)</f>
        <v/>
      </c>
      <c r="D1148" s="47">
        <f>D1147+1</f>
        <v/>
      </c>
      <c r="E1148" s="8">
        <f>IF(DAY(D1148)=DAY($L$1+1),TRUNC((N1147),8),E1147)</f>
        <v/>
      </c>
      <c r="F1148" s="49">
        <f>TRUNC(((1+VLOOKUP(A1148,IPCA!$A$2:$C$140,3,0)))^(C1148/(EDATE(D1148-C1148,1)-(D1148-C1148))),8)</f>
        <v/>
      </c>
      <c r="G1148" s="49">
        <f>TRUNC((E1148*F1148),8)</f>
        <v/>
      </c>
      <c r="H1148" s="49">
        <f>ROUND(((1+$H$4)^(30/360))^(C1148/(EDATE(D1148-B1148,1)-(D1148-B1148))),9)</f>
        <v/>
      </c>
      <c r="I1148" s="49">
        <f>TRUNC((G1148*H1148-G1148),8)</f>
        <v/>
      </c>
      <c r="J1148" s="49">
        <f>G1148+I1148</f>
        <v/>
      </c>
      <c r="K1148" s="256" t="n"/>
      <c r="L1148" s="256" t="n"/>
      <c r="M1148" s="256" t="n"/>
      <c r="N1148" s="256" t="n"/>
      <c r="O1148" s="256" t="n"/>
      <c r="P1148" s="256" t="n"/>
      <c r="Q1148" s="256" t="n"/>
    </row>
    <row r="1149">
      <c r="A1149">
        <f>IF(DAY(D1149)=DAY($L$1+1),A1148+1,A1148)</f>
        <v/>
      </c>
      <c r="B1149" s="46">
        <f>IF(DAY(D1149)=DAY($L$1+1),1,B1148+1)</f>
        <v/>
      </c>
      <c r="C1149" s="46">
        <f>IF(DAY(D1149)=DAY($L$1+1),1,C1148+1)</f>
        <v/>
      </c>
      <c r="D1149" s="2">
        <f>D1148+1</f>
        <v/>
      </c>
      <c r="E1149" s="8">
        <f>IF(DAY(D1149)=DAY($L$1+1),TRUNC((#REF!),8),E1148)</f>
        <v/>
      </c>
      <c r="F1149" s="49">
        <f>TRUNC(((1+VLOOKUP(A1149,IPCA!$A$2:$C$140,3,0)))^(C1149/(EDATE(D1149-C1149,1)-(D1149-C1149))),8)</f>
        <v/>
      </c>
      <c r="G1149" s="49">
        <f>TRUNC((E1149*F1149),8)</f>
        <v/>
      </c>
      <c r="H1149" s="49">
        <f>ROUND(((1+$H$4)^(30/360))^(C1149/(EDATE(D1149-B1149,1)-(D1149-B1149))),9)</f>
        <v/>
      </c>
      <c r="I1149" s="49">
        <f>TRUNC((G1149*H1149-G1149),8)</f>
        <v/>
      </c>
      <c r="J1149" s="49">
        <f>G1149+I1149</f>
        <v/>
      </c>
      <c r="K1149" s="256" t="n"/>
      <c r="L1149" s="256" t="n"/>
      <c r="M1149" s="256" t="n"/>
      <c r="N1149" s="256" t="n"/>
      <c r="O1149" s="256" t="n"/>
      <c r="P1149" s="256" t="n"/>
      <c r="Q1149" s="256" t="n"/>
    </row>
    <row r="1150">
      <c r="A1150">
        <f>IF(DAY(D1150)=DAY($L$1+1),A1149+1,A1149)</f>
        <v/>
      </c>
      <c r="B1150" s="46">
        <f>IF(DAY(D1150)=DAY($L$1+1),1,B1149+1)</f>
        <v/>
      </c>
      <c r="C1150" s="46">
        <f>IF(DAY(D1150)=DAY($L$1+1),1,C1149+1)</f>
        <v/>
      </c>
      <c r="D1150" s="2">
        <f>D1149+1</f>
        <v/>
      </c>
      <c r="E1150" s="8">
        <f>IF(DAY(D1150)=DAY($L$1+1),TRUNC((#REF!),8),E1149)</f>
        <v/>
      </c>
      <c r="F1150" s="49">
        <f>TRUNC(((1+VLOOKUP(A1150,IPCA!$A$2:$C$140,3,0)))^(C1150/(EDATE(D1150-C1150,1)-(D1150-C1150))),8)</f>
        <v/>
      </c>
      <c r="G1150" s="49">
        <f>TRUNC((E1150*F1150),8)</f>
        <v/>
      </c>
      <c r="H1150" s="49">
        <f>ROUND(((1+$H$4)^(30/360))^(C1150/(EDATE(D1150-B1150,1)-(D1150-B1150))),9)</f>
        <v/>
      </c>
      <c r="I1150" s="49">
        <f>TRUNC((G1150*H1150-G1150),8)</f>
        <v/>
      </c>
      <c r="J1150" s="49">
        <f>G1150+I1150</f>
        <v/>
      </c>
      <c r="K1150" s="256" t="n"/>
      <c r="L1150" s="256" t="n"/>
      <c r="M1150" s="256" t="n"/>
      <c r="N1150" s="256" t="n"/>
      <c r="O1150" s="256" t="n"/>
      <c r="P1150" s="256" t="n"/>
      <c r="Q1150" s="256" t="n"/>
    </row>
    <row r="1151">
      <c r="A1151">
        <f>IF(DAY(D1151)=DAY($L$1+1),A1150+1,A1150)</f>
        <v/>
      </c>
      <c r="B1151" s="46">
        <f>IF(DAY(D1151)=DAY($L$1+1),1,B1150+1)</f>
        <v/>
      </c>
      <c r="C1151" s="46">
        <f>IF(DAY(D1151)=DAY($L$1+1),1,C1150+1)</f>
        <v/>
      </c>
      <c r="D1151" s="2">
        <f>D1150+1</f>
        <v/>
      </c>
      <c r="E1151" s="8">
        <f>IF(DAY(D1151)=DAY($L$1+1),TRUNC((#REF!),8),E1150)</f>
        <v/>
      </c>
      <c r="F1151" s="49">
        <f>TRUNC(((1+VLOOKUP(A1151,IPCA!$A$2:$C$140,3,0)))^(C1151/(EDATE(D1151-C1151,1)-(D1151-C1151))),8)</f>
        <v/>
      </c>
      <c r="G1151" s="49">
        <f>TRUNC((E1151*F1151),8)</f>
        <v/>
      </c>
      <c r="H1151" s="49">
        <f>ROUND(((1+$H$4)^(30/360))^(C1151/(EDATE(D1151-B1151,1)-(D1151-B1151))),9)</f>
        <v/>
      </c>
      <c r="I1151" s="49">
        <f>TRUNC((G1151*H1151-G1151),8)</f>
        <v/>
      </c>
      <c r="J1151" s="49">
        <f>G1151+I1151</f>
        <v/>
      </c>
      <c r="K1151" s="256" t="n"/>
      <c r="L1151" s="256" t="n"/>
      <c r="M1151" s="256" t="n"/>
      <c r="N1151" s="256" t="n"/>
      <c r="O1151" s="256" t="n"/>
      <c r="P1151" s="256" t="n"/>
      <c r="Q1151" s="256" t="n"/>
    </row>
    <row r="1152">
      <c r="A1152">
        <f>IF(DAY(D1152)=DAY($L$1+1),A1151+1,A1151)</f>
        <v/>
      </c>
      <c r="B1152" s="46">
        <f>IF(DAY(D1152)=DAY($L$1+1),1,B1151+1)</f>
        <v/>
      </c>
      <c r="C1152" s="46">
        <f>IF(DAY(D1152)=DAY($L$1+1),1,C1151+1)</f>
        <v/>
      </c>
      <c r="D1152" s="2">
        <f>D1151+1</f>
        <v/>
      </c>
      <c r="E1152" s="8">
        <f>IF(DAY(D1152)=DAY($L$1+1),TRUNC((#REF!),8),E1151)</f>
        <v/>
      </c>
      <c r="F1152" s="49">
        <f>TRUNC(((1+VLOOKUP(A1152,IPCA!$A$2:$C$140,3,0)))^(C1152/(EDATE(D1152-C1152,1)-(D1152-C1152))),8)</f>
        <v/>
      </c>
      <c r="G1152" s="49">
        <f>TRUNC((E1152*F1152),8)</f>
        <v/>
      </c>
      <c r="H1152" s="49">
        <f>ROUND(((1+$H$4)^(30/360))^(C1152/(EDATE(D1152-B1152,1)-(D1152-B1152))),9)</f>
        <v/>
      </c>
      <c r="I1152" s="49">
        <f>TRUNC((G1152*H1152-G1152),8)</f>
        <v/>
      </c>
      <c r="J1152" s="49">
        <f>G1152+I1152</f>
        <v/>
      </c>
      <c r="K1152" s="256" t="n"/>
      <c r="L1152" s="256" t="n"/>
      <c r="M1152" s="256" t="n"/>
      <c r="N1152" s="256" t="n"/>
      <c r="O1152" s="256" t="n"/>
      <c r="P1152" s="256" t="n"/>
      <c r="Q1152" s="256" t="n"/>
    </row>
    <row r="1153">
      <c r="A1153">
        <f>IF(DAY(D1153)=DAY($L$1+1),A1152+1,A1152)</f>
        <v/>
      </c>
      <c r="B1153" s="46">
        <f>IF(DAY(D1153)=DAY($L$1+1),1,B1152+1)</f>
        <v/>
      </c>
      <c r="C1153" s="46">
        <f>IF(DAY(D1153)=DAY($L$1+1),1,C1152+1)</f>
        <v/>
      </c>
      <c r="D1153" s="2">
        <f>D1152+1</f>
        <v/>
      </c>
      <c r="E1153" s="8">
        <f>IF(DAY(D1153)=DAY($L$1+1),TRUNC((#REF!),8),E1152)</f>
        <v/>
      </c>
      <c r="F1153" s="49">
        <f>TRUNC(((1+VLOOKUP(A1153,IPCA!$A$2:$C$140,3,0)))^(C1153/(EDATE(D1153-C1153,1)-(D1153-C1153))),8)</f>
        <v/>
      </c>
      <c r="G1153" s="49">
        <f>TRUNC((E1153*F1153),8)</f>
        <v/>
      </c>
      <c r="H1153" s="49">
        <f>ROUND(((1+$H$4)^(30/360))^(C1153/(EDATE(D1153-B1153,1)-(D1153-B1153))),9)</f>
        <v/>
      </c>
      <c r="I1153" s="49">
        <f>TRUNC((G1153*H1153-G1153),8)</f>
        <v/>
      </c>
      <c r="J1153" s="49">
        <f>G1153+I1153</f>
        <v/>
      </c>
      <c r="K1153" s="256" t="n"/>
      <c r="L1153" s="256" t="n"/>
      <c r="M1153" s="256" t="n"/>
      <c r="N1153" s="256" t="n"/>
      <c r="O1153" s="256" t="n"/>
      <c r="P1153" s="256" t="n"/>
      <c r="Q1153" s="256" t="n"/>
    </row>
    <row r="1154">
      <c r="A1154">
        <f>IF(DAY(D1154)=DAY($L$1+1),A1153+1,A1153)</f>
        <v/>
      </c>
      <c r="B1154" s="46">
        <f>IF(DAY(D1154)=DAY($L$1+1),1,B1153+1)</f>
        <v/>
      </c>
      <c r="C1154" s="46">
        <f>IF(DAY(D1154)=DAY($L$1+1),1,C1153+1)</f>
        <v/>
      </c>
      <c r="D1154" s="2">
        <f>D1153+1</f>
        <v/>
      </c>
      <c r="E1154" s="8">
        <f>IF(DAY(D1154)=DAY($L$1+1),TRUNC((#REF!),8),E1153)</f>
        <v/>
      </c>
      <c r="F1154" s="49">
        <f>TRUNC(((1+VLOOKUP(A1154,IPCA!$A$2:$C$140,3,0)))^(C1154/(EDATE(D1154-C1154,1)-(D1154-C1154))),8)</f>
        <v/>
      </c>
      <c r="G1154" s="49">
        <f>TRUNC((E1154*F1154),8)</f>
        <v/>
      </c>
      <c r="H1154" s="49">
        <f>ROUND(((1+$H$4)^(30/360))^(C1154/(EDATE(D1154-B1154,1)-(D1154-B1154))),9)</f>
        <v/>
      </c>
      <c r="I1154" s="49">
        <f>TRUNC((G1154*H1154-G1154),8)</f>
        <v/>
      </c>
      <c r="J1154" s="49">
        <f>G1154+I1154</f>
        <v/>
      </c>
      <c r="K1154" s="256" t="n"/>
      <c r="L1154" s="256" t="n"/>
      <c r="M1154" s="256" t="n"/>
      <c r="N1154" s="256" t="n"/>
      <c r="O1154" s="256" t="n"/>
      <c r="P1154" s="256" t="n"/>
      <c r="Q1154" s="256" t="n"/>
    </row>
    <row r="1155">
      <c r="A1155">
        <f>IF(DAY(D1155)=DAY($L$1+1),A1154+1,A1154)</f>
        <v/>
      </c>
      <c r="B1155" s="46">
        <f>IF(DAY(D1155)=DAY($L$1+1),1,B1154+1)</f>
        <v/>
      </c>
      <c r="C1155" s="46">
        <f>IF(DAY(D1155)=DAY($L$1+1),1,C1154+1)</f>
        <v/>
      </c>
      <c r="D1155" s="2">
        <f>D1154+1</f>
        <v/>
      </c>
      <c r="E1155" s="8">
        <f>IF(DAY(D1155)=DAY($L$1+1),TRUNC((#REF!),8),E1154)</f>
        <v/>
      </c>
      <c r="F1155" s="49">
        <f>TRUNC(((1+VLOOKUP(A1155,IPCA!$A$2:$C$140,3,0)))^(C1155/(EDATE(D1155-C1155,1)-(D1155-C1155))),8)</f>
        <v/>
      </c>
      <c r="G1155" s="49">
        <f>TRUNC((E1155*F1155),8)</f>
        <v/>
      </c>
      <c r="H1155" s="49">
        <f>ROUND(((1+$H$4)^(30/360))^(C1155/(EDATE(D1155-B1155,1)-(D1155-B1155))),9)</f>
        <v/>
      </c>
      <c r="I1155" s="49">
        <f>TRUNC((G1155*H1155-G1155),8)</f>
        <v/>
      </c>
      <c r="J1155" s="49">
        <f>G1155+I1155</f>
        <v/>
      </c>
      <c r="K1155" s="256" t="n"/>
      <c r="L1155" s="256" t="n"/>
      <c r="M1155" s="256" t="n"/>
      <c r="N1155" s="256" t="n"/>
      <c r="O1155" s="256" t="n"/>
      <c r="P1155" s="256" t="n"/>
      <c r="Q1155" s="256" t="n"/>
    </row>
    <row r="1156">
      <c r="A1156">
        <f>IF(DAY(D1156)=DAY($L$1+1),A1155+1,A1155)</f>
        <v/>
      </c>
      <c r="B1156" s="46">
        <f>IF(DAY(D1156)=DAY($L$1+1),1,B1155+1)</f>
        <v/>
      </c>
      <c r="C1156" s="46">
        <f>IF(DAY(D1156)=DAY($L$1+1),1,C1155+1)</f>
        <v/>
      </c>
      <c r="D1156" s="2">
        <f>D1155+1</f>
        <v/>
      </c>
      <c r="E1156" s="8">
        <f>IF(DAY(D1156)=DAY($L$1+1),TRUNC((#REF!),8),E1155)</f>
        <v/>
      </c>
      <c r="F1156" s="49">
        <f>TRUNC(((1+VLOOKUP(A1156,IPCA!$A$2:$C$140,3,0)))^(C1156/(EDATE(D1156-C1156,1)-(D1156-C1156))),8)</f>
        <v/>
      </c>
      <c r="G1156" s="49">
        <f>TRUNC((E1156*F1156),8)</f>
        <v/>
      </c>
      <c r="H1156" s="49">
        <f>ROUND(((1+$H$4)^(30/360))^(C1156/(EDATE(D1156-B1156,1)-(D1156-B1156))),9)</f>
        <v/>
      </c>
      <c r="I1156" s="49">
        <f>TRUNC((G1156*H1156-G1156),8)</f>
        <v/>
      </c>
      <c r="J1156" s="49">
        <f>G1156+I1156</f>
        <v/>
      </c>
      <c r="K1156" s="256" t="n"/>
      <c r="L1156" s="256" t="n"/>
      <c r="M1156" s="256" t="n"/>
      <c r="N1156" s="256" t="n"/>
      <c r="O1156" s="256" t="n"/>
      <c r="P1156" s="256" t="n"/>
      <c r="Q1156" s="256" t="n"/>
    </row>
    <row r="1157">
      <c r="A1157">
        <f>IF(DAY(D1157)=DAY($L$1+1),A1156+1,A1156)</f>
        <v/>
      </c>
      <c r="B1157" s="46">
        <f>IF(DAY(D1157)=DAY($L$1+1),1,B1156+1)</f>
        <v/>
      </c>
      <c r="C1157" s="46">
        <f>IF(DAY(D1157)=DAY($L$1+1),1,C1156+1)</f>
        <v/>
      </c>
      <c r="D1157" s="2">
        <f>D1156+1</f>
        <v/>
      </c>
      <c r="E1157" s="8">
        <f>IF(DAY(D1157)=DAY($L$1+1),TRUNC((#REF!),8),E1156)</f>
        <v/>
      </c>
      <c r="F1157" s="49">
        <f>TRUNC(((1+VLOOKUP(A1157,IPCA!$A$2:$C$140,3,0)))^(C1157/(EDATE(D1157-C1157,1)-(D1157-C1157))),8)</f>
        <v/>
      </c>
      <c r="G1157" s="49">
        <f>TRUNC((E1157*F1157),8)</f>
        <v/>
      </c>
      <c r="H1157" s="49">
        <f>ROUND(((1+$H$4)^(30/360))^(C1157/(EDATE(D1157-B1157,1)-(D1157-B1157))),9)</f>
        <v/>
      </c>
      <c r="I1157" s="49">
        <f>TRUNC((G1157*H1157-G1157),8)</f>
        <v/>
      </c>
      <c r="J1157" s="49">
        <f>G1157+I1157</f>
        <v/>
      </c>
      <c r="K1157" s="256" t="n"/>
      <c r="L1157" s="256" t="n"/>
      <c r="M1157" s="256" t="n"/>
      <c r="N1157" s="256" t="n"/>
      <c r="O1157" s="256" t="n"/>
      <c r="P1157" s="256" t="n"/>
      <c r="Q1157" s="256" t="n"/>
    </row>
    <row r="1158">
      <c r="A1158">
        <f>IF(DAY(D1158)=DAY($L$1+1),A1157+1,A1157)</f>
        <v/>
      </c>
      <c r="B1158" s="46">
        <f>IF(DAY(D1158)=DAY($L$1+1),1,B1157+1)</f>
        <v/>
      </c>
      <c r="C1158" s="46">
        <f>IF(DAY(D1158)=DAY($L$1+1),1,C1157+1)</f>
        <v/>
      </c>
      <c r="D1158" s="2">
        <f>D1157+1</f>
        <v/>
      </c>
      <c r="E1158" s="8">
        <f>IF(DAY(D1158)=DAY($L$1+1),TRUNC((#REF!),8),E1157)</f>
        <v/>
      </c>
      <c r="F1158" s="49">
        <f>TRUNC(((1+VLOOKUP(A1158,IPCA!$A$2:$C$140,3,0)))^(C1158/(EDATE(D1158-C1158,1)-(D1158-C1158))),8)</f>
        <v/>
      </c>
      <c r="G1158" s="49">
        <f>TRUNC((E1158*F1158),8)</f>
        <v/>
      </c>
      <c r="H1158" s="49">
        <f>ROUND(((1+$H$4)^(30/360))^(C1158/(EDATE(D1158-B1158,1)-(D1158-B1158))),9)</f>
        <v/>
      </c>
      <c r="I1158" s="49">
        <f>TRUNC((G1158*H1158-G1158),8)</f>
        <v/>
      </c>
      <c r="J1158" s="49">
        <f>G1158+I1158</f>
        <v/>
      </c>
      <c r="K1158" s="256" t="n"/>
      <c r="L1158" s="256" t="n"/>
      <c r="M1158" s="256" t="n"/>
      <c r="N1158" s="256" t="n"/>
      <c r="O1158" s="256" t="n"/>
      <c r="P1158" s="256" t="n"/>
      <c r="Q1158" s="256" t="n"/>
    </row>
    <row r="1159">
      <c r="A1159">
        <f>IF(DAY(D1159)=DAY($L$1+1),A1158+1,A1158)</f>
        <v/>
      </c>
      <c r="B1159" s="46">
        <f>IF(DAY(D1159)=DAY($L$1+1),1,B1158+1)</f>
        <v/>
      </c>
      <c r="C1159" s="46">
        <f>IF(DAY(D1159)=DAY($L$1+1),1,C1158+1)</f>
        <v/>
      </c>
      <c r="D1159" s="2">
        <f>D1158+1</f>
        <v/>
      </c>
      <c r="E1159" s="8">
        <f>IF(DAY(D1159)=DAY($L$1+1),TRUNC((#REF!),8),E1158)</f>
        <v/>
      </c>
      <c r="F1159" s="49">
        <f>TRUNC(((1+VLOOKUP(A1159,IPCA!$A$2:$C$140,3,0)))^(C1159/(EDATE(D1159-C1159,1)-(D1159-C1159))),8)</f>
        <v/>
      </c>
      <c r="G1159" s="49">
        <f>TRUNC((E1159*F1159),8)</f>
        <v/>
      </c>
      <c r="H1159" s="49">
        <f>ROUND(((1+$H$4)^(30/360))^(C1159/(EDATE(D1159-B1159,1)-(D1159-B1159))),9)</f>
        <v/>
      </c>
      <c r="I1159" s="49">
        <f>TRUNC((G1159*H1159-G1159),8)</f>
        <v/>
      </c>
      <c r="J1159" s="49">
        <f>G1159+I1159</f>
        <v/>
      </c>
      <c r="K1159" s="256" t="n"/>
      <c r="L1159" s="256" t="n"/>
      <c r="M1159" s="256" t="n"/>
      <c r="N1159" s="256" t="n"/>
      <c r="O1159" s="256" t="n"/>
      <c r="P1159" s="256" t="n"/>
      <c r="Q1159" s="256" t="n"/>
    </row>
    <row r="1160">
      <c r="A1160">
        <f>IF(DAY(D1160)=DAY($L$1+1),A1159+1,A1159)</f>
        <v/>
      </c>
      <c r="B1160" s="46">
        <f>IF(DAY(D1160)=DAY($L$1+1),1,B1159+1)</f>
        <v/>
      </c>
      <c r="C1160" s="46">
        <f>IF(DAY(D1160)=DAY($L$1+1),1,C1159+1)</f>
        <v/>
      </c>
      <c r="D1160" s="2">
        <f>D1159+1</f>
        <v/>
      </c>
      <c r="E1160" s="8">
        <f>IF(DAY(D1160)=DAY($L$1+1),TRUNC((#REF!),8),E1159)</f>
        <v/>
      </c>
      <c r="F1160" s="49">
        <f>TRUNC(((1+VLOOKUP(A1160,IPCA!$A$2:$C$140,3,0)))^(C1160/(EDATE(D1160-C1160,1)-(D1160-C1160))),8)</f>
        <v/>
      </c>
      <c r="G1160" s="49">
        <f>TRUNC((E1160*F1160),8)</f>
        <v/>
      </c>
      <c r="H1160" s="49">
        <f>ROUND(((1+$H$4)^(30/360))^(C1160/(EDATE(D1160-B1160,1)-(D1160-B1160))),9)</f>
        <v/>
      </c>
      <c r="I1160" s="49">
        <f>TRUNC((G1160*H1160-G1160),8)</f>
        <v/>
      </c>
      <c r="J1160" s="49">
        <f>G1160+I1160</f>
        <v/>
      </c>
      <c r="K1160" s="256" t="n"/>
      <c r="L1160" s="256" t="n"/>
      <c r="M1160" s="256" t="n"/>
      <c r="N1160" s="256" t="n"/>
      <c r="O1160" s="256" t="n"/>
      <c r="P1160" s="256" t="n"/>
      <c r="Q1160" s="256" t="n"/>
    </row>
    <row r="1161">
      <c r="A1161">
        <f>IF(DAY(D1161)=DAY($L$1+1),A1160+1,A1160)</f>
        <v/>
      </c>
      <c r="B1161" s="46">
        <f>IF(DAY(D1161)=DAY($L$1+1),1,B1160+1)</f>
        <v/>
      </c>
      <c r="C1161" s="46">
        <f>IF(DAY(D1161)=DAY($L$1+1),1,C1160+1)</f>
        <v/>
      </c>
      <c r="D1161" s="2">
        <f>D1160+1</f>
        <v/>
      </c>
      <c r="E1161" s="8">
        <f>IF(DAY(D1161)=DAY($L$1+1),TRUNC((#REF!),8),E1160)</f>
        <v/>
      </c>
      <c r="F1161" s="49">
        <f>TRUNC(((1+VLOOKUP(A1161,IPCA!$A$2:$C$140,3,0)))^(C1161/(EDATE(D1161-C1161,1)-(D1161-C1161))),8)</f>
        <v/>
      </c>
      <c r="G1161" s="49">
        <f>TRUNC((E1161*F1161),8)</f>
        <v/>
      </c>
      <c r="H1161" s="49">
        <f>ROUND(((1+$H$4)^(30/360))^(C1161/(EDATE(D1161-B1161,1)-(D1161-B1161))),9)</f>
        <v/>
      </c>
      <c r="I1161" s="49">
        <f>TRUNC((G1161*H1161-G1161),8)</f>
        <v/>
      </c>
      <c r="J1161" s="49">
        <f>G1161+I1161</f>
        <v/>
      </c>
      <c r="K1161" s="256" t="n"/>
      <c r="L1161" s="256" t="n"/>
      <c r="M1161" s="256" t="n"/>
      <c r="N1161" s="256" t="n"/>
      <c r="O1161" s="256" t="n"/>
      <c r="P1161" s="256" t="n"/>
      <c r="Q1161" s="256" t="n"/>
    </row>
    <row r="1162">
      <c r="A1162">
        <f>IF(DAY(D1162)=DAY($L$1+1),A1161+1,A1161)</f>
        <v/>
      </c>
      <c r="B1162" s="46">
        <f>IF(DAY(D1162)=DAY($L$1+1),1,B1161+1)</f>
        <v/>
      </c>
      <c r="C1162" s="46">
        <f>IF(DAY(D1162)=DAY($L$1+1),1,C1161+1)</f>
        <v/>
      </c>
      <c r="D1162" s="2">
        <f>D1161+1</f>
        <v/>
      </c>
      <c r="E1162" s="8">
        <f>IF(DAY(D1162)=DAY($L$1+1),TRUNC((#REF!),8),E1161)</f>
        <v/>
      </c>
      <c r="F1162" s="49">
        <f>TRUNC(((1+VLOOKUP(A1162,IPCA!$A$2:$C$140,3,0)))^(C1162/(EDATE(D1162-C1162,1)-(D1162-C1162))),8)</f>
        <v/>
      </c>
      <c r="G1162" s="49">
        <f>TRUNC((E1162*F1162),8)</f>
        <v/>
      </c>
      <c r="H1162" s="49">
        <f>ROUND(((1+$H$4)^(30/360))^(C1162/(EDATE(D1162-B1162,1)-(D1162-B1162))),9)</f>
        <v/>
      </c>
      <c r="I1162" s="49">
        <f>TRUNC((G1162*H1162-G1162),8)</f>
        <v/>
      </c>
      <c r="J1162" s="49">
        <f>G1162+I1162</f>
        <v/>
      </c>
      <c r="K1162" s="256" t="n"/>
      <c r="L1162" s="256" t="n"/>
      <c r="M1162" s="256" t="n"/>
      <c r="N1162" s="256" t="n"/>
      <c r="O1162" s="256" t="n"/>
      <c r="P1162" s="256" t="n"/>
      <c r="Q1162" s="256" t="n"/>
    </row>
    <row r="1163">
      <c r="A1163">
        <f>IF(DAY(D1163)=DAY($L$1+1),A1162+1,A1162)</f>
        <v/>
      </c>
      <c r="B1163" s="46">
        <f>IF(DAY(D1163)=DAY($L$1+1),1,B1162+1)</f>
        <v/>
      </c>
      <c r="C1163" s="46">
        <f>IF(DAY(D1163)=DAY($L$1+1),1,C1162+1)</f>
        <v/>
      </c>
      <c r="D1163" s="2">
        <f>D1162+1</f>
        <v/>
      </c>
      <c r="E1163" s="8">
        <f>IF(DAY(D1163)=DAY($L$1+1),TRUNC((#REF!),8),E1162)</f>
        <v/>
      </c>
      <c r="F1163" s="49">
        <f>TRUNC(((1+VLOOKUP(A1163,IPCA!$A$2:$C$140,3,0)))^(C1163/(EDATE(D1163-C1163,1)-(D1163-C1163))),8)</f>
        <v/>
      </c>
      <c r="G1163" s="49">
        <f>TRUNC((E1163*F1163),8)</f>
        <v/>
      </c>
      <c r="H1163" s="49">
        <f>ROUND(((1+$H$4)^(30/360))^(C1163/(EDATE(D1163-B1163,1)-(D1163-B1163))),9)</f>
        <v/>
      </c>
      <c r="I1163" s="49">
        <f>TRUNC((G1163*H1163-G1163),8)</f>
        <v/>
      </c>
      <c r="J1163" s="49">
        <f>G1163+I1163</f>
        <v/>
      </c>
      <c r="K1163" s="256" t="n"/>
      <c r="L1163" s="256" t="n"/>
      <c r="M1163" s="256" t="n"/>
      <c r="N1163" s="256" t="n"/>
      <c r="O1163" s="256" t="n"/>
      <c r="P1163" s="256" t="n"/>
      <c r="Q1163" s="256" t="n"/>
    </row>
    <row r="1164">
      <c r="A1164">
        <f>IF(DAY(D1164)=DAY($L$1+1),A1163+1,A1163)</f>
        <v/>
      </c>
      <c r="B1164" s="46">
        <f>IF(DAY(D1164)=DAY($L$1+1),1,B1163+1)</f>
        <v/>
      </c>
      <c r="C1164" s="46">
        <f>IF(DAY(D1164)=DAY($L$1+1),1,C1163+1)</f>
        <v/>
      </c>
      <c r="D1164" s="2">
        <f>D1163+1</f>
        <v/>
      </c>
      <c r="E1164" s="8">
        <f>IF(DAY(D1164)=DAY($L$1+1),TRUNC((#REF!),8),E1163)</f>
        <v/>
      </c>
      <c r="F1164" s="49">
        <f>TRUNC(((1+VLOOKUP(A1164,IPCA!$A$2:$C$140,3,0)))^(C1164/(EDATE(D1164-C1164,1)-(D1164-C1164))),8)</f>
        <v/>
      </c>
      <c r="G1164" s="49">
        <f>TRUNC((E1164*F1164),8)</f>
        <v/>
      </c>
      <c r="H1164" s="49">
        <f>ROUND(((1+$H$4)^(30/360))^(C1164/(EDATE(D1164-B1164,1)-(D1164-B1164))),9)</f>
        <v/>
      </c>
      <c r="I1164" s="49">
        <f>TRUNC((G1164*H1164-G1164),8)</f>
        <v/>
      </c>
      <c r="J1164" s="49">
        <f>G1164+I1164</f>
        <v/>
      </c>
      <c r="K1164" s="256" t="n"/>
      <c r="L1164" s="256" t="n"/>
      <c r="M1164" s="256" t="n"/>
      <c r="N1164" s="256" t="n"/>
      <c r="O1164" s="256" t="n"/>
      <c r="P1164" s="256" t="n"/>
      <c r="Q1164" s="256" t="n"/>
    </row>
    <row r="1165">
      <c r="A1165">
        <f>IF(DAY(D1165)=DAY($L$1+1),A1164+1,A1164)</f>
        <v/>
      </c>
      <c r="B1165" s="46">
        <f>IF(DAY(D1165)=DAY($L$1+1),1,B1164+1)</f>
        <v/>
      </c>
      <c r="C1165" s="46">
        <f>IF(DAY(D1165)=DAY($L$1+1),1,C1164+1)</f>
        <v/>
      </c>
      <c r="D1165" s="2">
        <f>D1164+1</f>
        <v/>
      </c>
      <c r="E1165" s="8">
        <f>IF(DAY(D1165)=DAY($L$1+1),TRUNC((#REF!),8),E1164)</f>
        <v/>
      </c>
      <c r="F1165" s="49">
        <f>TRUNC(((1+VLOOKUP(A1165,IPCA!$A$2:$C$140,3,0)))^(C1165/(EDATE(D1165-C1165,1)-(D1165-C1165))),8)</f>
        <v/>
      </c>
      <c r="G1165" s="49">
        <f>TRUNC((E1165*F1165),8)</f>
        <v/>
      </c>
      <c r="H1165" s="49">
        <f>ROUND(((1+$H$4)^(30/360))^(C1165/(EDATE(D1165-B1165,1)-(D1165-B1165))),9)</f>
        <v/>
      </c>
      <c r="I1165" s="49">
        <f>TRUNC((G1165*H1165-G1165),8)</f>
        <v/>
      </c>
      <c r="J1165" s="49">
        <f>G1165+I1165</f>
        <v/>
      </c>
      <c r="K1165" s="256" t="n"/>
      <c r="L1165" s="256" t="n"/>
      <c r="M1165" s="256" t="n"/>
      <c r="N1165" s="256" t="n"/>
      <c r="O1165" s="256" t="n"/>
      <c r="P1165" s="256" t="n"/>
      <c r="Q1165" s="256" t="n"/>
    </row>
    <row r="1166">
      <c r="A1166">
        <f>IF(DAY(D1166)=DAY($L$1+1),A1165+1,A1165)</f>
        <v/>
      </c>
      <c r="B1166" s="46">
        <f>IF(DAY(D1166)=DAY($L$1+1),1,B1165+1)</f>
        <v/>
      </c>
      <c r="C1166" s="46">
        <f>IF(DAY(D1166)=DAY($L$1+1),1,C1165+1)</f>
        <v/>
      </c>
      <c r="D1166" s="2">
        <f>D1165+1</f>
        <v/>
      </c>
      <c r="E1166" s="8">
        <f>IF(DAY(D1166)=DAY($L$1+1),TRUNC((N1165),8),E1165)</f>
        <v/>
      </c>
      <c r="F1166" s="49">
        <f>TRUNC(((1+VLOOKUP(A1166,IPCA!$A$2:$C$140,3,0)))^(C1166/(EDATE(D1166-C1166,1)-(D1166-C1166))),8)</f>
        <v/>
      </c>
      <c r="G1166" s="49">
        <f>TRUNC((E1166*F1166),8)</f>
        <v/>
      </c>
      <c r="H1166" s="49">
        <f>ROUND(((1+$H$4)^(30/360))^(C1166/(EDATE(D1166-B1166,1)-(D1166-B1166))),9)</f>
        <v/>
      </c>
      <c r="I1166" s="49">
        <f>TRUNC((G1166*H1166-G1166),8)</f>
        <v/>
      </c>
      <c r="J1166" s="49">
        <f>G1166+I1166</f>
        <v/>
      </c>
      <c r="K1166" s="256" t="n"/>
      <c r="L1166" s="256" t="n"/>
      <c r="M1166" s="256" t="n"/>
      <c r="N1166" s="256" t="n"/>
      <c r="O1166" s="256" t="n"/>
      <c r="P1166" s="256" t="n"/>
      <c r="Q1166" s="256" t="n"/>
    </row>
    <row r="1167">
      <c r="A1167">
        <f>IF(DAY(D1167)=DAY($L$1+1),A1166+1,A1166)</f>
        <v/>
      </c>
      <c r="B1167" s="46">
        <f>IF(DAY(D1167)=DAY($L$1+1),1,B1166+1)</f>
        <v/>
      </c>
      <c r="C1167" s="46">
        <f>IF(DAY(D1167)=DAY($L$1+1),1,C1166+1)</f>
        <v/>
      </c>
      <c r="D1167" s="2">
        <f>D1166+1</f>
        <v/>
      </c>
      <c r="E1167" s="8">
        <f>IF(DAY(D1167)=DAY($L$1+1),TRUNC((N1166),8),E1166)</f>
        <v/>
      </c>
      <c r="F1167" s="49">
        <f>TRUNC(((1+VLOOKUP(A1167,IPCA!$A$2:$C$140,3,0)))^(C1167/(EDATE(D1167-C1167,1)-(D1167-C1167))),8)</f>
        <v/>
      </c>
      <c r="G1167" s="49">
        <f>TRUNC((E1167*F1167),8)</f>
        <v/>
      </c>
      <c r="H1167" s="49">
        <f>ROUND(((1+$H$4)^(30/360))^(C1167/(EDATE(D1167-B1167,1)-(D1167-B1167))),9)</f>
        <v/>
      </c>
      <c r="I1167" s="49">
        <f>TRUNC((G1167*H1167-G1167),8)</f>
        <v/>
      </c>
      <c r="J1167" s="49">
        <f>G1167+I1167</f>
        <v/>
      </c>
      <c r="K1167" s="256" t="n"/>
      <c r="L1167" s="256" t="n"/>
      <c r="M1167" s="256" t="n"/>
      <c r="N1167" s="256" t="n"/>
      <c r="O1167" s="256" t="n"/>
      <c r="P1167" s="256" t="n"/>
      <c r="Q1167" s="256" t="n"/>
    </row>
    <row r="1168">
      <c r="A1168">
        <f>IF(DAY(D1168)=DAY($L$1+1),A1167+1,A1167)</f>
        <v/>
      </c>
      <c r="B1168" s="46">
        <f>IF(DAY(D1168)=DAY($L$1+1),1,B1167+1)</f>
        <v/>
      </c>
      <c r="C1168" s="46">
        <f>IF(DAY(D1168)=DAY($L$1+1),1,C1167+1)</f>
        <v/>
      </c>
      <c r="D1168" s="2">
        <f>D1167+1</f>
        <v/>
      </c>
      <c r="E1168" s="8">
        <f>IF(DAY(D1168)=DAY($L$1+1),TRUNC((N1167),8),E1167)</f>
        <v/>
      </c>
      <c r="F1168" s="49">
        <f>TRUNC(((1+VLOOKUP(A1168,IPCA!$A$2:$C$140,3,0)))^(C1168/(EDATE(D1168-C1168,1)-(D1168-C1168))),8)</f>
        <v/>
      </c>
      <c r="G1168" s="49">
        <f>TRUNC((E1168*F1168),8)</f>
        <v/>
      </c>
      <c r="H1168" s="49">
        <f>ROUND(((1+$H$4)^(30/360))^(C1168/(EDATE(D1168-B1168,1)-(D1168-B1168))),9)</f>
        <v/>
      </c>
      <c r="I1168" s="49">
        <f>TRUNC((G1168*H1168-G1168),8)</f>
        <v/>
      </c>
      <c r="J1168" s="49">
        <f>G1168+I1168</f>
        <v/>
      </c>
      <c r="K1168" s="256" t="n"/>
      <c r="L1168" s="256" t="n"/>
      <c r="M1168" s="256" t="n"/>
      <c r="N1168" s="256" t="n"/>
      <c r="O1168" s="256" t="n"/>
      <c r="P1168" s="256" t="n"/>
      <c r="Q1168" s="256" t="n"/>
    </row>
    <row r="1169">
      <c r="A1169">
        <f>IF(DAY(D1169)=DAY($L$1+1),A1168+1,A1168)</f>
        <v/>
      </c>
      <c r="B1169" s="46">
        <f>IF(DAY(D1169)=DAY($L$1+1),1,B1168+1)</f>
        <v/>
      </c>
      <c r="C1169" s="46">
        <f>IF(DAY(D1169)=DAY($L$1+1),1,C1168+1)</f>
        <v/>
      </c>
      <c r="D1169" s="2">
        <f>D1168+1</f>
        <v/>
      </c>
      <c r="E1169" s="8">
        <f>IF(DAY(D1169)=DAY($L$1+1),TRUNC((N1168),8),E1168)</f>
        <v/>
      </c>
      <c r="F1169" s="49">
        <f>TRUNC(((1+VLOOKUP(A1169,IPCA!$A$2:$C$140,3,0)))^(C1169/(EDATE(D1169-C1169,1)-(D1169-C1169))),8)</f>
        <v/>
      </c>
      <c r="G1169" s="49">
        <f>TRUNC((E1169*F1169),8)</f>
        <v/>
      </c>
      <c r="H1169" s="49">
        <f>ROUND(((1+$H$4)^(30/360))^(C1169/(EDATE(D1169-B1169,1)-(D1169-B1169))),9)</f>
        <v/>
      </c>
      <c r="I1169" s="49">
        <f>TRUNC((G1169*H1169-G1169),8)</f>
        <v/>
      </c>
      <c r="J1169" s="49">
        <f>G1169+I1169</f>
        <v/>
      </c>
      <c r="K1169" s="256" t="n"/>
      <c r="L1169" s="256" t="n"/>
      <c r="M1169" s="256" t="n"/>
      <c r="N1169" s="256" t="n"/>
      <c r="O1169" s="256" t="n"/>
      <c r="P1169" s="256" t="n"/>
      <c r="Q1169" s="256" t="n"/>
    </row>
    <row r="1170">
      <c r="A1170">
        <f>IF(DAY(D1170)=DAY($L$1+1),A1169+1,A1169)</f>
        <v/>
      </c>
      <c r="B1170" s="46">
        <f>IF(DAY(D1170)=DAY($L$1+1),1,B1169+1)</f>
        <v/>
      </c>
      <c r="C1170" s="46">
        <f>IF(DAY(D1170)=DAY($L$1+1),1,C1169+1)</f>
        <v/>
      </c>
      <c r="D1170" s="2">
        <f>D1169+1</f>
        <v/>
      </c>
      <c r="E1170" s="8">
        <f>IF(DAY(D1170)=DAY($L$1+1),TRUNC((N1169),8),E1169)</f>
        <v/>
      </c>
      <c r="F1170" s="49">
        <f>TRUNC(((1+VLOOKUP(A1170,IPCA!$A$2:$C$140,3,0)))^(C1170/(EDATE(D1170-C1170,1)-(D1170-C1170))),8)</f>
        <v/>
      </c>
      <c r="G1170" s="49">
        <f>TRUNC((E1170*F1170),8)</f>
        <v/>
      </c>
      <c r="H1170" s="49">
        <f>ROUND(((1+$H$4)^(30/360))^(C1170/(EDATE(D1170-B1170,1)-(D1170-B1170))),9)</f>
        <v/>
      </c>
      <c r="I1170" s="49">
        <f>TRUNC((G1170*H1170-G1170),8)</f>
        <v/>
      </c>
      <c r="J1170" s="49">
        <f>G1170+I1170</f>
        <v/>
      </c>
      <c r="K1170" s="256" t="n"/>
      <c r="L1170" s="256" t="n"/>
      <c r="M1170" s="256" t="n"/>
      <c r="N1170" s="256" t="n"/>
      <c r="O1170" s="256" t="n"/>
      <c r="P1170" s="256" t="n"/>
      <c r="Q1170" s="256" t="n"/>
    </row>
    <row r="1171">
      <c r="A1171">
        <f>IF(DAY(D1171)=DAY($L$1+1),A1170+1,A1170)</f>
        <v/>
      </c>
      <c r="B1171" s="46">
        <f>IF(DAY(D1171)=DAY($L$1+1),1,B1170+1)</f>
        <v/>
      </c>
      <c r="C1171" s="46">
        <f>IF(DAY(D1171)=DAY($L$1+1),1,C1170+1)</f>
        <v/>
      </c>
      <c r="D1171" s="2">
        <f>D1170+1</f>
        <v/>
      </c>
      <c r="E1171" s="8">
        <f>IF(DAY(D1171)=DAY($L$1+1),TRUNC((N1170),8),E1170)</f>
        <v/>
      </c>
      <c r="F1171" s="49">
        <f>TRUNC(((1+VLOOKUP(A1171,IPCA!$A$2:$C$140,3,0)))^(C1171/(EDATE(D1171-C1171,1)-(D1171-C1171))),8)</f>
        <v/>
      </c>
      <c r="G1171" s="49">
        <f>TRUNC((E1171*F1171),8)</f>
        <v/>
      </c>
      <c r="H1171" s="49">
        <f>ROUND(((1+$H$4)^(30/360))^(C1171/(EDATE(D1171-B1171,1)-(D1171-B1171))),9)</f>
        <v/>
      </c>
      <c r="I1171" s="49">
        <f>TRUNC((G1171*H1171-G1171),8)</f>
        <v/>
      </c>
      <c r="J1171" s="49">
        <f>G1171+I1171</f>
        <v/>
      </c>
      <c r="K1171" s="256" t="n"/>
      <c r="L1171" s="256" t="n"/>
      <c r="M1171" s="256" t="n"/>
      <c r="N1171" s="256" t="n"/>
      <c r="O1171" s="256" t="n"/>
      <c r="P1171" s="256" t="n"/>
      <c r="Q1171" s="256" t="n"/>
    </row>
    <row r="1172">
      <c r="A1172">
        <f>IF(DAY(D1172)=DAY($L$1+1),A1171+1,A1171)</f>
        <v/>
      </c>
      <c r="B1172" s="46">
        <f>IF(DAY(D1172)=DAY($L$1+1),1,B1171+1)</f>
        <v/>
      </c>
      <c r="C1172" s="46">
        <f>IF(DAY(D1172)=DAY($L$1+1),1,C1171+1)</f>
        <v/>
      </c>
      <c r="D1172" s="2">
        <f>D1171+1</f>
        <v/>
      </c>
      <c r="E1172" s="8">
        <f>IF(DAY(D1172)=DAY($L$1+1),TRUNC((N1171),8),E1171)</f>
        <v/>
      </c>
      <c r="F1172" s="49">
        <f>TRUNC(((1+VLOOKUP(A1172,IPCA!$A$2:$C$140,3,0)))^(C1172/(EDATE(D1172-C1172,1)-(D1172-C1172))),8)</f>
        <v/>
      </c>
      <c r="G1172" s="49">
        <f>TRUNC((E1172*F1172),8)</f>
        <v/>
      </c>
      <c r="H1172" s="49">
        <f>ROUND(((1+$H$4)^(30/360))^(C1172/(EDATE(D1172-B1172,1)-(D1172-B1172))),9)</f>
        <v/>
      </c>
      <c r="I1172" s="49">
        <f>TRUNC((G1172*H1172-G1172),8)</f>
        <v/>
      </c>
      <c r="J1172" s="49">
        <f>G1172+I1172</f>
        <v/>
      </c>
      <c r="K1172" s="256" t="n"/>
      <c r="L1172" s="256" t="n"/>
      <c r="M1172" s="256" t="n"/>
      <c r="N1172" s="256" t="n"/>
      <c r="O1172" s="256" t="n"/>
      <c r="P1172" s="256" t="n"/>
      <c r="Q1172" s="256" t="n"/>
    </row>
    <row r="1173">
      <c r="A1173">
        <f>IF(DAY(D1173)=DAY($L$1+1),A1172+1,A1172)</f>
        <v/>
      </c>
      <c r="B1173" s="46">
        <f>IF(DAY(D1173)=DAY($L$1+1),1,B1172+1)</f>
        <v/>
      </c>
      <c r="C1173" s="46">
        <f>IF(DAY(D1173)=DAY($L$1+1),1,C1172+1)</f>
        <v/>
      </c>
      <c r="D1173" s="2">
        <f>D1172+1</f>
        <v/>
      </c>
      <c r="E1173" s="8">
        <f>IF(DAY(D1173)=DAY($L$1+1),TRUNC((N1172),8),E1172)</f>
        <v/>
      </c>
      <c r="F1173" s="49">
        <f>TRUNC(((1+VLOOKUP(A1173,IPCA!$A$2:$C$140,3,0)))^(C1173/(EDATE(D1173-C1173,1)-(D1173-C1173))),8)</f>
        <v/>
      </c>
      <c r="G1173" s="49">
        <f>TRUNC((E1173*F1173),8)</f>
        <v/>
      </c>
      <c r="H1173" s="49">
        <f>ROUND(((1+$H$4)^(30/360))^(C1173/(EDATE(D1173-B1173,1)-(D1173-B1173))),9)</f>
        <v/>
      </c>
      <c r="I1173" s="49">
        <f>TRUNC((G1173*H1173-G1173),8)</f>
        <v/>
      </c>
      <c r="J1173" s="49">
        <f>G1173+I1173</f>
        <v/>
      </c>
      <c r="K1173" s="256" t="n"/>
      <c r="L1173" s="256" t="n"/>
      <c r="M1173" s="256" t="n"/>
      <c r="N1173" s="256" t="n"/>
      <c r="O1173" s="256" t="n"/>
      <c r="P1173" s="256" t="n"/>
      <c r="Q1173" s="256" t="n"/>
    </row>
    <row r="1174">
      <c r="A1174">
        <f>IF(DAY(D1174)=DAY($L$1+1),A1173+1,A1173)</f>
        <v/>
      </c>
      <c r="B1174" s="46">
        <f>IF(DAY(D1174)=DAY($L$1+1),1,B1173+1)</f>
        <v/>
      </c>
      <c r="C1174" s="46">
        <f>IF(DAY(D1174)=DAY($L$1+1),1,C1173+1)</f>
        <v/>
      </c>
      <c r="D1174" s="2">
        <f>D1173+1</f>
        <v/>
      </c>
      <c r="E1174" s="8">
        <f>IF(DAY(D1174)=DAY($L$1+1),TRUNC((N1173),8),E1173)</f>
        <v/>
      </c>
      <c r="F1174" s="49">
        <f>TRUNC(((1+VLOOKUP(A1174,IPCA!$A$2:$C$140,3,0)))^(C1174/(EDATE(D1174-C1174,1)-(D1174-C1174))),8)</f>
        <v/>
      </c>
      <c r="G1174" s="49">
        <f>TRUNC((E1174*F1174),8)</f>
        <v/>
      </c>
      <c r="H1174" s="49">
        <f>ROUND(((1+$H$4)^(30/360))^(C1174/(EDATE(D1174-B1174,1)-(D1174-B1174))),9)</f>
        <v/>
      </c>
      <c r="I1174" s="49">
        <f>TRUNC((G1174*H1174-G1174),8)</f>
        <v/>
      </c>
      <c r="J1174" s="49">
        <f>G1174+I1174</f>
        <v/>
      </c>
      <c r="K1174" s="256" t="n"/>
      <c r="L1174" s="256" t="n"/>
      <c r="M1174" s="256" t="n"/>
      <c r="N1174" s="256" t="n"/>
      <c r="O1174" s="256" t="n"/>
      <c r="P1174" s="256" t="n"/>
      <c r="Q1174" s="256" t="n"/>
    </row>
    <row r="1175">
      <c r="A1175">
        <f>IF(DAY(D1175)=DAY($L$1+1),A1174+1,A1174)</f>
        <v/>
      </c>
      <c r="B1175" s="46">
        <f>IF(DAY(D1175)=DAY($L$1+1),1,B1174+1)</f>
        <v/>
      </c>
      <c r="C1175" s="46">
        <f>IF(DAY(D1175)=DAY($L$1+1),1,C1174+1)</f>
        <v/>
      </c>
      <c r="D1175" s="2">
        <f>D1174+1</f>
        <v/>
      </c>
      <c r="E1175" s="8">
        <f>IF(DAY(D1175)=DAY($L$1+1),TRUNC((N1174),8),E1174)</f>
        <v/>
      </c>
      <c r="F1175" s="49">
        <f>TRUNC(((1+VLOOKUP(A1175,IPCA!$A$2:$C$140,3,0)))^(C1175/(EDATE(D1175-C1175,1)-(D1175-C1175))),8)</f>
        <v/>
      </c>
      <c r="G1175" s="49">
        <f>TRUNC((E1175*F1175),8)</f>
        <v/>
      </c>
      <c r="H1175" s="49">
        <f>ROUND(((1+$H$4)^(30/360))^(C1175/(EDATE(D1175-B1175,1)-(D1175-B1175))),9)</f>
        <v/>
      </c>
      <c r="I1175" s="49">
        <f>TRUNC((G1175*H1175-G1175),8)</f>
        <v/>
      </c>
      <c r="J1175" s="49">
        <f>G1175+I1175</f>
        <v/>
      </c>
      <c r="K1175" s="256" t="inlineStr">
        <is>
          <t>Cri Integralizado</t>
        </is>
      </c>
      <c r="L1175" s="270">
        <f>L1144</f>
        <v/>
      </c>
      <c r="M1175" s="256" t="n"/>
      <c r="N1175" s="256" t="n"/>
      <c r="O1175" s="256" t="n"/>
      <c r="P1175" s="256" t="n"/>
      <c r="Q1175" s="256" t="n"/>
    </row>
    <row r="1176">
      <c r="A1176">
        <f>IF(DAY(D1176)=DAY($L$1+1),A1175+1,A1175)</f>
        <v/>
      </c>
      <c r="B1176" s="46">
        <f>IF(DAY(D1176)=DAY($L$1+1),1,B1175+1)</f>
        <v/>
      </c>
      <c r="C1176" s="46">
        <f>IF(DAY(D1176)=DAY($L$1+1),1,C1175+1)</f>
        <v/>
      </c>
      <c r="D1176" s="47">
        <f>D1175+1</f>
        <v/>
      </c>
      <c r="E1176" s="8">
        <f>IF(DAY(D1176)=DAY($L$1+1),TRUNC((N1175),8),E1175)</f>
        <v/>
      </c>
      <c r="F1176" s="49">
        <f>TRUNC(((1+VLOOKUP(A1176,IPCA!$A$2:$C$140,3,0)))^(C1176/(EDATE(D1176-C1176,1)-(D1176-C1176))),8)</f>
        <v/>
      </c>
      <c r="G1176" s="49">
        <f>TRUNC((E1176*F1176),8)</f>
        <v/>
      </c>
      <c r="H1176" s="49">
        <f>ROUND(((1+$H$4)^(30/360))^(C1176/(EDATE(D1176-B1176,1)-(D1176-B1176))),9)</f>
        <v/>
      </c>
      <c r="I1176" s="49">
        <f>TRUNC((G1176*H1176-G1176),8)</f>
        <v/>
      </c>
      <c r="J1176" s="49">
        <f>G1176+I1176</f>
        <v/>
      </c>
      <c r="K1176" s="118" t="inlineStr">
        <is>
          <t>JUROS</t>
        </is>
      </c>
      <c r="L1176" s="118" t="inlineStr">
        <is>
          <t>AMORTIZAÇÃO</t>
        </is>
      </c>
      <c r="M1176" s="118" t="inlineStr">
        <is>
          <t>AMEX</t>
        </is>
      </c>
      <c r="N1176" s="118" t="inlineStr">
        <is>
          <t>RESIDUAL</t>
        </is>
      </c>
      <c r="O1176" s="256" t="n"/>
      <c r="P1176" s="256" t="n"/>
      <c r="Q1176" s="256" t="n"/>
    </row>
    <row r="1177">
      <c r="A1177">
        <f>IF(DAY(D1177)=DAY($L$1+1),A1176+1,A1176)</f>
        <v/>
      </c>
      <c r="B1177" s="111">
        <f>IF(DAY(D1177)=DAY($L$1+1),1,B1176+1)</f>
        <v/>
      </c>
      <c r="C1177" s="111">
        <f>IF(DAY(D1177)=DAY($L$1+1),1,C1176+1)</f>
        <v/>
      </c>
      <c r="D1177" s="112" t="n">
        <v>45925</v>
      </c>
      <c r="E1177" s="113">
        <f>IF(DAY(D1177)=DAY($L$1+1),TRUNC((N1176),8),E1176)</f>
        <v/>
      </c>
      <c r="F1177" s="114">
        <f>TRUNC(((1+VLOOKUP(A1177,IPCA!$A$2:$C$140,3,0)))^(C1177/(EDATE(D1177-C1177,1)-(D1177-C1177))),8)</f>
        <v/>
      </c>
      <c r="G1177" s="114">
        <f>TRUNC((E1177*F1177),8)</f>
        <v/>
      </c>
      <c r="H1177" s="114">
        <f>ROUND(((1+$H$4)^(30/360))^(C1177/(EDATE(D1177-B1177,1)-(D1177-B1177))),9)</f>
        <v/>
      </c>
      <c r="I1177" s="114">
        <f>TRUNC((G1177*H1177-G1177),8)</f>
        <v/>
      </c>
      <c r="J1177" s="114">
        <f>G1177+I1177</f>
        <v/>
      </c>
      <c r="K1177" s="119">
        <f>I1177</f>
        <v/>
      </c>
      <c r="L1177" s="120">
        <f>TRUNC(G1177*VLOOKUP(D1177,'Amort TS'!$G$3:$H$140,2,0),8)</f>
        <v/>
      </c>
      <c r="M1177" s="120" t="n">
        <v>0</v>
      </c>
      <c r="N1177" s="120" t="n">
        <v>917431.19266055</v>
      </c>
      <c r="O1177" s="256" t="inlineStr">
        <is>
          <t>26/09/2025 10:13:08</t>
        </is>
      </c>
      <c r="P1177" s="256" t="n"/>
      <c r="Q1177" s="256" t="n"/>
    </row>
    <row r="1178">
      <c r="A1178">
        <f>IF(DAY(D1178)=DAY($L$1+1),A1177+1,A1177)</f>
        <v/>
      </c>
      <c r="B1178" s="46">
        <f>IF(DAY(D1178)=DAY($L$1+1),1,B1177+1)</f>
        <v/>
      </c>
      <c r="C1178" s="46">
        <f>IF(DAY(D1178)=DAY($L$1+1),1,C1177+1)</f>
        <v/>
      </c>
      <c r="D1178" s="2">
        <f>D1177+1</f>
        <v/>
      </c>
      <c r="E1178" s="8">
        <f>IF(DAY(D1178)=DAY($L$1+1),TRUNC((N1177),8),E1177)</f>
        <v/>
      </c>
      <c r="F1178" s="49">
        <f>TRUNC(((1+VLOOKUP(A1178,IPCA!$A$2:$C$140,3,0)))^(C1178/(EDATE(D1178-C1178,1)-(D1178-C1178))),8)</f>
        <v/>
      </c>
      <c r="G1178" s="49">
        <f>TRUNC((E1178*F1178),8)</f>
        <v/>
      </c>
      <c r="H1178" s="49">
        <f>ROUND(((1+$H$4)^(30/360))^(C1178/(EDATE(D1178-B1178,1)-(D1178-B1178))),9)</f>
        <v/>
      </c>
      <c r="I1178" s="49">
        <f>TRUNC((G1178*H1178-G1178),8)</f>
        <v/>
      </c>
      <c r="J1178" s="49">
        <f>G1178+I1178</f>
        <v/>
      </c>
      <c r="K1178" s="121">
        <f>K1177*L1175</f>
        <v/>
      </c>
      <c r="L1178" s="121">
        <f>L1177*L1175</f>
        <v/>
      </c>
      <c r="M1178" s="121">
        <f>M1177*L1175</f>
        <v/>
      </c>
      <c r="N1178" s="121">
        <f>N1177*L1175</f>
        <v/>
      </c>
      <c r="O1178" s="256" t="n"/>
      <c r="P1178" s="256" t="n"/>
      <c r="Q1178" s="256" t="n"/>
    </row>
    <row r="1179">
      <c r="A1179">
        <f>IF(DAY(D1179)=DAY($L$1+1),A1178+1,A1178)</f>
        <v/>
      </c>
      <c r="B1179" s="46">
        <f>IF(DAY(D1179)=DAY($L$1+1),1,B1178+1)</f>
        <v/>
      </c>
      <c r="C1179" s="46">
        <f>IF(DAY(D1179)=DAY($L$1+1),1,C1178+1)</f>
        <v/>
      </c>
      <c r="D1179" s="47">
        <f>D1178+1</f>
        <v/>
      </c>
      <c r="E1179" s="8">
        <f>IF(DAY(D1179)=DAY($L$1+1),TRUNC((N1178),8),E1178)</f>
        <v/>
      </c>
      <c r="F1179" s="49">
        <f>TRUNC(((1+VLOOKUP(A1179,IPCA!$A$2:$C$140,3,0)))^(C1179/(EDATE(D1179-C1179,1)-(D1179-C1179))),8)</f>
        <v/>
      </c>
      <c r="G1179" s="49">
        <f>TRUNC((E1179*F1179),8)</f>
        <v/>
      </c>
      <c r="H1179" s="49">
        <f>ROUND(((1+$H$4)^(30/360))^(C1179/(EDATE(D1179-B1179,1)-(D1179-B1179))),9)</f>
        <v/>
      </c>
      <c r="I1179" s="49">
        <f>TRUNC((G1179*H1179-G1179),8)</f>
        <v/>
      </c>
      <c r="J1179" s="49">
        <f>G1179+I1179</f>
        <v/>
      </c>
      <c r="K1179" s="256" t="n"/>
      <c r="L1179" s="256" t="n"/>
      <c r="M1179" s="256" t="n"/>
      <c r="N1179" s="256" t="n"/>
      <c r="O1179" s="256" t="n"/>
      <c r="P1179" s="256" t="n"/>
      <c r="Q1179" s="256" t="n"/>
    </row>
    <row r="1180">
      <c r="A1180">
        <f>IF(DAY(D1180)=DAY($L$1+1),A1179+1,A1179)</f>
        <v/>
      </c>
      <c r="B1180" s="46">
        <f>IF(DAY(D1180)=DAY($L$1+1),1,B1179+1)</f>
        <v/>
      </c>
      <c r="C1180" s="46">
        <f>IF(DAY(D1180)=DAY($L$1+1),1,C1179+1)</f>
        <v/>
      </c>
      <c r="D1180" s="2">
        <f>D1179+1</f>
        <v/>
      </c>
      <c r="E1180" s="8">
        <f>IF(DAY(D1180)=DAY($L$1+1),TRUNC((#REF!),8),E1179)</f>
        <v/>
      </c>
      <c r="F1180" s="49">
        <f>TRUNC(((1+VLOOKUP(A1180,IPCA!$A$2:$C$140,3,0)))^(C1180/(EDATE(D1180-C1180,1)-(D1180-C1180))),8)</f>
        <v/>
      </c>
      <c r="G1180" s="49">
        <f>TRUNC((E1180*F1180),8)</f>
        <v/>
      </c>
      <c r="H1180" s="49">
        <f>ROUND(((1+$H$4)^(30/360))^(C1180/(EDATE(D1180-B1180,1)-(D1180-B1180))),9)</f>
        <v/>
      </c>
      <c r="I1180" s="49">
        <f>TRUNC((G1180*H1180-G1180),8)</f>
        <v/>
      </c>
      <c r="J1180" s="49">
        <f>G1180+I1180</f>
        <v/>
      </c>
      <c r="K1180" s="256" t="n"/>
      <c r="L1180" s="256" t="n"/>
      <c r="M1180" s="256" t="n"/>
      <c r="N1180" s="256" t="n"/>
      <c r="O1180" s="256" t="n"/>
      <c r="P1180" s="256" t="n"/>
      <c r="Q1180" s="256" t="n"/>
    </row>
    <row r="1181">
      <c r="A1181">
        <f>IF(DAY(D1181)=DAY($L$1+1),A1180+1,A1180)</f>
        <v/>
      </c>
      <c r="B1181" s="46">
        <f>IF(DAY(D1181)=DAY($L$1+1),1,B1180+1)</f>
        <v/>
      </c>
      <c r="C1181" s="46">
        <f>IF(DAY(D1181)=DAY($L$1+1),1,C1180+1)</f>
        <v/>
      </c>
      <c r="D1181" s="2">
        <f>D1180+1</f>
        <v/>
      </c>
      <c r="E1181" s="8">
        <f>IF(DAY(D1181)=DAY($L$1+1),TRUNC((#REF!),8),E1180)</f>
        <v/>
      </c>
      <c r="F1181" s="49">
        <f>TRUNC(((1+VLOOKUP(A1181,IPCA!$A$2:$C$140,3,0)))^(C1181/(EDATE(D1181-C1181,1)-(D1181-C1181))),8)</f>
        <v/>
      </c>
      <c r="G1181" s="49">
        <f>TRUNC((E1181*F1181),8)</f>
        <v/>
      </c>
      <c r="H1181" s="49">
        <f>ROUND(((1+$H$4)^(30/360))^(C1181/(EDATE(D1181-B1181,1)-(D1181-B1181))),9)</f>
        <v/>
      </c>
      <c r="I1181" s="49">
        <f>TRUNC((G1181*H1181-G1181),8)</f>
        <v/>
      </c>
      <c r="J1181" s="49">
        <f>G1181+I1181</f>
        <v/>
      </c>
      <c r="K1181" s="256" t="n"/>
      <c r="L1181" s="256" t="n"/>
      <c r="M1181" s="256" t="n"/>
      <c r="N1181" s="256" t="n"/>
      <c r="O1181" s="256" t="n"/>
      <c r="P1181" s="256" t="n"/>
      <c r="Q1181" s="256" t="n"/>
    </row>
    <row r="1182">
      <c r="A1182">
        <f>IF(DAY(D1182)=DAY($L$1+1),A1181+1,A1181)</f>
        <v/>
      </c>
      <c r="B1182" s="46">
        <f>IF(DAY(D1182)=DAY($L$1+1),1,B1181+1)</f>
        <v/>
      </c>
      <c r="C1182" s="46">
        <f>IF(DAY(D1182)=DAY($L$1+1),1,C1181+1)</f>
        <v/>
      </c>
      <c r="D1182" s="2">
        <f>D1181+1</f>
        <v/>
      </c>
      <c r="E1182" s="8">
        <f>IF(DAY(D1182)=DAY($L$1+1),TRUNC((#REF!),8),E1181)</f>
        <v/>
      </c>
      <c r="F1182" s="49">
        <f>TRUNC(((1+VLOOKUP(A1182,IPCA!$A$2:$C$140,3,0)))^(C1182/(EDATE(D1182-C1182,1)-(D1182-C1182))),8)</f>
        <v/>
      </c>
      <c r="G1182" s="49">
        <f>TRUNC((E1182*F1182),8)</f>
        <v/>
      </c>
      <c r="H1182" s="49">
        <f>ROUND(((1+$H$4)^(30/360))^(C1182/(EDATE(D1182-B1182,1)-(D1182-B1182))),9)</f>
        <v/>
      </c>
      <c r="I1182" s="49">
        <f>TRUNC((G1182*H1182-G1182),8)</f>
        <v/>
      </c>
      <c r="J1182" s="49">
        <f>G1182+I1182</f>
        <v/>
      </c>
      <c r="K1182" s="256" t="n"/>
      <c r="L1182" s="256" t="n"/>
      <c r="M1182" s="256" t="n"/>
      <c r="N1182" s="256" t="n"/>
      <c r="O1182" s="256" t="n"/>
      <c r="P1182" s="256" t="n"/>
      <c r="Q1182" s="256" t="n"/>
    </row>
    <row r="1183">
      <c r="A1183">
        <f>IF(DAY(D1183)=DAY($L$1+1),A1182+1,A1182)</f>
        <v/>
      </c>
      <c r="B1183" s="46">
        <f>IF(DAY(D1183)=DAY($L$1+1),1,B1182+1)</f>
        <v/>
      </c>
      <c r="C1183" s="46">
        <f>IF(DAY(D1183)=DAY($L$1+1),1,C1182+1)</f>
        <v/>
      </c>
      <c r="D1183" s="2">
        <f>D1182+1</f>
        <v/>
      </c>
      <c r="E1183" s="8">
        <f>IF(DAY(D1183)=DAY($L$1+1),TRUNC((#REF!),8),E1182)</f>
        <v/>
      </c>
      <c r="F1183" s="49">
        <f>TRUNC(((1+VLOOKUP(A1183,IPCA!$A$2:$C$140,3,0)))^(C1183/(EDATE(D1183-C1183,1)-(D1183-C1183))),8)</f>
        <v/>
      </c>
      <c r="G1183" s="49">
        <f>TRUNC((E1183*F1183),8)</f>
        <v/>
      </c>
      <c r="H1183" s="49">
        <f>ROUND(((1+$H$4)^(30/360))^(C1183/(EDATE(D1183-B1183,1)-(D1183-B1183))),9)</f>
        <v/>
      </c>
      <c r="I1183" s="49">
        <f>TRUNC((G1183*H1183-G1183),8)</f>
        <v/>
      </c>
      <c r="J1183" s="49">
        <f>G1183+I1183</f>
        <v/>
      </c>
      <c r="K1183" s="256" t="n"/>
      <c r="L1183" s="256" t="n"/>
      <c r="M1183" s="256" t="n"/>
      <c r="N1183" s="256" t="n"/>
      <c r="O1183" s="256" t="n"/>
      <c r="P1183" s="256" t="n"/>
      <c r="Q1183" s="256" t="n"/>
    </row>
    <row r="1184">
      <c r="A1184">
        <f>IF(DAY(D1184)=DAY($L$1+1),A1183+1,A1183)</f>
        <v/>
      </c>
      <c r="B1184" s="46">
        <f>IF(DAY(D1184)=DAY($L$1+1),1,B1183+1)</f>
        <v/>
      </c>
      <c r="C1184" s="46">
        <f>IF(DAY(D1184)=DAY($L$1+1),1,C1183+1)</f>
        <v/>
      </c>
      <c r="D1184" s="2">
        <f>D1183+1</f>
        <v/>
      </c>
      <c r="E1184" s="8">
        <f>IF(DAY(D1184)=DAY($L$1+1),TRUNC((#REF!),8),E1183)</f>
        <v/>
      </c>
      <c r="F1184" s="49">
        <f>TRUNC(((1+VLOOKUP(A1184,IPCA!$A$2:$C$140,3,0)))^(C1184/(EDATE(D1184-C1184,1)-(D1184-C1184))),8)</f>
        <v/>
      </c>
      <c r="G1184" s="49">
        <f>TRUNC((E1184*F1184),8)</f>
        <v/>
      </c>
      <c r="H1184" s="49">
        <f>ROUND(((1+$H$4)^(30/360))^(C1184/(EDATE(D1184-B1184,1)-(D1184-B1184))),9)</f>
        <v/>
      </c>
      <c r="I1184" s="49">
        <f>TRUNC((G1184*H1184-G1184),8)</f>
        <v/>
      </c>
      <c r="J1184" s="49">
        <f>G1184+I1184</f>
        <v/>
      </c>
      <c r="K1184" s="256" t="n"/>
      <c r="L1184" s="256" t="n"/>
      <c r="M1184" s="256" t="n"/>
      <c r="N1184" s="256" t="n"/>
      <c r="O1184" s="256" t="n"/>
      <c r="P1184" s="256" t="n"/>
      <c r="Q1184" s="256" t="n"/>
    </row>
    <row r="1185">
      <c r="A1185">
        <f>IF(DAY(D1185)=DAY($L$1+1),A1184+1,A1184)</f>
        <v/>
      </c>
      <c r="B1185" s="46">
        <f>IF(DAY(D1185)=DAY($L$1+1),1,B1184+1)</f>
        <v/>
      </c>
      <c r="C1185" s="46">
        <f>IF(DAY(D1185)=DAY($L$1+1),1,C1184+1)</f>
        <v/>
      </c>
      <c r="D1185" s="2">
        <f>D1184+1</f>
        <v/>
      </c>
      <c r="E1185" s="8">
        <f>IF(DAY(D1185)=DAY($L$1+1),TRUNC((#REF!),8),E1184)</f>
        <v/>
      </c>
      <c r="F1185" s="49">
        <f>TRUNC(((1+VLOOKUP(A1185,IPCA!$A$2:$C$140,3,0)))^(C1185/(EDATE(D1185-C1185,1)-(D1185-C1185))),8)</f>
        <v/>
      </c>
      <c r="G1185" s="49">
        <f>TRUNC((E1185*F1185),8)</f>
        <v/>
      </c>
      <c r="H1185" s="49">
        <f>ROUND(((1+$H$4)^(30/360))^(C1185/(EDATE(D1185-B1185,1)-(D1185-B1185))),9)</f>
        <v/>
      </c>
      <c r="I1185" s="49">
        <f>TRUNC((G1185*H1185-G1185),8)</f>
        <v/>
      </c>
      <c r="J1185" s="49">
        <f>G1185+I1185</f>
        <v/>
      </c>
      <c r="K1185" s="256" t="n"/>
      <c r="L1185" s="256" t="n"/>
      <c r="M1185" s="256" t="n"/>
      <c r="N1185" s="256" t="n"/>
      <c r="O1185" s="256" t="n"/>
      <c r="P1185" s="256" t="n"/>
      <c r="Q1185" s="256" t="n"/>
    </row>
    <row r="1186">
      <c r="A1186">
        <f>IF(DAY(D1186)=DAY($L$1+1),A1185+1,A1185)</f>
        <v/>
      </c>
      <c r="B1186" s="46">
        <f>IF(DAY(D1186)=DAY($L$1+1),1,B1185+1)</f>
        <v/>
      </c>
      <c r="C1186" s="46">
        <f>IF(DAY(D1186)=DAY($L$1+1),1,C1185+1)</f>
        <v/>
      </c>
      <c r="D1186" s="2">
        <f>D1185+1</f>
        <v/>
      </c>
      <c r="E1186" s="8">
        <f>IF(DAY(D1186)=DAY($L$1+1),TRUNC((#REF!),8),E1185)</f>
        <v/>
      </c>
      <c r="F1186" s="49">
        <f>TRUNC(((1+VLOOKUP(A1186,IPCA!$A$2:$C$140,3,0)))^(C1186/(EDATE(D1186-C1186,1)-(D1186-C1186))),8)</f>
        <v/>
      </c>
      <c r="G1186" s="49">
        <f>TRUNC((E1186*F1186),8)</f>
        <v/>
      </c>
      <c r="H1186" s="49">
        <f>ROUND(((1+$H$4)^(30/360))^(C1186/(EDATE(D1186-B1186,1)-(D1186-B1186))),9)</f>
        <v/>
      </c>
      <c r="I1186" s="49">
        <f>TRUNC((G1186*H1186-G1186),8)</f>
        <v/>
      </c>
      <c r="J1186" s="49">
        <f>G1186+I1186</f>
        <v/>
      </c>
      <c r="K1186" s="256" t="n"/>
      <c r="L1186" s="256" t="n"/>
      <c r="M1186" s="256" t="n"/>
      <c r="N1186" s="256" t="n"/>
      <c r="O1186" s="256" t="n"/>
      <c r="P1186" s="256" t="n"/>
      <c r="Q1186" s="256" t="n"/>
    </row>
    <row r="1187">
      <c r="A1187">
        <f>IF(DAY(D1187)=DAY($L$1+1),A1186+1,A1186)</f>
        <v/>
      </c>
      <c r="B1187" s="46">
        <f>IF(DAY(D1187)=DAY($L$1+1),1,B1186+1)</f>
        <v/>
      </c>
      <c r="C1187" s="46">
        <f>IF(DAY(D1187)=DAY($L$1+1),1,C1186+1)</f>
        <v/>
      </c>
      <c r="D1187" s="2">
        <f>D1186+1</f>
        <v/>
      </c>
      <c r="E1187" s="8">
        <f>IF(DAY(D1187)=DAY($L$1+1),TRUNC((#REF!),8),E1186)</f>
        <v/>
      </c>
      <c r="F1187" s="49">
        <f>TRUNC(((1+VLOOKUP(A1187,IPCA!$A$2:$C$140,3,0)))^(C1187/(EDATE(D1187-C1187,1)-(D1187-C1187))),8)</f>
        <v/>
      </c>
      <c r="G1187" s="49">
        <f>TRUNC((E1187*F1187),8)</f>
        <v/>
      </c>
      <c r="H1187" s="49">
        <f>ROUND(((1+$H$4)^(30/360))^(C1187/(EDATE(D1187-B1187,1)-(D1187-B1187))),9)</f>
        <v/>
      </c>
      <c r="I1187" s="49">
        <f>TRUNC((G1187*H1187-G1187),8)</f>
        <v/>
      </c>
      <c r="J1187" s="49">
        <f>G1187+I1187</f>
        <v/>
      </c>
      <c r="K1187" s="256" t="n"/>
      <c r="L1187" s="256" t="n"/>
      <c r="M1187" s="256" t="n"/>
      <c r="N1187" s="256" t="n"/>
      <c r="O1187" s="256" t="n"/>
      <c r="P1187" s="256" t="n"/>
      <c r="Q1187" s="256" t="n"/>
    </row>
    <row r="1188">
      <c r="A1188">
        <f>IF(DAY(D1188)=DAY($L$1+1),A1187+1,A1187)</f>
        <v/>
      </c>
      <c r="B1188" s="46">
        <f>IF(DAY(D1188)=DAY($L$1+1),1,B1187+1)</f>
        <v/>
      </c>
      <c r="C1188" s="46">
        <f>IF(DAY(D1188)=DAY($L$1+1),1,C1187+1)</f>
        <v/>
      </c>
      <c r="D1188" s="2">
        <f>D1187+1</f>
        <v/>
      </c>
      <c r="E1188" s="8">
        <f>IF(DAY(D1188)=DAY($L$1+1),TRUNC((#REF!),8),E1187)</f>
        <v/>
      </c>
      <c r="F1188" s="49">
        <f>TRUNC(((1+VLOOKUP(A1188,IPCA!$A$2:$C$140,3,0)))^(C1188/(EDATE(D1188-C1188,1)-(D1188-C1188))),8)</f>
        <v/>
      </c>
      <c r="G1188" s="49">
        <f>TRUNC((E1188*F1188),8)</f>
        <v/>
      </c>
      <c r="H1188" s="49">
        <f>ROUND(((1+$H$4)^(30/360))^(C1188/(EDATE(D1188-B1188,1)-(D1188-B1188))),9)</f>
        <v/>
      </c>
      <c r="I1188" s="49">
        <f>TRUNC((G1188*H1188-G1188),8)</f>
        <v/>
      </c>
      <c r="J1188" s="49">
        <f>G1188+I1188</f>
        <v/>
      </c>
      <c r="K1188" s="256" t="n"/>
      <c r="L1188" s="256" t="n"/>
      <c r="M1188" s="256" t="n"/>
      <c r="N1188" s="256" t="n"/>
      <c r="O1188" s="256" t="n"/>
      <c r="P1188" s="256" t="n"/>
      <c r="Q1188" s="256" t="n"/>
    </row>
    <row r="1189">
      <c r="A1189">
        <f>IF(DAY(D1189)=DAY($L$1+1),A1188+1,A1188)</f>
        <v/>
      </c>
      <c r="B1189" s="46">
        <f>IF(DAY(D1189)=DAY($L$1+1),1,B1188+1)</f>
        <v/>
      </c>
      <c r="C1189" s="46">
        <f>IF(DAY(D1189)=DAY($L$1+1),1,C1188+1)</f>
        <v/>
      </c>
      <c r="D1189" s="2">
        <f>D1188+1</f>
        <v/>
      </c>
      <c r="E1189" s="8">
        <f>IF(DAY(D1189)=DAY($L$1+1),TRUNC((#REF!),8),E1188)</f>
        <v/>
      </c>
      <c r="F1189" s="49">
        <f>TRUNC(((1+VLOOKUP(A1189,IPCA!$A$2:$C$140,3,0)))^(C1189/(EDATE(D1189-C1189,1)-(D1189-C1189))),8)</f>
        <v/>
      </c>
      <c r="G1189" s="49">
        <f>TRUNC((E1189*F1189),8)</f>
        <v/>
      </c>
      <c r="H1189" s="49">
        <f>ROUND(((1+$H$4)^(30/360))^(C1189/(EDATE(D1189-B1189,1)-(D1189-B1189))),9)</f>
        <v/>
      </c>
      <c r="I1189" s="49">
        <f>TRUNC((G1189*H1189-G1189),8)</f>
        <v/>
      </c>
      <c r="J1189" s="49">
        <f>G1189+I1189</f>
        <v/>
      </c>
      <c r="K1189" s="256" t="n"/>
      <c r="L1189" s="256" t="n"/>
      <c r="M1189" s="256" t="n"/>
      <c r="N1189" s="256" t="n"/>
      <c r="O1189" s="256" t="n"/>
      <c r="P1189" s="256" t="n"/>
      <c r="Q1189" s="256" t="n"/>
    </row>
    <row r="1190">
      <c r="A1190">
        <f>IF(DAY(D1190)=DAY($L$1+1),A1189+1,A1189)</f>
        <v/>
      </c>
      <c r="B1190" s="46">
        <f>IF(DAY(D1190)=DAY($L$1+1),1,B1189+1)</f>
        <v/>
      </c>
      <c r="C1190" s="46">
        <f>IF(DAY(D1190)=DAY($L$1+1),1,C1189+1)</f>
        <v/>
      </c>
      <c r="D1190" s="2">
        <f>D1189+1</f>
        <v/>
      </c>
      <c r="E1190" s="8">
        <f>IF(DAY(D1190)=DAY($L$1+1),TRUNC((N1189),8),E1189)</f>
        <v/>
      </c>
      <c r="F1190" s="49">
        <f>TRUNC(((1+VLOOKUP(A1190,IPCA!$A$2:$C$140,3,0)))^(C1190/(EDATE(D1190-C1190,1)-(D1190-C1190))),8)</f>
        <v/>
      </c>
      <c r="G1190" s="49">
        <f>TRUNC((E1190*F1190),8)</f>
        <v/>
      </c>
      <c r="H1190" s="49">
        <f>ROUND(((1+$H$4)^(30/360))^(C1190/(EDATE(D1190-B1190,1)-(D1190-B1190))),9)</f>
        <v/>
      </c>
      <c r="I1190" s="49">
        <f>TRUNC((G1190*H1190-G1190),8)</f>
        <v/>
      </c>
      <c r="J1190" s="49">
        <f>G1190+I1190</f>
        <v/>
      </c>
      <c r="K1190" s="256" t="n"/>
      <c r="L1190" s="256" t="n"/>
      <c r="M1190" s="256" t="n"/>
      <c r="N1190" s="256" t="n"/>
      <c r="O1190" s="256" t="n"/>
      <c r="P1190" s="256" t="n"/>
      <c r="Q1190" s="256" t="n"/>
    </row>
    <row r="1191">
      <c r="A1191">
        <f>IF(DAY(D1191)=DAY($L$1+1),A1190+1,A1190)</f>
        <v/>
      </c>
      <c r="B1191" s="46">
        <f>IF(DAY(D1191)=DAY($L$1+1),1,B1190+1)</f>
        <v/>
      </c>
      <c r="C1191" s="46">
        <f>IF(DAY(D1191)=DAY($L$1+1),1,C1190+1)</f>
        <v/>
      </c>
      <c r="D1191" s="2">
        <f>D1190+1</f>
        <v/>
      </c>
      <c r="E1191" s="8">
        <f>IF(DAY(D1191)=DAY($L$1+1),TRUNC((N1190),8),E1190)</f>
        <v/>
      </c>
      <c r="F1191" s="49">
        <f>TRUNC(((1+VLOOKUP(A1191,IPCA!$A$2:$C$140,3,0)))^(C1191/(EDATE(D1191-C1191,1)-(D1191-C1191))),8)</f>
        <v/>
      </c>
      <c r="G1191" s="49">
        <f>TRUNC((E1191*F1191),8)</f>
        <v/>
      </c>
      <c r="H1191" s="49">
        <f>ROUND(((1+$H$4)^(30/360))^(C1191/(EDATE(D1191-B1191,1)-(D1191-B1191))),9)</f>
        <v/>
      </c>
      <c r="I1191" s="49">
        <f>TRUNC((G1191*H1191-G1191),8)</f>
        <v/>
      </c>
      <c r="J1191" s="49">
        <f>G1191+I1191</f>
        <v/>
      </c>
      <c r="K1191" s="123" t="n"/>
      <c r="L1191" s="271" t="n"/>
      <c r="M1191" s="256" t="n"/>
      <c r="N1191" s="256" t="n"/>
      <c r="O1191" s="256" t="n"/>
      <c r="P1191" s="256" t="n"/>
      <c r="Q1191" s="256" t="n"/>
    </row>
    <row r="1192">
      <c r="A1192">
        <f>IF(DAY(D1192)=DAY($L$1+1),A1191+1,A1191)</f>
        <v/>
      </c>
      <c r="B1192" s="46">
        <f>IF(DAY(D1192)=DAY($L$1+1),1,B1191+1)</f>
        <v/>
      </c>
      <c r="C1192" s="46">
        <f>IF(DAY(D1192)=DAY($L$1+1),1,C1191+1)</f>
        <v/>
      </c>
      <c r="D1192" s="2">
        <f>D1191+1</f>
        <v/>
      </c>
      <c r="E1192" s="8">
        <f>IF(DAY(D1192)=DAY($L$1+1),TRUNC((N1191),8),E1191)</f>
        <v/>
      </c>
      <c r="F1192" s="49">
        <f>TRUNC(((1+VLOOKUP(A1192,IPCA!$A$2:$C$140,3,0)))^(C1192/(EDATE(D1192-C1192,1)-(D1192-C1192))),8)</f>
        <v/>
      </c>
      <c r="G1192" s="49">
        <f>TRUNC((E1192*F1192),8)</f>
        <v/>
      </c>
      <c r="H1192" s="49">
        <f>ROUND(((1+$H$4)^(30/360))^(C1192/(EDATE(D1192-B1192,1)-(D1192-B1192))),9)</f>
        <v/>
      </c>
      <c r="I1192" s="49">
        <f>TRUNC((G1192*H1192-G1192),8)</f>
        <v/>
      </c>
      <c r="J1192" s="49">
        <f>G1192+I1192</f>
        <v/>
      </c>
      <c r="K1192" s="256" t="n"/>
      <c r="L1192" s="256" t="n"/>
      <c r="M1192" s="256" t="n"/>
      <c r="N1192" s="256" t="n"/>
      <c r="O1192" s="256" t="n"/>
      <c r="P1192" s="256" t="n"/>
      <c r="Q1192" s="256" t="n"/>
    </row>
    <row r="1193">
      <c r="A1193">
        <f>IF(DAY(D1193)=DAY($L$1+1),A1192+1,A1192)</f>
        <v/>
      </c>
      <c r="B1193" s="46">
        <f>IF(DAY(D1193)=DAY($L$1+1),1,B1192+1)</f>
        <v/>
      </c>
      <c r="C1193" s="46">
        <f>IF(DAY(D1193)=DAY($L$1+1),1,C1192+1)</f>
        <v/>
      </c>
      <c r="D1193" s="2">
        <f>D1192+1</f>
        <v/>
      </c>
      <c r="E1193" s="8">
        <f>IF(DAY(D1193)=DAY($L$1+1),TRUNC((N1192),8),E1192)</f>
        <v/>
      </c>
      <c r="F1193" s="49">
        <f>TRUNC(((1+VLOOKUP(A1193,IPCA!$A$2:$C$140,3,0)))^(C1193/(EDATE(D1193-C1193,1)-(D1193-C1193))),8)</f>
        <v/>
      </c>
      <c r="G1193" s="49">
        <f>TRUNC((E1193*F1193),8)</f>
        <v/>
      </c>
      <c r="H1193" s="49">
        <f>ROUND(((1+$H$4)^(30/360))^(C1193/(EDATE(D1193-B1193,1)-(D1193-B1193))),9)</f>
        <v/>
      </c>
      <c r="I1193" s="49">
        <f>TRUNC((G1193*H1193-G1193),8)</f>
        <v/>
      </c>
      <c r="J1193" s="49">
        <f>G1193+I1193</f>
        <v/>
      </c>
      <c r="K1193" s="256" t="n"/>
      <c r="L1193" s="256" t="n"/>
      <c r="M1193" s="256" t="n"/>
      <c r="N1193" s="256" t="n"/>
      <c r="O1193" s="256" t="n"/>
      <c r="P1193" s="256" t="n"/>
      <c r="Q1193" s="256" t="n"/>
    </row>
    <row r="1194">
      <c r="A1194">
        <f>IF(DAY(D1194)=DAY($L$1+1),A1193+1,A1193)</f>
        <v/>
      </c>
      <c r="B1194" s="46">
        <f>IF(DAY(D1194)=DAY($L$1+1),1,B1193+1)</f>
        <v/>
      </c>
      <c r="C1194" s="46">
        <f>IF(DAY(D1194)=DAY($L$1+1),1,C1193+1)</f>
        <v/>
      </c>
      <c r="D1194" s="2">
        <f>D1193+1</f>
        <v/>
      </c>
      <c r="E1194" s="8">
        <f>IF(DAY(D1194)=DAY($L$1+1),TRUNC((N1193),8),E1193)</f>
        <v/>
      </c>
      <c r="F1194" s="49">
        <f>TRUNC(((1+VLOOKUP(A1194,IPCA!$A$2:$C$140,3,0)))^(C1194/(EDATE(D1194-C1194,1)-(D1194-C1194))),8)</f>
        <v/>
      </c>
      <c r="G1194" s="49">
        <f>TRUNC((E1194*F1194),8)</f>
        <v/>
      </c>
      <c r="H1194" s="49">
        <f>ROUND(((1+$H$4)^(30/360))^(C1194/(EDATE(D1194-B1194,1)-(D1194-B1194))),9)</f>
        <v/>
      </c>
      <c r="I1194" s="49">
        <f>TRUNC((G1194*H1194-G1194),8)</f>
        <v/>
      </c>
      <c r="J1194" s="49">
        <f>G1194+I1194</f>
        <v/>
      </c>
      <c r="K1194" s="256" t="n"/>
      <c r="L1194" s="256" t="n"/>
      <c r="M1194" s="256" t="n"/>
      <c r="N1194" s="256" t="n"/>
      <c r="O1194" s="256" t="n"/>
      <c r="P1194" s="256" t="n"/>
      <c r="Q1194" s="256" t="n"/>
    </row>
    <row r="1195">
      <c r="A1195">
        <f>IF(DAY(D1195)=DAY($L$1+1),A1194+1,A1194)</f>
        <v/>
      </c>
      <c r="B1195" s="46">
        <f>IF(DAY(D1195)=DAY($L$1+1),1,B1194+1)</f>
        <v/>
      </c>
      <c r="C1195" s="46">
        <f>IF(DAY(D1195)=DAY($L$1+1),1,C1194+1)</f>
        <v/>
      </c>
      <c r="D1195" s="2">
        <f>D1194+1</f>
        <v/>
      </c>
      <c r="E1195" s="8">
        <f>IF(DAY(D1195)=DAY($L$1+1),TRUNC((N1194),8),E1194)</f>
        <v/>
      </c>
      <c r="F1195" s="49">
        <f>TRUNC(((1+VLOOKUP(A1195,IPCA!$A$2:$C$140,3,0)))^(C1195/(EDATE(D1195-C1195,1)-(D1195-C1195))),8)</f>
        <v/>
      </c>
      <c r="G1195" s="49">
        <f>TRUNC((E1195*F1195),8)</f>
        <v/>
      </c>
      <c r="H1195" s="49">
        <f>ROUND(((1+$H$4)^(30/360))^(C1195/(EDATE(D1195-B1195,1)-(D1195-B1195))),9)</f>
        <v/>
      </c>
      <c r="I1195" s="49">
        <f>TRUNC((G1195*H1195-G1195),8)</f>
        <v/>
      </c>
      <c r="J1195" s="49">
        <f>G1195+I1195</f>
        <v/>
      </c>
      <c r="K1195" s="256" t="n"/>
      <c r="L1195" s="256" t="n"/>
      <c r="M1195" s="256" t="n"/>
      <c r="N1195" s="256" t="n"/>
      <c r="O1195" s="256" t="n"/>
      <c r="P1195" s="256" t="n"/>
      <c r="Q1195" s="256" t="n"/>
    </row>
    <row r="1196">
      <c r="A1196">
        <f>IF(DAY(D1196)=DAY($L$1+1),A1195+1,A1195)</f>
        <v/>
      </c>
      <c r="B1196" s="46">
        <f>IF(DAY(D1196)=DAY($L$1+1),1,B1195+1)</f>
        <v/>
      </c>
      <c r="C1196" s="46">
        <f>IF(DAY(D1196)=DAY($L$1+1),1,C1195+1)</f>
        <v/>
      </c>
      <c r="D1196" s="2">
        <f>D1195+1</f>
        <v/>
      </c>
      <c r="E1196" s="8">
        <f>IF(DAY(D1196)=DAY($L$1+1),TRUNC((N1195),8),E1195)</f>
        <v/>
      </c>
      <c r="F1196" s="49">
        <f>TRUNC(((1+VLOOKUP(A1196,IPCA!$A$2:$C$140,3,0)))^(C1196/(EDATE(D1196-C1196,1)-(D1196-C1196))),8)</f>
        <v/>
      </c>
      <c r="G1196" s="49">
        <f>TRUNC((E1196*F1196),8)</f>
        <v/>
      </c>
      <c r="H1196" s="49">
        <f>ROUND(((1+$H$4)^(30/360))^(C1196/(EDATE(D1196-B1196,1)-(D1196-B1196))),9)</f>
        <v/>
      </c>
      <c r="I1196" s="49">
        <f>TRUNC((G1196*H1196-G1196),8)</f>
        <v/>
      </c>
      <c r="J1196" s="49">
        <f>G1196+I1196</f>
        <v/>
      </c>
      <c r="K1196" s="256" t="n"/>
      <c r="L1196" s="256" t="n"/>
      <c r="M1196" s="256" t="n"/>
      <c r="N1196" s="256" t="n"/>
      <c r="O1196" s="256" t="n"/>
      <c r="P1196" s="256" t="n"/>
      <c r="Q1196" s="256" t="n"/>
    </row>
    <row r="1197">
      <c r="A1197">
        <f>IF(DAY(D1197)=DAY($L$1+1),A1196+1,A1196)</f>
        <v/>
      </c>
      <c r="B1197" s="46">
        <f>IF(DAY(D1197)=DAY($L$1+1),1,B1196+1)</f>
        <v/>
      </c>
      <c r="C1197" s="46">
        <f>IF(DAY(D1197)=DAY($L$1+1),1,C1196+1)</f>
        <v/>
      </c>
      <c r="D1197" s="2">
        <f>D1196+1</f>
        <v/>
      </c>
      <c r="E1197" s="8">
        <f>IF(DAY(D1197)=DAY($L$1+1),TRUNC((N1196),8),E1196)</f>
        <v/>
      </c>
      <c r="F1197" s="49">
        <f>TRUNC(((1+VLOOKUP(A1197,IPCA!$A$2:$C$140,3,0)))^(C1197/(EDATE(D1197-C1197,1)-(D1197-C1197))),8)</f>
        <v/>
      </c>
      <c r="G1197" s="49">
        <f>TRUNC((E1197*F1197),8)</f>
        <v/>
      </c>
      <c r="H1197" s="49">
        <f>ROUND(((1+$H$4)^(30/360))^(C1197/(EDATE(D1197-B1197,1)-(D1197-B1197))),9)</f>
        <v/>
      </c>
      <c r="I1197" s="49">
        <f>TRUNC((G1197*H1197-G1197),8)</f>
        <v/>
      </c>
      <c r="J1197" s="49">
        <f>G1197+I1197</f>
        <v/>
      </c>
      <c r="K1197" s="256" t="n"/>
      <c r="L1197" s="256" t="n"/>
      <c r="M1197" s="256" t="n"/>
      <c r="N1197" s="256" t="n"/>
      <c r="O1197" s="256" t="n"/>
      <c r="P1197" s="256" t="n"/>
      <c r="Q1197" s="256" t="n"/>
    </row>
    <row r="1198">
      <c r="A1198">
        <f>IF(DAY(D1198)=DAY($L$1+1),A1197+1,A1197)</f>
        <v/>
      </c>
      <c r="B1198" s="46">
        <f>IF(DAY(D1198)=DAY($L$1+1),1,B1197+1)</f>
        <v/>
      </c>
      <c r="C1198" s="46">
        <f>IF(DAY(D1198)=DAY($L$1+1),1,C1197+1)</f>
        <v/>
      </c>
      <c r="D1198" s="2">
        <f>D1197+1</f>
        <v/>
      </c>
      <c r="E1198" s="8">
        <f>IF(DAY(D1198)=DAY($L$1+1),TRUNC((N1197),8),E1197)</f>
        <v/>
      </c>
      <c r="F1198" s="49">
        <f>TRUNC(((1+VLOOKUP(A1198,IPCA!$A$2:$C$140,3,0)))^(C1198/(EDATE(D1198-C1198,1)-(D1198-C1198))),8)</f>
        <v/>
      </c>
      <c r="G1198" s="49">
        <f>TRUNC((E1198*F1198),8)</f>
        <v/>
      </c>
      <c r="H1198" s="49">
        <f>ROUND(((1+$H$4)^(30/360))^(C1198/(EDATE(D1198-B1198,1)-(D1198-B1198))),9)</f>
        <v/>
      </c>
      <c r="I1198" s="49">
        <f>TRUNC((G1198*H1198-G1198),8)</f>
        <v/>
      </c>
      <c r="J1198" s="49">
        <f>G1198+I1198</f>
        <v/>
      </c>
      <c r="K1198" s="256" t="n"/>
      <c r="L1198" s="256" t="n"/>
      <c r="M1198" s="256" t="n"/>
      <c r="N1198" s="256" t="n"/>
      <c r="O1198" s="256" t="n"/>
      <c r="P1198" s="256" t="n"/>
      <c r="Q1198" s="256" t="n"/>
    </row>
    <row r="1199">
      <c r="A1199">
        <f>IF(DAY(D1199)=DAY($L$1+1),A1198+1,A1198)</f>
        <v/>
      </c>
      <c r="B1199" s="46">
        <f>IF(DAY(D1199)=DAY($L$1+1),1,B1198+1)</f>
        <v/>
      </c>
      <c r="C1199" s="46">
        <f>IF(DAY(D1199)=DAY($L$1+1),1,C1198+1)</f>
        <v/>
      </c>
      <c r="D1199" s="2">
        <f>D1198+1</f>
        <v/>
      </c>
      <c r="E1199" s="8">
        <f>IF(DAY(D1199)=DAY($L$1+1),TRUNC((N1198),8),E1198)</f>
        <v/>
      </c>
      <c r="F1199" s="49">
        <f>TRUNC(((1+VLOOKUP(A1199,IPCA!$A$2:$C$140,3,0)))^(C1199/(EDATE(D1199-C1199,1)-(D1199-C1199))),8)</f>
        <v/>
      </c>
      <c r="G1199" s="49">
        <f>TRUNC((E1199*F1199),8)</f>
        <v/>
      </c>
      <c r="H1199" s="49">
        <f>ROUND(((1+$H$4)^(30/360))^(C1199/(EDATE(D1199-B1199,1)-(D1199-B1199))),9)</f>
        <v/>
      </c>
      <c r="I1199" s="49">
        <f>TRUNC((G1199*H1199-G1199),8)</f>
        <v/>
      </c>
      <c r="J1199" s="49">
        <f>G1199+I1199</f>
        <v/>
      </c>
      <c r="K1199" s="256" t="n"/>
      <c r="L1199" s="256" t="n"/>
      <c r="M1199" s="256" t="n"/>
      <c r="N1199" s="256" t="n"/>
      <c r="O1199" s="256" t="n"/>
      <c r="P1199" s="256" t="n"/>
      <c r="Q1199" s="256" t="n"/>
    </row>
    <row r="1200">
      <c r="A1200">
        <f>IF(DAY(D1200)=DAY($L$1+1),A1199+1,A1199)</f>
        <v/>
      </c>
      <c r="B1200" s="46">
        <f>IF(DAY(D1200)=DAY($L$1+1),1,B1199+1)</f>
        <v/>
      </c>
      <c r="C1200" s="46">
        <f>IF(DAY(D1200)=DAY($L$1+1),1,C1199+1)</f>
        <v/>
      </c>
      <c r="D1200" s="2">
        <f>D1199+1</f>
        <v/>
      </c>
      <c r="E1200" s="8">
        <f>IF(DAY(D1200)=DAY($L$1+1),TRUNC((N1199),8),E1199)</f>
        <v/>
      </c>
      <c r="F1200" s="49">
        <f>TRUNC(((1+VLOOKUP(A1200,IPCA!$A$2:$C$140,3,0)))^(C1200/(EDATE(D1200-C1200,1)-(D1200-C1200))),8)</f>
        <v/>
      </c>
      <c r="G1200" s="49">
        <f>TRUNC((E1200*F1200),8)</f>
        <v/>
      </c>
      <c r="H1200" s="49">
        <f>ROUND(((1+$H$4)^(30/360))^(C1200/(EDATE(D1200-B1200,1)-(D1200-B1200))),9)</f>
        <v/>
      </c>
      <c r="I1200" s="49">
        <f>TRUNC((G1200*H1200-G1200),8)</f>
        <v/>
      </c>
      <c r="J1200" s="49">
        <f>G1200+I1200</f>
        <v/>
      </c>
      <c r="K1200" s="256" t="n"/>
      <c r="L1200" s="256" t="n"/>
      <c r="M1200" s="256" t="n"/>
      <c r="N1200" s="256" t="n"/>
      <c r="O1200" s="256" t="n"/>
      <c r="P1200" s="256" t="n"/>
      <c r="Q1200" s="256" t="n"/>
    </row>
    <row r="1201">
      <c r="A1201">
        <f>IF(DAY(D1201)=DAY($L$1+1),A1200+1,A1200)</f>
        <v/>
      </c>
      <c r="B1201" s="46">
        <f>IF(DAY(D1201)=DAY($L$1+1),1,B1200+1)</f>
        <v/>
      </c>
      <c r="C1201" s="46">
        <f>IF(DAY(D1201)=DAY($L$1+1),1,C1200+1)</f>
        <v/>
      </c>
      <c r="D1201" s="2">
        <f>D1200+1</f>
        <v/>
      </c>
      <c r="E1201" s="8">
        <f>IF(DAY(D1201)=DAY($L$1+1),TRUNC((N1200),8),E1200)</f>
        <v/>
      </c>
      <c r="F1201" s="49">
        <f>TRUNC(((1+VLOOKUP(A1201,IPCA!$A$2:$C$140,3,0)))^(C1201/(EDATE(D1201-C1201,1)-(D1201-C1201))),8)</f>
        <v/>
      </c>
      <c r="G1201" s="49">
        <f>TRUNC((E1201*F1201),8)</f>
        <v/>
      </c>
      <c r="H1201" s="49">
        <f>ROUND(((1+$H$4)^(30/360))^(C1201/(EDATE(D1201-B1201,1)-(D1201-B1201))),9)</f>
        <v/>
      </c>
      <c r="I1201" s="49">
        <f>TRUNC((G1201*H1201-G1201),8)</f>
        <v/>
      </c>
      <c r="J1201" s="49">
        <f>G1201+I1201</f>
        <v/>
      </c>
      <c r="K1201" s="256" t="n"/>
      <c r="L1201" s="256" t="n"/>
      <c r="M1201" s="256" t="n"/>
      <c r="N1201" s="256" t="n"/>
      <c r="O1201" s="256" t="n"/>
      <c r="P1201" s="256" t="n"/>
      <c r="Q1201" s="256" t="n"/>
    </row>
    <row r="1202">
      <c r="A1202">
        <f>IF(DAY(D1202)=DAY($L$1+1),A1201+1,A1201)</f>
        <v/>
      </c>
      <c r="B1202" s="46">
        <f>IF(DAY(D1202)=DAY($L$1+1),1,B1201+1)</f>
        <v/>
      </c>
      <c r="C1202" s="46">
        <f>IF(DAY(D1202)=DAY($L$1+1),1,C1201+1)</f>
        <v/>
      </c>
      <c r="D1202" s="2">
        <f>D1201+1</f>
        <v/>
      </c>
      <c r="E1202" s="8">
        <f>IF(DAY(D1202)=DAY($L$1+1),TRUNC((N1201),8),E1201)</f>
        <v/>
      </c>
      <c r="F1202" s="49">
        <f>TRUNC(((1+VLOOKUP(A1202,IPCA!$A$2:$C$140,3,0)))^(C1202/(EDATE(D1202-C1202,1)-(D1202-C1202))),8)</f>
        <v/>
      </c>
      <c r="G1202" s="49">
        <f>TRUNC((E1202*F1202),8)</f>
        <v/>
      </c>
      <c r="H1202" s="49">
        <f>ROUND(((1+$H$4)^(30/360))^(C1202/(EDATE(D1202-B1202,1)-(D1202-B1202))),9)</f>
        <v/>
      </c>
      <c r="I1202" s="49">
        <f>TRUNC((G1202*H1202-G1202),8)</f>
        <v/>
      </c>
      <c r="J1202" s="49">
        <f>G1202+I1202</f>
        <v/>
      </c>
      <c r="K1202" s="256" t="n"/>
      <c r="L1202" s="256" t="n"/>
      <c r="M1202" s="256" t="n"/>
      <c r="N1202" s="256" t="n"/>
      <c r="O1202" s="256" t="n"/>
      <c r="P1202" s="256" t="n"/>
      <c r="Q1202" s="256" t="n"/>
    </row>
    <row r="1203">
      <c r="A1203">
        <f>IF(DAY(D1203)=DAY($L$1+1),A1202+1,A1202)</f>
        <v/>
      </c>
      <c r="B1203" s="46">
        <f>IF(DAY(D1203)=DAY($L$1+1),1,B1202+1)</f>
        <v/>
      </c>
      <c r="C1203" s="46">
        <f>IF(DAY(D1203)=DAY($L$1+1),1,C1202+1)</f>
        <v/>
      </c>
      <c r="D1203" s="2">
        <f>D1202+1</f>
        <v/>
      </c>
      <c r="E1203" s="8">
        <f>IF(DAY(D1203)=DAY($L$1+1),TRUNC((N1202),8),E1202)</f>
        <v/>
      </c>
      <c r="F1203" s="49">
        <f>TRUNC(((1+VLOOKUP(A1203,IPCA!$A$2:$C$140,3,0)))^(C1203/(EDATE(D1203-C1203,1)-(D1203-C1203))),8)</f>
        <v/>
      </c>
      <c r="G1203" s="49">
        <f>TRUNC((E1203*F1203),8)</f>
        <v/>
      </c>
      <c r="H1203" s="49">
        <f>ROUND(((1+$H$4)^(30/360))^(C1203/(EDATE(D1203-B1203,1)-(D1203-B1203))),9)</f>
        <v/>
      </c>
      <c r="I1203" s="49">
        <f>TRUNC((G1203*H1203-G1203),8)</f>
        <v/>
      </c>
      <c r="J1203" s="49">
        <f>G1203+I1203</f>
        <v/>
      </c>
      <c r="K1203" s="256" t="n"/>
      <c r="L1203" s="256" t="n"/>
      <c r="M1203" s="256" t="n"/>
      <c r="N1203" s="256" t="n"/>
      <c r="O1203" s="256" t="n"/>
      <c r="P1203" s="256" t="n"/>
      <c r="Q1203" s="256" t="n"/>
    </row>
    <row r="1204">
      <c r="A1204">
        <f>IF(DAY(D1204)=DAY($L$1+1),A1203+1,A1203)</f>
        <v/>
      </c>
      <c r="B1204" s="46">
        <f>IF(DAY(D1204)=DAY($L$1+1),1,B1203+1)</f>
        <v/>
      </c>
      <c r="C1204" s="46">
        <f>IF(DAY(D1204)=DAY($L$1+1),1,C1203+1)</f>
        <v/>
      </c>
      <c r="D1204" s="2">
        <f>D1203+1</f>
        <v/>
      </c>
      <c r="E1204" s="8">
        <f>IF(DAY(D1204)=DAY($L$1+1),TRUNC((N1203),8),E1203)</f>
        <v/>
      </c>
      <c r="F1204" s="49">
        <f>TRUNC(((1+VLOOKUP(A1204,IPCA!$A$2:$C$140,3,0)))^(C1204/(EDATE(D1204-C1204,1)-(D1204-C1204))),8)</f>
        <v/>
      </c>
      <c r="G1204" s="49">
        <f>TRUNC((E1204*F1204),8)</f>
        <v/>
      </c>
      <c r="H1204" s="49">
        <f>ROUND(((1+$H$4)^(30/360))^(C1204/(EDATE(D1204-B1204,1)-(D1204-B1204))),9)</f>
        <v/>
      </c>
      <c r="I1204" s="49">
        <f>TRUNC((G1204*H1204-G1204),8)</f>
        <v/>
      </c>
      <c r="J1204" s="49">
        <f>G1204+I1204</f>
        <v/>
      </c>
      <c r="K1204" s="256" t="n"/>
      <c r="L1204" s="256" t="n"/>
      <c r="M1204" s="256" t="n"/>
      <c r="N1204" s="256" t="n"/>
      <c r="O1204" s="256" t="n"/>
      <c r="P1204" s="256" t="n"/>
      <c r="Q1204" s="256" t="n"/>
    </row>
    <row r="1205">
      <c r="A1205">
        <f>IF(DAY(D1205)=DAY($L$1+1),A1204+1,A1204)</f>
        <v/>
      </c>
      <c r="B1205" s="46">
        <f>IF(DAY(D1205)=DAY($L$1+1),1,B1204+1)</f>
        <v/>
      </c>
      <c r="C1205" s="46">
        <f>IF(DAY(D1205)=DAY($L$1+1),1,C1204+1)</f>
        <v/>
      </c>
      <c r="D1205" s="2">
        <f>D1204+1</f>
        <v/>
      </c>
      <c r="E1205" s="8">
        <f>IF(DAY(D1205)=DAY($L$1+1),TRUNC((N1204),8),E1204)</f>
        <v/>
      </c>
      <c r="F1205" s="49">
        <f>TRUNC(((1+VLOOKUP(A1205,IPCA!$A$2:$C$140,3,0)))^(C1205/(EDATE(D1205-C1205,1)-(D1205-C1205))),8)</f>
        <v/>
      </c>
      <c r="G1205" s="49">
        <f>TRUNC((E1205*F1205),8)</f>
        <v/>
      </c>
      <c r="H1205" s="49">
        <f>ROUND(((1+$H$4)^(30/360))^(C1205/(EDATE(D1205-B1205,1)-(D1205-B1205))),9)</f>
        <v/>
      </c>
      <c r="I1205" s="49">
        <f>TRUNC((G1205*H1205-G1205),8)</f>
        <v/>
      </c>
      <c r="J1205" s="49">
        <f>G1205+I1205</f>
        <v/>
      </c>
      <c r="K1205" s="256" t="inlineStr">
        <is>
          <t>Cri Integralizado</t>
        </is>
      </c>
      <c r="L1205" s="270">
        <f>L1175</f>
        <v/>
      </c>
      <c r="M1205" s="256" t="n"/>
      <c r="N1205" s="256" t="n"/>
      <c r="O1205" s="256" t="n"/>
      <c r="P1205" s="256" t="n"/>
      <c r="Q1205" s="256" t="n"/>
    </row>
    <row r="1206">
      <c r="A1206">
        <f>IF(DAY(D1206)=DAY($L$1+1),A1205+1,A1205)</f>
        <v/>
      </c>
      <c r="B1206" s="46">
        <f>IF(DAY(D1206)=DAY($L$1+1),1,B1205+1)</f>
        <v/>
      </c>
      <c r="C1206" s="46">
        <f>IF(DAY(D1206)=DAY($L$1+1),1,C1205+1)</f>
        <v/>
      </c>
      <c r="D1206" s="47">
        <f>D1205+1</f>
        <v/>
      </c>
      <c r="E1206" s="8">
        <f>IF(DAY(D1206)=DAY($L$1+1),TRUNC((N1205),8),E1205)</f>
        <v/>
      </c>
      <c r="F1206" s="49">
        <f>TRUNC(((1+VLOOKUP(A1206,IPCA!$A$2:$C$140,3,0)))^(C1206/(EDATE(D1206-C1206,1)-(D1206-C1206))),8)</f>
        <v/>
      </c>
      <c r="G1206" s="49">
        <f>TRUNC((E1206*F1206),8)</f>
        <v/>
      </c>
      <c r="H1206" s="49">
        <f>ROUND(((1+$H$4)^(30/360))^(C1206/(EDATE(D1206-B1206,1)-(D1206-B1206))),9)</f>
        <v/>
      </c>
      <c r="I1206" s="49">
        <f>TRUNC((G1206*H1206-G1206),8)</f>
        <v/>
      </c>
      <c r="J1206" s="49">
        <f>G1206+I1206</f>
        <v/>
      </c>
      <c r="K1206" s="118" t="inlineStr">
        <is>
          <t>JUROS</t>
        </is>
      </c>
      <c r="L1206" s="118" t="inlineStr">
        <is>
          <t>AMORTIZAÇÃO</t>
        </is>
      </c>
      <c r="M1206" s="118" t="inlineStr">
        <is>
          <t>AMEX</t>
        </is>
      </c>
      <c r="N1206" s="118" t="inlineStr">
        <is>
          <t>RESIDUAL</t>
        </is>
      </c>
      <c r="O1206" s="256" t="n"/>
      <c r="P1206" s="256" t="n"/>
      <c r="Q1206" s="256" t="n"/>
    </row>
    <row r="1207">
      <c r="A1207">
        <f>IF(DAY(D1207)=DAY($L$1+1),A1206+1,A1206)</f>
        <v/>
      </c>
      <c r="B1207" s="111">
        <f>IF(DAY(D1207)=DAY($L$1+1),1,B1206+1)</f>
        <v/>
      </c>
      <c r="C1207" s="111">
        <f>IF(DAY(D1207)=DAY($L$1+1),1,C1206+1)</f>
        <v/>
      </c>
      <c r="D1207" s="112">
        <f>D1206+1</f>
        <v/>
      </c>
      <c r="E1207" s="113">
        <f>IF(DAY(D1207)=DAY($L$1+1),TRUNC((N1206),8),E1206)</f>
        <v/>
      </c>
      <c r="F1207" s="114">
        <f>TRUNC(((1+VLOOKUP(A1207,IPCA!$A$2:$C$140,3,0)))^(C1207/(EDATE(D1207-C1207,1)-(D1207-C1207))),8)</f>
        <v/>
      </c>
      <c r="G1207" s="114">
        <f>TRUNC((E1207*F1207),8)</f>
        <v/>
      </c>
      <c r="H1207" s="114">
        <f>ROUND(((1+$H$4)^(30/360))^(C1207/(EDATE(D1207-B1207,1)-(D1207-B1207))),9)</f>
        <v/>
      </c>
      <c r="I1207" s="114">
        <f>TRUNC((G1207*H1207-G1207),8)</f>
        <v/>
      </c>
      <c r="J1207" s="114">
        <f>G1207+I1207</f>
        <v/>
      </c>
      <c r="K1207" s="119">
        <f>I1207</f>
        <v/>
      </c>
      <c r="L1207" s="120">
        <f>TRUNC(G1207*VLOOKUP(D1207,'Amort TS'!$G$3:$H$140,2,0),8)</f>
        <v/>
      </c>
      <c r="M1207" s="120" t="n">
        <v>0</v>
      </c>
      <c r="N1207" s="120">
        <f>J1207-K1207-L1207-M1207</f>
        <v/>
      </c>
      <c r="O1207" s="256" t="n"/>
      <c r="P1207" s="256" t="n"/>
      <c r="Q1207" s="256" t="n"/>
    </row>
    <row r="1208">
      <c r="A1208">
        <f>IF(DAY(D1208)=DAY($L$1+1),A1207+1,A1207)</f>
        <v/>
      </c>
      <c r="B1208" s="46">
        <f>IF(DAY(D1208)=DAY($L$1+1),1,B1207+1)</f>
        <v/>
      </c>
      <c r="C1208" s="46">
        <f>IF(DAY(D1208)=DAY($L$1+1),1,C1207+1)</f>
        <v/>
      </c>
      <c r="D1208" s="2">
        <f>D1207+1</f>
        <v/>
      </c>
      <c r="E1208" s="8">
        <f>IF(DAY(D1208)=DAY($L$1+1),TRUNC((N1207),8),E1207)</f>
        <v/>
      </c>
      <c r="F1208" s="49">
        <f>TRUNC(((1+VLOOKUP(A1208,IPCA!$A$2:$C$140,3,0)))^(C1208/(EDATE(D1208-C1208,1)-(D1208-C1208))),8)</f>
        <v/>
      </c>
      <c r="G1208" s="49">
        <f>TRUNC((E1208*F1208),8)</f>
        <v/>
      </c>
      <c r="H1208" s="49">
        <f>ROUND(((1+$H$4)^(30/360))^(C1208/(EDATE(D1208-B1208,1)-(D1208-B1208))),9)</f>
        <v/>
      </c>
      <c r="I1208" s="49">
        <f>TRUNC((G1208*H1208-G1208),8)</f>
        <v/>
      </c>
      <c r="J1208" s="49">
        <f>G1208+I1208</f>
        <v/>
      </c>
      <c r="K1208" s="121">
        <f>K1207*L1205</f>
        <v/>
      </c>
      <c r="L1208" s="121">
        <f>L1207*L1205</f>
        <v/>
      </c>
      <c r="M1208" s="121">
        <f>M1207*L1205</f>
        <v/>
      </c>
      <c r="N1208" s="121">
        <f>N1207*L1205</f>
        <v/>
      </c>
      <c r="O1208" s="256" t="n"/>
      <c r="P1208" s="256" t="n"/>
      <c r="Q1208" s="256" t="n"/>
    </row>
    <row r="1209">
      <c r="A1209">
        <f>IF(DAY(D1209)=DAY($L$1+1),A1208+1,A1208)</f>
        <v/>
      </c>
      <c r="B1209" s="46">
        <f>IF(DAY(D1209)=DAY($L$1+1),1,B1208+1)</f>
        <v/>
      </c>
      <c r="C1209" s="46">
        <f>IF(DAY(D1209)=DAY($L$1+1),1,C1208+1)</f>
        <v/>
      </c>
      <c r="D1209" s="47">
        <f>D1208+1</f>
        <v/>
      </c>
      <c r="E1209" s="8">
        <f>IF(DAY(D1209)=DAY($L$1+1),TRUNC((N1208),8),E1208)</f>
        <v/>
      </c>
      <c r="F1209" s="49">
        <f>TRUNC(((1+VLOOKUP(A1209,IPCA!$A$2:$C$140,3,0)))^(C1209/(EDATE(D1209-C1209,1)-(D1209-C1209))),8)</f>
        <v/>
      </c>
      <c r="G1209" s="49">
        <f>TRUNC((E1209*F1209),8)</f>
        <v/>
      </c>
      <c r="H1209" s="49">
        <f>ROUND(((1+$H$4)^(30/360))^(C1209/(EDATE(D1209-B1209,1)-(D1209-B1209))),9)</f>
        <v/>
      </c>
      <c r="I1209" s="49">
        <f>TRUNC((G1209*H1209-G1209),8)</f>
        <v/>
      </c>
      <c r="J1209" s="49">
        <f>G1209+I1209</f>
        <v/>
      </c>
      <c r="K1209" s="256" t="n"/>
      <c r="L1209" s="256" t="n"/>
      <c r="M1209" s="256" t="n"/>
      <c r="N1209" s="256" t="n"/>
      <c r="O1209" s="256" t="n"/>
      <c r="P1209" s="256" t="n"/>
      <c r="Q1209" s="256" t="n"/>
    </row>
    <row r="1210">
      <c r="A1210">
        <f>IF(DAY(D1210)=DAY($L$1+1),A1209+1,A1209)</f>
        <v/>
      </c>
      <c r="B1210" s="46">
        <f>IF(DAY(D1210)=DAY($L$1+1),1,B1209+1)</f>
        <v/>
      </c>
      <c r="C1210" s="46">
        <f>IF(DAY(D1210)=DAY($L$1+1),1,C1209+1)</f>
        <v/>
      </c>
      <c r="D1210" s="2">
        <f>D1209+1</f>
        <v/>
      </c>
      <c r="E1210" s="8">
        <f>IF(DAY(D1210)=DAY($L$1+1),TRUNC((#REF!),8),E1209)</f>
        <v/>
      </c>
      <c r="F1210" s="49">
        <f>TRUNC(((1+VLOOKUP(A1210,IPCA!$A$2:$C$140,3,0)))^(C1210/(EDATE(D1210-C1210,1)-(D1210-C1210))),8)</f>
        <v/>
      </c>
      <c r="G1210" s="49">
        <f>TRUNC((E1210*F1210),8)</f>
        <v/>
      </c>
      <c r="H1210" s="49">
        <f>ROUND(((1+$H$4)^(30/360))^(C1210/(EDATE(D1210-B1210,1)-(D1210-B1210))),9)</f>
        <v/>
      </c>
      <c r="I1210" s="49">
        <f>TRUNC((G1210*H1210-G1210),8)</f>
        <v/>
      </c>
      <c r="J1210" s="49">
        <f>G1210+I1210</f>
        <v/>
      </c>
      <c r="K1210" s="256" t="n"/>
      <c r="L1210" s="256" t="n"/>
      <c r="M1210" s="256" t="n"/>
      <c r="N1210" s="256" t="n"/>
      <c r="O1210" s="256" t="n"/>
      <c r="P1210" s="256" t="n"/>
      <c r="Q1210" s="256" t="n"/>
    </row>
    <row r="1211">
      <c r="A1211">
        <f>IF(DAY(D1211)=DAY($L$1+1),A1210+1,A1210)</f>
        <v/>
      </c>
      <c r="B1211" s="46">
        <f>IF(DAY(D1211)=DAY($L$1+1),1,B1210+1)</f>
        <v/>
      </c>
      <c r="C1211" s="46">
        <f>IF(DAY(D1211)=DAY($L$1+1),1,C1210+1)</f>
        <v/>
      </c>
      <c r="D1211" s="2">
        <f>D1210+1</f>
        <v/>
      </c>
      <c r="E1211" s="8">
        <f>IF(DAY(D1211)=DAY($L$1+1),TRUNC((#REF!),8),E1210)</f>
        <v/>
      </c>
      <c r="F1211" s="49">
        <f>TRUNC(((1+VLOOKUP(A1211,IPCA!$A$2:$C$140,3,0)))^(C1211/(EDATE(D1211-C1211,1)-(D1211-C1211))),8)</f>
        <v/>
      </c>
      <c r="G1211" s="49">
        <f>TRUNC((E1211*F1211),8)</f>
        <v/>
      </c>
      <c r="H1211" s="49">
        <f>ROUND(((1+$H$4)^(30/360))^(C1211/(EDATE(D1211-B1211,1)-(D1211-B1211))),9)</f>
        <v/>
      </c>
      <c r="I1211" s="49">
        <f>TRUNC((G1211*H1211-G1211),8)</f>
        <v/>
      </c>
      <c r="J1211" s="49">
        <f>G1211+I1211</f>
        <v/>
      </c>
      <c r="K1211" s="256" t="n"/>
      <c r="L1211" s="256" t="n"/>
      <c r="M1211" s="256" t="n"/>
      <c r="N1211" s="256" t="n"/>
      <c r="O1211" s="256" t="n"/>
      <c r="P1211" s="256" t="n"/>
      <c r="Q1211" s="256" t="n"/>
    </row>
    <row r="1212">
      <c r="A1212">
        <f>IF(DAY(D1212)=DAY($L$1+1),A1211+1,A1211)</f>
        <v/>
      </c>
      <c r="B1212" s="46">
        <f>IF(DAY(D1212)=DAY($L$1+1),1,B1211+1)</f>
        <v/>
      </c>
      <c r="C1212" s="46">
        <f>IF(DAY(D1212)=DAY($L$1+1),1,C1211+1)</f>
        <v/>
      </c>
      <c r="D1212" s="2">
        <f>D1211+1</f>
        <v/>
      </c>
      <c r="E1212" s="8">
        <f>IF(DAY(D1212)=DAY($L$1+1),TRUNC((#REF!),8),E1211)</f>
        <v/>
      </c>
      <c r="F1212" s="49">
        <f>TRUNC(((1+VLOOKUP(A1212,IPCA!$A$2:$C$140,3,0)))^(C1212/(EDATE(D1212-C1212,1)-(D1212-C1212))),8)</f>
        <v/>
      </c>
      <c r="G1212" s="49">
        <f>TRUNC((E1212*F1212),8)</f>
        <v/>
      </c>
      <c r="H1212" s="49">
        <f>ROUND(((1+$H$4)^(30/360))^(C1212/(EDATE(D1212-B1212,1)-(D1212-B1212))),9)</f>
        <v/>
      </c>
      <c r="I1212" s="49">
        <f>TRUNC((G1212*H1212-G1212),8)</f>
        <v/>
      </c>
      <c r="J1212" s="49">
        <f>G1212+I1212</f>
        <v/>
      </c>
      <c r="K1212" s="256" t="n"/>
      <c r="L1212" s="256" t="n"/>
      <c r="M1212" s="256" t="n"/>
      <c r="N1212" s="256" t="n"/>
      <c r="O1212" s="256" t="n"/>
      <c r="P1212" s="256" t="n"/>
      <c r="Q1212" s="256" t="n"/>
    </row>
    <row r="1213">
      <c r="A1213">
        <f>IF(DAY(D1213)=DAY($L$1+1),A1212+1,A1212)</f>
        <v/>
      </c>
      <c r="B1213" s="46">
        <f>IF(DAY(D1213)=DAY($L$1+1),1,B1212+1)</f>
        <v/>
      </c>
      <c r="C1213" s="46">
        <f>IF(DAY(D1213)=DAY($L$1+1),1,C1212+1)</f>
        <v/>
      </c>
      <c r="D1213" s="2">
        <f>D1212+1</f>
        <v/>
      </c>
      <c r="E1213" s="8">
        <f>IF(DAY(D1213)=DAY($L$1+1),TRUNC((#REF!),8),E1212)</f>
        <v/>
      </c>
      <c r="F1213" s="49">
        <f>TRUNC(((1+VLOOKUP(A1213,IPCA!$A$2:$C$140,3,0)))^(C1213/(EDATE(D1213-C1213,1)-(D1213-C1213))),8)</f>
        <v/>
      </c>
      <c r="G1213" s="49">
        <f>TRUNC((E1213*F1213),8)</f>
        <v/>
      </c>
      <c r="H1213" s="49">
        <f>ROUND(((1+$H$4)^(30/360))^(C1213/(EDATE(D1213-B1213,1)-(D1213-B1213))),9)</f>
        <v/>
      </c>
      <c r="I1213" s="49">
        <f>TRUNC((G1213*H1213-G1213),8)</f>
        <v/>
      </c>
      <c r="J1213" s="49">
        <f>G1213+I1213</f>
        <v/>
      </c>
      <c r="K1213" s="256" t="n"/>
      <c r="L1213" s="256" t="n"/>
      <c r="M1213" s="256" t="n"/>
      <c r="N1213" s="256" t="n"/>
      <c r="O1213" s="256" t="n"/>
      <c r="P1213" s="256" t="n"/>
      <c r="Q1213" s="256" t="n"/>
    </row>
    <row r="1214">
      <c r="A1214">
        <f>IF(DAY(D1214)=DAY($L$1+1),A1213+1,A1213)</f>
        <v/>
      </c>
      <c r="B1214" s="46">
        <f>IF(DAY(D1214)=DAY($L$1+1),1,B1213+1)</f>
        <v/>
      </c>
      <c r="C1214" s="46">
        <f>IF(DAY(D1214)=DAY($L$1+1),1,C1213+1)</f>
        <v/>
      </c>
      <c r="D1214" s="2">
        <f>D1213+1</f>
        <v/>
      </c>
      <c r="E1214" s="8">
        <f>IF(DAY(D1214)=DAY($L$1+1),TRUNC((#REF!),8),E1213)</f>
        <v/>
      </c>
      <c r="F1214" s="49">
        <f>TRUNC(((1+VLOOKUP(A1214,IPCA!$A$2:$C$140,3,0)))^(C1214/(EDATE(D1214-C1214,1)-(D1214-C1214))),8)</f>
        <v/>
      </c>
      <c r="G1214" s="49">
        <f>TRUNC((E1214*F1214),8)</f>
        <v/>
      </c>
      <c r="H1214" s="49">
        <f>ROUND(((1+$H$4)^(30/360))^(C1214/(EDATE(D1214-B1214,1)-(D1214-B1214))),9)</f>
        <v/>
      </c>
      <c r="I1214" s="49">
        <f>TRUNC((G1214*H1214-G1214),8)</f>
        <v/>
      </c>
      <c r="J1214" s="49">
        <f>G1214+I1214</f>
        <v/>
      </c>
      <c r="K1214" s="256" t="n"/>
      <c r="L1214" s="256" t="n"/>
      <c r="M1214" s="256" t="n"/>
      <c r="N1214" s="256" t="n"/>
      <c r="O1214" s="256" t="n"/>
      <c r="P1214" s="256" t="n"/>
      <c r="Q1214" s="256" t="n"/>
    </row>
    <row r="1215">
      <c r="A1215">
        <f>IF(DAY(D1215)=DAY($L$1+1),A1214+1,A1214)</f>
        <v/>
      </c>
      <c r="B1215" s="46">
        <f>IF(DAY(D1215)=DAY($L$1+1),1,B1214+1)</f>
        <v/>
      </c>
      <c r="C1215" s="46">
        <f>IF(DAY(D1215)=DAY($L$1+1),1,C1214+1)</f>
        <v/>
      </c>
      <c r="D1215" s="2">
        <f>D1214+1</f>
        <v/>
      </c>
      <c r="E1215" s="8">
        <f>IF(DAY(D1215)=DAY($L$1+1),TRUNC((#REF!),8),E1214)</f>
        <v/>
      </c>
      <c r="F1215" s="49">
        <f>TRUNC(((1+VLOOKUP(A1215,IPCA!$A$2:$C$140,3,0)))^(C1215/(EDATE(D1215-C1215,1)-(D1215-C1215))),8)</f>
        <v/>
      </c>
      <c r="G1215" s="49">
        <f>TRUNC((E1215*F1215),8)</f>
        <v/>
      </c>
      <c r="H1215" s="49">
        <f>ROUND(((1+$H$4)^(30/360))^(C1215/(EDATE(D1215-B1215,1)-(D1215-B1215))),9)</f>
        <v/>
      </c>
      <c r="I1215" s="49">
        <f>TRUNC((G1215*H1215-G1215),8)</f>
        <v/>
      </c>
      <c r="J1215" s="49">
        <f>G1215+I1215</f>
        <v/>
      </c>
      <c r="K1215" s="256" t="n"/>
      <c r="L1215" s="256" t="n"/>
      <c r="M1215" s="256" t="n"/>
      <c r="N1215" s="256" t="n"/>
      <c r="O1215" s="256" t="n"/>
      <c r="P1215" s="256" t="n"/>
      <c r="Q1215" s="256" t="n"/>
    </row>
    <row r="1216">
      <c r="A1216">
        <f>IF(DAY(D1216)=DAY($L$1+1),A1215+1,A1215)</f>
        <v/>
      </c>
      <c r="B1216" s="46">
        <f>IF(DAY(D1216)=DAY($L$1+1),1,B1215+1)</f>
        <v/>
      </c>
      <c r="C1216" s="46">
        <f>IF(DAY(D1216)=DAY($L$1+1),1,C1215+1)</f>
        <v/>
      </c>
      <c r="D1216" s="2">
        <f>D1215+1</f>
        <v/>
      </c>
      <c r="E1216" s="8">
        <f>IF(DAY(D1216)=DAY($L$1+1),TRUNC((#REF!),8),E1215)</f>
        <v/>
      </c>
      <c r="F1216" s="49">
        <f>TRUNC(((1+VLOOKUP(A1216,IPCA!$A$2:$C$140,3,0)))^(C1216/(EDATE(D1216-C1216,1)-(D1216-C1216))),8)</f>
        <v/>
      </c>
      <c r="G1216" s="49">
        <f>TRUNC((E1216*F1216),8)</f>
        <v/>
      </c>
      <c r="H1216" s="49">
        <f>ROUND(((1+$H$4)^(30/360))^(C1216/(EDATE(D1216-B1216,1)-(D1216-B1216))),9)</f>
        <v/>
      </c>
      <c r="I1216" s="49">
        <f>TRUNC((G1216*H1216-G1216),8)</f>
        <v/>
      </c>
      <c r="J1216" s="49">
        <f>G1216+I1216</f>
        <v/>
      </c>
      <c r="K1216" s="256" t="n"/>
      <c r="L1216" s="256" t="n"/>
      <c r="M1216" s="256" t="n"/>
      <c r="N1216" s="256" t="n"/>
      <c r="O1216" s="256" t="n"/>
      <c r="P1216" s="256" t="n"/>
      <c r="Q1216" s="256" t="n"/>
    </row>
    <row r="1217">
      <c r="A1217">
        <f>IF(DAY(D1217)=DAY($L$1+1),A1216+1,A1216)</f>
        <v/>
      </c>
      <c r="B1217" s="46">
        <f>IF(DAY(D1217)=DAY($L$1+1),1,B1216+1)</f>
        <v/>
      </c>
      <c r="C1217" s="46">
        <f>IF(DAY(D1217)=DAY($L$1+1),1,C1216+1)</f>
        <v/>
      </c>
      <c r="D1217" s="2">
        <f>D1216+1</f>
        <v/>
      </c>
      <c r="E1217" s="8">
        <f>IF(DAY(D1217)=DAY($L$1+1),TRUNC((#REF!),8),E1216)</f>
        <v/>
      </c>
      <c r="F1217" s="49">
        <f>TRUNC(((1+VLOOKUP(A1217,IPCA!$A$2:$C$140,3,0)))^(C1217/(EDATE(D1217-C1217,1)-(D1217-C1217))),8)</f>
        <v/>
      </c>
      <c r="G1217" s="49">
        <f>TRUNC((E1217*F1217),8)</f>
        <v/>
      </c>
      <c r="H1217" s="49">
        <f>ROUND(((1+$H$4)^(30/360))^(C1217/(EDATE(D1217-B1217,1)-(D1217-B1217))),9)</f>
        <v/>
      </c>
      <c r="I1217" s="49">
        <f>TRUNC((G1217*H1217-G1217),8)</f>
        <v/>
      </c>
      <c r="J1217" s="49">
        <f>G1217+I1217</f>
        <v/>
      </c>
      <c r="K1217" s="256" t="n"/>
      <c r="L1217" s="256" t="n"/>
      <c r="M1217" s="256" t="n"/>
      <c r="N1217" s="256" t="n"/>
      <c r="O1217" s="256" t="n"/>
      <c r="P1217" s="256" t="n"/>
      <c r="Q1217" s="256" t="n"/>
    </row>
    <row r="1218">
      <c r="A1218">
        <f>IF(DAY(D1218)=DAY($L$1+1),A1217+1,A1217)</f>
        <v/>
      </c>
      <c r="B1218" s="46">
        <f>IF(DAY(D1218)=DAY($L$1+1),1,B1217+1)</f>
        <v/>
      </c>
      <c r="C1218" s="46">
        <f>IF(DAY(D1218)=DAY($L$1+1),1,C1217+1)</f>
        <v/>
      </c>
      <c r="D1218" s="2">
        <f>D1217+1</f>
        <v/>
      </c>
      <c r="E1218" s="8">
        <f>IF(DAY(D1218)=DAY($L$1+1),TRUNC((#REF!),8),E1217)</f>
        <v/>
      </c>
      <c r="F1218" s="49">
        <f>TRUNC(((1+VLOOKUP(A1218,IPCA!$A$2:$C$140,3,0)))^(C1218/(EDATE(D1218-C1218,1)-(D1218-C1218))),8)</f>
        <v/>
      </c>
      <c r="G1218" s="49">
        <f>TRUNC((E1218*F1218),8)</f>
        <v/>
      </c>
      <c r="H1218" s="49">
        <f>ROUND(((1+$H$4)^(30/360))^(C1218/(EDATE(D1218-B1218,1)-(D1218-B1218))),9)</f>
        <v/>
      </c>
      <c r="I1218" s="49">
        <f>TRUNC((G1218*H1218-G1218),8)</f>
        <v/>
      </c>
      <c r="J1218" s="49">
        <f>G1218+I1218</f>
        <v/>
      </c>
      <c r="K1218" s="256" t="n"/>
      <c r="L1218" s="256" t="n"/>
      <c r="M1218" s="256" t="n"/>
      <c r="N1218" s="256" t="n"/>
      <c r="O1218" s="256" t="n"/>
      <c r="P1218" s="256" t="n"/>
      <c r="Q1218" s="256" t="n"/>
    </row>
    <row r="1219">
      <c r="A1219">
        <f>IF(DAY(D1219)=DAY($L$1+1),A1218+1,A1218)</f>
        <v/>
      </c>
      <c r="B1219" s="46">
        <f>IF(DAY(D1219)=DAY($L$1+1),1,B1218+1)</f>
        <v/>
      </c>
      <c r="C1219" s="46">
        <f>IF(DAY(D1219)=DAY($L$1+1),1,C1218+1)</f>
        <v/>
      </c>
      <c r="D1219" s="2">
        <f>D1218+1</f>
        <v/>
      </c>
      <c r="E1219" s="8">
        <f>IF(DAY(D1219)=DAY($L$1+1),TRUNC((#REF!),8),E1218)</f>
        <v/>
      </c>
      <c r="F1219" s="49">
        <f>TRUNC(((1+VLOOKUP(A1219,IPCA!$A$2:$C$140,3,0)))^(C1219/(EDATE(D1219-C1219,1)-(D1219-C1219))),8)</f>
        <v/>
      </c>
      <c r="G1219" s="49">
        <f>TRUNC((E1219*F1219),8)</f>
        <v/>
      </c>
      <c r="H1219" s="49">
        <f>ROUND(((1+$H$4)^(30/360))^(C1219/(EDATE(D1219-B1219,1)-(D1219-B1219))),9)</f>
        <v/>
      </c>
      <c r="I1219" s="49">
        <f>TRUNC((G1219*H1219-G1219),8)</f>
        <v/>
      </c>
      <c r="J1219" s="49">
        <f>G1219+I1219</f>
        <v/>
      </c>
      <c r="K1219" s="256" t="n"/>
      <c r="L1219" s="256" t="n"/>
      <c r="M1219" s="256" t="n"/>
      <c r="N1219" s="256" t="n"/>
      <c r="O1219" s="256" t="n"/>
      <c r="P1219" s="256" t="n"/>
      <c r="Q1219" s="256" t="n"/>
    </row>
    <row r="1220">
      <c r="A1220">
        <f>IF(DAY(D1220)=DAY($L$1+1),A1219+1,A1219)</f>
        <v/>
      </c>
      <c r="B1220" s="46">
        <f>IF(DAY(D1220)=DAY($L$1+1),1,B1219+1)</f>
        <v/>
      </c>
      <c r="C1220" s="46">
        <f>IF(DAY(D1220)=DAY($L$1+1),1,C1219+1)</f>
        <v/>
      </c>
      <c r="D1220" s="2">
        <f>D1219+1</f>
        <v/>
      </c>
      <c r="E1220" s="8">
        <f>IF(DAY(D1220)=DAY($L$1+1),TRUNC((#REF!),8),E1219)</f>
        <v/>
      </c>
      <c r="F1220" s="49">
        <f>TRUNC(((1+VLOOKUP(A1220,IPCA!$A$2:$C$140,3,0)))^(C1220/(EDATE(D1220-C1220,1)-(D1220-C1220))),8)</f>
        <v/>
      </c>
      <c r="G1220" s="49">
        <f>TRUNC((E1220*F1220),8)</f>
        <v/>
      </c>
      <c r="H1220" s="49">
        <f>ROUND(((1+$H$4)^(30/360))^(C1220/(EDATE(D1220-B1220,1)-(D1220-B1220))),9)</f>
        <v/>
      </c>
      <c r="I1220" s="49">
        <f>TRUNC((G1220*H1220-G1220),8)</f>
        <v/>
      </c>
      <c r="J1220" s="49">
        <f>G1220+I1220</f>
        <v/>
      </c>
      <c r="K1220" s="256" t="n"/>
      <c r="L1220" s="256" t="n"/>
      <c r="M1220" s="256" t="n"/>
      <c r="N1220" s="256" t="n"/>
      <c r="O1220" s="256" t="n"/>
      <c r="P1220" s="256" t="n"/>
      <c r="Q1220" s="256" t="n"/>
    </row>
    <row r="1221">
      <c r="A1221">
        <f>IF(DAY(D1221)=DAY($L$1+1),A1220+1,A1220)</f>
        <v/>
      </c>
      <c r="B1221" s="46">
        <f>IF(DAY(D1221)=DAY($L$1+1),1,B1220+1)</f>
        <v/>
      </c>
      <c r="C1221" s="46">
        <f>IF(DAY(D1221)=DAY($L$1+1),1,C1220+1)</f>
        <v/>
      </c>
      <c r="D1221" s="2">
        <f>D1220+1</f>
        <v/>
      </c>
      <c r="E1221" s="8">
        <f>IF(DAY(D1221)=DAY($L$1+1),TRUNC((#REF!),8),E1220)</f>
        <v/>
      </c>
      <c r="F1221" s="49">
        <f>TRUNC(((1+VLOOKUP(A1221,IPCA!$A$2:$C$140,3,0)))^(C1221/(EDATE(D1221-C1221,1)-(D1221-C1221))),8)</f>
        <v/>
      </c>
      <c r="G1221" s="49">
        <f>TRUNC((E1221*F1221),8)</f>
        <v/>
      </c>
      <c r="H1221" s="49">
        <f>ROUND(((1+$H$4)^(30/360))^(C1221/(EDATE(D1221-B1221,1)-(D1221-B1221))),9)</f>
        <v/>
      </c>
      <c r="I1221" s="49">
        <f>TRUNC((G1221*H1221-G1221),8)</f>
        <v/>
      </c>
      <c r="J1221" s="49">
        <f>G1221+I1221</f>
        <v/>
      </c>
      <c r="K1221" s="256" t="n"/>
      <c r="L1221" s="256" t="n"/>
      <c r="M1221" s="256" t="n"/>
      <c r="N1221" s="256" t="n"/>
      <c r="O1221" s="256" t="n"/>
      <c r="P1221" s="256" t="n"/>
      <c r="Q1221" s="256" t="n"/>
    </row>
    <row r="1222">
      <c r="A1222">
        <f>IF(DAY(D1222)=DAY($L$1+1),A1221+1,A1221)</f>
        <v/>
      </c>
      <c r="B1222" s="46">
        <f>IF(DAY(D1222)=DAY($L$1+1),1,B1221+1)</f>
        <v/>
      </c>
      <c r="C1222" s="46">
        <f>IF(DAY(D1222)=DAY($L$1+1),1,C1221+1)</f>
        <v/>
      </c>
      <c r="D1222" s="2">
        <f>D1221+1</f>
        <v/>
      </c>
      <c r="E1222" s="8">
        <f>IF(DAY(D1222)=DAY($L$1+1),TRUNC((#REF!),8),E1221)</f>
        <v/>
      </c>
      <c r="F1222" s="49">
        <f>TRUNC(((1+VLOOKUP(A1222,IPCA!$A$2:$C$140,3,0)))^(C1222/(EDATE(D1222-C1222,1)-(D1222-C1222))),8)</f>
        <v/>
      </c>
      <c r="G1222" s="49">
        <f>TRUNC((E1222*F1222),8)</f>
        <v/>
      </c>
      <c r="H1222" s="49">
        <f>ROUND(((1+$H$4)^(30/360))^(C1222/(EDATE(D1222-B1222,1)-(D1222-B1222))),9)</f>
        <v/>
      </c>
      <c r="I1222" s="49">
        <f>TRUNC((G1222*H1222-G1222),8)</f>
        <v/>
      </c>
      <c r="J1222" s="49">
        <f>G1222+I1222</f>
        <v/>
      </c>
      <c r="K1222" s="256" t="n"/>
      <c r="L1222" s="256" t="n"/>
      <c r="M1222" s="256" t="n"/>
      <c r="N1222" s="256" t="n"/>
      <c r="O1222" s="256" t="n"/>
      <c r="P1222" s="256" t="n"/>
      <c r="Q1222" s="256" t="n"/>
    </row>
    <row r="1223">
      <c r="A1223">
        <f>IF(DAY(D1223)=DAY($L$1+1),A1222+1,A1222)</f>
        <v/>
      </c>
      <c r="B1223" s="46">
        <f>IF(DAY(D1223)=DAY($L$1+1),1,B1222+1)</f>
        <v/>
      </c>
      <c r="C1223" s="46">
        <f>IF(DAY(D1223)=DAY($L$1+1),1,C1222+1)</f>
        <v/>
      </c>
      <c r="D1223" s="2">
        <f>D1222+1</f>
        <v/>
      </c>
      <c r="E1223" s="8">
        <f>IF(DAY(D1223)=DAY($L$1+1),TRUNC((#REF!),8),E1222)</f>
        <v/>
      </c>
      <c r="F1223" s="49">
        <f>TRUNC(((1+VLOOKUP(A1223,IPCA!$A$2:$C$140,3,0)))^(C1223/(EDATE(D1223-C1223,1)-(D1223-C1223))),8)</f>
        <v/>
      </c>
      <c r="G1223" s="49">
        <f>TRUNC((E1223*F1223),8)</f>
        <v/>
      </c>
      <c r="H1223" s="49">
        <f>ROUND(((1+$H$4)^(30/360))^(C1223/(EDATE(D1223-B1223,1)-(D1223-B1223))),9)</f>
        <v/>
      </c>
      <c r="I1223" s="49">
        <f>TRUNC((G1223*H1223-G1223),8)</f>
        <v/>
      </c>
      <c r="J1223" s="49">
        <f>G1223+I1223</f>
        <v/>
      </c>
      <c r="K1223" s="256" t="n"/>
      <c r="L1223" s="256" t="n"/>
      <c r="M1223" s="256" t="n"/>
      <c r="N1223" s="256" t="n"/>
      <c r="O1223" s="256" t="n"/>
      <c r="P1223" s="256" t="n"/>
      <c r="Q1223" s="256" t="n"/>
    </row>
    <row r="1224">
      <c r="A1224">
        <f>IF(DAY(D1224)=DAY($L$1+1),A1223+1,A1223)</f>
        <v/>
      </c>
      <c r="B1224" s="46">
        <f>IF(DAY(D1224)=DAY($L$1+1),1,B1223+1)</f>
        <v/>
      </c>
      <c r="C1224" s="46">
        <f>IF(DAY(D1224)=DAY($L$1+1),1,C1223+1)</f>
        <v/>
      </c>
      <c r="D1224" s="2">
        <f>D1223+1</f>
        <v/>
      </c>
      <c r="E1224" s="8">
        <f>IF(DAY(D1224)=DAY($L$1+1),TRUNC((#REF!),8),E1223)</f>
        <v/>
      </c>
      <c r="F1224" s="49">
        <f>TRUNC(((1+VLOOKUP(A1224,IPCA!$A$2:$C$140,3,0)))^(C1224/(EDATE(D1224-C1224,1)-(D1224-C1224))),8)</f>
        <v/>
      </c>
      <c r="G1224" s="49">
        <f>TRUNC((E1224*F1224),8)</f>
        <v/>
      </c>
      <c r="H1224" s="49">
        <f>ROUND(((1+$H$4)^(30/360))^(C1224/(EDATE(D1224-B1224,1)-(D1224-B1224))),9)</f>
        <v/>
      </c>
      <c r="I1224" s="49">
        <f>TRUNC((G1224*H1224-G1224),8)</f>
        <v/>
      </c>
      <c r="J1224" s="49">
        <f>G1224+I1224</f>
        <v/>
      </c>
      <c r="K1224" s="256" t="n"/>
      <c r="L1224" s="256" t="n"/>
      <c r="M1224" s="256" t="n"/>
      <c r="N1224" s="256" t="n"/>
      <c r="O1224" s="256" t="n"/>
      <c r="P1224" s="256" t="n"/>
      <c r="Q1224" s="256" t="n"/>
    </row>
    <row r="1225">
      <c r="A1225">
        <f>IF(DAY(D1225)=DAY($L$1+1),A1224+1,A1224)</f>
        <v/>
      </c>
      <c r="B1225" s="46">
        <f>IF(DAY(D1225)=DAY($L$1+1),1,B1224+1)</f>
        <v/>
      </c>
      <c r="C1225" s="46">
        <f>IF(DAY(D1225)=DAY($L$1+1),1,C1224+1)</f>
        <v/>
      </c>
      <c r="D1225" s="2">
        <f>D1224+1</f>
        <v/>
      </c>
      <c r="E1225" s="8">
        <f>IF(DAY(D1225)=DAY($L$1+1),TRUNC((#REF!),8),E1224)</f>
        <v/>
      </c>
      <c r="F1225" s="49">
        <f>TRUNC(((1+VLOOKUP(A1225,IPCA!$A$2:$C$140,3,0)))^(C1225/(EDATE(D1225-C1225,1)-(D1225-C1225))),8)</f>
        <v/>
      </c>
      <c r="G1225" s="49">
        <f>TRUNC((E1225*F1225),8)</f>
        <v/>
      </c>
      <c r="H1225" s="49">
        <f>ROUND(((1+$H$4)^(30/360))^(C1225/(EDATE(D1225-B1225,1)-(D1225-B1225))),9)</f>
        <v/>
      </c>
      <c r="I1225" s="49">
        <f>TRUNC((G1225*H1225-G1225),8)</f>
        <v/>
      </c>
      <c r="J1225" s="49">
        <f>G1225+I1225</f>
        <v/>
      </c>
      <c r="K1225" s="256" t="n"/>
      <c r="L1225" s="256" t="n"/>
      <c r="M1225" s="256" t="n"/>
      <c r="N1225" s="256" t="n"/>
      <c r="O1225" s="256" t="n"/>
      <c r="P1225" s="256" t="n"/>
      <c r="Q1225" s="256" t="n"/>
    </row>
    <row r="1226">
      <c r="A1226">
        <f>IF(DAY(D1226)=DAY($L$1+1),A1225+1,A1225)</f>
        <v/>
      </c>
      <c r="B1226" s="46">
        <f>IF(DAY(D1226)=DAY($L$1+1),1,B1225+1)</f>
        <v/>
      </c>
      <c r="C1226" s="46">
        <f>IF(DAY(D1226)=DAY($L$1+1),1,C1225+1)</f>
        <v/>
      </c>
      <c r="D1226" s="2">
        <f>D1225+1</f>
        <v/>
      </c>
      <c r="E1226" s="8">
        <f>IF(DAY(D1226)=DAY($L$1+1),TRUNC((N1225),8),E1225)</f>
        <v/>
      </c>
      <c r="F1226" s="49">
        <f>TRUNC(((1+VLOOKUP(A1226,IPCA!$A$2:$C$140,3,0)))^(C1226/(EDATE(D1226-C1226,1)-(D1226-C1226))),8)</f>
        <v/>
      </c>
      <c r="G1226" s="49">
        <f>TRUNC((E1226*F1226),8)</f>
        <v/>
      </c>
      <c r="H1226" s="49">
        <f>ROUND(((1+$H$4)^(30/360))^(C1226/(EDATE(D1226-B1226,1)-(D1226-B1226))),9)</f>
        <v/>
      </c>
      <c r="I1226" s="49">
        <f>TRUNC((G1226*H1226-G1226),8)</f>
        <v/>
      </c>
      <c r="J1226" s="49">
        <f>G1226+I1226</f>
        <v/>
      </c>
      <c r="K1226" s="256" t="n"/>
      <c r="L1226" s="256" t="n"/>
      <c r="M1226" s="256" t="n"/>
      <c r="N1226" s="256" t="n"/>
      <c r="O1226" s="256" t="n"/>
      <c r="P1226" s="256" t="n"/>
      <c r="Q1226" s="256" t="n"/>
    </row>
    <row r="1227">
      <c r="A1227">
        <f>IF(DAY(D1227)=DAY($L$1+1),A1226+1,A1226)</f>
        <v/>
      </c>
      <c r="B1227" s="46">
        <f>IF(DAY(D1227)=DAY($L$1+1),1,B1226+1)</f>
        <v/>
      </c>
      <c r="C1227" s="46">
        <f>IF(DAY(D1227)=DAY($L$1+1),1,C1226+1)</f>
        <v/>
      </c>
      <c r="D1227" s="2">
        <f>D1226+1</f>
        <v/>
      </c>
      <c r="E1227" s="8">
        <f>IF(DAY(D1227)=DAY($L$1+1),TRUNC((N1226),8),E1226)</f>
        <v/>
      </c>
      <c r="F1227" s="49">
        <f>TRUNC(((1+VLOOKUP(A1227,IPCA!$A$2:$C$140,3,0)))^(C1227/(EDATE(D1227-C1227,1)-(D1227-C1227))),8)</f>
        <v/>
      </c>
      <c r="G1227" s="49">
        <f>TRUNC((E1227*F1227),8)</f>
        <v/>
      </c>
      <c r="H1227" s="49">
        <f>ROUND(((1+$H$4)^(30/360))^(C1227/(EDATE(D1227-B1227,1)-(D1227-B1227))),9)</f>
        <v/>
      </c>
      <c r="I1227" s="49">
        <f>TRUNC((G1227*H1227-G1227),8)</f>
        <v/>
      </c>
      <c r="J1227" s="49">
        <f>G1227+I1227</f>
        <v/>
      </c>
      <c r="K1227" s="256" t="n"/>
      <c r="L1227" s="256" t="n"/>
      <c r="M1227" s="256" t="n"/>
      <c r="N1227" s="256" t="n"/>
      <c r="O1227" s="256" t="n"/>
      <c r="P1227" s="256" t="n"/>
      <c r="Q1227" s="256" t="n"/>
    </row>
    <row r="1228">
      <c r="A1228">
        <f>IF(DAY(D1228)=DAY($L$1+1),A1227+1,A1227)</f>
        <v/>
      </c>
      <c r="B1228" s="46">
        <f>IF(DAY(D1228)=DAY($L$1+1),1,B1227+1)</f>
        <v/>
      </c>
      <c r="C1228" s="46">
        <f>IF(DAY(D1228)=DAY($L$1+1),1,C1227+1)</f>
        <v/>
      </c>
      <c r="D1228" s="2">
        <f>D1227+1</f>
        <v/>
      </c>
      <c r="E1228" s="8">
        <f>IF(DAY(D1228)=DAY($L$1+1),TRUNC((N1227),8),E1227)</f>
        <v/>
      </c>
      <c r="F1228" s="49">
        <f>TRUNC(((1+VLOOKUP(A1228,IPCA!$A$2:$C$140,3,0)))^(C1228/(EDATE(D1228-C1228,1)-(D1228-C1228))),8)</f>
        <v/>
      </c>
      <c r="G1228" s="49">
        <f>TRUNC((E1228*F1228),8)</f>
        <v/>
      </c>
      <c r="H1228" s="49">
        <f>ROUND(((1+$H$4)^(30/360))^(C1228/(EDATE(D1228-B1228,1)-(D1228-B1228))),9)</f>
        <v/>
      </c>
      <c r="I1228" s="49">
        <f>TRUNC((G1228*H1228-G1228),8)</f>
        <v/>
      </c>
      <c r="J1228" s="49">
        <f>G1228+I1228</f>
        <v/>
      </c>
      <c r="K1228" s="256" t="n"/>
      <c r="L1228" s="256" t="n"/>
      <c r="M1228" s="256" t="n"/>
      <c r="N1228" s="256" t="n"/>
      <c r="O1228" s="256" t="n"/>
      <c r="P1228" s="256" t="n"/>
      <c r="Q1228" s="256" t="n"/>
    </row>
    <row r="1229">
      <c r="A1229">
        <f>IF(DAY(D1229)=DAY($L$1+1),A1228+1,A1228)</f>
        <v/>
      </c>
      <c r="B1229" s="46">
        <f>IF(DAY(D1229)=DAY($L$1+1),1,B1228+1)</f>
        <v/>
      </c>
      <c r="C1229" s="46">
        <f>IF(DAY(D1229)=DAY($L$1+1),1,C1228+1)</f>
        <v/>
      </c>
      <c r="D1229" s="2">
        <f>D1228+1</f>
        <v/>
      </c>
      <c r="E1229" s="8">
        <f>IF(DAY(D1229)=DAY($L$1+1),TRUNC((N1228),8),E1228)</f>
        <v/>
      </c>
      <c r="F1229" s="49">
        <f>TRUNC(((1+VLOOKUP(A1229,IPCA!$A$2:$C$140,3,0)))^(C1229/(EDATE(D1229-C1229,1)-(D1229-C1229))),8)</f>
        <v/>
      </c>
      <c r="G1229" s="49">
        <f>TRUNC((E1229*F1229),8)</f>
        <v/>
      </c>
      <c r="H1229" s="49">
        <f>ROUND(((1+$H$4)^(30/360))^(C1229/(EDATE(D1229-B1229,1)-(D1229-B1229))),9)</f>
        <v/>
      </c>
      <c r="I1229" s="49">
        <f>TRUNC((G1229*H1229-G1229),8)</f>
        <v/>
      </c>
      <c r="J1229" s="49">
        <f>G1229+I1229</f>
        <v/>
      </c>
      <c r="K1229" s="256" t="n"/>
      <c r="L1229" s="256" t="n"/>
      <c r="M1229" s="256" t="n"/>
      <c r="N1229" s="256" t="n"/>
      <c r="O1229" s="256" t="n"/>
      <c r="P1229" s="256" t="n"/>
      <c r="Q1229" s="256" t="n"/>
    </row>
    <row r="1230">
      <c r="A1230">
        <f>IF(DAY(D1230)=DAY($L$1+1),A1229+1,A1229)</f>
        <v/>
      </c>
      <c r="B1230" s="46">
        <f>IF(DAY(D1230)=DAY($L$1+1),1,B1229+1)</f>
        <v/>
      </c>
      <c r="C1230" s="46">
        <f>IF(DAY(D1230)=DAY($L$1+1),1,C1229+1)</f>
        <v/>
      </c>
      <c r="D1230" s="2">
        <f>D1229+1</f>
        <v/>
      </c>
      <c r="E1230" s="8">
        <f>IF(DAY(D1230)=DAY($L$1+1),TRUNC((N1229),8),E1229)</f>
        <v/>
      </c>
      <c r="F1230" s="49">
        <f>TRUNC(((1+VLOOKUP(A1230,IPCA!$A$2:$C$140,3,0)))^(C1230/(EDATE(D1230-C1230,1)-(D1230-C1230))),8)</f>
        <v/>
      </c>
      <c r="G1230" s="49">
        <f>TRUNC((E1230*F1230),8)</f>
        <v/>
      </c>
      <c r="H1230" s="49">
        <f>ROUND(((1+$H$4)^(30/360))^(C1230/(EDATE(D1230-B1230,1)-(D1230-B1230))),9)</f>
        <v/>
      </c>
      <c r="I1230" s="49">
        <f>TRUNC((G1230*H1230-G1230),8)</f>
        <v/>
      </c>
      <c r="J1230" s="49">
        <f>G1230+I1230</f>
        <v/>
      </c>
      <c r="K1230" s="256" t="n"/>
      <c r="L1230" s="256" t="n"/>
      <c r="M1230" s="256" t="n"/>
      <c r="N1230" s="256" t="n"/>
      <c r="O1230" s="256" t="n"/>
      <c r="P1230" s="256" t="n"/>
      <c r="Q1230" s="256" t="n"/>
    </row>
    <row r="1231">
      <c r="A1231">
        <f>IF(DAY(D1231)=DAY($L$1+1),A1230+1,A1230)</f>
        <v/>
      </c>
      <c r="B1231" s="46">
        <f>IF(DAY(D1231)=DAY($L$1+1),1,B1230+1)</f>
        <v/>
      </c>
      <c r="C1231" s="46">
        <f>IF(DAY(D1231)=DAY($L$1+1),1,C1230+1)</f>
        <v/>
      </c>
      <c r="D1231" s="2">
        <f>D1230+1</f>
        <v/>
      </c>
      <c r="E1231" s="8">
        <f>IF(DAY(D1231)=DAY($L$1+1),TRUNC((N1230),8),E1230)</f>
        <v/>
      </c>
      <c r="F1231" s="49">
        <f>TRUNC(((1+VLOOKUP(A1231,IPCA!$A$2:$C$140,3,0)))^(C1231/(EDATE(D1231-C1231,1)-(D1231-C1231))),8)</f>
        <v/>
      </c>
      <c r="G1231" s="49">
        <f>TRUNC((E1231*F1231),8)</f>
        <v/>
      </c>
      <c r="H1231" s="49">
        <f>ROUND(((1+$H$4)^(30/360))^(C1231/(EDATE(D1231-B1231,1)-(D1231-B1231))),9)</f>
        <v/>
      </c>
      <c r="I1231" s="49">
        <f>TRUNC((G1231*H1231-G1231),8)</f>
        <v/>
      </c>
      <c r="J1231" s="49">
        <f>G1231+I1231</f>
        <v/>
      </c>
      <c r="K1231" s="256" t="n"/>
      <c r="L1231" s="256" t="n"/>
      <c r="M1231" s="256" t="n"/>
      <c r="N1231" s="256" t="n"/>
      <c r="O1231" s="256" t="n"/>
      <c r="P1231" s="256" t="n"/>
      <c r="Q1231" s="256" t="n"/>
    </row>
    <row r="1232">
      <c r="A1232">
        <f>IF(DAY(D1232)=DAY($L$1+1),A1231+1,A1231)</f>
        <v/>
      </c>
      <c r="B1232" s="46">
        <f>IF(DAY(D1232)=DAY($L$1+1),1,B1231+1)</f>
        <v/>
      </c>
      <c r="C1232" s="46">
        <f>IF(DAY(D1232)=DAY($L$1+1),1,C1231+1)</f>
        <v/>
      </c>
      <c r="D1232" s="2">
        <f>D1231+1</f>
        <v/>
      </c>
      <c r="E1232" s="8">
        <f>IF(DAY(D1232)=DAY($L$1+1),TRUNC((N1231),8),E1231)</f>
        <v/>
      </c>
      <c r="F1232" s="49">
        <f>TRUNC(((1+VLOOKUP(A1232,IPCA!$A$2:$C$140,3,0)))^(C1232/(EDATE(D1232-C1232,1)-(D1232-C1232))),8)</f>
        <v/>
      </c>
      <c r="G1232" s="49">
        <f>TRUNC((E1232*F1232),8)</f>
        <v/>
      </c>
      <c r="H1232" s="49">
        <f>ROUND(((1+$H$4)^(30/360))^(C1232/(EDATE(D1232-B1232,1)-(D1232-B1232))),9)</f>
        <v/>
      </c>
      <c r="I1232" s="49">
        <f>TRUNC((G1232*H1232-G1232),8)</f>
        <v/>
      </c>
      <c r="J1232" s="49">
        <f>G1232+I1232</f>
        <v/>
      </c>
      <c r="K1232" s="256" t="n"/>
      <c r="L1232" s="256" t="n"/>
      <c r="M1232" s="256" t="n"/>
      <c r="N1232" s="256" t="n"/>
      <c r="O1232" s="256" t="n"/>
      <c r="P1232" s="256" t="n"/>
      <c r="Q1232" s="256" t="n"/>
    </row>
    <row r="1233">
      <c r="A1233">
        <f>IF(DAY(D1233)=DAY($L$1+1),A1232+1,A1232)</f>
        <v/>
      </c>
      <c r="B1233" s="46">
        <f>IF(DAY(D1233)=DAY($L$1+1),1,B1232+1)</f>
        <v/>
      </c>
      <c r="C1233" s="46">
        <f>IF(DAY(D1233)=DAY($L$1+1),1,C1232+1)</f>
        <v/>
      </c>
      <c r="D1233" s="2">
        <f>D1232+1</f>
        <v/>
      </c>
      <c r="E1233" s="8">
        <f>IF(DAY(D1233)=DAY($L$1+1),TRUNC((N1232),8),E1232)</f>
        <v/>
      </c>
      <c r="F1233" s="49">
        <f>TRUNC(((1+VLOOKUP(A1233,IPCA!$A$2:$C$140,3,0)))^(C1233/(EDATE(D1233-C1233,1)-(D1233-C1233))),8)</f>
        <v/>
      </c>
      <c r="G1233" s="49">
        <f>TRUNC((E1233*F1233),8)</f>
        <v/>
      </c>
      <c r="H1233" s="49">
        <f>ROUND(((1+$H$4)^(30/360))^(C1233/(EDATE(D1233-B1233,1)-(D1233-B1233))),9)</f>
        <v/>
      </c>
      <c r="I1233" s="49">
        <f>TRUNC((G1233*H1233-G1233),8)</f>
        <v/>
      </c>
      <c r="J1233" s="49">
        <f>G1233+I1233</f>
        <v/>
      </c>
      <c r="K1233" s="256" t="n"/>
      <c r="L1233" s="256" t="n"/>
      <c r="M1233" s="256" t="n"/>
      <c r="N1233" s="256" t="n"/>
      <c r="O1233" s="256" t="n"/>
      <c r="P1233" s="256" t="n"/>
      <c r="Q1233" s="256" t="n"/>
    </row>
    <row r="1234">
      <c r="A1234">
        <f>IF(DAY(D1234)=DAY($L$1+1),A1233+1,A1233)</f>
        <v/>
      </c>
      <c r="B1234" s="46">
        <f>IF(DAY(D1234)=DAY($L$1+1),1,B1233+1)</f>
        <v/>
      </c>
      <c r="C1234" s="46">
        <f>IF(DAY(D1234)=DAY($L$1+1),1,C1233+1)</f>
        <v/>
      </c>
      <c r="D1234" s="2">
        <f>D1233+1</f>
        <v/>
      </c>
      <c r="E1234" s="8">
        <f>IF(DAY(D1234)=DAY($L$1+1),TRUNC((N1233),8),E1233)</f>
        <v/>
      </c>
      <c r="F1234" s="49">
        <f>TRUNC(((1+VLOOKUP(A1234,IPCA!$A$2:$C$140,3,0)))^(C1234/(EDATE(D1234-C1234,1)-(D1234-C1234))),8)</f>
        <v/>
      </c>
      <c r="G1234" s="49">
        <f>TRUNC((E1234*F1234),8)</f>
        <v/>
      </c>
      <c r="H1234" s="49">
        <f>ROUND(((1+$H$4)^(30/360))^(C1234/(EDATE(D1234-B1234,1)-(D1234-B1234))),9)</f>
        <v/>
      </c>
      <c r="I1234" s="49">
        <f>TRUNC((G1234*H1234-G1234),8)</f>
        <v/>
      </c>
      <c r="J1234" s="49">
        <f>G1234+I1234</f>
        <v/>
      </c>
      <c r="K1234" s="256" t="n"/>
      <c r="L1234" s="256" t="n"/>
      <c r="M1234" s="256" t="n"/>
      <c r="N1234" s="256" t="n"/>
      <c r="O1234" s="256" t="n"/>
      <c r="P1234" s="256" t="n"/>
      <c r="Q1234" s="256" t="n"/>
    </row>
    <row r="1235">
      <c r="A1235">
        <f>IF(DAY(D1235)=DAY($L$1+1),A1234+1,A1234)</f>
        <v/>
      </c>
      <c r="B1235" s="46">
        <f>IF(DAY(D1235)=DAY($L$1+1),1,B1234+1)</f>
        <v/>
      </c>
      <c r="C1235" s="46">
        <f>IF(DAY(D1235)=DAY($L$1+1),1,C1234+1)</f>
        <v/>
      </c>
      <c r="D1235" s="2">
        <f>D1234+1</f>
        <v/>
      </c>
      <c r="E1235" s="8">
        <f>IF(DAY(D1235)=DAY($L$1+1),TRUNC((N1234),8),E1234)</f>
        <v/>
      </c>
      <c r="F1235" s="49">
        <f>TRUNC(((1+VLOOKUP(A1235,IPCA!$A$2:$C$140,3,0)))^(C1235/(EDATE(D1235-C1235,1)-(D1235-C1235))),8)</f>
        <v/>
      </c>
      <c r="G1235" s="49">
        <f>TRUNC((E1235*F1235),8)</f>
        <v/>
      </c>
      <c r="H1235" s="49">
        <f>ROUND(((1+$H$4)^(30/360))^(C1235/(EDATE(D1235-B1235,1)-(D1235-B1235))),9)</f>
        <v/>
      </c>
      <c r="I1235" s="49">
        <f>TRUNC((G1235*H1235-G1235),8)</f>
        <v/>
      </c>
      <c r="J1235" s="49">
        <f>G1235+I1235</f>
        <v/>
      </c>
      <c r="K1235" s="256" t="n"/>
      <c r="L1235" s="256" t="n"/>
      <c r="M1235" s="256" t="n"/>
      <c r="N1235" s="256" t="n"/>
      <c r="O1235" s="256" t="n"/>
      <c r="P1235" s="256" t="n"/>
      <c r="Q1235" s="256" t="n"/>
    </row>
    <row r="1236">
      <c r="A1236">
        <f>IF(DAY(D1236)=DAY($L$1+1),A1235+1,A1235)</f>
        <v/>
      </c>
      <c r="B1236" s="46">
        <f>IF(DAY(D1236)=DAY($L$1+1),1,B1235+1)</f>
        <v/>
      </c>
      <c r="C1236" s="46">
        <f>IF(DAY(D1236)=DAY($L$1+1),1,C1235+1)</f>
        <v/>
      </c>
      <c r="D1236" s="2">
        <f>D1235+1</f>
        <v/>
      </c>
      <c r="E1236" s="8">
        <f>IF(DAY(D1236)=DAY($L$1+1),TRUNC((N1235),8),E1235)</f>
        <v/>
      </c>
      <c r="F1236" s="49">
        <f>TRUNC(((1+VLOOKUP(A1236,IPCA!$A$2:$C$140,3,0)))^(C1236/(EDATE(D1236-C1236,1)-(D1236-C1236))),8)</f>
        <v/>
      </c>
      <c r="G1236" s="49">
        <f>TRUNC((E1236*F1236),8)</f>
        <v/>
      </c>
      <c r="H1236" s="49">
        <f>ROUND(((1+$H$4)^(30/360))^(C1236/(EDATE(D1236-B1236,1)-(D1236-B1236))),9)</f>
        <v/>
      </c>
      <c r="I1236" s="49">
        <f>TRUNC((G1236*H1236-G1236),8)</f>
        <v/>
      </c>
      <c r="J1236" s="49">
        <f>G1236+I1236</f>
        <v/>
      </c>
      <c r="K1236" s="256" t="inlineStr">
        <is>
          <t>Cri Integralizado</t>
        </is>
      </c>
      <c r="L1236" s="270">
        <f>L1205</f>
        <v/>
      </c>
      <c r="M1236" s="256" t="n"/>
      <c r="N1236" s="256" t="n"/>
      <c r="O1236" s="256" t="n"/>
      <c r="P1236" s="256" t="n"/>
      <c r="Q1236" s="256" t="n"/>
    </row>
    <row r="1237">
      <c r="A1237">
        <f>IF(DAY(D1237)=DAY($L$1+1),A1236+1,A1236)</f>
        <v/>
      </c>
      <c r="B1237" s="46">
        <f>IF(DAY(D1237)=DAY($L$1+1),1,B1236+1)</f>
        <v/>
      </c>
      <c r="C1237" s="46">
        <f>IF(DAY(D1237)=DAY($L$1+1),1,C1236+1)</f>
        <v/>
      </c>
      <c r="D1237" s="47">
        <f>D1236+1</f>
        <v/>
      </c>
      <c r="E1237" s="8">
        <f>IF(DAY(D1237)=DAY($L$1+1),TRUNC((N1236),8),E1236)</f>
        <v/>
      </c>
      <c r="F1237" s="49">
        <f>TRUNC(((1+VLOOKUP(A1237,IPCA!$A$2:$C$140,3,0)))^(C1237/(EDATE(D1237-C1237,1)-(D1237-C1237))),8)</f>
        <v/>
      </c>
      <c r="G1237" s="49">
        <f>TRUNC((E1237*F1237),8)</f>
        <v/>
      </c>
      <c r="H1237" s="49">
        <f>ROUND(((1+$H$4)^(30/360))^(C1237/(EDATE(D1237-B1237,1)-(D1237-B1237))),9)</f>
        <v/>
      </c>
      <c r="I1237" s="49">
        <f>TRUNC((G1237*H1237-G1237),8)</f>
        <v/>
      </c>
      <c r="J1237" s="49">
        <f>G1237+I1237</f>
        <v/>
      </c>
      <c r="K1237" s="118" t="inlineStr">
        <is>
          <t>JUROS</t>
        </is>
      </c>
      <c r="L1237" s="118" t="inlineStr">
        <is>
          <t>AMORTIZAÇÃO</t>
        </is>
      </c>
      <c r="M1237" s="118" t="inlineStr">
        <is>
          <t>AMEX</t>
        </is>
      </c>
      <c r="N1237" s="118" t="inlineStr">
        <is>
          <t>RESIDUAL</t>
        </is>
      </c>
      <c r="O1237" s="256" t="n"/>
      <c r="P1237" s="256" t="n"/>
      <c r="Q1237" s="256" t="n"/>
    </row>
    <row r="1238">
      <c r="A1238">
        <f>IF(DAY(D1238)=DAY($L$1+1),A1237+1,A1237)</f>
        <v/>
      </c>
      <c r="B1238" s="111">
        <f>IF(DAY(D1238)=DAY($L$1+1),1,B1237+1)</f>
        <v/>
      </c>
      <c r="C1238" s="111">
        <f>IF(DAY(D1238)=DAY($L$1+1),1,C1237+1)</f>
        <v/>
      </c>
      <c r="D1238" s="112">
        <f>D1237+1</f>
        <v/>
      </c>
      <c r="E1238" s="113">
        <f>IF(DAY(D1238)=DAY($L$1+1),TRUNC((N1237),8),E1237)</f>
        <v/>
      </c>
      <c r="F1238" s="114">
        <f>TRUNC(((1+VLOOKUP(A1238,IPCA!$A$2:$C$140,3,0)))^(C1238/(EDATE(D1238-C1238,1)-(D1238-C1238))),8)</f>
        <v/>
      </c>
      <c r="G1238" s="114">
        <f>TRUNC((E1238*F1238),8)</f>
        <v/>
      </c>
      <c r="H1238" s="114">
        <f>ROUND(((1+$H$4)^(30/360))^(C1238/(EDATE(D1238-B1238,1)-(D1238-B1238))),9)</f>
        <v/>
      </c>
      <c r="I1238" s="114">
        <f>TRUNC((G1238*H1238-G1238),8)</f>
        <v/>
      </c>
      <c r="J1238" s="114">
        <f>G1238+I1238</f>
        <v/>
      </c>
      <c r="K1238" s="119">
        <f>I1238</f>
        <v/>
      </c>
      <c r="L1238" s="120">
        <f>TRUNC(G1238*VLOOKUP(D1238,'Amort TS'!$G$3:$H$140,2,0),8)</f>
        <v/>
      </c>
      <c r="M1238" s="120" t="n">
        <v>0</v>
      </c>
      <c r="N1238" s="120">
        <f>J1238-K1238-L1238-M1238</f>
        <v/>
      </c>
      <c r="O1238" s="256" t="n"/>
      <c r="P1238" s="256" t="n"/>
      <c r="Q1238" s="256" t="n"/>
    </row>
    <row r="1239">
      <c r="A1239">
        <f>IF(DAY(D1239)=DAY($L$1+1),A1238+1,A1238)</f>
        <v/>
      </c>
      <c r="B1239" s="46">
        <f>IF(DAY(D1239)=DAY($L$1+1),1,B1238+1)</f>
        <v/>
      </c>
      <c r="C1239" s="46">
        <f>IF(DAY(D1239)=DAY($L$1+1),1,C1238+1)</f>
        <v/>
      </c>
      <c r="D1239" s="2">
        <f>D1238+1</f>
        <v/>
      </c>
      <c r="E1239" s="8">
        <f>IF(DAY(D1239)=DAY($L$1+1),TRUNC((N1238),8),E1238)</f>
        <v/>
      </c>
      <c r="F1239" s="49">
        <f>TRUNC(((1+VLOOKUP(A1239,IPCA!$A$2:$C$140,3,0)))^(C1239/(EDATE(D1239-C1239,1)-(D1239-C1239))),8)</f>
        <v/>
      </c>
      <c r="G1239" s="49">
        <f>TRUNC((E1239*F1239),8)</f>
        <v/>
      </c>
      <c r="H1239" s="49">
        <f>ROUND(((1+$H$4)^(30/360))^(C1239/(EDATE(D1239-B1239,1)-(D1239-B1239))),9)</f>
        <v/>
      </c>
      <c r="I1239" s="49">
        <f>TRUNC((G1239*H1239-G1239),8)</f>
        <v/>
      </c>
      <c r="J1239" s="49">
        <f>G1239+I1239</f>
        <v/>
      </c>
      <c r="K1239" s="121">
        <f>K1238*L1236</f>
        <v/>
      </c>
      <c r="L1239" s="121">
        <f>L1238*L1236</f>
        <v/>
      </c>
      <c r="M1239" s="121">
        <f>M1238*L1236</f>
        <v/>
      </c>
      <c r="N1239" s="121">
        <f>N1238*L1236</f>
        <v/>
      </c>
      <c r="O1239" s="256" t="n"/>
      <c r="P1239" s="256" t="n"/>
      <c r="Q1239" s="256" t="n"/>
    </row>
    <row r="1240">
      <c r="A1240">
        <f>IF(DAY(D1240)=DAY($L$1+1),A1239+1,A1239)</f>
        <v/>
      </c>
      <c r="B1240" s="46">
        <f>IF(DAY(D1240)=DAY($L$1+1),1,B1239+1)</f>
        <v/>
      </c>
      <c r="C1240" s="46">
        <f>IF(DAY(D1240)=DAY($L$1+1),1,C1239+1)</f>
        <v/>
      </c>
      <c r="D1240" s="47">
        <f>D1239+1</f>
        <v/>
      </c>
      <c r="E1240" s="8">
        <f>IF(DAY(D1240)=DAY($L$1+1),TRUNC((N1239),8),E1239)</f>
        <v/>
      </c>
      <c r="F1240" s="49">
        <f>TRUNC(((1+VLOOKUP(A1240,IPCA!$A$2:$C$140,3,0)))^(C1240/(EDATE(D1240-C1240,1)-(D1240-C1240))),8)</f>
        <v/>
      </c>
      <c r="G1240" s="49">
        <f>TRUNC((E1240*F1240),8)</f>
        <v/>
      </c>
      <c r="H1240" s="49">
        <f>ROUND(((1+$H$4)^(30/360))^(C1240/(EDATE(D1240-B1240,1)-(D1240-B1240))),9)</f>
        <v/>
      </c>
      <c r="I1240" s="49">
        <f>TRUNC((G1240*H1240-G1240),8)</f>
        <v/>
      </c>
      <c r="J1240" s="49">
        <f>G1240+I1240</f>
        <v/>
      </c>
      <c r="K1240" s="256" t="n"/>
      <c r="L1240" s="256" t="n"/>
      <c r="M1240" s="256" t="n"/>
      <c r="N1240" s="256" t="n"/>
      <c r="O1240" s="256" t="n"/>
      <c r="P1240" s="256" t="n"/>
      <c r="Q1240" s="256" t="n"/>
    </row>
    <row r="1241">
      <c r="A1241">
        <f>IF(DAY(D1241)=DAY($L$1+1),A1240+1,A1240)</f>
        <v/>
      </c>
      <c r="B1241" s="46">
        <f>IF(DAY(D1241)=DAY($L$1+1),1,B1240+1)</f>
        <v/>
      </c>
      <c r="C1241" s="46">
        <f>IF(DAY(D1241)=DAY($L$1+1),1,C1240+1)</f>
        <v/>
      </c>
      <c r="D1241" s="2">
        <f>D1240+1</f>
        <v/>
      </c>
      <c r="E1241" s="8">
        <f>IF(DAY(D1241)=DAY($L$1+1),TRUNC((#REF!),8),E1240)</f>
        <v/>
      </c>
      <c r="F1241" s="49">
        <f>TRUNC(((1+VLOOKUP(A1241,IPCA!$A$2:$C$140,3,0)))^(C1241/(EDATE(D1241-C1241,1)-(D1241-C1241))),8)</f>
        <v/>
      </c>
      <c r="G1241" s="49">
        <f>TRUNC((E1241*F1241),8)</f>
        <v/>
      </c>
      <c r="H1241" s="49">
        <f>ROUND(((1+$H$4)^(30/360))^(C1241/(EDATE(D1241-B1241,1)-(D1241-B1241))),9)</f>
        <v/>
      </c>
      <c r="I1241" s="49">
        <f>TRUNC((G1241*H1241-G1241),8)</f>
        <v/>
      </c>
      <c r="J1241" s="49">
        <f>G1241+I1241</f>
        <v/>
      </c>
      <c r="K1241" s="256" t="n"/>
      <c r="L1241" s="256" t="n"/>
      <c r="M1241" s="256" t="n"/>
      <c r="N1241" s="256" t="n"/>
      <c r="O1241" s="256" t="n"/>
      <c r="P1241" s="256" t="n"/>
      <c r="Q1241" s="256" t="n"/>
    </row>
    <row r="1242">
      <c r="A1242">
        <f>IF(DAY(D1242)=DAY($L$1+1),A1241+1,A1241)</f>
        <v/>
      </c>
      <c r="B1242" s="46">
        <f>IF(DAY(D1242)=DAY($L$1+1),1,B1241+1)</f>
        <v/>
      </c>
      <c r="C1242" s="46">
        <f>IF(DAY(D1242)=DAY($L$1+1),1,C1241+1)</f>
        <v/>
      </c>
      <c r="D1242" s="2">
        <f>D1241+1</f>
        <v/>
      </c>
      <c r="E1242" s="8">
        <f>IF(DAY(D1242)=DAY($L$1+1),TRUNC((#REF!),8),E1241)</f>
        <v/>
      </c>
      <c r="F1242" s="49">
        <f>TRUNC(((1+VLOOKUP(A1242,IPCA!$A$2:$C$140,3,0)))^(C1242/(EDATE(D1242-C1242,1)-(D1242-C1242))),8)</f>
        <v/>
      </c>
      <c r="G1242" s="49">
        <f>TRUNC((E1242*F1242),8)</f>
        <v/>
      </c>
      <c r="H1242" s="49">
        <f>ROUND(((1+$H$4)^(30/360))^(C1242/(EDATE(D1242-B1242,1)-(D1242-B1242))),9)</f>
        <v/>
      </c>
      <c r="I1242" s="49">
        <f>TRUNC((G1242*H1242-G1242),8)</f>
        <v/>
      </c>
      <c r="J1242" s="49">
        <f>G1242+I1242</f>
        <v/>
      </c>
      <c r="K1242" s="256" t="n"/>
      <c r="L1242" s="256" t="n"/>
      <c r="M1242" s="256" t="n"/>
      <c r="N1242" s="256" t="n"/>
      <c r="O1242" s="256" t="n"/>
      <c r="P1242" s="256" t="n"/>
      <c r="Q1242" s="256" t="n"/>
    </row>
    <row r="1243">
      <c r="A1243">
        <f>IF(DAY(D1243)=DAY($L$1+1),A1242+1,A1242)</f>
        <v/>
      </c>
      <c r="B1243" s="46">
        <f>IF(DAY(D1243)=DAY($L$1+1),1,B1242+1)</f>
        <v/>
      </c>
      <c r="C1243" s="46">
        <f>IF(DAY(D1243)=DAY($L$1+1),1,C1242+1)</f>
        <v/>
      </c>
      <c r="D1243" s="2">
        <f>D1242+1</f>
        <v/>
      </c>
      <c r="E1243" s="8">
        <f>IF(DAY(D1243)=DAY($L$1+1),TRUNC((#REF!),8),E1242)</f>
        <v/>
      </c>
      <c r="F1243" s="49">
        <f>TRUNC(((1+VLOOKUP(A1243,IPCA!$A$2:$C$140,3,0)))^(C1243/(EDATE(D1243-C1243,1)-(D1243-C1243))),8)</f>
        <v/>
      </c>
      <c r="G1243" s="49">
        <f>TRUNC((E1243*F1243),8)</f>
        <v/>
      </c>
      <c r="H1243" s="49">
        <f>ROUND(((1+$H$4)^(30/360))^(C1243/(EDATE(D1243-B1243,1)-(D1243-B1243))),9)</f>
        <v/>
      </c>
      <c r="I1243" s="49">
        <f>TRUNC((G1243*H1243-G1243),8)</f>
        <v/>
      </c>
      <c r="J1243" s="49">
        <f>G1243+I1243</f>
        <v/>
      </c>
      <c r="K1243" s="256" t="n"/>
      <c r="L1243" s="256" t="n"/>
      <c r="M1243" s="256" t="n"/>
      <c r="N1243" s="256" t="n"/>
      <c r="O1243" s="256" t="n"/>
      <c r="P1243" s="256" t="n"/>
      <c r="Q1243" s="256" t="n"/>
    </row>
    <row r="1244">
      <c r="A1244">
        <f>IF(DAY(D1244)=DAY($L$1+1),A1243+1,A1243)</f>
        <v/>
      </c>
      <c r="B1244" s="46">
        <f>IF(DAY(D1244)=DAY($L$1+1),1,B1243+1)</f>
        <v/>
      </c>
      <c r="C1244" s="46">
        <f>IF(DAY(D1244)=DAY($L$1+1),1,C1243+1)</f>
        <v/>
      </c>
      <c r="D1244" s="2">
        <f>D1243+1</f>
        <v/>
      </c>
      <c r="E1244" s="8">
        <f>IF(DAY(D1244)=DAY($L$1+1),TRUNC((#REF!),8),E1243)</f>
        <v/>
      </c>
      <c r="F1244" s="49">
        <f>TRUNC(((1+VLOOKUP(A1244,IPCA!$A$2:$C$140,3,0)))^(C1244/(EDATE(D1244-C1244,1)-(D1244-C1244))),8)</f>
        <v/>
      </c>
      <c r="G1244" s="49">
        <f>TRUNC((E1244*F1244),8)</f>
        <v/>
      </c>
      <c r="H1244" s="49">
        <f>ROUND(((1+$H$4)^(30/360))^(C1244/(EDATE(D1244-B1244,1)-(D1244-B1244))),9)</f>
        <v/>
      </c>
      <c r="I1244" s="49">
        <f>TRUNC((G1244*H1244-G1244),8)</f>
        <v/>
      </c>
      <c r="J1244" s="49">
        <f>G1244+I1244</f>
        <v/>
      </c>
      <c r="K1244" s="256" t="n"/>
      <c r="L1244" s="256" t="n"/>
      <c r="M1244" s="256" t="n"/>
      <c r="N1244" s="256" t="n"/>
      <c r="O1244" s="256" t="n"/>
      <c r="P1244" s="256" t="n"/>
      <c r="Q1244" s="256" t="n"/>
    </row>
    <row r="1245">
      <c r="A1245">
        <f>IF(DAY(D1245)=DAY($L$1+1),A1244+1,A1244)</f>
        <v/>
      </c>
      <c r="B1245" s="46">
        <f>IF(DAY(D1245)=DAY($L$1+1),1,B1244+1)</f>
        <v/>
      </c>
      <c r="C1245" s="46">
        <f>IF(DAY(D1245)=DAY($L$1+1),1,C1244+1)</f>
        <v/>
      </c>
      <c r="D1245" s="2">
        <f>D1244+1</f>
        <v/>
      </c>
      <c r="E1245" s="8">
        <f>IF(DAY(D1245)=DAY($L$1+1),TRUNC((#REF!),8),E1244)</f>
        <v/>
      </c>
      <c r="F1245" s="49">
        <f>TRUNC(((1+VLOOKUP(A1245,IPCA!$A$2:$C$140,3,0)))^(C1245/(EDATE(D1245-C1245,1)-(D1245-C1245))),8)</f>
        <v/>
      </c>
      <c r="G1245" s="49">
        <f>TRUNC((E1245*F1245),8)</f>
        <v/>
      </c>
      <c r="H1245" s="49">
        <f>ROUND(((1+$H$4)^(30/360))^(C1245/(EDATE(D1245-B1245,1)-(D1245-B1245))),9)</f>
        <v/>
      </c>
      <c r="I1245" s="49">
        <f>TRUNC((G1245*H1245-G1245),8)</f>
        <v/>
      </c>
      <c r="J1245" s="49">
        <f>G1245+I1245</f>
        <v/>
      </c>
      <c r="K1245" s="256" t="n"/>
      <c r="L1245" s="256" t="n"/>
      <c r="M1245" s="256" t="n"/>
      <c r="N1245" s="256" t="n"/>
      <c r="O1245" s="256" t="n"/>
      <c r="P1245" s="256" t="n"/>
      <c r="Q1245" s="256" t="n"/>
    </row>
    <row r="1246">
      <c r="A1246">
        <f>IF(DAY(D1246)=DAY($L$1+1),A1245+1,A1245)</f>
        <v/>
      </c>
      <c r="B1246" s="46">
        <f>IF(DAY(D1246)=DAY($L$1+1),1,B1245+1)</f>
        <v/>
      </c>
      <c r="C1246" s="46">
        <f>IF(DAY(D1246)=DAY($L$1+1),1,C1245+1)</f>
        <v/>
      </c>
      <c r="D1246" s="2">
        <f>D1245+1</f>
        <v/>
      </c>
      <c r="E1246" s="8">
        <f>IF(DAY(D1246)=DAY($L$1+1),TRUNC((#REF!),8),E1245)</f>
        <v/>
      </c>
      <c r="F1246" s="49">
        <f>TRUNC(((1+VLOOKUP(A1246,IPCA!$A$2:$C$140,3,0)))^(C1246/(EDATE(D1246-C1246,1)-(D1246-C1246))),8)</f>
        <v/>
      </c>
      <c r="G1246" s="49">
        <f>TRUNC((E1246*F1246),8)</f>
        <v/>
      </c>
      <c r="H1246" s="49">
        <f>ROUND(((1+$H$4)^(30/360))^(C1246/(EDATE(D1246-B1246,1)-(D1246-B1246))),9)</f>
        <v/>
      </c>
      <c r="I1246" s="49">
        <f>TRUNC((G1246*H1246-G1246),8)</f>
        <v/>
      </c>
      <c r="J1246" s="49">
        <f>G1246+I1246</f>
        <v/>
      </c>
      <c r="K1246" s="256" t="n"/>
      <c r="L1246" s="256" t="n"/>
      <c r="M1246" s="256" t="n"/>
      <c r="N1246" s="256" t="n"/>
      <c r="O1246" s="256" t="n"/>
      <c r="P1246" s="256" t="n"/>
      <c r="Q1246" s="256" t="n"/>
    </row>
    <row r="1247">
      <c r="A1247">
        <f>IF(DAY(D1247)=DAY($L$1+1),A1246+1,A1246)</f>
        <v/>
      </c>
      <c r="B1247" s="46">
        <f>IF(DAY(D1247)=DAY($L$1+1),1,B1246+1)</f>
        <v/>
      </c>
      <c r="C1247" s="46">
        <f>IF(DAY(D1247)=DAY($L$1+1),1,C1246+1)</f>
        <v/>
      </c>
      <c r="D1247" s="2">
        <f>D1246+1</f>
        <v/>
      </c>
      <c r="E1247" s="8">
        <f>IF(DAY(D1247)=DAY($L$1+1),TRUNC((#REF!),8),E1246)</f>
        <v/>
      </c>
      <c r="F1247" s="49">
        <f>TRUNC(((1+VLOOKUP(A1247,IPCA!$A$2:$C$140,3,0)))^(C1247/(EDATE(D1247-C1247,1)-(D1247-C1247))),8)</f>
        <v/>
      </c>
      <c r="G1247" s="49">
        <f>TRUNC((E1247*F1247),8)</f>
        <v/>
      </c>
      <c r="H1247" s="49">
        <f>ROUND(((1+$H$4)^(30/360))^(C1247/(EDATE(D1247-B1247,1)-(D1247-B1247))),9)</f>
        <v/>
      </c>
      <c r="I1247" s="49">
        <f>TRUNC((G1247*H1247-G1247),8)</f>
        <v/>
      </c>
      <c r="J1247" s="49">
        <f>G1247+I1247</f>
        <v/>
      </c>
      <c r="K1247" s="256" t="n"/>
      <c r="L1247" s="256" t="n"/>
      <c r="M1247" s="256" t="n"/>
      <c r="N1247" s="256" t="n"/>
      <c r="O1247" s="256" t="n"/>
      <c r="P1247" s="256" t="n"/>
      <c r="Q1247" s="256" t="n"/>
    </row>
    <row r="1248">
      <c r="A1248">
        <f>IF(DAY(D1248)=DAY($L$1+1),A1247+1,A1247)</f>
        <v/>
      </c>
      <c r="B1248" s="46">
        <f>IF(DAY(D1248)=DAY($L$1+1),1,B1247+1)</f>
        <v/>
      </c>
      <c r="C1248" s="46">
        <f>IF(DAY(D1248)=DAY($L$1+1),1,C1247+1)</f>
        <v/>
      </c>
      <c r="D1248" s="2">
        <f>D1247+1</f>
        <v/>
      </c>
      <c r="E1248" s="8">
        <f>IF(DAY(D1248)=DAY($L$1+1),TRUNC((#REF!),8),E1247)</f>
        <v/>
      </c>
      <c r="F1248" s="49">
        <f>TRUNC(((1+VLOOKUP(A1248,IPCA!$A$2:$C$140,3,0)))^(C1248/(EDATE(D1248-C1248,1)-(D1248-C1248))),8)</f>
        <v/>
      </c>
      <c r="G1248" s="49">
        <f>TRUNC((E1248*F1248),8)</f>
        <v/>
      </c>
      <c r="H1248" s="49">
        <f>ROUND(((1+$H$4)^(30/360))^(C1248/(EDATE(D1248-B1248,1)-(D1248-B1248))),9)</f>
        <v/>
      </c>
      <c r="I1248" s="49">
        <f>TRUNC((G1248*H1248-G1248),8)</f>
        <v/>
      </c>
      <c r="J1248" s="49">
        <f>G1248+I1248</f>
        <v/>
      </c>
      <c r="K1248" s="256" t="n"/>
      <c r="L1248" s="256" t="n"/>
      <c r="M1248" s="256" t="n"/>
      <c r="N1248" s="256" t="n"/>
      <c r="O1248" s="256" t="n"/>
      <c r="P1248" s="256" t="n"/>
      <c r="Q1248" s="256" t="n"/>
    </row>
    <row r="1249">
      <c r="A1249">
        <f>IF(DAY(D1249)=DAY($L$1+1),A1248+1,A1248)</f>
        <v/>
      </c>
      <c r="B1249" s="46">
        <f>IF(DAY(D1249)=DAY($L$1+1),1,B1248+1)</f>
        <v/>
      </c>
      <c r="C1249" s="46">
        <f>IF(DAY(D1249)=DAY($L$1+1),1,C1248+1)</f>
        <v/>
      </c>
      <c r="D1249" s="2">
        <f>D1248+1</f>
        <v/>
      </c>
      <c r="E1249" s="8">
        <f>IF(DAY(D1249)=DAY($L$1+1),TRUNC((#REF!),8),E1248)</f>
        <v/>
      </c>
      <c r="F1249" s="49">
        <f>TRUNC(((1+VLOOKUP(A1249,IPCA!$A$2:$C$140,3,0)))^(C1249/(EDATE(D1249-C1249,1)-(D1249-C1249))),8)</f>
        <v/>
      </c>
      <c r="G1249" s="49">
        <f>TRUNC((E1249*F1249),8)</f>
        <v/>
      </c>
      <c r="H1249" s="49">
        <f>ROUND(((1+$H$4)^(30/360))^(C1249/(EDATE(D1249-B1249,1)-(D1249-B1249))),9)</f>
        <v/>
      </c>
      <c r="I1249" s="49">
        <f>TRUNC((G1249*H1249-G1249),8)</f>
        <v/>
      </c>
      <c r="J1249" s="49">
        <f>G1249+I1249</f>
        <v/>
      </c>
      <c r="K1249" s="256" t="n"/>
      <c r="L1249" s="256" t="n"/>
      <c r="M1249" s="256" t="n"/>
      <c r="N1249" s="256" t="n"/>
      <c r="O1249" s="256" t="n"/>
      <c r="P1249" s="256" t="n"/>
      <c r="Q1249" s="256" t="n"/>
    </row>
    <row r="1250">
      <c r="A1250">
        <f>IF(DAY(D1250)=DAY($L$1+1),A1249+1,A1249)</f>
        <v/>
      </c>
      <c r="B1250" s="46">
        <f>IF(DAY(D1250)=DAY($L$1+1),1,B1249+1)</f>
        <v/>
      </c>
      <c r="C1250" s="46">
        <f>IF(DAY(D1250)=DAY($L$1+1),1,C1249+1)</f>
        <v/>
      </c>
      <c r="D1250" s="2">
        <f>D1249+1</f>
        <v/>
      </c>
      <c r="E1250" s="8">
        <f>IF(DAY(D1250)=DAY($L$1+1),TRUNC((#REF!),8),E1249)</f>
        <v/>
      </c>
      <c r="F1250" s="49">
        <f>TRUNC(((1+VLOOKUP(A1250,IPCA!$A$2:$C$140,3,0)))^(C1250/(EDATE(D1250-C1250,1)-(D1250-C1250))),8)</f>
        <v/>
      </c>
      <c r="G1250" s="49">
        <f>TRUNC((E1250*F1250),8)</f>
        <v/>
      </c>
      <c r="H1250" s="49">
        <f>ROUND(((1+$H$4)^(30/360))^(C1250/(EDATE(D1250-B1250,1)-(D1250-B1250))),9)</f>
        <v/>
      </c>
      <c r="I1250" s="49">
        <f>TRUNC((G1250*H1250-G1250),8)</f>
        <v/>
      </c>
      <c r="J1250" s="49">
        <f>G1250+I1250</f>
        <v/>
      </c>
      <c r="K1250" s="256" t="n"/>
      <c r="L1250" s="256" t="n"/>
      <c r="M1250" s="256" t="n"/>
      <c r="N1250" s="256" t="n"/>
      <c r="O1250" s="256" t="n"/>
      <c r="P1250" s="256" t="n"/>
      <c r="Q1250" s="256" t="n"/>
    </row>
    <row r="1251">
      <c r="A1251">
        <f>IF(DAY(D1251)=DAY($L$1+1),A1250+1,A1250)</f>
        <v/>
      </c>
      <c r="B1251" s="46">
        <f>IF(DAY(D1251)=DAY($L$1+1),1,B1250+1)</f>
        <v/>
      </c>
      <c r="C1251" s="46">
        <f>IF(DAY(D1251)=DAY($L$1+1),1,C1250+1)</f>
        <v/>
      </c>
      <c r="D1251" s="2">
        <f>D1250+1</f>
        <v/>
      </c>
      <c r="E1251" s="8">
        <f>IF(DAY(D1251)=DAY($L$1+1),TRUNC((#REF!),8),E1250)</f>
        <v/>
      </c>
      <c r="F1251" s="49">
        <f>TRUNC(((1+VLOOKUP(A1251,IPCA!$A$2:$C$140,3,0)))^(C1251/(EDATE(D1251-C1251,1)-(D1251-C1251))),8)</f>
        <v/>
      </c>
      <c r="G1251" s="49">
        <f>TRUNC((E1251*F1251),8)</f>
        <v/>
      </c>
      <c r="H1251" s="49">
        <f>ROUND(((1+$H$4)^(30/360))^(C1251/(EDATE(D1251-B1251,1)-(D1251-B1251))),9)</f>
        <v/>
      </c>
      <c r="I1251" s="49">
        <f>TRUNC((G1251*H1251-G1251),8)</f>
        <v/>
      </c>
      <c r="J1251" s="49">
        <f>G1251+I1251</f>
        <v/>
      </c>
      <c r="K1251" s="256" t="n"/>
      <c r="L1251" s="256" t="n"/>
      <c r="M1251" s="256" t="n"/>
      <c r="N1251" s="256" t="n"/>
      <c r="O1251" s="256" t="n"/>
      <c r="P1251" s="256" t="n"/>
      <c r="Q1251" s="256" t="n"/>
    </row>
    <row r="1252">
      <c r="A1252">
        <f>IF(DAY(D1252)=DAY($L$1+1),A1251+1,A1251)</f>
        <v/>
      </c>
      <c r="B1252" s="46">
        <f>IF(DAY(D1252)=DAY($L$1+1),1,B1251+1)</f>
        <v/>
      </c>
      <c r="C1252" s="46">
        <f>IF(DAY(D1252)=DAY($L$1+1),1,C1251+1)</f>
        <v/>
      </c>
      <c r="D1252" s="2">
        <f>D1251+1</f>
        <v/>
      </c>
      <c r="E1252" s="8">
        <f>IF(DAY(D1252)=DAY($L$1+1),TRUNC((#REF!),8),E1251)</f>
        <v/>
      </c>
      <c r="F1252" s="49">
        <f>TRUNC(((1+VLOOKUP(A1252,IPCA!$A$2:$C$140,3,0)))^(C1252/(EDATE(D1252-C1252,1)-(D1252-C1252))),8)</f>
        <v/>
      </c>
      <c r="G1252" s="49">
        <f>TRUNC((E1252*F1252),8)</f>
        <v/>
      </c>
      <c r="H1252" s="49">
        <f>ROUND(((1+$H$4)^(30/360))^(C1252/(EDATE(D1252-B1252,1)-(D1252-B1252))),9)</f>
        <v/>
      </c>
      <c r="I1252" s="49">
        <f>TRUNC((G1252*H1252-G1252),8)</f>
        <v/>
      </c>
      <c r="J1252" s="49">
        <f>G1252+I1252</f>
        <v/>
      </c>
      <c r="K1252" s="256" t="n"/>
      <c r="L1252" s="256" t="n"/>
      <c r="M1252" s="256" t="n"/>
      <c r="N1252" s="256" t="n"/>
      <c r="O1252" s="256" t="n"/>
      <c r="P1252" s="256" t="n"/>
      <c r="Q1252" s="256" t="n"/>
    </row>
    <row r="1253">
      <c r="A1253">
        <f>IF(DAY(D1253)=DAY($L$1+1),A1252+1,A1252)</f>
        <v/>
      </c>
      <c r="B1253" s="46">
        <f>IF(DAY(D1253)=DAY($L$1+1),1,B1252+1)</f>
        <v/>
      </c>
      <c r="C1253" s="46">
        <f>IF(DAY(D1253)=DAY($L$1+1),1,C1252+1)</f>
        <v/>
      </c>
      <c r="D1253" s="2">
        <f>D1252+1</f>
        <v/>
      </c>
      <c r="E1253" s="8">
        <f>IF(DAY(D1253)=DAY($L$1+1),TRUNC((#REF!),8),E1252)</f>
        <v/>
      </c>
      <c r="F1253" s="49">
        <f>TRUNC(((1+VLOOKUP(A1253,IPCA!$A$2:$C$140,3,0)))^(C1253/(EDATE(D1253-C1253,1)-(D1253-C1253))),8)</f>
        <v/>
      </c>
      <c r="G1253" s="49">
        <f>TRUNC((E1253*F1253),8)</f>
        <v/>
      </c>
      <c r="H1253" s="49">
        <f>ROUND(((1+$H$4)^(30/360))^(C1253/(EDATE(D1253-B1253,1)-(D1253-B1253))),9)</f>
        <v/>
      </c>
      <c r="I1253" s="49">
        <f>TRUNC((G1253*H1253-G1253),8)</f>
        <v/>
      </c>
      <c r="J1253" s="49">
        <f>G1253+I1253</f>
        <v/>
      </c>
      <c r="K1253" s="256" t="n"/>
      <c r="L1253" s="256" t="n"/>
      <c r="M1253" s="256" t="n"/>
      <c r="N1253" s="256" t="n"/>
      <c r="O1253" s="256" t="n"/>
      <c r="P1253" s="256" t="n"/>
      <c r="Q1253" s="256" t="n"/>
    </row>
    <row r="1254">
      <c r="A1254">
        <f>IF(DAY(D1254)=DAY($L$1+1),A1253+1,A1253)</f>
        <v/>
      </c>
      <c r="B1254" s="46">
        <f>IF(DAY(D1254)=DAY($L$1+1),1,B1253+1)</f>
        <v/>
      </c>
      <c r="C1254" s="46">
        <f>IF(DAY(D1254)=DAY($L$1+1),1,C1253+1)</f>
        <v/>
      </c>
      <c r="D1254" s="2">
        <f>D1253+1</f>
        <v/>
      </c>
      <c r="E1254" s="8">
        <f>IF(DAY(D1254)=DAY($L$1+1),TRUNC((#REF!),8),E1253)</f>
        <v/>
      </c>
      <c r="F1254" s="49">
        <f>TRUNC(((1+VLOOKUP(A1254,IPCA!$A$2:$C$140,3,0)))^(C1254/(EDATE(D1254-C1254,1)-(D1254-C1254))),8)</f>
        <v/>
      </c>
      <c r="G1254" s="49">
        <f>TRUNC((E1254*F1254),8)</f>
        <v/>
      </c>
      <c r="H1254" s="49">
        <f>ROUND(((1+$H$4)^(30/360))^(C1254/(EDATE(D1254-B1254,1)-(D1254-B1254))),9)</f>
        <v/>
      </c>
      <c r="I1254" s="49">
        <f>TRUNC((G1254*H1254-G1254),8)</f>
        <v/>
      </c>
      <c r="J1254" s="49">
        <f>G1254+I1254</f>
        <v/>
      </c>
      <c r="K1254" s="256" t="n"/>
      <c r="L1254" s="256" t="n"/>
      <c r="M1254" s="256" t="n"/>
      <c r="N1254" s="256" t="n"/>
      <c r="O1254" s="256" t="n"/>
      <c r="P1254" s="256" t="n"/>
      <c r="Q1254" s="256" t="n"/>
    </row>
    <row r="1255">
      <c r="A1255">
        <f>IF(DAY(D1255)=DAY($L$1+1),A1254+1,A1254)</f>
        <v/>
      </c>
      <c r="B1255" s="46">
        <f>IF(DAY(D1255)=DAY($L$1+1),1,B1254+1)</f>
        <v/>
      </c>
      <c r="C1255" s="46">
        <f>IF(DAY(D1255)=DAY($L$1+1),1,C1254+1)</f>
        <v/>
      </c>
      <c r="D1255" s="2">
        <f>D1254+1</f>
        <v/>
      </c>
      <c r="E1255" s="8">
        <f>IF(DAY(D1255)=DAY($L$1+1),TRUNC((N1254),8),E1254)</f>
        <v/>
      </c>
      <c r="F1255" s="49">
        <f>TRUNC(((1+VLOOKUP(A1255,IPCA!$A$2:$C$140,3,0)))^(C1255/(EDATE(D1255-C1255,1)-(D1255-C1255))),8)</f>
        <v/>
      </c>
      <c r="G1255" s="49">
        <f>TRUNC((E1255*F1255),8)</f>
        <v/>
      </c>
      <c r="H1255" s="49">
        <f>ROUND(((1+$H$4)^(30/360))^(C1255/(EDATE(D1255-B1255,1)-(D1255-B1255))),9)</f>
        <v/>
      </c>
      <c r="I1255" s="49">
        <f>TRUNC((G1255*H1255-G1255),8)</f>
        <v/>
      </c>
      <c r="J1255" s="49">
        <f>G1255+I1255</f>
        <v/>
      </c>
      <c r="K1255" s="256" t="n"/>
      <c r="L1255" s="256" t="n"/>
      <c r="M1255" s="256" t="n"/>
      <c r="N1255" s="256" t="n"/>
      <c r="O1255" s="256" t="n"/>
      <c r="P1255" s="256" t="n"/>
      <c r="Q1255" s="256" t="n"/>
    </row>
    <row r="1256">
      <c r="A1256">
        <f>IF(DAY(D1256)=DAY($L$1+1),A1255+1,A1255)</f>
        <v/>
      </c>
      <c r="B1256" s="46">
        <f>IF(DAY(D1256)=DAY($L$1+1),1,B1255+1)</f>
        <v/>
      </c>
      <c r="C1256" s="46">
        <f>IF(DAY(D1256)=DAY($L$1+1),1,C1255+1)</f>
        <v/>
      </c>
      <c r="D1256" s="2">
        <f>D1255+1</f>
        <v/>
      </c>
      <c r="E1256" s="8">
        <f>IF(DAY(D1256)=DAY($L$1+1),TRUNC((N1255),8),E1255)</f>
        <v/>
      </c>
      <c r="F1256" s="49">
        <f>TRUNC(((1+VLOOKUP(A1256,IPCA!$A$2:$C$140,3,0)))^(C1256/(EDATE(D1256-C1256,1)-(D1256-C1256))),8)</f>
        <v/>
      </c>
      <c r="G1256" s="49">
        <f>TRUNC((E1256*F1256),8)</f>
        <v/>
      </c>
      <c r="H1256" s="49">
        <f>ROUND(((1+$H$4)^(30/360))^(C1256/(EDATE(D1256-B1256,1)-(D1256-B1256))),9)</f>
        <v/>
      </c>
      <c r="I1256" s="49">
        <f>TRUNC((G1256*H1256-G1256),8)</f>
        <v/>
      </c>
      <c r="J1256" s="49">
        <f>G1256+I1256</f>
        <v/>
      </c>
      <c r="K1256" s="256" t="n"/>
      <c r="L1256" s="256" t="n"/>
      <c r="M1256" s="256" t="n"/>
      <c r="N1256" s="256" t="n"/>
      <c r="O1256" s="256" t="n"/>
      <c r="P1256" s="256" t="n"/>
      <c r="Q1256" s="256" t="n"/>
    </row>
    <row r="1257">
      <c r="A1257">
        <f>IF(DAY(D1257)=DAY($L$1+1),A1256+1,A1256)</f>
        <v/>
      </c>
      <c r="B1257" s="46">
        <f>IF(DAY(D1257)=DAY($L$1+1),1,B1256+1)</f>
        <v/>
      </c>
      <c r="C1257" s="46">
        <f>IF(DAY(D1257)=DAY($L$1+1),1,C1256+1)</f>
        <v/>
      </c>
      <c r="D1257" s="2">
        <f>D1256+1</f>
        <v/>
      </c>
      <c r="E1257" s="8">
        <f>IF(DAY(D1257)=DAY($L$1+1),TRUNC((N1256),8),E1256)</f>
        <v/>
      </c>
      <c r="F1257" s="49">
        <f>TRUNC(((1+VLOOKUP(A1257,IPCA!$A$2:$C$140,3,0)))^(C1257/(EDATE(D1257-C1257,1)-(D1257-C1257))),8)</f>
        <v/>
      </c>
      <c r="G1257" s="49">
        <f>TRUNC((E1257*F1257),8)</f>
        <v/>
      </c>
      <c r="H1257" s="49">
        <f>ROUND(((1+$H$4)^(30/360))^(C1257/(EDATE(D1257-B1257,1)-(D1257-B1257))),9)</f>
        <v/>
      </c>
      <c r="I1257" s="49">
        <f>TRUNC((G1257*H1257-G1257),8)</f>
        <v/>
      </c>
      <c r="J1257" s="49">
        <f>G1257+I1257</f>
        <v/>
      </c>
      <c r="K1257" s="256" t="n"/>
      <c r="L1257" s="256" t="n"/>
      <c r="M1257" s="256" t="n"/>
      <c r="N1257" s="256" t="n"/>
      <c r="O1257" s="256" t="n"/>
      <c r="P1257" s="256" t="n"/>
      <c r="Q1257" s="256" t="n"/>
    </row>
    <row r="1258">
      <c r="A1258">
        <f>IF(DAY(D1258)=DAY($L$1+1),A1257+1,A1257)</f>
        <v/>
      </c>
      <c r="B1258" s="46">
        <f>IF(DAY(D1258)=DAY($L$1+1),1,B1257+1)</f>
        <v/>
      </c>
      <c r="C1258" s="46">
        <f>IF(DAY(D1258)=DAY($L$1+1),1,C1257+1)</f>
        <v/>
      </c>
      <c r="D1258" s="2">
        <f>D1257+1</f>
        <v/>
      </c>
      <c r="E1258" s="8">
        <f>IF(DAY(D1258)=DAY($L$1+1),TRUNC((N1257),8),E1257)</f>
        <v/>
      </c>
      <c r="F1258" s="49">
        <f>TRUNC(((1+VLOOKUP(A1258,IPCA!$A$2:$C$140,3,0)))^(C1258/(EDATE(D1258-C1258,1)-(D1258-C1258))),8)</f>
        <v/>
      </c>
      <c r="G1258" s="49">
        <f>TRUNC((E1258*F1258),8)</f>
        <v/>
      </c>
      <c r="H1258" s="49">
        <f>ROUND(((1+$H$4)^(30/360))^(C1258/(EDATE(D1258-B1258,1)-(D1258-B1258))),9)</f>
        <v/>
      </c>
      <c r="I1258" s="49">
        <f>TRUNC((G1258*H1258-G1258),8)</f>
        <v/>
      </c>
      <c r="J1258" s="49">
        <f>G1258+I1258</f>
        <v/>
      </c>
      <c r="K1258" s="256" t="n"/>
      <c r="L1258" s="256" t="n"/>
      <c r="M1258" s="256" t="n"/>
      <c r="N1258" s="256" t="n"/>
      <c r="O1258" s="256" t="n"/>
      <c r="P1258" s="256" t="n"/>
      <c r="Q1258" s="256" t="n"/>
    </row>
    <row r="1259">
      <c r="A1259">
        <f>IF(DAY(D1259)=DAY($L$1+1),A1258+1,A1258)</f>
        <v/>
      </c>
      <c r="B1259" s="46">
        <f>IF(DAY(D1259)=DAY($L$1+1),1,B1258+1)</f>
        <v/>
      </c>
      <c r="C1259" s="46">
        <f>IF(DAY(D1259)=DAY($L$1+1),1,C1258+1)</f>
        <v/>
      </c>
      <c r="D1259" s="2">
        <f>D1258+1</f>
        <v/>
      </c>
      <c r="E1259" s="8">
        <f>IF(DAY(D1259)=DAY($L$1+1),TRUNC((N1258),8),E1258)</f>
        <v/>
      </c>
      <c r="F1259" s="49">
        <f>TRUNC(((1+VLOOKUP(A1259,IPCA!$A$2:$C$140,3,0)))^(C1259/(EDATE(D1259-C1259,1)-(D1259-C1259))),8)</f>
        <v/>
      </c>
      <c r="G1259" s="49">
        <f>TRUNC((E1259*F1259),8)</f>
        <v/>
      </c>
      <c r="H1259" s="49">
        <f>ROUND(((1+$H$4)^(30/360))^(C1259/(EDATE(D1259-B1259,1)-(D1259-B1259))),9)</f>
        <v/>
      </c>
      <c r="I1259" s="49">
        <f>TRUNC((G1259*H1259-G1259),8)</f>
        <v/>
      </c>
      <c r="J1259" s="49">
        <f>G1259+I1259</f>
        <v/>
      </c>
      <c r="K1259" s="256" t="n"/>
      <c r="L1259" s="256" t="n"/>
      <c r="M1259" s="256" t="n"/>
      <c r="N1259" s="256" t="n"/>
      <c r="O1259" s="256" t="n"/>
      <c r="P1259" s="256" t="n"/>
      <c r="Q1259" s="256" t="n"/>
    </row>
    <row r="1260">
      <c r="A1260">
        <f>IF(DAY(D1260)=DAY($L$1+1),A1259+1,A1259)</f>
        <v/>
      </c>
      <c r="B1260" s="46">
        <f>IF(DAY(D1260)=DAY($L$1+1),1,B1259+1)</f>
        <v/>
      </c>
      <c r="C1260" s="46">
        <f>IF(DAY(D1260)=DAY($L$1+1),1,C1259+1)</f>
        <v/>
      </c>
      <c r="D1260" s="2">
        <f>D1259+1</f>
        <v/>
      </c>
      <c r="E1260" s="8">
        <f>IF(DAY(D1260)=DAY($L$1+1),TRUNC((N1259),8),E1259)</f>
        <v/>
      </c>
      <c r="F1260" s="49">
        <f>TRUNC(((1+VLOOKUP(A1260,IPCA!$A$2:$C$140,3,0)))^(C1260/(EDATE(D1260-C1260,1)-(D1260-C1260))),8)</f>
        <v/>
      </c>
      <c r="G1260" s="49">
        <f>TRUNC((E1260*F1260),8)</f>
        <v/>
      </c>
      <c r="H1260" s="49">
        <f>ROUND(((1+$H$4)^(30/360))^(C1260/(EDATE(D1260-B1260,1)-(D1260-B1260))),9)</f>
        <v/>
      </c>
      <c r="I1260" s="49">
        <f>TRUNC((G1260*H1260-G1260),8)</f>
        <v/>
      </c>
      <c r="J1260" s="49">
        <f>G1260+I1260</f>
        <v/>
      </c>
      <c r="K1260" s="256" t="n"/>
      <c r="L1260" s="256" t="n"/>
      <c r="M1260" s="256" t="n"/>
      <c r="N1260" s="256" t="n"/>
      <c r="O1260" s="256" t="n"/>
      <c r="P1260" s="256" t="n"/>
      <c r="Q1260" s="256" t="n"/>
    </row>
    <row r="1261">
      <c r="A1261">
        <f>IF(DAY(D1261)=DAY($L$1+1),A1260+1,A1260)</f>
        <v/>
      </c>
      <c r="B1261" s="46">
        <f>IF(DAY(D1261)=DAY($L$1+1),1,B1260+1)</f>
        <v/>
      </c>
      <c r="C1261" s="46">
        <f>IF(DAY(D1261)=DAY($L$1+1),1,C1260+1)</f>
        <v/>
      </c>
      <c r="D1261" s="2">
        <f>D1260+1</f>
        <v/>
      </c>
      <c r="E1261" s="8">
        <f>IF(DAY(D1261)=DAY($L$1+1),TRUNC((N1260),8),E1260)</f>
        <v/>
      </c>
      <c r="F1261" s="49">
        <f>TRUNC(((1+VLOOKUP(A1261,IPCA!$A$2:$C$140,3,0)))^(C1261/(EDATE(D1261-C1261,1)-(D1261-C1261))),8)</f>
        <v/>
      </c>
      <c r="G1261" s="49">
        <f>TRUNC((E1261*F1261),8)</f>
        <v/>
      </c>
      <c r="H1261" s="49">
        <f>ROUND(((1+$H$4)^(30/360))^(C1261/(EDATE(D1261-B1261,1)-(D1261-B1261))),9)</f>
        <v/>
      </c>
      <c r="I1261" s="49">
        <f>TRUNC((G1261*H1261-G1261),8)</f>
        <v/>
      </c>
      <c r="J1261" s="49">
        <f>G1261+I1261</f>
        <v/>
      </c>
      <c r="K1261" s="256" t="n"/>
      <c r="L1261" s="256" t="n"/>
      <c r="M1261" s="256" t="n"/>
      <c r="N1261" s="256" t="n"/>
      <c r="O1261" s="256" t="n"/>
      <c r="P1261" s="256" t="n"/>
      <c r="Q1261" s="256" t="n"/>
    </row>
    <row r="1262">
      <c r="A1262">
        <f>IF(DAY(D1262)=DAY($L$1+1),A1261+1,A1261)</f>
        <v/>
      </c>
      <c r="B1262" s="46">
        <f>IF(DAY(D1262)=DAY($L$1+1),1,B1261+1)</f>
        <v/>
      </c>
      <c r="C1262" s="46">
        <f>IF(DAY(D1262)=DAY($L$1+1),1,C1261+1)</f>
        <v/>
      </c>
      <c r="D1262" s="2">
        <f>D1261+1</f>
        <v/>
      </c>
      <c r="E1262" s="8">
        <f>IF(DAY(D1262)=DAY($L$1+1),TRUNC((N1261),8),E1261)</f>
        <v/>
      </c>
      <c r="F1262" s="49">
        <f>TRUNC(((1+VLOOKUP(A1262,IPCA!$A$2:$C$140,3,0)))^(C1262/(EDATE(D1262-C1262,1)-(D1262-C1262))),8)</f>
        <v/>
      </c>
      <c r="G1262" s="49">
        <f>TRUNC((E1262*F1262),8)</f>
        <v/>
      </c>
      <c r="H1262" s="49">
        <f>ROUND(((1+$H$4)^(30/360))^(C1262/(EDATE(D1262-B1262,1)-(D1262-B1262))),9)</f>
        <v/>
      </c>
      <c r="I1262" s="49">
        <f>TRUNC((G1262*H1262-G1262),8)</f>
        <v/>
      </c>
      <c r="J1262" s="49">
        <f>G1262+I1262</f>
        <v/>
      </c>
      <c r="K1262" s="256" t="n"/>
      <c r="L1262" s="256" t="n"/>
      <c r="M1262" s="256" t="n"/>
      <c r="N1262" s="256" t="n"/>
      <c r="O1262" s="256" t="n"/>
      <c r="P1262" s="256" t="n"/>
      <c r="Q1262" s="256" t="n"/>
    </row>
    <row r="1263">
      <c r="A1263">
        <f>IF(DAY(D1263)=DAY($L$1+1),A1262+1,A1262)</f>
        <v/>
      </c>
      <c r="B1263" s="46">
        <f>IF(DAY(D1263)=DAY($L$1+1),1,B1262+1)</f>
        <v/>
      </c>
      <c r="C1263" s="46">
        <f>IF(DAY(D1263)=DAY($L$1+1),1,C1262+1)</f>
        <v/>
      </c>
      <c r="D1263" s="2">
        <f>D1262+1</f>
        <v/>
      </c>
      <c r="E1263" s="8">
        <f>IF(DAY(D1263)=DAY($L$1+1),TRUNC((N1262),8),E1262)</f>
        <v/>
      </c>
      <c r="F1263" s="49">
        <f>TRUNC(((1+VLOOKUP(A1263,IPCA!$A$2:$C$140,3,0)))^(C1263/(EDATE(D1263-C1263,1)-(D1263-C1263))),8)</f>
        <v/>
      </c>
      <c r="G1263" s="49">
        <f>TRUNC((E1263*F1263),8)</f>
        <v/>
      </c>
      <c r="H1263" s="49">
        <f>ROUND(((1+$H$4)^(30/360))^(C1263/(EDATE(D1263-B1263,1)-(D1263-B1263))),9)</f>
        <v/>
      </c>
      <c r="I1263" s="49">
        <f>TRUNC((G1263*H1263-G1263),8)</f>
        <v/>
      </c>
      <c r="J1263" s="49">
        <f>G1263+I1263</f>
        <v/>
      </c>
      <c r="K1263" s="256" t="n"/>
      <c r="L1263" s="256" t="n"/>
      <c r="M1263" s="256" t="n"/>
      <c r="N1263" s="256" t="n"/>
      <c r="O1263" s="256" t="n"/>
      <c r="P1263" s="256" t="n"/>
      <c r="Q1263" s="256" t="n"/>
    </row>
    <row r="1264">
      <c r="A1264">
        <f>IF(DAY(D1264)=DAY($L$1+1),A1263+1,A1263)</f>
        <v/>
      </c>
      <c r="B1264" s="46">
        <f>IF(DAY(D1264)=DAY($L$1+1),1,B1263+1)</f>
        <v/>
      </c>
      <c r="C1264" s="46">
        <f>IF(DAY(D1264)=DAY($L$1+1),1,C1263+1)</f>
        <v/>
      </c>
      <c r="D1264" s="2">
        <f>D1263+1</f>
        <v/>
      </c>
      <c r="E1264" s="8">
        <f>IF(DAY(D1264)=DAY($L$1+1),TRUNC((N1263),8),E1263)</f>
        <v/>
      </c>
      <c r="F1264" s="49">
        <f>TRUNC(((1+VLOOKUP(A1264,IPCA!$A$2:$C$140,3,0)))^(C1264/(EDATE(D1264-C1264,1)-(D1264-C1264))),8)</f>
        <v/>
      </c>
      <c r="G1264" s="49">
        <f>TRUNC((E1264*F1264),8)</f>
        <v/>
      </c>
      <c r="H1264" s="49">
        <f>ROUND(((1+$H$4)^(30/360))^(C1264/(EDATE(D1264-B1264,1)-(D1264-B1264))),9)</f>
        <v/>
      </c>
      <c r="I1264" s="49">
        <f>TRUNC((G1264*H1264-G1264),8)</f>
        <v/>
      </c>
      <c r="J1264" s="49">
        <f>G1264+I1264</f>
        <v/>
      </c>
      <c r="K1264" s="256" t="n"/>
      <c r="L1264" s="256" t="n"/>
      <c r="M1264" s="256" t="n"/>
      <c r="N1264" s="256" t="n"/>
      <c r="O1264" s="256" t="n"/>
      <c r="P1264" s="256" t="n"/>
      <c r="Q1264" s="256" t="n"/>
    </row>
    <row r="1265">
      <c r="A1265">
        <f>IF(DAY(D1265)=DAY($L$1+1),A1264+1,A1264)</f>
        <v/>
      </c>
      <c r="B1265" s="46">
        <f>IF(DAY(D1265)=DAY($L$1+1),1,B1264+1)</f>
        <v/>
      </c>
      <c r="C1265" s="46">
        <f>IF(DAY(D1265)=DAY($L$1+1),1,C1264+1)</f>
        <v/>
      </c>
      <c r="D1265" s="2">
        <f>D1264+1</f>
        <v/>
      </c>
      <c r="E1265" s="8">
        <f>IF(DAY(D1265)=DAY($L$1+1),TRUNC((N1264),8),E1264)</f>
        <v/>
      </c>
      <c r="F1265" s="49">
        <f>TRUNC(((1+VLOOKUP(A1265,IPCA!$A$2:$C$140,3,0)))^(C1265/(EDATE(D1265-C1265,1)-(D1265-C1265))),8)</f>
        <v/>
      </c>
      <c r="G1265" s="49">
        <f>TRUNC((E1265*F1265),8)</f>
        <v/>
      </c>
      <c r="H1265" s="49">
        <f>ROUND(((1+$H$4)^(30/360))^(C1265/(EDATE(D1265-B1265,1)-(D1265-B1265))),9)</f>
        <v/>
      </c>
      <c r="I1265" s="49">
        <f>TRUNC((G1265*H1265-G1265),8)</f>
        <v/>
      </c>
      <c r="J1265" s="49">
        <f>G1265+I1265</f>
        <v/>
      </c>
      <c r="K1265" s="256" t="n"/>
      <c r="L1265" s="256" t="n"/>
      <c r="M1265" s="256" t="n"/>
      <c r="N1265" s="256" t="n"/>
      <c r="O1265" s="256" t="n"/>
      <c r="P1265" s="256" t="n"/>
      <c r="Q1265" s="256" t="n"/>
    </row>
    <row r="1266">
      <c r="A1266">
        <f>IF(DAY(D1266)=DAY($L$1+1),A1265+1,A1265)</f>
        <v/>
      </c>
      <c r="B1266" s="46">
        <f>IF(DAY(D1266)=DAY($L$1+1),1,B1265+1)</f>
        <v/>
      </c>
      <c r="C1266" s="46">
        <f>IF(DAY(D1266)=DAY($L$1+1),1,C1265+1)</f>
        <v/>
      </c>
      <c r="D1266" s="2">
        <f>D1265+1</f>
        <v/>
      </c>
      <c r="E1266" s="8">
        <f>IF(DAY(D1266)=DAY($L$1+1),TRUNC((N1265),8),E1265)</f>
        <v/>
      </c>
      <c r="F1266" s="49">
        <f>TRUNC(((1+VLOOKUP(A1266,IPCA!$A$2:$C$140,3,0)))^(C1266/(EDATE(D1266-C1266,1)-(D1266-C1266))),8)</f>
        <v/>
      </c>
      <c r="G1266" s="49">
        <f>TRUNC((E1266*F1266),8)</f>
        <v/>
      </c>
      <c r="H1266" s="49">
        <f>ROUND(((1+$H$4)^(30/360))^(C1266/(EDATE(D1266-B1266,1)-(D1266-B1266))),9)</f>
        <v/>
      </c>
      <c r="I1266" s="49">
        <f>TRUNC((G1266*H1266-G1266),8)</f>
        <v/>
      </c>
      <c r="J1266" s="49">
        <f>G1266+I1266</f>
        <v/>
      </c>
      <c r="K1266" s="256" t="inlineStr">
        <is>
          <t>Cri Integralizado</t>
        </is>
      </c>
      <c r="L1266" s="270">
        <f>L1236</f>
        <v/>
      </c>
      <c r="M1266" s="256" t="n"/>
      <c r="N1266" s="256" t="n"/>
      <c r="O1266" s="256" t="n"/>
      <c r="P1266" s="256" t="n"/>
      <c r="Q1266" s="256" t="n"/>
    </row>
    <row r="1267">
      <c r="A1267">
        <f>IF(DAY(D1267)=DAY($L$1+1),A1266+1,A1266)</f>
        <v/>
      </c>
      <c r="B1267" s="46">
        <f>IF(DAY(D1267)=DAY($L$1+1),1,B1266+1)</f>
        <v/>
      </c>
      <c r="C1267" s="46">
        <f>IF(DAY(D1267)=DAY($L$1+1),1,C1266+1)</f>
        <v/>
      </c>
      <c r="D1267" s="47">
        <f>D1266+1</f>
        <v/>
      </c>
      <c r="E1267" s="8">
        <f>IF(DAY(D1267)=DAY($L$1+1),TRUNC((N1266),8),E1266)</f>
        <v/>
      </c>
      <c r="F1267" s="49">
        <f>TRUNC(((1+VLOOKUP(A1267,IPCA!$A$2:$C$140,3,0)))^(C1267/(EDATE(D1267-C1267,1)-(D1267-C1267))),8)</f>
        <v/>
      </c>
      <c r="G1267" s="49">
        <f>TRUNC((E1267*F1267),8)</f>
        <v/>
      </c>
      <c r="H1267" s="49">
        <f>ROUND(((1+$H$4)^(30/360))^(C1267/(EDATE(D1267-B1267,1)-(D1267-B1267))),9)</f>
        <v/>
      </c>
      <c r="I1267" s="49">
        <f>TRUNC((G1267*H1267-G1267),8)</f>
        <v/>
      </c>
      <c r="J1267" s="49">
        <f>G1267+I1267</f>
        <v/>
      </c>
      <c r="K1267" s="118" t="inlineStr">
        <is>
          <t>JUROS</t>
        </is>
      </c>
      <c r="L1267" s="118" t="inlineStr">
        <is>
          <t>AMORTIZAÇÃO</t>
        </is>
      </c>
      <c r="M1267" s="118" t="inlineStr">
        <is>
          <t>AMEX</t>
        </is>
      </c>
      <c r="N1267" s="118" t="inlineStr">
        <is>
          <t>RESIDUAL</t>
        </is>
      </c>
      <c r="O1267" s="256" t="n"/>
      <c r="P1267" s="256" t="n"/>
      <c r="Q1267" s="256" t="n"/>
    </row>
    <row r="1268">
      <c r="A1268">
        <f>IF(DAY(D1268)=DAY($L$1+1),A1267+1,A1267)</f>
        <v/>
      </c>
      <c r="B1268" s="111">
        <f>IF(DAY(D1268)=DAY($L$1+1),1,B1267+1)</f>
        <v/>
      </c>
      <c r="C1268" s="111">
        <f>IF(DAY(D1268)=DAY($L$1+1),1,C1267+1)</f>
        <v/>
      </c>
      <c r="D1268" s="112">
        <f>D1267+1</f>
        <v/>
      </c>
      <c r="E1268" s="113">
        <f>IF(DAY(D1268)=DAY($L$1+1),TRUNC((N1267),8),E1267)</f>
        <v/>
      </c>
      <c r="F1268" s="114">
        <f>TRUNC(((1+VLOOKUP(A1268,IPCA!$A$2:$C$140,3,0)))^(C1268/(EDATE(D1268-C1268,1)-(D1268-C1268))),8)</f>
        <v/>
      </c>
      <c r="G1268" s="114">
        <f>TRUNC((E1268*F1268),8)</f>
        <v/>
      </c>
      <c r="H1268" s="114">
        <f>ROUND(((1+$H$4)^(30/360))^(C1268/(EDATE(D1268-B1268,1)-(D1268-B1268))),9)</f>
        <v/>
      </c>
      <c r="I1268" s="114">
        <f>TRUNC((G1268*H1268-G1268),8)</f>
        <v/>
      </c>
      <c r="J1268" s="114">
        <f>G1268+I1268</f>
        <v/>
      </c>
      <c r="K1268" s="119">
        <f>I1268</f>
        <v/>
      </c>
      <c r="L1268" s="120">
        <f>TRUNC(G1268*VLOOKUP(D1268,'Amort TS'!$G$3:$H$140,2,0),8)</f>
        <v/>
      </c>
      <c r="M1268" s="120" t="n">
        <v>0</v>
      </c>
      <c r="N1268" s="120">
        <f>J1268-K1268-L1268-M1268</f>
        <v/>
      </c>
      <c r="O1268" s="256" t="n"/>
      <c r="P1268" s="256" t="n"/>
      <c r="Q1268" s="256" t="n"/>
    </row>
    <row r="1269">
      <c r="A1269">
        <f>IF(DAY(D1269)=DAY($L$1+1),A1268+1,A1268)</f>
        <v/>
      </c>
      <c r="B1269" s="46">
        <f>IF(DAY(D1269)=DAY($L$1+1),1,B1268+1)</f>
        <v/>
      </c>
      <c r="C1269" s="46">
        <f>IF(DAY(D1269)=DAY($L$1+1),1,C1268+1)</f>
        <v/>
      </c>
      <c r="D1269" s="2">
        <f>D1268+1</f>
        <v/>
      </c>
      <c r="E1269" s="8">
        <f>IF(DAY(D1269)=DAY($L$1+1),TRUNC((N1268),8),E1268)</f>
        <v/>
      </c>
      <c r="F1269" s="49">
        <f>TRUNC(((1+VLOOKUP(A1269,IPCA!$A$2:$C$140,3,0)))^(C1269/(EDATE(D1269-C1269,1)-(D1269-C1269))),8)</f>
        <v/>
      </c>
      <c r="G1269" s="49">
        <f>TRUNC((E1269*F1269),8)</f>
        <v/>
      </c>
      <c r="H1269" s="49">
        <f>ROUND(((1+$H$4)^(30/360))^(C1269/(EDATE(D1269-B1269,1)-(D1269-B1269))),9)</f>
        <v/>
      </c>
      <c r="I1269" s="49">
        <f>TRUNC((G1269*H1269-G1269),8)</f>
        <v/>
      </c>
      <c r="J1269" s="49">
        <f>G1269+I1269</f>
        <v/>
      </c>
      <c r="K1269" s="121">
        <f>K1268*L1266</f>
        <v/>
      </c>
      <c r="L1269" s="121">
        <f>L1268*L1266</f>
        <v/>
      </c>
      <c r="M1269" s="121">
        <f>M1268*L1266</f>
        <v/>
      </c>
      <c r="N1269" s="121">
        <f>N1268*L1266</f>
        <v/>
      </c>
      <c r="O1269" s="256" t="n"/>
      <c r="P1269" s="256" t="n"/>
      <c r="Q1269" s="256" t="n"/>
    </row>
    <row r="1270">
      <c r="A1270">
        <f>IF(DAY(D1270)=DAY($L$1+1),A1269+1,A1269)</f>
        <v/>
      </c>
      <c r="B1270" s="46">
        <f>IF(DAY(D1270)=DAY($L$1+1),1,B1269+1)</f>
        <v/>
      </c>
      <c r="C1270" s="46">
        <f>IF(DAY(D1270)=DAY($L$1+1),1,C1269+1)</f>
        <v/>
      </c>
      <c r="D1270" s="47">
        <f>D1269+1</f>
        <v/>
      </c>
      <c r="E1270" s="8">
        <f>IF(DAY(D1270)=DAY($L$1+1),TRUNC((N1269),8),E1269)</f>
        <v/>
      </c>
      <c r="F1270" s="49">
        <f>TRUNC(((1+VLOOKUP(A1270,IPCA!$A$2:$C$140,3,0)))^(C1270/(EDATE(D1270-C1270,1)-(D1270-C1270))),8)</f>
        <v/>
      </c>
      <c r="G1270" s="49">
        <f>TRUNC((E1270*F1270),8)</f>
        <v/>
      </c>
      <c r="H1270" s="49">
        <f>ROUND(((1+$H$4)^(30/360))^(C1270/(EDATE(D1270-B1270,1)-(D1270-B1270))),9)</f>
        <v/>
      </c>
      <c r="I1270" s="49">
        <f>TRUNC((G1270*H1270-G1270),8)</f>
        <v/>
      </c>
      <c r="J1270" s="49">
        <f>G1270+I1270</f>
        <v/>
      </c>
      <c r="K1270" s="256" t="n"/>
      <c r="L1270" s="256" t="n"/>
      <c r="M1270" s="256" t="n"/>
      <c r="N1270" s="256" t="n"/>
      <c r="O1270" s="256" t="n"/>
      <c r="P1270" s="256" t="n"/>
      <c r="Q1270" s="256" t="n"/>
    </row>
    <row r="1271">
      <c r="A1271">
        <f>IF(DAY(D1271)=DAY($L$1+1),A1270+1,A1270)</f>
        <v/>
      </c>
      <c r="B1271" s="46">
        <f>IF(DAY(D1271)=DAY($L$1+1),1,B1270+1)</f>
        <v/>
      </c>
      <c r="C1271" s="46">
        <f>IF(DAY(D1271)=DAY($L$1+1),1,C1270+1)</f>
        <v/>
      </c>
      <c r="D1271" s="2">
        <f>D1270+1</f>
        <v/>
      </c>
      <c r="E1271" s="8">
        <f>IF(DAY(D1271)=DAY($L$1+1),TRUNC((#REF!),8),E1270)</f>
        <v/>
      </c>
      <c r="F1271" s="49">
        <f>TRUNC(((1+VLOOKUP(A1271,IPCA!$A$2:$C$140,3,0)))^(C1271/(EDATE(D1271-C1271,1)-(D1271-C1271))),8)</f>
        <v/>
      </c>
      <c r="G1271" s="49">
        <f>TRUNC((E1271*F1271),8)</f>
        <v/>
      </c>
      <c r="H1271" s="49">
        <f>ROUND(((1+$H$4)^(30/360))^(C1271/(EDATE(D1271-B1271,1)-(D1271-B1271))),9)</f>
        <v/>
      </c>
      <c r="I1271" s="49">
        <f>TRUNC((G1271*H1271-G1271),8)</f>
        <v/>
      </c>
      <c r="J1271" s="49">
        <f>G1271+I1271</f>
        <v/>
      </c>
      <c r="K1271" s="256" t="n"/>
      <c r="L1271" s="256" t="n"/>
      <c r="M1271" s="256" t="n"/>
      <c r="N1271" s="256" t="n"/>
      <c r="O1271" s="256" t="n"/>
      <c r="P1271" s="256" t="n"/>
      <c r="Q1271" s="256" t="n"/>
    </row>
    <row r="1272">
      <c r="A1272">
        <f>IF(DAY(D1272)=DAY($L$1+1),A1271+1,A1271)</f>
        <v/>
      </c>
      <c r="B1272" s="46">
        <f>IF(DAY(D1272)=DAY($L$1+1),1,B1271+1)</f>
        <v/>
      </c>
      <c r="C1272" s="46">
        <f>IF(DAY(D1272)=DAY($L$1+1),1,C1271+1)</f>
        <v/>
      </c>
      <c r="D1272" s="2">
        <f>D1271+1</f>
        <v/>
      </c>
      <c r="E1272" s="8">
        <f>IF(DAY(D1272)=DAY($L$1+1),TRUNC((#REF!),8),E1271)</f>
        <v/>
      </c>
      <c r="F1272" s="49">
        <f>TRUNC(((1+VLOOKUP(A1272,IPCA!$A$2:$C$140,3,0)))^(C1272/(EDATE(D1272-C1272,1)-(D1272-C1272))),8)</f>
        <v/>
      </c>
      <c r="G1272" s="49">
        <f>TRUNC((E1272*F1272),8)</f>
        <v/>
      </c>
      <c r="H1272" s="49">
        <f>ROUND(((1+$H$4)^(30/360))^(C1272/(EDATE(D1272-B1272,1)-(D1272-B1272))),9)</f>
        <v/>
      </c>
      <c r="I1272" s="49">
        <f>TRUNC((G1272*H1272-G1272),8)</f>
        <v/>
      </c>
      <c r="J1272" s="49">
        <f>G1272+I1272</f>
        <v/>
      </c>
      <c r="K1272" s="256" t="n"/>
      <c r="L1272" s="256" t="n"/>
      <c r="M1272" s="256" t="n"/>
      <c r="N1272" s="256" t="n"/>
      <c r="O1272" s="256" t="n"/>
      <c r="P1272" s="256" t="n"/>
      <c r="Q1272" s="256" t="n"/>
    </row>
    <row r="1273">
      <c r="A1273">
        <f>IF(DAY(D1273)=DAY($L$1+1),A1272+1,A1272)</f>
        <v/>
      </c>
      <c r="B1273" s="46">
        <f>IF(DAY(D1273)=DAY($L$1+1),1,B1272+1)</f>
        <v/>
      </c>
      <c r="C1273" s="46">
        <f>IF(DAY(D1273)=DAY($L$1+1),1,C1272+1)</f>
        <v/>
      </c>
      <c r="D1273" s="2">
        <f>D1272+1</f>
        <v/>
      </c>
      <c r="E1273" s="8">
        <f>IF(DAY(D1273)=DAY($L$1+1),TRUNC((#REF!),8),E1272)</f>
        <v/>
      </c>
      <c r="F1273" s="49">
        <f>TRUNC(((1+VLOOKUP(A1273,IPCA!$A$2:$C$140,3,0)))^(C1273/(EDATE(D1273-C1273,1)-(D1273-C1273))),8)</f>
        <v/>
      </c>
      <c r="G1273" s="49">
        <f>TRUNC((E1273*F1273),8)</f>
        <v/>
      </c>
      <c r="H1273" s="49">
        <f>ROUND(((1+$H$4)^(30/360))^(C1273/(EDATE(D1273-B1273,1)-(D1273-B1273))),9)</f>
        <v/>
      </c>
      <c r="I1273" s="49">
        <f>TRUNC((G1273*H1273-G1273),8)</f>
        <v/>
      </c>
      <c r="J1273" s="49">
        <f>G1273+I1273</f>
        <v/>
      </c>
      <c r="K1273" s="256" t="n"/>
      <c r="L1273" s="256" t="n"/>
      <c r="M1273" s="256" t="n"/>
      <c r="N1273" s="256" t="n"/>
      <c r="O1273" s="256" t="n"/>
      <c r="P1273" s="256" t="n"/>
      <c r="Q1273" s="256" t="n"/>
    </row>
    <row r="1274">
      <c r="A1274">
        <f>IF(DAY(D1274)=DAY($L$1+1),A1273+1,A1273)</f>
        <v/>
      </c>
      <c r="B1274" s="46">
        <f>IF(DAY(D1274)=DAY($L$1+1),1,B1273+1)</f>
        <v/>
      </c>
      <c r="C1274" s="46">
        <f>IF(DAY(D1274)=DAY($L$1+1),1,C1273+1)</f>
        <v/>
      </c>
      <c r="D1274" s="2">
        <f>D1273+1</f>
        <v/>
      </c>
      <c r="E1274" s="8">
        <f>IF(DAY(D1274)=DAY($L$1+1),TRUNC((#REF!),8),E1273)</f>
        <v/>
      </c>
      <c r="F1274" s="49">
        <f>TRUNC(((1+VLOOKUP(A1274,IPCA!$A$2:$C$140,3,0)))^(C1274/(EDATE(D1274-C1274,1)-(D1274-C1274))),8)</f>
        <v/>
      </c>
      <c r="G1274" s="49">
        <f>TRUNC((E1274*F1274),8)</f>
        <v/>
      </c>
      <c r="H1274" s="49">
        <f>ROUND(((1+$H$4)^(30/360))^(C1274/(EDATE(D1274-B1274,1)-(D1274-B1274))),9)</f>
        <v/>
      </c>
      <c r="I1274" s="49">
        <f>TRUNC((G1274*H1274-G1274),8)</f>
        <v/>
      </c>
      <c r="J1274" s="49">
        <f>G1274+I1274</f>
        <v/>
      </c>
      <c r="K1274" s="256" t="n"/>
      <c r="L1274" s="256" t="n"/>
      <c r="M1274" s="256" t="n"/>
      <c r="N1274" s="256" t="n"/>
      <c r="O1274" s="256" t="n"/>
      <c r="P1274" s="256" t="n"/>
      <c r="Q1274" s="256" t="n"/>
    </row>
    <row r="1275">
      <c r="A1275">
        <f>IF(DAY(D1275)=DAY($L$1+1),A1274+1,A1274)</f>
        <v/>
      </c>
      <c r="B1275" s="46">
        <f>IF(DAY(D1275)=DAY($L$1+1),1,B1274+1)</f>
        <v/>
      </c>
      <c r="C1275" s="46">
        <f>IF(DAY(D1275)=DAY($L$1+1),1,C1274+1)</f>
        <v/>
      </c>
      <c r="D1275" s="2">
        <f>D1274+1</f>
        <v/>
      </c>
      <c r="E1275" s="8">
        <f>IF(DAY(D1275)=DAY($L$1+1),TRUNC((#REF!),8),E1274)</f>
        <v/>
      </c>
      <c r="F1275" s="49">
        <f>TRUNC(((1+VLOOKUP(A1275,IPCA!$A$2:$C$140,3,0)))^(C1275/(EDATE(D1275-C1275,1)-(D1275-C1275))),8)</f>
        <v/>
      </c>
      <c r="G1275" s="49">
        <f>TRUNC((E1275*F1275),8)</f>
        <v/>
      </c>
      <c r="H1275" s="49">
        <f>ROUND(((1+$H$4)^(30/360))^(C1275/(EDATE(D1275-B1275,1)-(D1275-B1275))),9)</f>
        <v/>
      </c>
      <c r="I1275" s="49">
        <f>TRUNC((G1275*H1275-G1275),8)</f>
        <v/>
      </c>
      <c r="J1275" s="49">
        <f>G1275+I1275</f>
        <v/>
      </c>
      <c r="K1275" s="256" t="n"/>
      <c r="L1275" s="256" t="n"/>
      <c r="M1275" s="256" t="n"/>
      <c r="N1275" s="256" t="n"/>
      <c r="O1275" s="256" t="n"/>
      <c r="P1275" s="256" t="n"/>
      <c r="Q1275" s="256" t="n"/>
    </row>
    <row r="1276">
      <c r="A1276">
        <f>IF(DAY(D1276)=DAY($L$1+1),A1275+1,A1275)</f>
        <v/>
      </c>
      <c r="B1276" s="46">
        <f>IF(DAY(D1276)=DAY($L$1+1),1,B1275+1)</f>
        <v/>
      </c>
      <c r="C1276" s="46">
        <f>IF(DAY(D1276)=DAY($L$1+1),1,C1275+1)</f>
        <v/>
      </c>
      <c r="D1276" s="2">
        <f>D1275+1</f>
        <v/>
      </c>
      <c r="E1276" s="8">
        <f>IF(DAY(D1276)=DAY($L$1+1),TRUNC((#REF!),8),E1275)</f>
        <v/>
      </c>
      <c r="F1276" s="49">
        <f>TRUNC(((1+VLOOKUP(A1276,IPCA!$A$2:$C$140,3,0)))^(C1276/(EDATE(D1276-C1276,1)-(D1276-C1276))),8)</f>
        <v/>
      </c>
      <c r="G1276" s="49">
        <f>TRUNC((E1276*F1276),8)</f>
        <v/>
      </c>
      <c r="H1276" s="49">
        <f>ROUND(((1+$H$4)^(30/360))^(C1276/(EDATE(D1276-B1276,1)-(D1276-B1276))),9)</f>
        <v/>
      </c>
      <c r="I1276" s="49">
        <f>TRUNC((G1276*H1276-G1276),8)</f>
        <v/>
      </c>
      <c r="J1276" s="49">
        <f>G1276+I1276</f>
        <v/>
      </c>
      <c r="K1276" s="256" t="n"/>
      <c r="L1276" s="256" t="n"/>
      <c r="M1276" s="256" t="n"/>
      <c r="N1276" s="256" t="n"/>
      <c r="O1276" s="256" t="n"/>
      <c r="P1276" s="256" t="n"/>
      <c r="Q1276" s="256" t="n"/>
    </row>
    <row r="1277">
      <c r="A1277">
        <f>IF(DAY(D1277)=DAY($L$1+1),A1276+1,A1276)</f>
        <v/>
      </c>
      <c r="B1277" s="46">
        <f>IF(DAY(D1277)=DAY($L$1+1),1,B1276+1)</f>
        <v/>
      </c>
      <c r="C1277" s="46">
        <f>IF(DAY(D1277)=DAY($L$1+1),1,C1276+1)</f>
        <v/>
      </c>
      <c r="D1277" s="2">
        <f>D1276+1</f>
        <v/>
      </c>
      <c r="E1277" s="8">
        <f>IF(DAY(D1277)=DAY($L$1+1),TRUNC((#REF!),8),E1276)</f>
        <v/>
      </c>
      <c r="F1277" s="49">
        <f>TRUNC(((1+VLOOKUP(A1277,IPCA!$A$2:$C$140,3,0)))^(C1277/(EDATE(D1277-C1277,1)-(D1277-C1277))),8)</f>
        <v/>
      </c>
      <c r="G1277" s="49">
        <f>TRUNC((E1277*F1277),8)</f>
        <v/>
      </c>
      <c r="H1277" s="49">
        <f>ROUND(((1+$H$4)^(30/360))^(C1277/(EDATE(D1277-B1277,1)-(D1277-B1277))),9)</f>
        <v/>
      </c>
      <c r="I1277" s="49">
        <f>TRUNC((G1277*H1277-G1277),8)</f>
        <v/>
      </c>
      <c r="J1277" s="49">
        <f>G1277+I1277</f>
        <v/>
      </c>
      <c r="K1277" s="256" t="n"/>
      <c r="L1277" s="256" t="n"/>
      <c r="M1277" s="256" t="n"/>
      <c r="N1277" s="256" t="n"/>
      <c r="O1277" s="256" t="n"/>
      <c r="P1277" s="256" t="n"/>
      <c r="Q1277" s="256" t="n"/>
    </row>
    <row r="1278">
      <c r="A1278">
        <f>IF(DAY(D1278)=DAY($L$1+1),A1277+1,A1277)</f>
        <v/>
      </c>
      <c r="B1278" s="46">
        <f>IF(DAY(D1278)=DAY($L$1+1),1,B1277+1)</f>
        <v/>
      </c>
      <c r="C1278" s="46">
        <f>IF(DAY(D1278)=DAY($L$1+1),1,C1277+1)</f>
        <v/>
      </c>
      <c r="D1278" s="2">
        <f>D1277+1</f>
        <v/>
      </c>
      <c r="E1278" s="8">
        <f>IF(DAY(D1278)=DAY($L$1+1),TRUNC((#REF!),8),E1277)</f>
        <v/>
      </c>
      <c r="F1278" s="49">
        <f>TRUNC(((1+VLOOKUP(A1278,IPCA!$A$2:$C$140,3,0)))^(C1278/(EDATE(D1278-C1278,1)-(D1278-C1278))),8)</f>
        <v/>
      </c>
      <c r="G1278" s="49">
        <f>TRUNC((E1278*F1278),8)</f>
        <v/>
      </c>
      <c r="H1278" s="49">
        <f>ROUND(((1+$H$4)^(30/360))^(C1278/(EDATE(D1278-B1278,1)-(D1278-B1278))),9)</f>
        <v/>
      </c>
      <c r="I1278" s="49">
        <f>TRUNC((G1278*H1278-G1278),8)</f>
        <v/>
      </c>
      <c r="J1278" s="49">
        <f>G1278+I1278</f>
        <v/>
      </c>
      <c r="K1278" s="256" t="n"/>
      <c r="L1278" s="256" t="n"/>
      <c r="M1278" s="256" t="n"/>
      <c r="N1278" s="256" t="n"/>
      <c r="O1278" s="256" t="n"/>
      <c r="P1278" s="256" t="n"/>
      <c r="Q1278" s="256" t="n"/>
    </row>
    <row r="1279">
      <c r="A1279">
        <f>IF(DAY(D1279)=DAY($L$1+1),A1278+1,A1278)</f>
        <v/>
      </c>
      <c r="B1279" s="46">
        <f>IF(DAY(D1279)=DAY($L$1+1),1,B1278+1)</f>
        <v/>
      </c>
      <c r="C1279" s="46">
        <f>IF(DAY(D1279)=DAY($L$1+1),1,C1278+1)</f>
        <v/>
      </c>
      <c r="D1279" s="2">
        <f>D1278+1</f>
        <v/>
      </c>
      <c r="E1279" s="8">
        <f>IF(DAY(D1279)=DAY($L$1+1),TRUNC((#REF!),8),E1278)</f>
        <v/>
      </c>
      <c r="F1279" s="49">
        <f>TRUNC(((1+VLOOKUP(A1279,IPCA!$A$2:$C$140,3,0)))^(C1279/(EDATE(D1279-C1279,1)-(D1279-C1279))),8)</f>
        <v/>
      </c>
      <c r="G1279" s="49">
        <f>TRUNC((E1279*F1279),8)</f>
        <v/>
      </c>
      <c r="H1279" s="49">
        <f>ROUND(((1+$H$4)^(30/360))^(C1279/(EDATE(D1279-B1279,1)-(D1279-B1279))),9)</f>
        <v/>
      </c>
      <c r="I1279" s="49">
        <f>TRUNC((G1279*H1279-G1279),8)</f>
        <v/>
      </c>
      <c r="J1279" s="49">
        <f>G1279+I1279</f>
        <v/>
      </c>
      <c r="K1279" s="256" t="n"/>
      <c r="L1279" s="256" t="n"/>
      <c r="M1279" s="256" t="n"/>
      <c r="N1279" s="256" t="n"/>
      <c r="O1279" s="256" t="n"/>
      <c r="P1279" s="256" t="n"/>
      <c r="Q1279" s="256" t="n"/>
    </row>
    <row r="1280">
      <c r="A1280">
        <f>IF(DAY(D1280)=DAY($L$1+1),A1279+1,A1279)</f>
        <v/>
      </c>
      <c r="B1280" s="46">
        <f>IF(DAY(D1280)=DAY($L$1+1),1,B1279+1)</f>
        <v/>
      </c>
      <c r="C1280" s="46">
        <f>IF(DAY(D1280)=DAY($L$1+1),1,C1279+1)</f>
        <v/>
      </c>
      <c r="D1280" s="2">
        <f>D1279+1</f>
        <v/>
      </c>
      <c r="E1280" s="8">
        <f>IF(DAY(D1280)=DAY($L$1+1),TRUNC((#REF!),8),E1279)</f>
        <v/>
      </c>
      <c r="F1280" s="49">
        <f>TRUNC(((1+VLOOKUP(A1280,IPCA!$A$2:$C$140,3,0)))^(C1280/(EDATE(D1280-C1280,1)-(D1280-C1280))),8)</f>
        <v/>
      </c>
      <c r="G1280" s="49">
        <f>TRUNC((E1280*F1280),8)</f>
        <v/>
      </c>
      <c r="H1280" s="49">
        <f>ROUND(((1+$H$4)^(30/360))^(C1280/(EDATE(D1280-B1280,1)-(D1280-B1280))),9)</f>
        <v/>
      </c>
      <c r="I1280" s="49">
        <f>TRUNC((G1280*H1280-G1280),8)</f>
        <v/>
      </c>
      <c r="J1280" s="49">
        <f>G1280+I1280</f>
        <v/>
      </c>
      <c r="K1280" s="256" t="n"/>
      <c r="L1280" s="256" t="n"/>
      <c r="M1280" s="256" t="n"/>
      <c r="N1280" s="256" t="n"/>
      <c r="O1280" s="256" t="n"/>
      <c r="P1280" s="256" t="n"/>
      <c r="Q1280" s="256" t="n"/>
    </row>
    <row r="1281">
      <c r="A1281">
        <f>IF(DAY(D1281)=DAY($L$1+1),A1280+1,A1280)</f>
        <v/>
      </c>
      <c r="B1281" s="46">
        <f>IF(DAY(D1281)=DAY($L$1+1),1,B1280+1)</f>
        <v/>
      </c>
      <c r="C1281" s="46">
        <f>IF(DAY(D1281)=DAY($L$1+1),1,C1280+1)</f>
        <v/>
      </c>
      <c r="D1281" s="2">
        <f>D1280+1</f>
        <v/>
      </c>
      <c r="E1281" s="8">
        <f>IF(DAY(D1281)=DAY($L$1+1),TRUNC((#REF!),8),E1280)</f>
        <v/>
      </c>
      <c r="F1281" s="49">
        <f>TRUNC(((1+VLOOKUP(A1281,IPCA!$A$2:$C$140,3,0)))^(C1281/(EDATE(D1281-C1281,1)-(D1281-C1281))),8)</f>
        <v/>
      </c>
      <c r="G1281" s="49">
        <f>TRUNC((E1281*F1281),8)</f>
        <v/>
      </c>
      <c r="H1281" s="49">
        <f>ROUND(((1+$H$4)^(30/360))^(C1281/(EDATE(D1281-B1281,1)-(D1281-B1281))),9)</f>
        <v/>
      </c>
      <c r="I1281" s="49">
        <f>TRUNC((G1281*H1281-G1281),8)</f>
        <v/>
      </c>
      <c r="J1281" s="49">
        <f>G1281+I1281</f>
        <v/>
      </c>
      <c r="K1281" s="256" t="n"/>
      <c r="L1281" s="256" t="n"/>
      <c r="M1281" s="256" t="n"/>
      <c r="N1281" s="256" t="n"/>
      <c r="O1281" s="256" t="n"/>
      <c r="P1281" s="256" t="n"/>
      <c r="Q1281" s="256" t="n"/>
    </row>
    <row r="1282">
      <c r="A1282">
        <f>IF(DAY(D1282)=DAY($L$1+1),A1281+1,A1281)</f>
        <v/>
      </c>
      <c r="B1282" s="46">
        <f>IF(DAY(D1282)=DAY($L$1+1),1,B1281+1)</f>
        <v/>
      </c>
      <c r="C1282" s="46">
        <f>IF(DAY(D1282)=DAY($L$1+1),1,C1281+1)</f>
        <v/>
      </c>
      <c r="D1282" s="2">
        <f>D1281+1</f>
        <v/>
      </c>
      <c r="E1282" s="8">
        <f>IF(DAY(D1282)=DAY($L$1+1),TRUNC((#REF!),8),E1281)</f>
        <v/>
      </c>
      <c r="F1282" s="49">
        <f>TRUNC(((1+VLOOKUP(A1282,IPCA!$A$2:$C$140,3,0)))^(C1282/(EDATE(D1282-C1282,1)-(D1282-C1282))),8)</f>
        <v/>
      </c>
      <c r="G1282" s="49">
        <f>TRUNC((E1282*F1282),8)</f>
        <v/>
      </c>
      <c r="H1282" s="49">
        <f>ROUND(((1+$H$4)^(30/360))^(C1282/(EDATE(D1282-B1282,1)-(D1282-B1282))),9)</f>
        <v/>
      </c>
      <c r="I1282" s="49">
        <f>TRUNC((G1282*H1282-G1282),8)</f>
        <v/>
      </c>
      <c r="J1282" s="49">
        <f>G1282+I1282</f>
        <v/>
      </c>
      <c r="K1282" s="256" t="n"/>
      <c r="L1282" s="256" t="n"/>
      <c r="M1282" s="256" t="n"/>
      <c r="N1282" s="256" t="n"/>
      <c r="O1282" s="256" t="n"/>
      <c r="P1282" s="256" t="n"/>
      <c r="Q1282" s="256" t="n"/>
    </row>
    <row r="1283">
      <c r="A1283">
        <f>IF(DAY(D1283)=DAY($L$1+1),A1282+1,A1282)</f>
        <v/>
      </c>
      <c r="B1283" s="46">
        <f>IF(DAY(D1283)=DAY($L$1+1),1,B1282+1)</f>
        <v/>
      </c>
      <c r="C1283" s="46">
        <f>IF(DAY(D1283)=DAY($L$1+1),1,C1282+1)</f>
        <v/>
      </c>
      <c r="D1283" s="2">
        <f>D1282+1</f>
        <v/>
      </c>
      <c r="E1283" s="8">
        <f>IF(DAY(D1283)=DAY($L$1+1),TRUNC((N1282),8),E1282)</f>
        <v/>
      </c>
      <c r="F1283" s="49">
        <f>TRUNC(((1+VLOOKUP(A1283,IPCA!$A$2:$C$140,3,0)))^(C1283/(EDATE(D1283-C1283,1)-(D1283-C1283))),8)</f>
        <v/>
      </c>
      <c r="G1283" s="49">
        <f>TRUNC((E1283*F1283),8)</f>
        <v/>
      </c>
      <c r="H1283" s="49">
        <f>ROUND(((1+$H$4)^(30/360))^(C1283/(EDATE(D1283-B1283,1)-(D1283-B1283))),9)</f>
        <v/>
      </c>
      <c r="I1283" s="49">
        <f>TRUNC((G1283*H1283-G1283),8)</f>
        <v/>
      </c>
      <c r="J1283" s="49">
        <f>G1283+I1283</f>
        <v/>
      </c>
      <c r="K1283" s="123" t="n"/>
      <c r="L1283" s="271" t="n"/>
      <c r="M1283" s="256" t="n"/>
      <c r="N1283" s="256" t="n"/>
      <c r="O1283" s="256" t="n"/>
      <c r="P1283" s="256" t="n"/>
      <c r="Q1283" s="256" t="n"/>
    </row>
    <row r="1284">
      <c r="A1284">
        <f>IF(DAY(D1284)=DAY($L$1+1),A1283+1,A1283)</f>
        <v/>
      </c>
      <c r="B1284" s="46">
        <f>IF(DAY(D1284)=DAY($L$1+1),1,B1283+1)</f>
        <v/>
      </c>
      <c r="C1284" s="46">
        <f>IF(DAY(D1284)=DAY($L$1+1),1,C1283+1)</f>
        <v/>
      </c>
      <c r="D1284" s="2">
        <f>D1283+1</f>
        <v/>
      </c>
      <c r="E1284" s="8">
        <f>IF(DAY(D1284)=DAY($L$1+1),TRUNC((N1283),8),E1283)</f>
        <v/>
      </c>
      <c r="F1284" s="49">
        <f>TRUNC(((1+VLOOKUP(A1284,IPCA!$A$2:$C$140,3,0)))^(C1284/(EDATE(D1284-C1284,1)-(D1284-C1284))),8)</f>
        <v/>
      </c>
      <c r="G1284" s="49">
        <f>TRUNC((E1284*F1284),8)</f>
        <v/>
      </c>
      <c r="H1284" s="49">
        <f>ROUND(((1+$H$4)^(30/360))^(C1284/(EDATE(D1284-B1284,1)-(D1284-B1284))),9)</f>
        <v/>
      </c>
      <c r="I1284" s="49">
        <f>TRUNC((G1284*H1284-G1284),8)</f>
        <v/>
      </c>
      <c r="J1284" s="49">
        <f>G1284+I1284</f>
        <v/>
      </c>
      <c r="K1284" s="256" t="n"/>
      <c r="L1284" s="256" t="n"/>
      <c r="M1284" s="256" t="n"/>
      <c r="N1284" s="256" t="n"/>
      <c r="O1284" s="256" t="n"/>
      <c r="P1284" s="256" t="n"/>
      <c r="Q1284" s="256" t="n"/>
    </row>
    <row r="1285">
      <c r="A1285">
        <f>IF(DAY(D1285)=DAY($L$1+1),A1284+1,A1284)</f>
        <v/>
      </c>
      <c r="B1285" s="46">
        <f>IF(DAY(D1285)=DAY($L$1+1),1,B1284+1)</f>
        <v/>
      </c>
      <c r="C1285" s="46">
        <f>IF(DAY(D1285)=DAY($L$1+1),1,C1284+1)</f>
        <v/>
      </c>
      <c r="D1285" s="2">
        <f>D1284+1</f>
        <v/>
      </c>
      <c r="E1285" s="8">
        <f>IF(DAY(D1285)=DAY($L$1+1),TRUNC((N1284),8),E1284)</f>
        <v/>
      </c>
      <c r="F1285" s="49">
        <f>TRUNC(((1+VLOOKUP(A1285,IPCA!$A$2:$C$140,3,0)))^(C1285/(EDATE(D1285-C1285,1)-(D1285-C1285))),8)</f>
        <v/>
      </c>
      <c r="G1285" s="49">
        <f>TRUNC((E1285*F1285),8)</f>
        <v/>
      </c>
      <c r="H1285" s="49">
        <f>ROUND(((1+$H$4)^(30/360))^(C1285/(EDATE(D1285-B1285,1)-(D1285-B1285))),9)</f>
        <v/>
      </c>
      <c r="I1285" s="49">
        <f>TRUNC((G1285*H1285-G1285),8)</f>
        <v/>
      </c>
      <c r="J1285" s="49">
        <f>G1285+I1285</f>
        <v/>
      </c>
      <c r="K1285" s="256" t="n"/>
      <c r="L1285" s="256" t="n"/>
      <c r="M1285" s="256" t="n"/>
      <c r="N1285" s="256" t="n"/>
      <c r="O1285" s="256" t="n"/>
      <c r="P1285" s="256" t="n"/>
      <c r="Q1285" s="256" t="n"/>
    </row>
    <row r="1286">
      <c r="A1286">
        <f>IF(DAY(D1286)=DAY($L$1+1),A1285+1,A1285)</f>
        <v/>
      </c>
      <c r="B1286" s="46">
        <f>IF(DAY(D1286)=DAY($L$1+1),1,B1285+1)</f>
        <v/>
      </c>
      <c r="C1286" s="46">
        <f>IF(DAY(D1286)=DAY($L$1+1),1,C1285+1)</f>
        <v/>
      </c>
      <c r="D1286" s="2">
        <f>D1285+1</f>
        <v/>
      </c>
      <c r="E1286" s="8">
        <f>IF(DAY(D1286)=DAY($L$1+1),TRUNC((N1285),8),E1285)</f>
        <v/>
      </c>
      <c r="F1286" s="49">
        <f>TRUNC(((1+VLOOKUP(A1286,IPCA!$A$2:$C$140,3,0)))^(C1286/(EDATE(D1286-C1286,1)-(D1286-C1286))),8)</f>
        <v/>
      </c>
      <c r="G1286" s="49">
        <f>TRUNC((E1286*F1286),8)</f>
        <v/>
      </c>
      <c r="H1286" s="49">
        <f>ROUND(((1+$H$4)^(30/360))^(C1286/(EDATE(D1286-B1286,1)-(D1286-B1286))),9)</f>
        <v/>
      </c>
      <c r="I1286" s="49">
        <f>TRUNC((G1286*H1286-G1286),8)</f>
        <v/>
      </c>
      <c r="J1286" s="49">
        <f>G1286+I1286</f>
        <v/>
      </c>
      <c r="K1286" s="256" t="n"/>
      <c r="L1286" s="256" t="n"/>
      <c r="M1286" s="256" t="n"/>
      <c r="N1286" s="256" t="n"/>
      <c r="O1286" s="256" t="n"/>
      <c r="P1286" s="256" t="n"/>
      <c r="Q1286" s="256" t="n"/>
    </row>
    <row r="1287">
      <c r="A1287">
        <f>IF(DAY(D1287)=DAY($L$1+1),A1286+1,A1286)</f>
        <v/>
      </c>
      <c r="B1287" s="46">
        <f>IF(DAY(D1287)=DAY($L$1+1),1,B1286+1)</f>
        <v/>
      </c>
      <c r="C1287" s="46">
        <f>IF(DAY(D1287)=DAY($L$1+1),1,C1286+1)</f>
        <v/>
      </c>
      <c r="D1287" s="2">
        <f>D1286+1</f>
        <v/>
      </c>
      <c r="E1287" s="8">
        <f>IF(DAY(D1287)=DAY($L$1+1),TRUNC((N1286),8),E1286)</f>
        <v/>
      </c>
      <c r="F1287" s="49">
        <f>TRUNC(((1+VLOOKUP(A1287,IPCA!$A$2:$C$140,3,0)))^(C1287/(EDATE(D1287-C1287,1)-(D1287-C1287))),8)</f>
        <v/>
      </c>
      <c r="G1287" s="49">
        <f>TRUNC((E1287*F1287),8)</f>
        <v/>
      </c>
      <c r="H1287" s="49">
        <f>ROUND(((1+$H$4)^(30/360))^(C1287/(EDATE(D1287-B1287,1)-(D1287-B1287))),9)</f>
        <v/>
      </c>
      <c r="I1287" s="49">
        <f>TRUNC((G1287*H1287-G1287),8)</f>
        <v/>
      </c>
      <c r="J1287" s="49">
        <f>G1287+I1287</f>
        <v/>
      </c>
      <c r="K1287" s="256" t="n"/>
      <c r="L1287" s="256" t="n"/>
      <c r="M1287" s="256" t="n"/>
      <c r="N1287" s="256" t="n"/>
      <c r="O1287" s="256" t="n"/>
      <c r="P1287" s="256" t="n"/>
      <c r="Q1287" s="256" t="n"/>
    </row>
    <row r="1288">
      <c r="A1288">
        <f>IF(DAY(D1288)=DAY($L$1+1),A1287+1,A1287)</f>
        <v/>
      </c>
      <c r="B1288" s="46">
        <f>IF(DAY(D1288)=DAY($L$1+1),1,B1287+1)</f>
        <v/>
      </c>
      <c r="C1288" s="46">
        <f>IF(DAY(D1288)=DAY($L$1+1),1,C1287+1)</f>
        <v/>
      </c>
      <c r="D1288" s="2">
        <f>D1287+1</f>
        <v/>
      </c>
      <c r="E1288" s="8">
        <f>IF(DAY(D1288)=DAY($L$1+1),TRUNC((N1287),8),E1287)</f>
        <v/>
      </c>
      <c r="F1288" s="49">
        <f>TRUNC(((1+VLOOKUP(A1288,IPCA!$A$2:$C$140,3,0)))^(C1288/(EDATE(D1288-C1288,1)-(D1288-C1288))),8)</f>
        <v/>
      </c>
      <c r="G1288" s="49">
        <f>TRUNC((E1288*F1288),8)</f>
        <v/>
      </c>
      <c r="H1288" s="49">
        <f>ROUND(((1+$H$4)^(30/360))^(C1288/(EDATE(D1288-B1288,1)-(D1288-B1288))),9)</f>
        <v/>
      </c>
      <c r="I1288" s="49">
        <f>TRUNC((G1288*H1288-G1288),8)</f>
        <v/>
      </c>
      <c r="J1288" s="49">
        <f>G1288+I1288</f>
        <v/>
      </c>
      <c r="K1288" s="256" t="n"/>
      <c r="L1288" s="256" t="n"/>
      <c r="M1288" s="256" t="n"/>
      <c r="N1288" s="256" t="n"/>
      <c r="O1288" s="256" t="n"/>
      <c r="P1288" s="256" t="n"/>
      <c r="Q1288" s="256" t="n"/>
    </row>
    <row r="1289">
      <c r="A1289">
        <f>IF(DAY(D1289)=DAY($L$1+1),A1288+1,A1288)</f>
        <v/>
      </c>
      <c r="B1289" s="46">
        <f>IF(DAY(D1289)=DAY($L$1+1),1,B1288+1)</f>
        <v/>
      </c>
      <c r="C1289" s="46">
        <f>IF(DAY(D1289)=DAY($L$1+1),1,C1288+1)</f>
        <v/>
      </c>
      <c r="D1289" s="2">
        <f>D1288+1</f>
        <v/>
      </c>
      <c r="E1289" s="8">
        <f>IF(DAY(D1289)=DAY($L$1+1),TRUNC((N1288),8),E1288)</f>
        <v/>
      </c>
      <c r="F1289" s="49">
        <f>TRUNC(((1+VLOOKUP(A1289,IPCA!$A$2:$C$140,3,0)))^(C1289/(EDATE(D1289-C1289,1)-(D1289-C1289))),8)</f>
        <v/>
      </c>
      <c r="G1289" s="49">
        <f>TRUNC((E1289*F1289),8)</f>
        <v/>
      </c>
      <c r="H1289" s="49">
        <f>ROUND(((1+$H$4)^(30/360))^(C1289/(EDATE(D1289-B1289,1)-(D1289-B1289))),9)</f>
        <v/>
      </c>
      <c r="I1289" s="49">
        <f>TRUNC((G1289*H1289-G1289),8)</f>
        <v/>
      </c>
      <c r="J1289" s="49">
        <f>G1289+I1289</f>
        <v/>
      </c>
      <c r="K1289" s="256" t="n"/>
      <c r="L1289" s="256" t="n"/>
      <c r="M1289" s="256" t="n"/>
      <c r="N1289" s="256" t="n"/>
      <c r="O1289" s="256" t="n"/>
      <c r="P1289" s="256" t="n"/>
      <c r="Q1289" s="256" t="n"/>
    </row>
    <row r="1290">
      <c r="A1290">
        <f>IF(DAY(D1290)=DAY($L$1+1),A1289+1,A1289)</f>
        <v/>
      </c>
      <c r="B1290" s="46">
        <f>IF(DAY(D1290)=DAY($L$1+1),1,B1289+1)</f>
        <v/>
      </c>
      <c r="C1290" s="46">
        <f>IF(DAY(D1290)=DAY($L$1+1),1,C1289+1)</f>
        <v/>
      </c>
      <c r="D1290" s="2">
        <f>D1289+1</f>
        <v/>
      </c>
      <c r="E1290" s="8">
        <f>IF(DAY(D1290)=DAY($L$1+1),TRUNC((N1289),8),E1289)</f>
        <v/>
      </c>
      <c r="F1290" s="49">
        <f>TRUNC(((1+VLOOKUP(A1290,IPCA!$A$2:$C$140,3,0)))^(C1290/(EDATE(D1290-C1290,1)-(D1290-C1290))),8)</f>
        <v/>
      </c>
      <c r="G1290" s="49">
        <f>TRUNC((E1290*F1290),8)</f>
        <v/>
      </c>
      <c r="H1290" s="49">
        <f>ROUND(((1+$H$4)^(30/360))^(C1290/(EDATE(D1290-B1290,1)-(D1290-B1290))),9)</f>
        <v/>
      </c>
      <c r="I1290" s="49">
        <f>TRUNC((G1290*H1290-G1290),8)</f>
        <v/>
      </c>
      <c r="J1290" s="49">
        <f>G1290+I1290</f>
        <v/>
      </c>
      <c r="K1290" s="256" t="n"/>
      <c r="L1290" s="256" t="n"/>
      <c r="M1290" s="256" t="n"/>
      <c r="N1290" s="256" t="n"/>
      <c r="O1290" s="256" t="n"/>
      <c r="P1290" s="256" t="n"/>
      <c r="Q1290" s="256" t="n"/>
    </row>
    <row r="1291">
      <c r="A1291">
        <f>IF(DAY(D1291)=DAY($L$1+1),A1290+1,A1290)</f>
        <v/>
      </c>
      <c r="B1291" s="46">
        <f>IF(DAY(D1291)=DAY($L$1+1),1,B1290+1)</f>
        <v/>
      </c>
      <c r="C1291" s="46">
        <f>IF(DAY(D1291)=DAY($L$1+1),1,C1290+1)</f>
        <v/>
      </c>
      <c r="D1291" s="2">
        <f>D1290+1</f>
        <v/>
      </c>
      <c r="E1291" s="8">
        <f>IF(DAY(D1291)=DAY($L$1+1),TRUNC((N1290),8),E1290)</f>
        <v/>
      </c>
      <c r="F1291" s="49">
        <f>TRUNC(((1+VLOOKUP(A1291,IPCA!$A$2:$C$140,3,0)))^(C1291/(EDATE(D1291-C1291,1)-(D1291-C1291))),8)</f>
        <v/>
      </c>
      <c r="G1291" s="49">
        <f>TRUNC((E1291*F1291),8)</f>
        <v/>
      </c>
      <c r="H1291" s="49">
        <f>ROUND(((1+$H$4)^(30/360))^(C1291/(EDATE(D1291-B1291,1)-(D1291-B1291))),9)</f>
        <v/>
      </c>
      <c r="I1291" s="49">
        <f>TRUNC((G1291*H1291-G1291),8)</f>
        <v/>
      </c>
      <c r="J1291" s="49">
        <f>G1291+I1291</f>
        <v/>
      </c>
      <c r="K1291" s="256" t="n"/>
      <c r="L1291" s="256" t="n"/>
      <c r="M1291" s="256" t="n"/>
      <c r="N1291" s="256" t="n"/>
      <c r="O1291" s="256" t="n"/>
      <c r="P1291" s="256" t="n"/>
      <c r="Q1291" s="256" t="n"/>
    </row>
    <row r="1292">
      <c r="A1292">
        <f>IF(DAY(D1292)=DAY($L$1+1),A1291+1,A1291)</f>
        <v/>
      </c>
      <c r="B1292" s="46">
        <f>IF(DAY(D1292)=DAY($L$1+1),1,B1291+1)</f>
        <v/>
      </c>
      <c r="C1292" s="46">
        <f>IF(DAY(D1292)=DAY($L$1+1),1,C1291+1)</f>
        <v/>
      </c>
      <c r="D1292" s="2">
        <f>D1291+1</f>
        <v/>
      </c>
      <c r="E1292" s="8">
        <f>IF(DAY(D1292)=DAY($L$1+1),TRUNC((N1291),8),E1291)</f>
        <v/>
      </c>
      <c r="F1292" s="49">
        <f>TRUNC(((1+VLOOKUP(A1292,IPCA!$A$2:$C$140,3,0)))^(C1292/(EDATE(D1292-C1292,1)-(D1292-C1292))),8)</f>
        <v/>
      </c>
      <c r="G1292" s="49">
        <f>TRUNC((E1292*F1292),8)</f>
        <v/>
      </c>
      <c r="H1292" s="49">
        <f>ROUND(((1+$H$4)^(30/360))^(C1292/(EDATE(D1292-B1292,1)-(D1292-B1292))),9)</f>
        <v/>
      </c>
      <c r="I1292" s="49">
        <f>TRUNC((G1292*H1292-G1292),8)</f>
        <v/>
      </c>
      <c r="J1292" s="49">
        <f>G1292+I1292</f>
        <v/>
      </c>
      <c r="K1292" s="256" t="n"/>
      <c r="L1292" s="256" t="n"/>
      <c r="M1292" s="256" t="n"/>
      <c r="N1292" s="256" t="n"/>
      <c r="O1292" s="256" t="n"/>
      <c r="P1292" s="256" t="n"/>
      <c r="Q1292" s="256" t="n"/>
    </row>
    <row r="1293">
      <c r="A1293">
        <f>IF(DAY(D1293)=DAY($L$1+1),A1292+1,A1292)</f>
        <v/>
      </c>
      <c r="B1293" s="46">
        <f>IF(DAY(D1293)=DAY($L$1+1),1,B1292+1)</f>
        <v/>
      </c>
      <c r="C1293" s="46">
        <f>IF(DAY(D1293)=DAY($L$1+1),1,C1292+1)</f>
        <v/>
      </c>
      <c r="D1293" s="2">
        <f>D1292+1</f>
        <v/>
      </c>
      <c r="E1293" s="8">
        <f>IF(DAY(D1293)=DAY($L$1+1),TRUNC((N1292),8),E1292)</f>
        <v/>
      </c>
      <c r="F1293" s="49">
        <f>TRUNC(((1+VLOOKUP(A1293,IPCA!$A$2:$C$140,3,0)))^(C1293/(EDATE(D1293-C1293,1)-(D1293-C1293))),8)</f>
        <v/>
      </c>
      <c r="G1293" s="49">
        <f>TRUNC((E1293*F1293),8)</f>
        <v/>
      </c>
      <c r="H1293" s="49">
        <f>ROUND(((1+$H$4)^(30/360))^(C1293/(EDATE(D1293-B1293,1)-(D1293-B1293))),9)</f>
        <v/>
      </c>
      <c r="I1293" s="49">
        <f>TRUNC((G1293*H1293-G1293),8)</f>
        <v/>
      </c>
      <c r="J1293" s="49">
        <f>G1293+I1293</f>
        <v/>
      </c>
      <c r="K1293" s="256" t="n"/>
      <c r="L1293" s="256" t="n"/>
      <c r="M1293" s="256" t="n"/>
      <c r="N1293" s="256" t="n"/>
      <c r="O1293" s="256" t="n"/>
      <c r="P1293" s="256" t="n"/>
      <c r="Q1293" s="256" t="n"/>
    </row>
    <row r="1294">
      <c r="A1294">
        <f>IF(DAY(D1294)=DAY($L$1+1),A1293+1,A1293)</f>
        <v/>
      </c>
      <c r="B1294" s="46">
        <f>IF(DAY(D1294)=DAY($L$1+1),1,B1293+1)</f>
        <v/>
      </c>
      <c r="C1294" s="46">
        <f>IF(DAY(D1294)=DAY($L$1+1),1,C1293+1)</f>
        <v/>
      </c>
      <c r="D1294" s="2">
        <f>D1293+1</f>
        <v/>
      </c>
      <c r="E1294" s="8">
        <f>IF(DAY(D1294)=DAY($L$1+1),TRUNC((N1293),8),E1293)</f>
        <v/>
      </c>
      <c r="F1294" s="49">
        <f>TRUNC(((1+VLOOKUP(A1294,IPCA!$A$2:$C$140,3,0)))^(C1294/(EDATE(D1294-C1294,1)-(D1294-C1294))),8)</f>
        <v/>
      </c>
      <c r="G1294" s="49">
        <f>TRUNC((E1294*F1294),8)</f>
        <v/>
      </c>
      <c r="H1294" s="49">
        <f>ROUND(((1+$H$4)^(30/360))^(C1294/(EDATE(D1294-B1294,1)-(D1294-B1294))),9)</f>
        <v/>
      </c>
      <c r="I1294" s="49">
        <f>TRUNC((G1294*H1294-G1294),8)</f>
        <v/>
      </c>
      <c r="J1294" s="49">
        <f>G1294+I1294</f>
        <v/>
      </c>
      <c r="K1294" s="256" t="n"/>
      <c r="L1294" s="256" t="n"/>
      <c r="M1294" s="256" t="n"/>
      <c r="N1294" s="256" t="n"/>
      <c r="O1294" s="256" t="n"/>
      <c r="P1294" s="256" t="n"/>
      <c r="Q1294" s="256" t="n"/>
    </row>
    <row r="1295">
      <c r="A1295">
        <f>IF(DAY(D1295)=DAY($L$1+1),A1294+1,A1294)</f>
        <v/>
      </c>
      <c r="B1295" s="46">
        <f>IF(DAY(D1295)=DAY($L$1+1),1,B1294+1)</f>
        <v/>
      </c>
      <c r="C1295" s="46">
        <f>IF(DAY(D1295)=DAY($L$1+1),1,C1294+1)</f>
        <v/>
      </c>
      <c r="D1295" s="2">
        <f>D1294+1</f>
        <v/>
      </c>
      <c r="E1295" s="8">
        <f>IF(DAY(D1295)=DAY($L$1+1),TRUNC((N1294),8),E1294)</f>
        <v/>
      </c>
      <c r="F1295" s="49">
        <f>TRUNC(((1+VLOOKUP(A1295,IPCA!$A$2:$C$140,3,0)))^(C1295/(EDATE(D1295-C1295,1)-(D1295-C1295))),8)</f>
        <v/>
      </c>
      <c r="G1295" s="49">
        <f>TRUNC((E1295*F1295),8)</f>
        <v/>
      </c>
      <c r="H1295" s="49">
        <f>ROUND(((1+$H$4)^(30/360))^(C1295/(EDATE(D1295-B1295,1)-(D1295-B1295))),9)</f>
        <v/>
      </c>
      <c r="I1295" s="49">
        <f>TRUNC((G1295*H1295-G1295),8)</f>
        <v/>
      </c>
      <c r="J1295" s="49">
        <f>G1295+I1295</f>
        <v/>
      </c>
      <c r="K1295" s="256" t="n"/>
      <c r="L1295" s="256" t="n"/>
      <c r="M1295" s="256" t="n"/>
      <c r="N1295" s="256" t="n"/>
      <c r="O1295" s="256" t="n"/>
      <c r="P1295" s="256" t="n"/>
      <c r="Q1295" s="256" t="n"/>
    </row>
    <row r="1296">
      <c r="A1296">
        <f>IF(DAY(D1296)=DAY($L$1+1),A1295+1,A1295)</f>
        <v/>
      </c>
      <c r="B1296" s="46">
        <f>IF(DAY(D1296)=DAY($L$1+1),1,B1295+1)</f>
        <v/>
      </c>
      <c r="C1296" s="46">
        <f>IF(DAY(D1296)=DAY($L$1+1),1,C1295+1)</f>
        <v/>
      </c>
      <c r="D1296" s="2">
        <f>D1295+1</f>
        <v/>
      </c>
      <c r="E1296" s="8">
        <f>IF(DAY(D1296)=DAY($L$1+1),TRUNC((N1295),8),E1295)</f>
        <v/>
      </c>
      <c r="F1296" s="49">
        <f>TRUNC(((1+VLOOKUP(A1296,IPCA!$A$2:$C$140,3,0)))^(C1296/(EDATE(D1296-C1296,1)-(D1296-C1296))),8)</f>
        <v/>
      </c>
      <c r="G1296" s="49">
        <f>TRUNC((E1296*F1296),8)</f>
        <v/>
      </c>
      <c r="H1296" s="49">
        <f>ROUND(((1+$H$4)^(30/360))^(C1296/(EDATE(D1296-B1296,1)-(D1296-B1296))),9)</f>
        <v/>
      </c>
      <c r="I1296" s="49">
        <f>TRUNC((G1296*H1296-G1296),8)</f>
        <v/>
      </c>
      <c r="J1296" s="49">
        <f>G1296+I1296</f>
        <v/>
      </c>
      <c r="K1296" s="256" t="n"/>
      <c r="L1296" s="256" t="n"/>
      <c r="M1296" s="256" t="n"/>
      <c r="N1296" s="256" t="n"/>
      <c r="O1296" s="256" t="n"/>
      <c r="P1296" s="256" t="n"/>
      <c r="Q1296" s="256" t="n"/>
    </row>
    <row r="1297">
      <c r="A1297">
        <f>IF(DAY(D1297)=DAY($L$1+1),A1296+1,A1296)</f>
        <v/>
      </c>
      <c r="B1297" s="46">
        <f>IF(DAY(D1297)=DAY($L$1+1),1,B1296+1)</f>
        <v/>
      </c>
      <c r="C1297" s="46">
        <f>IF(DAY(D1297)=DAY($L$1+1),1,C1296+1)</f>
        <v/>
      </c>
      <c r="D1297" s="2">
        <f>D1296+1</f>
        <v/>
      </c>
      <c r="E1297" s="8">
        <f>IF(DAY(D1297)=DAY($L$1+1),TRUNC((N1296),8),E1296)</f>
        <v/>
      </c>
      <c r="F1297" s="49">
        <f>TRUNC(((1+VLOOKUP(A1297,IPCA!$A$2:$C$140,3,0)))^(C1297/(EDATE(D1297-C1297,1)-(D1297-C1297))),8)</f>
        <v/>
      </c>
      <c r="G1297" s="49">
        <f>TRUNC((E1297*F1297),8)</f>
        <v/>
      </c>
      <c r="H1297" s="49">
        <f>ROUND(((1+$H$4)^(30/360))^(C1297/(EDATE(D1297-B1297,1)-(D1297-B1297))),9)</f>
        <v/>
      </c>
      <c r="I1297" s="49">
        <f>TRUNC((G1297*H1297-G1297),8)</f>
        <v/>
      </c>
      <c r="J1297" s="49">
        <f>G1297+I1297</f>
        <v/>
      </c>
      <c r="K1297" s="256" t="inlineStr">
        <is>
          <t>Cri Integralizado</t>
        </is>
      </c>
      <c r="L1297" s="270">
        <f>L1266</f>
        <v/>
      </c>
      <c r="M1297" s="256" t="n"/>
      <c r="N1297" s="256" t="n"/>
      <c r="O1297" s="256" t="n"/>
      <c r="P1297" s="256" t="n"/>
      <c r="Q1297" s="256" t="n"/>
    </row>
    <row r="1298">
      <c r="A1298">
        <f>IF(DAY(D1298)=DAY($L$1+1),A1297+1,A1297)</f>
        <v/>
      </c>
      <c r="B1298" s="46">
        <f>IF(DAY(D1298)=DAY($L$1+1),1,B1297+1)</f>
        <v/>
      </c>
      <c r="C1298" s="46">
        <f>IF(DAY(D1298)=DAY($L$1+1),1,C1297+1)</f>
        <v/>
      </c>
      <c r="D1298" s="47">
        <f>D1297+1</f>
        <v/>
      </c>
      <c r="E1298" s="8">
        <f>IF(DAY(D1298)=DAY($L$1+1),TRUNC((N1297),8),E1297)</f>
        <v/>
      </c>
      <c r="F1298" s="49">
        <f>TRUNC(((1+VLOOKUP(A1298,IPCA!$A$2:$C$140,3,0)))^(C1298/(EDATE(D1298-C1298,1)-(D1298-C1298))),8)</f>
        <v/>
      </c>
      <c r="G1298" s="49">
        <f>TRUNC((E1298*F1298),8)</f>
        <v/>
      </c>
      <c r="H1298" s="49">
        <f>ROUND(((1+$H$4)^(30/360))^(C1298/(EDATE(D1298-B1298,1)-(D1298-B1298))),9)</f>
        <v/>
      </c>
      <c r="I1298" s="49">
        <f>TRUNC((G1298*H1298-G1298),8)</f>
        <v/>
      </c>
      <c r="J1298" s="49">
        <f>G1298+I1298</f>
        <v/>
      </c>
      <c r="K1298" s="118" t="inlineStr">
        <is>
          <t>JUROS</t>
        </is>
      </c>
      <c r="L1298" s="118" t="inlineStr">
        <is>
          <t>AMORTIZAÇÃO</t>
        </is>
      </c>
      <c r="M1298" s="118" t="inlineStr">
        <is>
          <t>AMEX</t>
        </is>
      </c>
      <c r="N1298" s="118" t="inlineStr">
        <is>
          <t>RESIDUAL</t>
        </is>
      </c>
      <c r="O1298" s="256" t="n"/>
      <c r="P1298" s="256" t="n"/>
      <c r="Q1298" s="256" t="n"/>
    </row>
    <row r="1299">
      <c r="A1299">
        <f>IF(DAY(D1299)=DAY($L$1+1),A1298+1,A1298)</f>
        <v/>
      </c>
      <c r="B1299" s="111">
        <f>IF(DAY(D1299)=DAY($L$1+1),1,B1298+1)</f>
        <v/>
      </c>
      <c r="C1299" s="111">
        <f>IF(DAY(D1299)=DAY($L$1+1),1,C1298+1)</f>
        <v/>
      </c>
      <c r="D1299" s="112">
        <f>D1298+1</f>
        <v/>
      </c>
      <c r="E1299" s="113">
        <f>IF(DAY(D1299)=DAY($L$1+1),TRUNC((N1298),8),E1298)</f>
        <v/>
      </c>
      <c r="F1299" s="114">
        <f>TRUNC(((1+VLOOKUP(A1299,IPCA!$A$2:$C$140,3,0)))^(C1299/(EDATE(D1299-C1299,1)-(D1299-C1299))),8)</f>
        <v/>
      </c>
      <c r="G1299" s="114">
        <f>TRUNC((E1299*F1299),8)</f>
        <v/>
      </c>
      <c r="H1299" s="114">
        <f>ROUND(((1+$H$4)^(30/360))^(C1299/(EDATE(D1299-B1299,1)-(D1299-B1299))),9)</f>
        <v/>
      </c>
      <c r="I1299" s="114">
        <f>TRUNC((G1299*H1299-G1299),8)</f>
        <v/>
      </c>
      <c r="J1299" s="114">
        <f>G1299+I1299</f>
        <v/>
      </c>
      <c r="K1299" s="119">
        <f>I1299</f>
        <v/>
      </c>
      <c r="L1299" s="120">
        <f>TRUNC(G1299*VLOOKUP(D1299,'Amort TS'!$G$3:$H$140,2,0),8)</f>
        <v/>
      </c>
      <c r="M1299" s="120" t="n">
        <v>0</v>
      </c>
      <c r="N1299" s="120">
        <f>J1299-K1299-L1299-M1299</f>
        <v/>
      </c>
      <c r="O1299" s="256" t="n"/>
      <c r="P1299" s="256" t="n"/>
      <c r="Q1299" s="256" t="n"/>
    </row>
    <row r="1300">
      <c r="A1300">
        <f>IF(DAY(D1300)=DAY($L$1+1),A1299+1,A1299)</f>
        <v/>
      </c>
      <c r="B1300" s="46">
        <f>IF(DAY(D1300)=DAY($L$1+1),1,B1299+1)</f>
        <v/>
      </c>
      <c r="C1300" s="46">
        <f>IF(DAY(D1300)=DAY($L$1+1),1,C1299+1)</f>
        <v/>
      </c>
      <c r="D1300" s="2">
        <f>D1299+1</f>
        <v/>
      </c>
      <c r="E1300" s="8">
        <f>IF(DAY(D1300)=DAY($L$1+1),TRUNC((N1299),8),E1299)</f>
        <v/>
      </c>
      <c r="F1300" s="49">
        <f>TRUNC(((1+VLOOKUP(A1300,IPCA!$A$2:$C$140,3,0)))^(C1300/(EDATE(D1300-C1300,1)-(D1300-C1300))),8)</f>
        <v/>
      </c>
      <c r="G1300" s="49">
        <f>TRUNC((E1300*F1300),8)</f>
        <v/>
      </c>
      <c r="H1300" s="49">
        <f>ROUND(((1+$H$4)^(30/360))^(C1300/(EDATE(D1300-B1300,1)-(D1300-B1300))),9)</f>
        <v/>
      </c>
      <c r="I1300" s="49">
        <f>TRUNC((G1300*H1300-G1300),8)</f>
        <v/>
      </c>
      <c r="J1300" s="49">
        <f>G1300+I1300</f>
        <v/>
      </c>
      <c r="K1300" s="121">
        <f>K1299*L1297</f>
        <v/>
      </c>
      <c r="L1300" s="121">
        <f>L1299*L1297</f>
        <v/>
      </c>
      <c r="M1300" s="121">
        <f>M1299*L1297</f>
        <v/>
      </c>
      <c r="N1300" s="121">
        <f>N1299*L1297</f>
        <v/>
      </c>
      <c r="O1300" s="256" t="n"/>
      <c r="P1300" s="256" t="n"/>
      <c r="Q1300" s="256" t="n"/>
    </row>
    <row r="1301">
      <c r="A1301">
        <f>IF(DAY(D1301)=DAY($L$1+1),A1300+1,A1300)</f>
        <v/>
      </c>
      <c r="B1301" s="46">
        <f>IF(DAY(D1301)=DAY($L$1+1),1,B1300+1)</f>
        <v/>
      </c>
      <c r="C1301" s="46">
        <f>IF(DAY(D1301)=DAY($L$1+1),1,C1300+1)</f>
        <v/>
      </c>
      <c r="D1301" s="47">
        <f>D1300+1</f>
        <v/>
      </c>
      <c r="E1301" s="8">
        <f>IF(DAY(D1301)=DAY($L$1+1),TRUNC((N1300),8),E1300)</f>
        <v/>
      </c>
      <c r="F1301" s="49">
        <f>TRUNC(((1+VLOOKUP(A1301,IPCA!$A$2:$C$140,3,0)))^(C1301/(EDATE(D1301-C1301,1)-(D1301-C1301))),8)</f>
        <v/>
      </c>
      <c r="G1301" s="49">
        <f>TRUNC((E1301*F1301),8)</f>
        <v/>
      </c>
      <c r="H1301" s="49">
        <f>ROUND(((1+$H$4)^(30/360))^(C1301/(EDATE(D1301-B1301,1)-(D1301-B1301))),9)</f>
        <v/>
      </c>
      <c r="I1301" s="49">
        <f>TRUNC((G1301*H1301-G1301),8)</f>
        <v/>
      </c>
      <c r="J1301" s="49">
        <f>G1301+I1301</f>
        <v/>
      </c>
      <c r="K1301" s="256" t="n"/>
      <c r="L1301" s="256" t="n"/>
      <c r="M1301" s="256" t="n"/>
      <c r="N1301" s="256" t="n"/>
      <c r="O1301" s="256" t="n"/>
      <c r="P1301" s="256" t="n"/>
      <c r="Q1301" s="256" t="n"/>
    </row>
    <row r="1302">
      <c r="A1302">
        <f>IF(DAY(D1302)=DAY($L$1+1),A1301+1,A1301)</f>
        <v/>
      </c>
      <c r="B1302" s="46">
        <f>IF(DAY(D1302)=DAY($L$1+1),1,B1301+1)</f>
        <v/>
      </c>
      <c r="C1302" s="46">
        <f>IF(DAY(D1302)=DAY($L$1+1),1,C1301+1)</f>
        <v/>
      </c>
      <c r="D1302" s="2">
        <f>D1301+1</f>
        <v/>
      </c>
      <c r="E1302" s="8">
        <f>IF(DAY(D1302)=DAY($L$1+1),TRUNC((#REF!),8),E1301)</f>
        <v/>
      </c>
      <c r="F1302" s="49">
        <f>TRUNC(((1+VLOOKUP(A1302,IPCA!$A$2:$C$140,3,0)))^(C1302/(EDATE(D1302-C1302,1)-(D1302-C1302))),8)</f>
        <v/>
      </c>
      <c r="G1302" s="49">
        <f>TRUNC((E1302*F1302),8)</f>
        <v/>
      </c>
      <c r="H1302" s="49">
        <f>ROUND(((1+$H$4)^(30/360))^(C1302/(EDATE(D1302-B1302,1)-(D1302-B1302))),9)</f>
        <v/>
      </c>
      <c r="I1302" s="49">
        <f>TRUNC((G1302*H1302-G1302),8)</f>
        <v/>
      </c>
      <c r="J1302" s="49">
        <f>G1302+I1302</f>
        <v/>
      </c>
      <c r="K1302" s="256" t="n"/>
      <c r="L1302" s="256" t="n"/>
      <c r="M1302" s="256" t="n"/>
      <c r="N1302" s="256" t="n"/>
      <c r="O1302" s="256" t="n"/>
      <c r="P1302" s="256" t="n"/>
      <c r="Q1302" s="256" t="n"/>
    </row>
    <row r="1303">
      <c r="A1303">
        <f>IF(DAY(D1303)=DAY($L$1+1),A1302+1,A1302)</f>
        <v/>
      </c>
      <c r="B1303" s="46">
        <f>IF(DAY(D1303)=DAY($L$1+1),1,B1302+1)</f>
        <v/>
      </c>
      <c r="C1303" s="46">
        <f>IF(DAY(D1303)=DAY($L$1+1),1,C1302+1)</f>
        <v/>
      </c>
      <c r="D1303" s="2">
        <f>D1302+1</f>
        <v/>
      </c>
      <c r="E1303" s="8">
        <f>IF(DAY(D1303)=DAY($L$1+1),TRUNC((#REF!),8),E1302)</f>
        <v/>
      </c>
      <c r="F1303" s="49">
        <f>TRUNC(((1+VLOOKUP(A1303,IPCA!$A$2:$C$140,3,0)))^(C1303/(EDATE(D1303-C1303,1)-(D1303-C1303))),8)</f>
        <v/>
      </c>
      <c r="G1303" s="49">
        <f>TRUNC((E1303*F1303),8)</f>
        <v/>
      </c>
      <c r="H1303" s="49">
        <f>ROUND(((1+$H$4)^(30/360))^(C1303/(EDATE(D1303-B1303,1)-(D1303-B1303))),9)</f>
        <v/>
      </c>
      <c r="I1303" s="49">
        <f>TRUNC((G1303*H1303-G1303),8)</f>
        <v/>
      </c>
      <c r="J1303" s="49">
        <f>G1303+I1303</f>
        <v/>
      </c>
      <c r="K1303" s="256" t="n"/>
      <c r="L1303" s="256" t="n"/>
      <c r="M1303" s="256" t="n"/>
      <c r="N1303" s="256" t="n"/>
      <c r="O1303" s="256" t="n"/>
      <c r="P1303" s="256" t="n"/>
      <c r="Q1303" s="256" t="n"/>
    </row>
    <row r="1304">
      <c r="A1304">
        <f>IF(DAY(D1304)=DAY($L$1+1),A1303+1,A1303)</f>
        <v/>
      </c>
      <c r="B1304" s="46">
        <f>IF(DAY(D1304)=DAY($L$1+1),1,B1303+1)</f>
        <v/>
      </c>
      <c r="C1304" s="46">
        <f>IF(DAY(D1304)=DAY($L$1+1),1,C1303+1)</f>
        <v/>
      </c>
      <c r="D1304" s="2">
        <f>D1303+1</f>
        <v/>
      </c>
      <c r="E1304" s="8">
        <f>IF(DAY(D1304)=DAY($L$1+1),TRUNC((#REF!),8),E1303)</f>
        <v/>
      </c>
      <c r="F1304" s="49">
        <f>TRUNC(((1+VLOOKUP(A1304,IPCA!$A$2:$C$140,3,0)))^(C1304/(EDATE(D1304-C1304,1)-(D1304-C1304))),8)</f>
        <v/>
      </c>
      <c r="G1304" s="49">
        <f>TRUNC((E1304*F1304),8)</f>
        <v/>
      </c>
      <c r="H1304" s="49">
        <f>ROUND(((1+$H$4)^(30/360))^(C1304/(EDATE(D1304-B1304,1)-(D1304-B1304))),9)</f>
        <v/>
      </c>
      <c r="I1304" s="49">
        <f>TRUNC((G1304*H1304-G1304),8)</f>
        <v/>
      </c>
      <c r="J1304" s="49">
        <f>G1304+I1304</f>
        <v/>
      </c>
      <c r="K1304" s="256" t="n"/>
      <c r="L1304" s="256" t="n"/>
      <c r="M1304" s="256" t="n"/>
      <c r="N1304" s="256" t="n"/>
      <c r="O1304" s="256" t="n"/>
      <c r="P1304" s="256" t="n"/>
      <c r="Q1304" s="256" t="n"/>
    </row>
    <row r="1305">
      <c r="A1305">
        <f>IF(DAY(D1305)=DAY($L$1+1),A1304+1,A1304)</f>
        <v/>
      </c>
      <c r="B1305" s="46">
        <f>IF(DAY(D1305)=DAY($L$1+1),1,B1304+1)</f>
        <v/>
      </c>
      <c r="C1305" s="46">
        <f>IF(DAY(D1305)=DAY($L$1+1),1,C1304+1)</f>
        <v/>
      </c>
      <c r="D1305" s="2">
        <f>D1304+1</f>
        <v/>
      </c>
      <c r="E1305" s="8">
        <f>IF(DAY(D1305)=DAY($L$1+1),TRUNC((#REF!),8),E1304)</f>
        <v/>
      </c>
      <c r="F1305" s="49">
        <f>TRUNC(((1+VLOOKUP(A1305,IPCA!$A$2:$C$140,3,0)))^(C1305/(EDATE(D1305-C1305,1)-(D1305-C1305))),8)</f>
        <v/>
      </c>
      <c r="G1305" s="49">
        <f>TRUNC((E1305*F1305),8)</f>
        <v/>
      </c>
      <c r="H1305" s="49">
        <f>ROUND(((1+$H$4)^(30/360))^(C1305/(EDATE(D1305-B1305,1)-(D1305-B1305))),9)</f>
        <v/>
      </c>
      <c r="I1305" s="49">
        <f>TRUNC((G1305*H1305-G1305),8)</f>
        <v/>
      </c>
      <c r="J1305" s="49">
        <f>G1305+I1305</f>
        <v/>
      </c>
      <c r="K1305" s="256" t="n"/>
      <c r="L1305" s="256" t="n"/>
      <c r="M1305" s="256" t="n"/>
      <c r="N1305" s="256" t="n"/>
      <c r="O1305" s="256" t="n"/>
      <c r="P1305" s="256" t="n"/>
      <c r="Q1305" s="256" t="n"/>
    </row>
    <row r="1306">
      <c r="A1306">
        <f>IF(DAY(D1306)=DAY($L$1+1),A1305+1,A1305)</f>
        <v/>
      </c>
      <c r="B1306" s="46">
        <f>IF(DAY(D1306)=DAY($L$1+1),1,B1305+1)</f>
        <v/>
      </c>
      <c r="C1306" s="46">
        <f>IF(DAY(D1306)=DAY($L$1+1),1,C1305+1)</f>
        <v/>
      </c>
      <c r="D1306" s="2">
        <f>D1305+1</f>
        <v/>
      </c>
      <c r="E1306" s="8">
        <f>IF(DAY(D1306)=DAY($L$1+1),TRUNC((#REF!),8),E1305)</f>
        <v/>
      </c>
      <c r="F1306" s="49">
        <f>TRUNC(((1+VLOOKUP(A1306,IPCA!$A$2:$C$140,3,0)))^(C1306/(EDATE(D1306-C1306,1)-(D1306-C1306))),8)</f>
        <v/>
      </c>
      <c r="G1306" s="49">
        <f>TRUNC((E1306*F1306),8)</f>
        <v/>
      </c>
      <c r="H1306" s="49">
        <f>ROUND(((1+$H$4)^(30/360))^(C1306/(EDATE(D1306-B1306,1)-(D1306-B1306))),9)</f>
        <v/>
      </c>
      <c r="I1306" s="49">
        <f>TRUNC((G1306*H1306-G1306),8)</f>
        <v/>
      </c>
      <c r="J1306" s="49">
        <f>G1306+I1306</f>
        <v/>
      </c>
      <c r="K1306" s="256" t="n"/>
      <c r="L1306" s="256" t="n"/>
      <c r="M1306" s="256" t="n"/>
      <c r="N1306" s="256" t="n"/>
      <c r="O1306" s="256" t="n"/>
      <c r="P1306" s="256" t="n"/>
      <c r="Q1306" s="256" t="n"/>
    </row>
    <row r="1307">
      <c r="A1307">
        <f>IF(DAY(D1307)=DAY($L$1+1),A1306+1,A1306)</f>
        <v/>
      </c>
      <c r="B1307" s="46">
        <f>IF(DAY(D1307)=DAY($L$1+1),1,B1306+1)</f>
        <v/>
      </c>
      <c r="C1307" s="46">
        <f>IF(DAY(D1307)=DAY($L$1+1),1,C1306+1)</f>
        <v/>
      </c>
      <c r="D1307" s="2">
        <f>D1306+1</f>
        <v/>
      </c>
      <c r="E1307" s="8">
        <f>IF(DAY(D1307)=DAY($L$1+1),TRUNC((#REF!),8),E1306)</f>
        <v/>
      </c>
      <c r="F1307" s="49">
        <f>TRUNC(((1+VLOOKUP(A1307,IPCA!$A$2:$C$140,3,0)))^(C1307/(EDATE(D1307-C1307,1)-(D1307-C1307))),8)</f>
        <v/>
      </c>
      <c r="G1307" s="49">
        <f>TRUNC((E1307*F1307),8)</f>
        <v/>
      </c>
      <c r="H1307" s="49">
        <f>ROUND(((1+$H$4)^(30/360))^(C1307/(EDATE(D1307-B1307,1)-(D1307-B1307))),9)</f>
        <v/>
      </c>
      <c r="I1307" s="49">
        <f>TRUNC((G1307*H1307-G1307),8)</f>
        <v/>
      </c>
      <c r="J1307" s="49">
        <f>G1307+I1307</f>
        <v/>
      </c>
      <c r="K1307" s="256" t="n"/>
      <c r="L1307" s="256" t="n"/>
      <c r="M1307" s="256" t="n"/>
      <c r="N1307" s="256" t="n"/>
      <c r="O1307" s="256" t="n"/>
      <c r="P1307" s="256" t="n"/>
      <c r="Q1307" s="256" t="n"/>
    </row>
    <row r="1308">
      <c r="A1308">
        <f>IF(DAY(D1308)=DAY($L$1+1),A1307+1,A1307)</f>
        <v/>
      </c>
      <c r="B1308" s="46">
        <f>IF(DAY(D1308)=DAY($L$1+1),1,B1307+1)</f>
        <v/>
      </c>
      <c r="C1308" s="46">
        <f>IF(DAY(D1308)=DAY($L$1+1),1,C1307+1)</f>
        <v/>
      </c>
      <c r="D1308" s="2">
        <f>D1307+1</f>
        <v/>
      </c>
      <c r="E1308" s="8">
        <f>IF(DAY(D1308)=DAY($L$1+1),TRUNC((#REF!),8),E1307)</f>
        <v/>
      </c>
      <c r="F1308" s="49">
        <f>TRUNC(((1+VLOOKUP(A1308,IPCA!$A$2:$C$140,3,0)))^(C1308/(EDATE(D1308-C1308,1)-(D1308-C1308))),8)</f>
        <v/>
      </c>
      <c r="G1308" s="49">
        <f>TRUNC((E1308*F1308),8)</f>
        <v/>
      </c>
      <c r="H1308" s="49">
        <f>ROUND(((1+$H$4)^(30/360))^(C1308/(EDATE(D1308-B1308,1)-(D1308-B1308))),9)</f>
        <v/>
      </c>
      <c r="I1308" s="49">
        <f>TRUNC((G1308*H1308-G1308),8)</f>
        <v/>
      </c>
      <c r="J1308" s="49">
        <f>G1308+I1308</f>
        <v/>
      </c>
      <c r="K1308" s="256" t="n"/>
      <c r="L1308" s="256" t="n"/>
      <c r="M1308" s="256" t="n"/>
      <c r="N1308" s="256" t="n"/>
      <c r="O1308" s="256" t="n"/>
      <c r="P1308" s="256" t="n"/>
      <c r="Q1308" s="256" t="n"/>
    </row>
    <row r="1309">
      <c r="A1309">
        <f>IF(DAY(D1309)=DAY($L$1+1),A1308+1,A1308)</f>
        <v/>
      </c>
      <c r="B1309" s="46">
        <f>IF(DAY(D1309)=DAY($L$1+1),1,B1308+1)</f>
        <v/>
      </c>
      <c r="C1309" s="46">
        <f>IF(DAY(D1309)=DAY($L$1+1),1,C1308+1)</f>
        <v/>
      </c>
      <c r="D1309" s="2">
        <f>D1308+1</f>
        <v/>
      </c>
      <c r="E1309" s="8">
        <f>IF(DAY(D1309)=DAY($L$1+1),TRUNC((#REF!),8),E1308)</f>
        <v/>
      </c>
      <c r="F1309" s="49">
        <f>TRUNC(((1+VLOOKUP(A1309,IPCA!$A$2:$C$140,3,0)))^(C1309/(EDATE(D1309-C1309,1)-(D1309-C1309))),8)</f>
        <v/>
      </c>
      <c r="G1309" s="49">
        <f>TRUNC((E1309*F1309),8)</f>
        <v/>
      </c>
      <c r="H1309" s="49">
        <f>ROUND(((1+$H$4)^(30/360))^(C1309/(EDATE(D1309-B1309,1)-(D1309-B1309))),9)</f>
        <v/>
      </c>
      <c r="I1309" s="49">
        <f>TRUNC((G1309*H1309-G1309),8)</f>
        <v/>
      </c>
      <c r="J1309" s="49">
        <f>G1309+I1309</f>
        <v/>
      </c>
      <c r="K1309" s="256" t="n"/>
      <c r="L1309" s="256" t="n"/>
      <c r="M1309" s="256" t="n"/>
      <c r="N1309" s="256" t="n"/>
      <c r="O1309" s="256" t="n"/>
      <c r="P1309" s="256" t="n"/>
      <c r="Q1309" s="256" t="n"/>
    </row>
    <row r="1310">
      <c r="A1310">
        <f>IF(DAY(D1310)=DAY($L$1+1),A1309+1,A1309)</f>
        <v/>
      </c>
      <c r="B1310" s="46">
        <f>IF(DAY(D1310)=DAY($L$1+1),1,B1309+1)</f>
        <v/>
      </c>
      <c r="C1310" s="46">
        <f>IF(DAY(D1310)=DAY($L$1+1),1,C1309+1)</f>
        <v/>
      </c>
      <c r="D1310" s="2">
        <f>D1309+1</f>
        <v/>
      </c>
      <c r="E1310" s="8">
        <f>IF(DAY(D1310)=DAY($L$1+1),TRUNC((#REF!),8),E1309)</f>
        <v/>
      </c>
      <c r="F1310" s="49">
        <f>TRUNC(((1+VLOOKUP(A1310,IPCA!$A$2:$C$140,3,0)))^(C1310/(EDATE(D1310-C1310,1)-(D1310-C1310))),8)</f>
        <v/>
      </c>
      <c r="G1310" s="49">
        <f>TRUNC((E1310*F1310),8)</f>
        <v/>
      </c>
      <c r="H1310" s="49">
        <f>ROUND(((1+$H$4)^(30/360))^(C1310/(EDATE(D1310-B1310,1)-(D1310-B1310))),9)</f>
        <v/>
      </c>
      <c r="I1310" s="49">
        <f>TRUNC((G1310*H1310-G1310),8)</f>
        <v/>
      </c>
      <c r="J1310" s="49">
        <f>G1310+I1310</f>
        <v/>
      </c>
      <c r="K1310" s="256" t="n"/>
      <c r="L1310" s="256" t="n"/>
      <c r="M1310" s="256" t="n"/>
      <c r="N1310" s="256" t="n"/>
      <c r="O1310" s="256" t="n"/>
      <c r="P1310" s="256" t="n"/>
      <c r="Q1310" s="256" t="n"/>
    </row>
    <row r="1311">
      <c r="A1311">
        <f>IF(DAY(D1311)=DAY($L$1+1),A1310+1,A1310)</f>
        <v/>
      </c>
      <c r="B1311" s="46">
        <f>IF(DAY(D1311)=DAY($L$1+1),1,B1310+1)</f>
        <v/>
      </c>
      <c r="C1311" s="46">
        <f>IF(DAY(D1311)=DAY($L$1+1),1,C1310+1)</f>
        <v/>
      </c>
      <c r="D1311" s="2">
        <f>D1310+1</f>
        <v/>
      </c>
      <c r="E1311" s="8">
        <f>IF(DAY(D1311)=DAY($L$1+1),TRUNC((#REF!),8),E1310)</f>
        <v/>
      </c>
      <c r="F1311" s="49">
        <f>TRUNC(((1+VLOOKUP(A1311,IPCA!$A$2:$C$140,3,0)))^(C1311/(EDATE(D1311-C1311,1)-(D1311-C1311))),8)</f>
        <v/>
      </c>
      <c r="G1311" s="49">
        <f>TRUNC((E1311*F1311),8)</f>
        <v/>
      </c>
      <c r="H1311" s="49">
        <f>ROUND(((1+$H$4)^(30/360))^(C1311/(EDATE(D1311-B1311,1)-(D1311-B1311))),9)</f>
        <v/>
      </c>
      <c r="I1311" s="49">
        <f>TRUNC((G1311*H1311-G1311),8)</f>
        <v/>
      </c>
      <c r="J1311" s="49">
        <f>G1311+I1311</f>
        <v/>
      </c>
      <c r="K1311" s="256" t="n"/>
      <c r="L1311" s="256" t="n"/>
      <c r="M1311" s="256" t="n"/>
      <c r="N1311" s="256" t="n"/>
      <c r="O1311" s="256" t="n"/>
      <c r="P1311" s="256" t="n"/>
      <c r="Q1311" s="256" t="n"/>
    </row>
    <row r="1312">
      <c r="A1312">
        <f>IF(DAY(D1312)=DAY($L$1+1),A1311+1,A1311)</f>
        <v/>
      </c>
      <c r="B1312" s="46">
        <f>IF(DAY(D1312)=DAY($L$1+1),1,B1311+1)</f>
        <v/>
      </c>
      <c r="C1312" s="46">
        <f>IF(DAY(D1312)=DAY($L$1+1),1,C1311+1)</f>
        <v/>
      </c>
      <c r="D1312" s="2">
        <f>D1311+1</f>
        <v/>
      </c>
      <c r="E1312" s="8">
        <f>IF(DAY(D1312)=DAY($L$1+1),TRUNC((#REF!),8),E1311)</f>
        <v/>
      </c>
      <c r="F1312" s="49">
        <f>TRUNC(((1+VLOOKUP(A1312,IPCA!$A$2:$C$140,3,0)))^(C1312/(EDATE(D1312-C1312,1)-(D1312-C1312))),8)</f>
        <v/>
      </c>
      <c r="G1312" s="49">
        <f>TRUNC((E1312*F1312),8)</f>
        <v/>
      </c>
      <c r="H1312" s="49">
        <f>ROUND(((1+$H$4)^(30/360))^(C1312/(EDATE(D1312-B1312,1)-(D1312-B1312))),9)</f>
        <v/>
      </c>
      <c r="I1312" s="49">
        <f>TRUNC((G1312*H1312-G1312),8)</f>
        <v/>
      </c>
      <c r="J1312" s="49">
        <f>G1312+I1312</f>
        <v/>
      </c>
      <c r="K1312" s="256" t="n"/>
      <c r="L1312" s="256" t="n"/>
      <c r="M1312" s="256" t="n"/>
      <c r="N1312" s="256" t="n"/>
      <c r="O1312" s="256" t="n"/>
      <c r="P1312" s="256" t="n"/>
      <c r="Q1312" s="256" t="n"/>
    </row>
    <row r="1313">
      <c r="A1313">
        <f>IF(DAY(D1313)=DAY($L$1+1),A1312+1,A1312)</f>
        <v/>
      </c>
      <c r="B1313" s="46">
        <f>IF(DAY(D1313)=DAY($L$1+1),1,B1312+1)</f>
        <v/>
      </c>
      <c r="C1313" s="46">
        <f>IF(DAY(D1313)=DAY($L$1+1),1,C1312+1)</f>
        <v/>
      </c>
      <c r="D1313" s="2">
        <f>D1312+1</f>
        <v/>
      </c>
      <c r="E1313" s="8">
        <f>IF(DAY(D1313)=DAY($L$1+1),TRUNC((#REF!),8),E1312)</f>
        <v/>
      </c>
      <c r="F1313" s="49">
        <f>TRUNC(((1+VLOOKUP(A1313,IPCA!$A$2:$C$140,3,0)))^(C1313/(EDATE(D1313-C1313,1)-(D1313-C1313))),8)</f>
        <v/>
      </c>
      <c r="G1313" s="49">
        <f>TRUNC((E1313*F1313),8)</f>
        <v/>
      </c>
      <c r="H1313" s="49">
        <f>ROUND(((1+$H$4)^(30/360))^(C1313/(EDATE(D1313-B1313,1)-(D1313-B1313))),9)</f>
        <v/>
      </c>
      <c r="I1313" s="49">
        <f>TRUNC((G1313*H1313-G1313),8)</f>
        <v/>
      </c>
      <c r="J1313" s="49">
        <f>G1313+I1313</f>
        <v/>
      </c>
      <c r="K1313" s="256" t="n"/>
      <c r="L1313" s="256" t="n"/>
      <c r="M1313" s="256" t="n"/>
      <c r="N1313" s="256" t="n"/>
      <c r="O1313" s="256" t="n"/>
      <c r="P1313" s="256" t="n"/>
      <c r="Q1313" s="256" t="n"/>
    </row>
    <row r="1314">
      <c r="A1314">
        <f>IF(DAY(D1314)=DAY($L$1+1),A1313+1,A1313)</f>
        <v/>
      </c>
      <c r="B1314" s="46">
        <f>IF(DAY(D1314)=DAY($L$1+1),1,B1313+1)</f>
        <v/>
      </c>
      <c r="C1314" s="46">
        <f>IF(DAY(D1314)=DAY($L$1+1),1,C1313+1)</f>
        <v/>
      </c>
      <c r="D1314" s="2">
        <f>D1313+1</f>
        <v/>
      </c>
      <c r="E1314" s="8">
        <f>IF(DAY(D1314)=DAY($L$1+1),TRUNC((#REF!),8),E1313)</f>
        <v/>
      </c>
      <c r="F1314" s="49">
        <f>TRUNC(((1+VLOOKUP(A1314,IPCA!$A$2:$C$140,3,0)))^(C1314/(EDATE(D1314-C1314,1)-(D1314-C1314))),8)</f>
        <v/>
      </c>
      <c r="G1314" s="49">
        <f>TRUNC((E1314*F1314),8)</f>
        <v/>
      </c>
      <c r="H1314" s="49">
        <f>ROUND(((1+$H$4)^(30/360))^(C1314/(EDATE(D1314-B1314,1)-(D1314-B1314))),9)</f>
        <v/>
      </c>
      <c r="I1314" s="49">
        <f>TRUNC((G1314*H1314-G1314),8)</f>
        <v/>
      </c>
      <c r="J1314" s="49">
        <f>G1314+I1314</f>
        <v/>
      </c>
      <c r="K1314" s="256" t="n"/>
      <c r="L1314" s="256" t="n"/>
      <c r="M1314" s="256" t="n"/>
      <c r="N1314" s="256" t="n"/>
      <c r="O1314" s="256" t="n"/>
      <c r="P1314" s="256" t="n"/>
      <c r="Q1314" s="256" t="n"/>
    </row>
    <row r="1315">
      <c r="A1315">
        <f>IF(DAY(D1315)=DAY($L$1+1),A1314+1,A1314)</f>
        <v/>
      </c>
      <c r="B1315" s="46">
        <f>IF(DAY(D1315)=DAY($L$1+1),1,B1314+1)</f>
        <v/>
      </c>
      <c r="C1315" s="46">
        <f>IF(DAY(D1315)=DAY($L$1+1),1,C1314+1)</f>
        <v/>
      </c>
      <c r="D1315" s="2">
        <f>D1314+1</f>
        <v/>
      </c>
      <c r="E1315" s="8">
        <f>IF(DAY(D1315)=DAY($L$1+1),TRUNC((#REF!),8),E1314)</f>
        <v/>
      </c>
      <c r="F1315" s="49">
        <f>TRUNC(((1+VLOOKUP(A1315,IPCA!$A$2:$C$140,3,0)))^(C1315/(EDATE(D1315-C1315,1)-(D1315-C1315))),8)</f>
        <v/>
      </c>
      <c r="G1315" s="49">
        <f>TRUNC((E1315*F1315),8)</f>
        <v/>
      </c>
      <c r="H1315" s="49">
        <f>ROUND(((1+$H$4)^(30/360))^(C1315/(EDATE(D1315-B1315,1)-(D1315-B1315))),9)</f>
        <v/>
      </c>
      <c r="I1315" s="49">
        <f>TRUNC((G1315*H1315-G1315),8)</f>
        <v/>
      </c>
      <c r="J1315" s="49">
        <f>G1315+I1315</f>
        <v/>
      </c>
      <c r="K1315" s="256" t="n"/>
      <c r="L1315" s="256" t="n"/>
      <c r="M1315" s="256" t="n"/>
      <c r="N1315" s="256" t="n"/>
      <c r="O1315" s="256" t="n"/>
      <c r="P1315" s="256" t="n"/>
      <c r="Q1315" s="256" t="n"/>
    </row>
    <row r="1316">
      <c r="A1316">
        <f>IF(DAY(D1316)=DAY($L$1+1),A1315+1,A1315)</f>
        <v/>
      </c>
      <c r="B1316" s="46">
        <f>IF(DAY(D1316)=DAY($L$1+1),1,B1315+1)</f>
        <v/>
      </c>
      <c r="C1316" s="46">
        <f>IF(DAY(D1316)=DAY($L$1+1),1,C1315+1)</f>
        <v/>
      </c>
      <c r="D1316" s="2">
        <f>D1315+1</f>
        <v/>
      </c>
      <c r="E1316" s="8">
        <f>IF(DAY(D1316)=DAY($L$1+1),TRUNC((N1315),8),E1315)</f>
        <v/>
      </c>
      <c r="F1316" s="49">
        <f>TRUNC(((1+VLOOKUP(A1316,IPCA!$A$2:$C$140,3,0)))^(C1316/(EDATE(D1316-C1316,1)-(D1316-C1316))),8)</f>
        <v/>
      </c>
      <c r="G1316" s="49">
        <f>TRUNC((E1316*F1316),8)</f>
        <v/>
      </c>
      <c r="H1316" s="49">
        <f>ROUND(((1+$H$4)^(30/360))^(C1316/(EDATE(D1316-B1316,1)-(D1316-B1316))),9)</f>
        <v/>
      </c>
      <c r="I1316" s="49">
        <f>TRUNC((G1316*H1316-G1316),8)</f>
        <v/>
      </c>
      <c r="J1316" s="49">
        <f>G1316+I1316</f>
        <v/>
      </c>
      <c r="K1316" s="256" t="n"/>
      <c r="L1316" s="256" t="n"/>
      <c r="M1316" s="256" t="n"/>
      <c r="N1316" s="256" t="n"/>
      <c r="O1316" s="256" t="n"/>
      <c r="P1316" s="256" t="n"/>
      <c r="Q1316" s="256" t="n"/>
    </row>
    <row r="1317">
      <c r="A1317">
        <f>IF(DAY(D1317)=DAY($L$1+1),A1316+1,A1316)</f>
        <v/>
      </c>
      <c r="B1317" s="46">
        <f>IF(DAY(D1317)=DAY($L$1+1),1,B1316+1)</f>
        <v/>
      </c>
      <c r="C1317" s="46">
        <f>IF(DAY(D1317)=DAY($L$1+1),1,C1316+1)</f>
        <v/>
      </c>
      <c r="D1317" s="2">
        <f>D1316+1</f>
        <v/>
      </c>
      <c r="E1317" s="8">
        <f>IF(DAY(D1317)=DAY($L$1+1),TRUNC((N1316),8),E1316)</f>
        <v/>
      </c>
      <c r="F1317" s="49">
        <f>TRUNC(((1+VLOOKUP(A1317,IPCA!$A$2:$C$140,3,0)))^(C1317/(EDATE(D1317-C1317,1)-(D1317-C1317))),8)</f>
        <v/>
      </c>
      <c r="G1317" s="49">
        <f>TRUNC((E1317*F1317),8)</f>
        <v/>
      </c>
      <c r="H1317" s="49">
        <f>ROUND(((1+$H$4)^(30/360))^(C1317/(EDATE(D1317-B1317,1)-(D1317-B1317))),9)</f>
        <v/>
      </c>
      <c r="I1317" s="49">
        <f>TRUNC((G1317*H1317-G1317),8)</f>
        <v/>
      </c>
      <c r="J1317" s="49">
        <f>G1317+I1317</f>
        <v/>
      </c>
      <c r="K1317" s="256" t="n"/>
      <c r="L1317" s="256" t="n"/>
      <c r="M1317" s="256" t="n"/>
      <c r="N1317" s="256" t="n"/>
      <c r="O1317" s="256" t="n"/>
      <c r="P1317" s="256" t="n"/>
      <c r="Q1317" s="256" t="n"/>
    </row>
    <row r="1318">
      <c r="A1318">
        <f>IF(DAY(D1318)=DAY($L$1+1),A1317+1,A1317)</f>
        <v/>
      </c>
      <c r="B1318" s="46">
        <f>IF(DAY(D1318)=DAY($L$1+1),1,B1317+1)</f>
        <v/>
      </c>
      <c r="C1318" s="46">
        <f>IF(DAY(D1318)=DAY($L$1+1),1,C1317+1)</f>
        <v/>
      </c>
      <c r="D1318" s="2">
        <f>D1317+1</f>
        <v/>
      </c>
      <c r="E1318" s="8">
        <f>IF(DAY(D1318)=DAY($L$1+1),TRUNC((N1317),8),E1317)</f>
        <v/>
      </c>
      <c r="F1318" s="49">
        <f>TRUNC(((1+VLOOKUP(A1318,IPCA!$A$2:$C$140,3,0)))^(C1318/(EDATE(D1318-C1318,1)-(D1318-C1318))),8)</f>
        <v/>
      </c>
      <c r="G1318" s="49">
        <f>TRUNC((E1318*F1318),8)</f>
        <v/>
      </c>
      <c r="H1318" s="49">
        <f>ROUND(((1+$H$4)^(30/360))^(C1318/(EDATE(D1318-B1318,1)-(D1318-B1318))),9)</f>
        <v/>
      </c>
      <c r="I1318" s="49">
        <f>TRUNC((G1318*H1318-G1318),8)</f>
        <v/>
      </c>
      <c r="J1318" s="49">
        <f>G1318+I1318</f>
        <v/>
      </c>
      <c r="K1318" s="256" t="n"/>
      <c r="L1318" s="256" t="n"/>
      <c r="M1318" s="256" t="n"/>
      <c r="N1318" s="256" t="n"/>
      <c r="O1318" s="256" t="n"/>
      <c r="P1318" s="256" t="n"/>
      <c r="Q1318" s="256" t="n"/>
    </row>
    <row r="1319">
      <c r="A1319">
        <f>IF(DAY(D1319)=DAY($L$1+1),A1318+1,A1318)</f>
        <v/>
      </c>
      <c r="B1319" s="46">
        <f>IF(DAY(D1319)=DAY($L$1+1),1,B1318+1)</f>
        <v/>
      </c>
      <c r="C1319" s="46">
        <f>IF(DAY(D1319)=DAY($L$1+1),1,C1318+1)</f>
        <v/>
      </c>
      <c r="D1319" s="2">
        <f>D1318+1</f>
        <v/>
      </c>
      <c r="E1319" s="8">
        <f>IF(DAY(D1319)=DAY($L$1+1),TRUNC((N1318),8),E1318)</f>
        <v/>
      </c>
      <c r="F1319" s="49">
        <f>TRUNC(((1+VLOOKUP(A1319,IPCA!$A$2:$C$140,3,0)))^(C1319/(EDATE(D1319-C1319,1)-(D1319-C1319))),8)</f>
        <v/>
      </c>
      <c r="G1319" s="49">
        <f>TRUNC((E1319*F1319),8)</f>
        <v/>
      </c>
      <c r="H1319" s="49">
        <f>ROUND(((1+$H$4)^(30/360))^(C1319/(EDATE(D1319-B1319,1)-(D1319-B1319))),9)</f>
        <v/>
      </c>
      <c r="I1319" s="49">
        <f>TRUNC((G1319*H1319-G1319),8)</f>
        <v/>
      </c>
      <c r="J1319" s="49">
        <f>G1319+I1319</f>
        <v/>
      </c>
      <c r="K1319" s="256" t="n"/>
      <c r="L1319" s="256" t="n"/>
      <c r="M1319" s="256" t="n"/>
      <c r="N1319" s="256" t="n"/>
      <c r="O1319" s="256" t="n"/>
      <c r="P1319" s="256" t="n"/>
      <c r="Q1319" s="256" t="n"/>
    </row>
    <row r="1320">
      <c r="A1320">
        <f>IF(DAY(D1320)=DAY($L$1+1),A1319+1,A1319)</f>
        <v/>
      </c>
      <c r="B1320" s="46">
        <f>IF(DAY(D1320)=DAY($L$1+1),1,B1319+1)</f>
        <v/>
      </c>
      <c r="C1320" s="46">
        <f>IF(DAY(D1320)=DAY($L$1+1),1,C1319+1)</f>
        <v/>
      </c>
      <c r="D1320" s="2">
        <f>D1319+1</f>
        <v/>
      </c>
      <c r="E1320" s="8">
        <f>IF(DAY(D1320)=DAY($L$1+1),TRUNC((N1319),8),E1319)</f>
        <v/>
      </c>
      <c r="F1320" s="49">
        <f>TRUNC(((1+VLOOKUP(A1320,IPCA!$A$2:$C$140,3,0)))^(C1320/(EDATE(D1320-C1320,1)-(D1320-C1320))),8)</f>
        <v/>
      </c>
      <c r="G1320" s="49">
        <f>TRUNC((E1320*F1320),8)</f>
        <v/>
      </c>
      <c r="H1320" s="49">
        <f>ROUND(((1+$H$4)^(30/360))^(C1320/(EDATE(D1320-B1320,1)-(D1320-B1320))),9)</f>
        <v/>
      </c>
      <c r="I1320" s="49">
        <f>TRUNC((G1320*H1320-G1320),8)</f>
        <v/>
      </c>
      <c r="J1320" s="49">
        <f>G1320+I1320</f>
        <v/>
      </c>
      <c r="K1320" s="256" t="n"/>
      <c r="L1320" s="256" t="n"/>
      <c r="M1320" s="256" t="n"/>
      <c r="N1320" s="256" t="n"/>
      <c r="O1320" s="256" t="n"/>
      <c r="P1320" s="256" t="n"/>
      <c r="Q1320" s="256" t="n"/>
    </row>
    <row r="1321">
      <c r="A1321">
        <f>IF(DAY(D1321)=DAY($L$1+1),A1320+1,A1320)</f>
        <v/>
      </c>
      <c r="B1321" s="46">
        <f>IF(DAY(D1321)=DAY($L$1+1),1,B1320+1)</f>
        <v/>
      </c>
      <c r="C1321" s="46">
        <f>IF(DAY(D1321)=DAY($L$1+1),1,C1320+1)</f>
        <v/>
      </c>
      <c r="D1321" s="2">
        <f>D1320+1</f>
        <v/>
      </c>
      <c r="E1321" s="8">
        <f>IF(DAY(D1321)=DAY($L$1+1),TRUNC((N1320),8),E1320)</f>
        <v/>
      </c>
      <c r="F1321" s="49">
        <f>TRUNC(((1+VLOOKUP(A1321,IPCA!$A$2:$C$140,3,0)))^(C1321/(EDATE(D1321-C1321,1)-(D1321-C1321))),8)</f>
        <v/>
      </c>
      <c r="G1321" s="49">
        <f>TRUNC((E1321*F1321),8)</f>
        <v/>
      </c>
      <c r="H1321" s="49">
        <f>ROUND(((1+$H$4)^(30/360))^(C1321/(EDATE(D1321-B1321,1)-(D1321-B1321))),9)</f>
        <v/>
      </c>
      <c r="I1321" s="49">
        <f>TRUNC((G1321*H1321-G1321),8)</f>
        <v/>
      </c>
      <c r="J1321" s="49">
        <f>G1321+I1321</f>
        <v/>
      </c>
      <c r="K1321" s="256" t="n"/>
      <c r="L1321" s="256" t="n"/>
      <c r="M1321" s="256" t="n"/>
      <c r="N1321" s="256" t="n"/>
      <c r="O1321" s="256" t="n"/>
      <c r="P1321" s="256" t="n"/>
      <c r="Q1321" s="256" t="n"/>
    </row>
    <row r="1322">
      <c r="A1322">
        <f>IF(DAY(D1322)=DAY($L$1+1),A1321+1,A1321)</f>
        <v/>
      </c>
      <c r="B1322" s="46">
        <f>IF(DAY(D1322)=DAY($L$1+1),1,B1321+1)</f>
        <v/>
      </c>
      <c r="C1322" s="46">
        <f>IF(DAY(D1322)=DAY($L$1+1),1,C1321+1)</f>
        <v/>
      </c>
      <c r="D1322" s="2">
        <f>D1321+1</f>
        <v/>
      </c>
      <c r="E1322" s="8">
        <f>IF(DAY(D1322)=DAY($L$1+1),TRUNC((N1321),8),E1321)</f>
        <v/>
      </c>
      <c r="F1322" s="49">
        <f>TRUNC(((1+VLOOKUP(A1322,IPCA!$A$2:$C$140,3,0)))^(C1322/(EDATE(D1322-C1322,1)-(D1322-C1322))),8)</f>
        <v/>
      </c>
      <c r="G1322" s="49">
        <f>TRUNC((E1322*F1322),8)</f>
        <v/>
      </c>
      <c r="H1322" s="49">
        <f>ROUND(((1+$H$4)^(30/360))^(C1322/(EDATE(D1322-B1322,1)-(D1322-B1322))),9)</f>
        <v/>
      </c>
      <c r="I1322" s="49">
        <f>TRUNC((G1322*H1322-G1322),8)</f>
        <v/>
      </c>
      <c r="J1322" s="49">
        <f>G1322+I1322</f>
        <v/>
      </c>
      <c r="K1322" s="256" t="n"/>
      <c r="L1322" s="256" t="n"/>
      <c r="M1322" s="256" t="n"/>
      <c r="N1322" s="256" t="n"/>
      <c r="O1322" s="256" t="n"/>
      <c r="P1322" s="256" t="n"/>
      <c r="Q1322" s="256" t="n"/>
    </row>
    <row r="1323">
      <c r="A1323">
        <f>IF(DAY(D1323)=DAY($L$1+1),A1322+1,A1322)</f>
        <v/>
      </c>
      <c r="B1323" s="46">
        <f>IF(DAY(D1323)=DAY($L$1+1),1,B1322+1)</f>
        <v/>
      </c>
      <c r="C1323" s="46">
        <f>IF(DAY(D1323)=DAY($L$1+1),1,C1322+1)</f>
        <v/>
      </c>
      <c r="D1323" s="2">
        <f>D1322+1</f>
        <v/>
      </c>
      <c r="E1323" s="8">
        <f>IF(DAY(D1323)=DAY($L$1+1),TRUNC((N1322),8),E1322)</f>
        <v/>
      </c>
      <c r="F1323" s="49">
        <f>TRUNC(((1+VLOOKUP(A1323,IPCA!$A$2:$C$140,3,0)))^(C1323/(EDATE(D1323-C1323,1)-(D1323-C1323))),8)</f>
        <v/>
      </c>
      <c r="G1323" s="49">
        <f>TRUNC((E1323*F1323),8)</f>
        <v/>
      </c>
      <c r="H1323" s="49">
        <f>ROUND(((1+$H$4)^(30/360))^(C1323/(EDATE(D1323-B1323,1)-(D1323-B1323))),9)</f>
        <v/>
      </c>
      <c r="I1323" s="49">
        <f>TRUNC((G1323*H1323-G1323),8)</f>
        <v/>
      </c>
      <c r="J1323" s="49">
        <f>G1323+I1323</f>
        <v/>
      </c>
      <c r="K1323" s="256" t="n"/>
      <c r="L1323" s="256" t="n"/>
      <c r="M1323" s="256" t="n"/>
      <c r="N1323" s="256" t="n"/>
      <c r="O1323" s="256" t="n"/>
      <c r="P1323" s="256" t="n"/>
      <c r="Q1323" s="256" t="n"/>
    </row>
    <row r="1324">
      <c r="A1324">
        <f>IF(DAY(D1324)=DAY($L$1+1),A1323+1,A1323)</f>
        <v/>
      </c>
      <c r="B1324" s="46">
        <f>IF(DAY(D1324)=DAY($L$1+1),1,B1323+1)</f>
        <v/>
      </c>
      <c r="C1324" s="46">
        <f>IF(DAY(D1324)=DAY($L$1+1),1,C1323+1)</f>
        <v/>
      </c>
      <c r="D1324" s="2">
        <f>D1323+1</f>
        <v/>
      </c>
      <c r="E1324" s="8">
        <f>IF(DAY(D1324)=DAY($L$1+1),TRUNC((N1323),8),E1323)</f>
        <v/>
      </c>
      <c r="F1324" s="49">
        <f>TRUNC(((1+VLOOKUP(A1324,IPCA!$A$2:$C$140,3,0)))^(C1324/(EDATE(D1324-C1324,1)-(D1324-C1324))),8)</f>
        <v/>
      </c>
      <c r="G1324" s="49">
        <f>TRUNC((E1324*F1324),8)</f>
        <v/>
      </c>
      <c r="H1324" s="49">
        <f>ROUND(((1+$H$4)^(30/360))^(C1324/(EDATE(D1324-B1324,1)-(D1324-B1324))),9)</f>
        <v/>
      </c>
      <c r="I1324" s="49">
        <f>TRUNC((G1324*H1324-G1324),8)</f>
        <v/>
      </c>
      <c r="J1324" s="49">
        <f>G1324+I1324</f>
        <v/>
      </c>
      <c r="K1324" s="256" t="n"/>
      <c r="L1324" s="256" t="n"/>
      <c r="M1324" s="256" t="n"/>
      <c r="N1324" s="256" t="n"/>
      <c r="O1324" s="256" t="n"/>
      <c r="P1324" s="256" t="n"/>
      <c r="Q1324" s="256" t="n"/>
    </row>
    <row r="1325">
      <c r="A1325">
        <f>IF(DAY(D1325)=DAY($L$1+1),A1324+1,A1324)</f>
        <v/>
      </c>
      <c r="B1325" s="46">
        <f>IF(DAY(D1325)=DAY($L$1+1),1,B1324+1)</f>
        <v/>
      </c>
      <c r="C1325" s="46">
        <f>IF(DAY(D1325)=DAY($L$1+1),1,C1324+1)</f>
        <v/>
      </c>
      <c r="D1325" s="2">
        <f>D1324+1</f>
        <v/>
      </c>
      <c r="E1325" s="8">
        <f>IF(DAY(D1325)=DAY($L$1+1),TRUNC((N1324),8),E1324)</f>
        <v/>
      </c>
      <c r="F1325" s="49">
        <f>TRUNC(((1+VLOOKUP(A1325,IPCA!$A$2:$C$140,3,0)))^(C1325/(EDATE(D1325-C1325,1)-(D1325-C1325))),8)</f>
        <v/>
      </c>
      <c r="G1325" s="49">
        <f>TRUNC((E1325*F1325),8)</f>
        <v/>
      </c>
      <c r="H1325" s="49">
        <f>ROUND(((1+$H$4)^(30/360))^(C1325/(EDATE(D1325-B1325,1)-(D1325-B1325))),9)</f>
        <v/>
      </c>
      <c r="I1325" s="49">
        <f>TRUNC((G1325*H1325-G1325),8)</f>
        <v/>
      </c>
      <c r="J1325" s="49">
        <f>G1325+I1325</f>
        <v/>
      </c>
      <c r="K1325" s="256" t="n"/>
      <c r="L1325" s="256" t="n"/>
      <c r="M1325" s="256" t="n"/>
      <c r="N1325" s="256" t="n"/>
      <c r="O1325" s="256" t="n"/>
      <c r="P1325" s="256" t="n"/>
      <c r="Q1325" s="256" t="n"/>
    </row>
    <row r="1326">
      <c r="A1326">
        <f>IF(DAY(D1326)=DAY($L$1+1),A1325+1,A1325)</f>
        <v/>
      </c>
      <c r="B1326" s="46">
        <f>IF(DAY(D1326)=DAY($L$1+1),1,B1325+1)</f>
        <v/>
      </c>
      <c r="C1326" s="46">
        <f>IF(DAY(D1326)=DAY($L$1+1),1,C1325+1)</f>
        <v/>
      </c>
      <c r="D1326" s="2">
        <f>D1325+1</f>
        <v/>
      </c>
      <c r="E1326" s="8">
        <f>IF(DAY(D1326)=DAY($L$1+1),TRUNC((N1325),8),E1325)</f>
        <v/>
      </c>
      <c r="F1326" s="49">
        <f>TRUNC(((1+VLOOKUP(A1326,IPCA!$A$2:$C$140,3,0)))^(C1326/(EDATE(D1326-C1326,1)-(D1326-C1326))),8)</f>
        <v/>
      </c>
      <c r="G1326" s="49">
        <f>TRUNC((E1326*F1326),8)</f>
        <v/>
      </c>
      <c r="H1326" s="49">
        <f>ROUND(((1+$H$4)^(30/360))^(C1326/(EDATE(D1326-B1326,1)-(D1326-B1326))),9)</f>
        <v/>
      </c>
      <c r="I1326" s="49">
        <f>TRUNC((G1326*H1326-G1326),8)</f>
        <v/>
      </c>
      <c r="J1326" s="49">
        <f>G1326+I1326</f>
        <v/>
      </c>
      <c r="K1326" s="256" t="n"/>
      <c r="L1326" s="256" t="n"/>
      <c r="M1326" s="256" t="n"/>
      <c r="N1326" s="256" t="n"/>
      <c r="O1326" s="256" t="n"/>
      <c r="P1326" s="256" t="n"/>
      <c r="Q1326" s="256" t="n"/>
    </row>
    <row r="1327">
      <c r="A1327">
        <f>IF(DAY(D1327)=DAY($L$1+1),A1326+1,A1326)</f>
        <v/>
      </c>
      <c r="B1327" s="46">
        <f>IF(DAY(D1327)=DAY($L$1+1),1,B1326+1)</f>
        <v/>
      </c>
      <c r="C1327" s="46">
        <f>IF(DAY(D1327)=DAY($L$1+1),1,C1326+1)</f>
        <v/>
      </c>
      <c r="D1327" s="2">
        <f>D1326+1</f>
        <v/>
      </c>
      <c r="E1327" s="8">
        <f>IF(DAY(D1327)=DAY($L$1+1),TRUNC((N1326),8),E1326)</f>
        <v/>
      </c>
      <c r="F1327" s="49">
        <f>TRUNC(((1+VLOOKUP(A1327,IPCA!$A$2:$C$140,3,0)))^(C1327/(EDATE(D1327-C1327,1)-(D1327-C1327))),8)</f>
        <v/>
      </c>
      <c r="G1327" s="49">
        <f>TRUNC((E1327*F1327),8)</f>
        <v/>
      </c>
      <c r="H1327" s="49">
        <f>ROUND(((1+$H$4)^(30/360))^(C1327/(EDATE(D1327-B1327,1)-(D1327-B1327))),9)</f>
        <v/>
      </c>
      <c r="I1327" s="49">
        <f>TRUNC((G1327*H1327-G1327),8)</f>
        <v/>
      </c>
      <c r="J1327" s="49">
        <f>G1327+I1327</f>
        <v/>
      </c>
      <c r="K1327" s="256" t="n"/>
      <c r="L1327" s="256" t="n"/>
      <c r="M1327" s="256" t="n"/>
      <c r="N1327" s="256" t="n"/>
      <c r="O1327" s="256" t="n"/>
      <c r="P1327" s="256" t="n"/>
      <c r="Q1327" s="256" t="n"/>
    </row>
    <row r="1328">
      <c r="A1328">
        <f>IF(DAY(D1328)=DAY($L$1+1),A1327+1,A1327)</f>
        <v/>
      </c>
      <c r="B1328" s="46">
        <f>IF(DAY(D1328)=DAY($L$1+1),1,B1327+1)</f>
        <v/>
      </c>
      <c r="C1328" s="46">
        <f>IF(DAY(D1328)=DAY($L$1+1),1,C1327+1)</f>
        <v/>
      </c>
      <c r="D1328" s="2">
        <f>D1327+1</f>
        <v/>
      </c>
      <c r="E1328" s="8">
        <f>IF(DAY(D1328)=DAY($L$1+1),TRUNC((N1327),8),E1327)</f>
        <v/>
      </c>
      <c r="F1328" s="49">
        <f>TRUNC(((1+VLOOKUP(A1328,IPCA!$A$2:$C$140,3,0)))^(C1328/(EDATE(D1328-C1328,1)-(D1328-C1328))),8)</f>
        <v/>
      </c>
      <c r="G1328" s="49">
        <f>TRUNC((E1328*F1328),8)</f>
        <v/>
      </c>
      <c r="H1328" s="49">
        <f>ROUND(((1+$H$4)^(30/360))^(C1328/(EDATE(D1328-B1328,1)-(D1328-B1328))),9)</f>
        <v/>
      </c>
      <c r="I1328" s="49">
        <f>TRUNC((G1328*H1328-G1328),8)</f>
        <v/>
      </c>
      <c r="J1328" s="49">
        <f>G1328+I1328</f>
        <v/>
      </c>
      <c r="K1328" s="256" t="inlineStr">
        <is>
          <t>Cri Integralizado</t>
        </is>
      </c>
      <c r="L1328" s="270">
        <f>L1297</f>
        <v/>
      </c>
      <c r="M1328" s="256" t="n"/>
      <c r="N1328" s="256" t="n"/>
      <c r="O1328" s="256" t="n"/>
      <c r="P1328" s="256" t="n"/>
      <c r="Q1328" s="256" t="n"/>
    </row>
    <row r="1329">
      <c r="A1329">
        <f>IF(DAY(D1329)=DAY($L$1+1),A1328+1,A1328)</f>
        <v/>
      </c>
      <c r="B1329" s="46">
        <f>IF(DAY(D1329)=DAY($L$1+1),1,B1328+1)</f>
        <v/>
      </c>
      <c r="C1329" s="46">
        <f>IF(DAY(D1329)=DAY($L$1+1),1,C1328+1)</f>
        <v/>
      </c>
      <c r="D1329" s="47">
        <f>D1328+1</f>
        <v/>
      </c>
      <c r="E1329" s="8">
        <f>IF(DAY(D1329)=DAY($L$1+1),TRUNC((N1328),8),E1328)</f>
        <v/>
      </c>
      <c r="F1329" s="49">
        <f>TRUNC(((1+VLOOKUP(A1329,IPCA!$A$2:$C$140,3,0)))^(C1329/(EDATE(D1329-C1329,1)-(D1329-C1329))),8)</f>
        <v/>
      </c>
      <c r="G1329" s="49">
        <f>TRUNC((E1329*F1329),8)</f>
        <v/>
      </c>
      <c r="H1329" s="49">
        <f>ROUND(((1+$H$4)^(30/360))^(C1329/(EDATE(D1329-B1329,1)-(D1329-B1329))),9)</f>
        <v/>
      </c>
      <c r="I1329" s="49">
        <f>TRUNC((G1329*H1329-G1329),8)</f>
        <v/>
      </c>
      <c r="J1329" s="49">
        <f>G1329+I1329</f>
        <v/>
      </c>
      <c r="K1329" s="118" t="inlineStr">
        <is>
          <t>JUROS</t>
        </is>
      </c>
      <c r="L1329" s="118" t="inlineStr">
        <is>
          <t>AMORTIZAÇÃO</t>
        </is>
      </c>
      <c r="M1329" s="118" t="inlineStr">
        <is>
          <t>AMEX</t>
        </is>
      </c>
      <c r="N1329" s="118" t="inlineStr">
        <is>
          <t>RESIDUAL</t>
        </is>
      </c>
      <c r="O1329" s="256" t="n"/>
      <c r="P1329" s="256" t="n"/>
      <c r="Q1329" s="256" t="n"/>
    </row>
    <row r="1330">
      <c r="A1330">
        <f>IF(DAY(D1330)=DAY($L$1+1),A1329+1,A1329)</f>
        <v/>
      </c>
      <c r="B1330" s="111">
        <f>IF(DAY(D1330)=DAY($L$1+1),1,B1329+1)</f>
        <v/>
      </c>
      <c r="C1330" s="111">
        <f>IF(DAY(D1330)=DAY($L$1+1),1,C1329+1)</f>
        <v/>
      </c>
      <c r="D1330" s="112">
        <f>D1329+1</f>
        <v/>
      </c>
      <c r="E1330" s="113">
        <f>IF(DAY(D1330)=DAY($L$1+1),TRUNC((N1329),8),E1329)</f>
        <v/>
      </c>
      <c r="F1330" s="114">
        <f>TRUNC(((1+VLOOKUP(A1330,IPCA!$A$2:$C$140,3,0)))^(C1330/(EDATE(D1330-C1330,1)-(D1330-C1330))),8)</f>
        <v/>
      </c>
      <c r="G1330" s="114">
        <f>TRUNC((E1330*F1330),8)</f>
        <v/>
      </c>
      <c r="H1330" s="114">
        <f>ROUND(((1+$H$4)^(30/360))^(C1330/(EDATE(D1330-B1330,1)-(D1330-B1330))),9)</f>
        <v/>
      </c>
      <c r="I1330" s="114">
        <f>TRUNC((G1330*H1330-G1330),8)</f>
        <v/>
      </c>
      <c r="J1330" s="114">
        <f>G1330+I1330</f>
        <v/>
      </c>
      <c r="K1330" s="119">
        <f>I1330</f>
        <v/>
      </c>
      <c r="L1330" s="120">
        <f>TRUNC(G1330*VLOOKUP(D1330,'Amort TS'!$G$3:$H$140,2,0),8)</f>
        <v/>
      </c>
      <c r="M1330" s="120" t="n">
        <v>0</v>
      </c>
      <c r="N1330" s="120">
        <f>J1330-K1330-L1330-M1330</f>
        <v/>
      </c>
      <c r="O1330" s="256" t="n"/>
      <c r="P1330" s="256" t="n"/>
      <c r="Q1330" s="256" t="n"/>
    </row>
    <row r="1331">
      <c r="A1331">
        <f>IF(DAY(D1331)=DAY($L$1+1),A1330+1,A1330)</f>
        <v/>
      </c>
      <c r="B1331" s="46">
        <f>IF(DAY(D1331)=DAY($L$1+1),1,B1330+1)</f>
        <v/>
      </c>
      <c r="C1331" s="46">
        <f>IF(DAY(D1331)=DAY($L$1+1),1,C1330+1)</f>
        <v/>
      </c>
      <c r="D1331" s="2">
        <f>D1330+1</f>
        <v/>
      </c>
      <c r="E1331" s="8">
        <f>IF(DAY(D1331)=DAY($L$1+1),TRUNC((N1330),8),E1330)</f>
        <v/>
      </c>
      <c r="F1331" s="49">
        <f>TRUNC(((1+VLOOKUP(A1331,IPCA!$A$2:$C$140,3,0)))^(C1331/(EDATE(D1331-C1331,1)-(D1331-C1331))),8)</f>
        <v/>
      </c>
      <c r="G1331" s="49">
        <f>TRUNC((E1331*F1331),8)</f>
        <v/>
      </c>
      <c r="H1331" s="49">
        <f>ROUND(((1+$H$4)^(30/360))^(C1331/(EDATE(D1331-B1331,1)-(D1331-B1331))),9)</f>
        <v/>
      </c>
      <c r="I1331" s="49">
        <f>TRUNC((G1331*H1331-G1331),8)</f>
        <v/>
      </c>
      <c r="J1331" s="49">
        <f>G1331+I1331</f>
        <v/>
      </c>
      <c r="K1331" s="121">
        <f>K1330*L1328</f>
        <v/>
      </c>
      <c r="L1331" s="121">
        <f>L1330*L1328</f>
        <v/>
      </c>
      <c r="M1331" s="121">
        <f>M1330*L1328</f>
        <v/>
      </c>
      <c r="N1331" s="121">
        <f>N1330*L1328</f>
        <v/>
      </c>
      <c r="O1331" s="256" t="n"/>
      <c r="P1331" s="256" t="n"/>
      <c r="Q1331" s="256" t="n"/>
    </row>
    <row r="1332">
      <c r="A1332">
        <f>IF(DAY(D1332)=DAY($L$1+1),A1331+1,A1331)</f>
        <v/>
      </c>
      <c r="B1332" s="46">
        <f>IF(DAY(D1332)=DAY($L$1+1),1,B1331+1)</f>
        <v/>
      </c>
      <c r="C1332" s="46">
        <f>IF(DAY(D1332)=DAY($L$1+1),1,C1331+1)</f>
        <v/>
      </c>
      <c r="D1332" s="47">
        <f>D1331+1</f>
        <v/>
      </c>
      <c r="E1332" s="8">
        <f>IF(DAY(D1332)=DAY($L$1+1),TRUNC((N1331),8),E1331)</f>
        <v/>
      </c>
      <c r="F1332" s="49">
        <f>TRUNC(((1+VLOOKUP(A1332,IPCA!$A$2:$C$140,3,0)))^(C1332/(EDATE(D1332-C1332,1)-(D1332-C1332))),8)</f>
        <v/>
      </c>
      <c r="G1332" s="49">
        <f>TRUNC((E1332*F1332),8)</f>
        <v/>
      </c>
      <c r="H1332" s="49">
        <f>ROUND(((1+$H$4)^(30/360))^(C1332/(EDATE(D1332-B1332,1)-(D1332-B1332))),9)</f>
        <v/>
      </c>
      <c r="I1332" s="49">
        <f>TRUNC((G1332*H1332-G1332),8)</f>
        <v/>
      </c>
      <c r="J1332" s="49">
        <f>G1332+I1332</f>
        <v/>
      </c>
      <c r="K1332" s="256" t="n"/>
      <c r="L1332" s="256" t="n"/>
      <c r="M1332" s="256" t="n"/>
      <c r="N1332" s="256" t="n"/>
      <c r="O1332" s="256" t="n"/>
      <c r="P1332" s="256" t="n"/>
      <c r="Q1332" s="256" t="n"/>
    </row>
    <row r="1333">
      <c r="A1333">
        <f>IF(DAY(D1333)=DAY($L$1+1),A1332+1,A1332)</f>
        <v/>
      </c>
      <c r="B1333" s="46">
        <f>IF(DAY(D1333)=DAY($L$1+1),1,B1332+1)</f>
        <v/>
      </c>
      <c r="C1333" s="46">
        <f>IF(DAY(D1333)=DAY($L$1+1),1,C1332+1)</f>
        <v/>
      </c>
      <c r="D1333" s="2">
        <f>D1332+1</f>
        <v/>
      </c>
      <c r="E1333" s="8">
        <f>IF(DAY(D1333)=DAY($L$1+1),TRUNC((#REF!),8),E1332)</f>
        <v/>
      </c>
      <c r="F1333" s="49">
        <f>TRUNC(((1+VLOOKUP(A1333,IPCA!$A$2:$C$140,3,0)))^(C1333/(EDATE(D1333-C1333,1)-(D1333-C1333))),8)</f>
        <v/>
      </c>
      <c r="G1333" s="49">
        <f>TRUNC((E1333*F1333),8)</f>
        <v/>
      </c>
      <c r="H1333" s="49">
        <f>ROUND(((1+$H$4)^(30/360))^(C1333/(EDATE(D1333-B1333,1)-(D1333-B1333))),9)</f>
        <v/>
      </c>
      <c r="I1333" s="49">
        <f>TRUNC((G1333*H1333-G1333),8)</f>
        <v/>
      </c>
      <c r="J1333" s="49">
        <f>G1333+I1333</f>
        <v/>
      </c>
      <c r="K1333" s="256" t="n"/>
      <c r="L1333" s="256" t="n"/>
      <c r="M1333" s="256" t="n"/>
      <c r="N1333" s="256" t="n"/>
      <c r="O1333" s="256" t="n"/>
      <c r="P1333" s="256" t="n"/>
      <c r="Q1333" s="256" t="n"/>
    </row>
    <row r="1334">
      <c r="A1334">
        <f>IF(DAY(D1334)=DAY($L$1+1),A1333+1,A1333)</f>
        <v/>
      </c>
      <c r="B1334" s="46">
        <f>IF(DAY(D1334)=DAY($L$1+1),1,B1333+1)</f>
        <v/>
      </c>
      <c r="C1334" s="46">
        <f>IF(DAY(D1334)=DAY($L$1+1),1,C1333+1)</f>
        <v/>
      </c>
      <c r="D1334" s="2">
        <f>D1333+1</f>
        <v/>
      </c>
      <c r="E1334" s="8">
        <f>IF(DAY(D1334)=DAY($L$1+1),TRUNC((#REF!),8),E1333)</f>
        <v/>
      </c>
      <c r="F1334" s="49">
        <f>TRUNC(((1+VLOOKUP(A1334,IPCA!$A$2:$C$140,3,0)))^(C1334/(EDATE(D1334-C1334,1)-(D1334-C1334))),8)</f>
        <v/>
      </c>
      <c r="G1334" s="49">
        <f>TRUNC((E1334*F1334),8)</f>
        <v/>
      </c>
      <c r="H1334" s="49">
        <f>ROUND(((1+$H$4)^(30/360))^(C1334/(EDATE(D1334-B1334,1)-(D1334-B1334))),9)</f>
        <v/>
      </c>
      <c r="I1334" s="49">
        <f>TRUNC((G1334*H1334-G1334),8)</f>
        <v/>
      </c>
      <c r="J1334" s="49">
        <f>G1334+I1334</f>
        <v/>
      </c>
      <c r="K1334" s="256" t="n"/>
      <c r="L1334" s="256" t="n"/>
      <c r="M1334" s="256" t="n"/>
      <c r="N1334" s="256" t="n"/>
      <c r="O1334" s="256" t="n"/>
      <c r="P1334" s="256" t="n"/>
      <c r="Q1334" s="256" t="n"/>
    </row>
    <row r="1335">
      <c r="A1335">
        <f>IF(DAY(D1335)=DAY($L$1+1),A1334+1,A1334)</f>
        <v/>
      </c>
      <c r="B1335" s="46">
        <f>IF(DAY(D1335)=DAY($L$1+1),1,B1334+1)</f>
        <v/>
      </c>
      <c r="C1335" s="46">
        <f>IF(DAY(D1335)=DAY($L$1+1),1,C1334+1)</f>
        <v/>
      </c>
      <c r="D1335" s="2">
        <f>D1334+1</f>
        <v/>
      </c>
      <c r="E1335" s="8">
        <f>IF(DAY(D1335)=DAY($L$1+1),TRUNC((#REF!),8),E1334)</f>
        <v/>
      </c>
      <c r="F1335" s="49">
        <f>TRUNC(((1+VLOOKUP(A1335,IPCA!$A$2:$C$140,3,0)))^(C1335/(EDATE(D1335-C1335,1)-(D1335-C1335))),8)</f>
        <v/>
      </c>
      <c r="G1335" s="49">
        <f>TRUNC((E1335*F1335),8)</f>
        <v/>
      </c>
      <c r="H1335" s="49">
        <f>ROUND(((1+$H$4)^(30/360))^(C1335/(EDATE(D1335-B1335,1)-(D1335-B1335))),9)</f>
        <v/>
      </c>
      <c r="I1335" s="49">
        <f>TRUNC((G1335*H1335-G1335),8)</f>
        <v/>
      </c>
      <c r="J1335" s="49">
        <f>G1335+I1335</f>
        <v/>
      </c>
      <c r="K1335" s="256" t="n"/>
      <c r="L1335" s="256" t="n"/>
      <c r="M1335" s="256" t="n"/>
      <c r="N1335" s="256" t="n"/>
      <c r="O1335" s="256" t="n"/>
      <c r="P1335" s="256" t="n"/>
      <c r="Q1335" s="256" t="n"/>
    </row>
    <row r="1336">
      <c r="A1336">
        <f>IF(DAY(D1336)=DAY($L$1+1),A1335+1,A1335)</f>
        <v/>
      </c>
      <c r="B1336" s="46">
        <f>IF(DAY(D1336)=DAY($L$1+1),1,B1335+1)</f>
        <v/>
      </c>
      <c r="C1336" s="46">
        <f>IF(DAY(D1336)=DAY($L$1+1),1,C1335+1)</f>
        <v/>
      </c>
      <c r="D1336" s="2">
        <f>D1335+1</f>
        <v/>
      </c>
      <c r="E1336" s="8">
        <f>IF(DAY(D1336)=DAY($L$1+1),TRUNC((#REF!),8),E1335)</f>
        <v/>
      </c>
      <c r="F1336" s="49">
        <f>TRUNC(((1+VLOOKUP(A1336,IPCA!$A$2:$C$140,3,0)))^(C1336/(EDATE(D1336-C1336,1)-(D1336-C1336))),8)</f>
        <v/>
      </c>
      <c r="G1336" s="49">
        <f>TRUNC((E1336*F1336),8)</f>
        <v/>
      </c>
      <c r="H1336" s="49">
        <f>ROUND(((1+$H$4)^(30/360))^(C1336/(EDATE(D1336-B1336,1)-(D1336-B1336))),9)</f>
        <v/>
      </c>
      <c r="I1336" s="49">
        <f>TRUNC((G1336*H1336-G1336),8)</f>
        <v/>
      </c>
      <c r="J1336" s="49">
        <f>G1336+I1336</f>
        <v/>
      </c>
      <c r="K1336" s="256" t="n"/>
      <c r="L1336" s="256" t="n"/>
      <c r="M1336" s="256" t="n"/>
      <c r="N1336" s="256" t="n"/>
      <c r="O1336" s="256" t="n"/>
      <c r="P1336" s="256" t="n"/>
      <c r="Q1336" s="256" t="n"/>
    </row>
    <row r="1337">
      <c r="A1337">
        <f>IF(DAY(D1337)=DAY($L$1+1),A1336+1,A1336)</f>
        <v/>
      </c>
      <c r="B1337" s="46">
        <f>IF(DAY(D1337)=DAY($L$1+1),1,B1336+1)</f>
        <v/>
      </c>
      <c r="C1337" s="46">
        <f>IF(DAY(D1337)=DAY($L$1+1),1,C1336+1)</f>
        <v/>
      </c>
      <c r="D1337" s="2">
        <f>D1336+1</f>
        <v/>
      </c>
      <c r="E1337" s="8">
        <f>IF(DAY(D1337)=DAY($L$1+1),TRUNC((#REF!),8),E1336)</f>
        <v/>
      </c>
      <c r="F1337" s="49">
        <f>TRUNC(((1+VLOOKUP(A1337,IPCA!$A$2:$C$140,3,0)))^(C1337/(EDATE(D1337-C1337,1)-(D1337-C1337))),8)</f>
        <v/>
      </c>
      <c r="G1337" s="49">
        <f>TRUNC((E1337*F1337),8)</f>
        <v/>
      </c>
      <c r="H1337" s="49">
        <f>ROUND(((1+$H$4)^(30/360))^(C1337/(EDATE(D1337-B1337,1)-(D1337-B1337))),9)</f>
        <v/>
      </c>
      <c r="I1337" s="49">
        <f>TRUNC((G1337*H1337-G1337),8)</f>
        <v/>
      </c>
      <c r="J1337" s="49">
        <f>G1337+I1337</f>
        <v/>
      </c>
      <c r="K1337" s="256" t="n"/>
      <c r="L1337" s="256" t="n"/>
      <c r="M1337" s="256" t="n"/>
      <c r="N1337" s="256" t="n"/>
      <c r="O1337" s="256" t="n"/>
      <c r="P1337" s="256" t="n"/>
      <c r="Q1337" s="256" t="n"/>
    </row>
    <row r="1338">
      <c r="A1338">
        <f>IF(DAY(D1338)=DAY($L$1+1),A1337+1,A1337)</f>
        <v/>
      </c>
      <c r="B1338" s="46">
        <f>IF(DAY(D1338)=DAY($L$1+1),1,B1337+1)</f>
        <v/>
      </c>
      <c r="C1338" s="46">
        <f>IF(DAY(D1338)=DAY($L$1+1),1,C1337+1)</f>
        <v/>
      </c>
      <c r="D1338" s="2">
        <f>D1337+1</f>
        <v/>
      </c>
      <c r="E1338" s="8">
        <f>IF(DAY(D1338)=DAY($L$1+1),TRUNC((#REF!),8),E1337)</f>
        <v/>
      </c>
      <c r="F1338" s="49">
        <f>TRUNC(((1+VLOOKUP(A1338,IPCA!$A$2:$C$140,3,0)))^(C1338/(EDATE(D1338-C1338,1)-(D1338-C1338))),8)</f>
        <v/>
      </c>
      <c r="G1338" s="49">
        <f>TRUNC((E1338*F1338),8)</f>
        <v/>
      </c>
      <c r="H1338" s="49">
        <f>ROUND(((1+$H$4)^(30/360))^(C1338/(EDATE(D1338-B1338,1)-(D1338-B1338))),9)</f>
        <v/>
      </c>
      <c r="I1338" s="49">
        <f>TRUNC((G1338*H1338-G1338),8)</f>
        <v/>
      </c>
      <c r="J1338" s="49">
        <f>G1338+I1338</f>
        <v/>
      </c>
      <c r="K1338" s="256" t="n"/>
      <c r="L1338" s="256" t="n"/>
      <c r="M1338" s="256" t="n"/>
      <c r="N1338" s="256" t="n"/>
      <c r="O1338" s="256" t="n"/>
      <c r="P1338" s="256" t="n"/>
      <c r="Q1338" s="256" t="n"/>
    </row>
    <row r="1339">
      <c r="A1339">
        <f>IF(DAY(D1339)=DAY($L$1+1),A1338+1,A1338)</f>
        <v/>
      </c>
      <c r="B1339" s="46">
        <f>IF(DAY(D1339)=DAY($L$1+1),1,B1338+1)</f>
        <v/>
      </c>
      <c r="C1339" s="46">
        <f>IF(DAY(D1339)=DAY($L$1+1),1,C1338+1)</f>
        <v/>
      </c>
      <c r="D1339" s="2">
        <f>D1338+1</f>
        <v/>
      </c>
      <c r="E1339" s="8">
        <f>IF(DAY(D1339)=DAY($L$1+1),TRUNC((#REF!),8),E1338)</f>
        <v/>
      </c>
      <c r="F1339" s="49">
        <f>TRUNC(((1+VLOOKUP(A1339,IPCA!$A$2:$C$140,3,0)))^(C1339/(EDATE(D1339-C1339,1)-(D1339-C1339))),8)</f>
        <v/>
      </c>
      <c r="G1339" s="49">
        <f>TRUNC((E1339*F1339),8)</f>
        <v/>
      </c>
      <c r="H1339" s="49">
        <f>ROUND(((1+$H$4)^(30/360))^(C1339/(EDATE(D1339-B1339,1)-(D1339-B1339))),9)</f>
        <v/>
      </c>
      <c r="I1339" s="49">
        <f>TRUNC((G1339*H1339-G1339),8)</f>
        <v/>
      </c>
      <c r="J1339" s="49">
        <f>G1339+I1339</f>
        <v/>
      </c>
      <c r="K1339" s="256" t="n"/>
      <c r="L1339" s="256" t="n"/>
      <c r="M1339" s="256" t="n"/>
      <c r="N1339" s="256" t="n"/>
      <c r="O1339" s="256" t="n"/>
      <c r="P1339" s="256" t="n"/>
      <c r="Q1339" s="256" t="n"/>
    </row>
    <row r="1340">
      <c r="A1340">
        <f>IF(DAY(D1340)=DAY($L$1+1),A1339+1,A1339)</f>
        <v/>
      </c>
      <c r="B1340" s="46">
        <f>IF(DAY(D1340)=DAY($L$1+1),1,B1339+1)</f>
        <v/>
      </c>
      <c r="C1340" s="46">
        <f>IF(DAY(D1340)=DAY($L$1+1),1,C1339+1)</f>
        <v/>
      </c>
      <c r="D1340" s="2">
        <f>D1339+1</f>
        <v/>
      </c>
      <c r="E1340" s="8">
        <f>IF(DAY(D1340)=DAY($L$1+1),TRUNC((#REF!),8),E1339)</f>
        <v/>
      </c>
      <c r="F1340" s="49">
        <f>TRUNC(((1+VLOOKUP(A1340,IPCA!$A$2:$C$140,3,0)))^(C1340/(EDATE(D1340-C1340,1)-(D1340-C1340))),8)</f>
        <v/>
      </c>
      <c r="G1340" s="49">
        <f>TRUNC((E1340*F1340),8)</f>
        <v/>
      </c>
      <c r="H1340" s="49">
        <f>ROUND(((1+$H$4)^(30/360))^(C1340/(EDATE(D1340-B1340,1)-(D1340-B1340))),9)</f>
        <v/>
      </c>
      <c r="I1340" s="49">
        <f>TRUNC((G1340*H1340-G1340),8)</f>
        <v/>
      </c>
      <c r="J1340" s="49">
        <f>G1340+I1340</f>
        <v/>
      </c>
      <c r="K1340" s="256" t="n"/>
      <c r="L1340" s="256" t="n"/>
      <c r="M1340" s="256" t="n"/>
      <c r="N1340" s="256" t="n"/>
      <c r="O1340" s="256" t="n"/>
      <c r="P1340" s="256" t="n"/>
      <c r="Q1340" s="256" t="n"/>
    </row>
    <row r="1341">
      <c r="A1341">
        <f>IF(DAY(D1341)=DAY($L$1+1),A1340+1,A1340)</f>
        <v/>
      </c>
      <c r="B1341" s="46">
        <f>IF(DAY(D1341)=DAY($L$1+1),1,B1340+1)</f>
        <v/>
      </c>
      <c r="C1341" s="46">
        <f>IF(DAY(D1341)=DAY($L$1+1),1,C1340+1)</f>
        <v/>
      </c>
      <c r="D1341" s="2">
        <f>D1340+1</f>
        <v/>
      </c>
      <c r="E1341" s="8">
        <f>IF(DAY(D1341)=DAY($L$1+1),TRUNC((#REF!),8),E1340)</f>
        <v/>
      </c>
      <c r="F1341" s="49">
        <f>TRUNC(((1+VLOOKUP(A1341,IPCA!$A$2:$C$140,3,0)))^(C1341/(EDATE(D1341-C1341,1)-(D1341-C1341))),8)</f>
        <v/>
      </c>
      <c r="G1341" s="49">
        <f>TRUNC((E1341*F1341),8)</f>
        <v/>
      </c>
      <c r="H1341" s="49">
        <f>ROUND(((1+$H$4)^(30/360))^(C1341/(EDATE(D1341-B1341,1)-(D1341-B1341))),9)</f>
        <v/>
      </c>
      <c r="I1341" s="49">
        <f>TRUNC((G1341*H1341-G1341),8)</f>
        <v/>
      </c>
      <c r="J1341" s="49">
        <f>G1341+I1341</f>
        <v/>
      </c>
      <c r="K1341" s="256" t="n"/>
      <c r="L1341" s="256" t="n"/>
      <c r="M1341" s="256" t="n"/>
      <c r="N1341" s="256" t="n"/>
      <c r="O1341" s="256" t="n"/>
      <c r="P1341" s="256" t="n"/>
      <c r="Q1341" s="256" t="n"/>
    </row>
    <row r="1342">
      <c r="A1342">
        <f>IF(DAY(D1342)=DAY($L$1+1),A1341+1,A1341)</f>
        <v/>
      </c>
      <c r="B1342" s="46">
        <f>IF(DAY(D1342)=DAY($L$1+1),1,B1341+1)</f>
        <v/>
      </c>
      <c r="C1342" s="46">
        <f>IF(DAY(D1342)=DAY($L$1+1),1,C1341+1)</f>
        <v/>
      </c>
      <c r="D1342" s="2">
        <f>D1341+1</f>
        <v/>
      </c>
      <c r="E1342" s="8">
        <f>IF(DAY(D1342)=DAY($L$1+1),TRUNC((#REF!),8),E1341)</f>
        <v/>
      </c>
      <c r="F1342" s="49">
        <f>TRUNC(((1+VLOOKUP(A1342,IPCA!$A$2:$C$140,3,0)))^(C1342/(EDATE(D1342-C1342,1)-(D1342-C1342))),8)</f>
        <v/>
      </c>
      <c r="G1342" s="49">
        <f>TRUNC((E1342*F1342),8)</f>
        <v/>
      </c>
      <c r="H1342" s="49">
        <f>ROUND(((1+$H$4)^(30/360))^(C1342/(EDATE(D1342-B1342,1)-(D1342-B1342))),9)</f>
        <v/>
      </c>
      <c r="I1342" s="49">
        <f>TRUNC((G1342*H1342-G1342),8)</f>
        <v/>
      </c>
      <c r="J1342" s="49">
        <f>G1342+I1342</f>
        <v/>
      </c>
      <c r="K1342" s="256" t="n"/>
      <c r="L1342" s="256" t="n"/>
      <c r="M1342" s="256" t="n"/>
      <c r="N1342" s="256" t="n"/>
      <c r="O1342" s="256" t="n"/>
      <c r="P1342" s="256" t="n"/>
      <c r="Q1342" s="256" t="n"/>
    </row>
    <row r="1343">
      <c r="A1343">
        <f>IF(DAY(D1343)=DAY($L$1+1),A1342+1,A1342)</f>
        <v/>
      </c>
      <c r="B1343" s="46">
        <f>IF(DAY(D1343)=DAY($L$1+1),1,B1342+1)</f>
        <v/>
      </c>
      <c r="C1343" s="46">
        <f>IF(DAY(D1343)=DAY($L$1+1),1,C1342+1)</f>
        <v/>
      </c>
      <c r="D1343" s="2">
        <f>D1342+1</f>
        <v/>
      </c>
      <c r="E1343" s="8">
        <f>IF(DAY(D1343)=DAY($L$1+1),TRUNC((N1342),8),E1342)</f>
        <v/>
      </c>
      <c r="F1343" s="49">
        <f>TRUNC(((1+VLOOKUP(A1343,IPCA!$A$2:$C$140,3,0)))^(C1343/(EDATE(D1343-C1343,1)-(D1343-C1343))),8)</f>
        <v/>
      </c>
      <c r="G1343" s="49">
        <f>TRUNC((E1343*F1343),8)</f>
        <v/>
      </c>
      <c r="H1343" s="49">
        <f>ROUND(((1+$H$4)^(30/360))^(C1343/(EDATE(D1343-B1343,1)-(D1343-B1343))),9)</f>
        <v/>
      </c>
      <c r="I1343" s="49">
        <f>TRUNC((G1343*H1343-G1343),8)</f>
        <v/>
      </c>
      <c r="J1343" s="49">
        <f>G1343+I1343</f>
        <v/>
      </c>
      <c r="K1343" s="123" t="n"/>
      <c r="L1343" s="271" t="n"/>
      <c r="M1343" s="256" t="n"/>
      <c r="N1343" s="256" t="n"/>
      <c r="O1343" s="256" t="n"/>
      <c r="P1343" s="256" t="n"/>
      <c r="Q1343" s="256" t="n"/>
    </row>
    <row r="1344">
      <c r="A1344">
        <f>IF(DAY(D1344)=DAY($L$1+1),A1343+1,A1343)</f>
        <v/>
      </c>
      <c r="B1344" s="46">
        <f>IF(DAY(D1344)=DAY($L$1+1),1,B1343+1)</f>
        <v/>
      </c>
      <c r="C1344" s="46">
        <f>IF(DAY(D1344)=DAY($L$1+1),1,C1343+1)</f>
        <v/>
      </c>
      <c r="D1344" s="2">
        <f>D1343+1</f>
        <v/>
      </c>
      <c r="E1344" s="8">
        <f>IF(DAY(D1344)=DAY($L$1+1),TRUNC((N1343),8),E1343)</f>
        <v/>
      </c>
      <c r="F1344" s="49">
        <f>TRUNC(((1+VLOOKUP(A1344,IPCA!$A$2:$C$140,3,0)))^(C1344/(EDATE(D1344-C1344,1)-(D1344-C1344))),8)</f>
        <v/>
      </c>
      <c r="G1344" s="49">
        <f>TRUNC((E1344*F1344),8)</f>
        <v/>
      </c>
      <c r="H1344" s="49">
        <f>ROUND(((1+$H$4)^(30/360))^(C1344/(EDATE(D1344-B1344,1)-(D1344-B1344))),9)</f>
        <v/>
      </c>
      <c r="I1344" s="49">
        <f>TRUNC((G1344*H1344-G1344),8)</f>
        <v/>
      </c>
      <c r="J1344" s="49">
        <f>G1344+I1344</f>
        <v/>
      </c>
      <c r="K1344" s="256" t="n"/>
      <c r="L1344" s="256" t="n"/>
      <c r="M1344" s="256" t="n"/>
      <c r="N1344" s="256" t="n"/>
      <c r="O1344" s="256" t="n"/>
      <c r="P1344" s="256" t="n"/>
      <c r="Q1344" s="256" t="n"/>
    </row>
    <row r="1345">
      <c r="A1345">
        <f>IF(DAY(D1345)=DAY($L$1+1),A1344+1,A1344)</f>
        <v/>
      </c>
      <c r="B1345" s="46">
        <f>IF(DAY(D1345)=DAY($L$1+1),1,B1344+1)</f>
        <v/>
      </c>
      <c r="C1345" s="46">
        <f>IF(DAY(D1345)=DAY($L$1+1),1,C1344+1)</f>
        <v/>
      </c>
      <c r="D1345" s="2">
        <f>D1344+1</f>
        <v/>
      </c>
      <c r="E1345" s="8">
        <f>IF(DAY(D1345)=DAY($L$1+1),TRUNC((N1344),8),E1344)</f>
        <v/>
      </c>
      <c r="F1345" s="49">
        <f>TRUNC(((1+VLOOKUP(A1345,IPCA!$A$2:$C$140,3,0)))^(C1345/(EDATE(D1345-C1345,1)-(D1345-C1345))),8)</f>
        <v/>
      </c>
      <c r="G1345" s="49">
        <f>TRUNC((E1345*F1345),8)</f>
        <v/>
      </c>
      <c r="H1345" s="49">
        <f>ROUND(((1+$H$4)^(30/360))^(C1345/(EDATE(D1345-B1345,1)-(D1345-B1345))),9)</f>
        <v/>
      </c>
      <c r="I1345" s="49">
        <f>TRUNC((G1345*H1345-G1345),8)</f>
        <v/>
      </c>
      <c r="J1345" s="49">
        <f>G1345+I1345</f>
        <v/>
      </c>
      <c r="K1345" s="256" t="n"/>
      <c r="L1345" s="256" t="n"/>
      <c r="M1345" s="256" t="n"/>
      <c r="N1345" s="256" t="n"/>
      <c r="O1345" s="256" t="n"/>
      <c r="P1345" s="256" t="n"/>
      <c r="Q1345" s="256" t="n"/>
    </row>
    <row r="1346">
      <c r="A1346">
        <f>IF(DAY(D1346)=DAY($L$1+1),A1345+1,A1345)</f>
        <v/>
      </c>
      <c r="B1346" s="46">
        <f>IF(DAY(D1346)=DAY($L$1+1),1,B1345+1)</f>
        <v/>
      </c>
      <c r="C1346" s="46">
        <f>IF(DAY(D1346)=DAY($L$1+1),1,C1345+1)</f>
        <v/>
      </c>
      <c r="D1346" s="2">
        <f>D1345+1</f>
        <v/>
      </c>
      <c r="E1346" s="8">
        <f>IF(DAY(D1346)=DAY($L$1+1),TRUNC((N1345),8),E1345)</f>
        <v/>
      </c>
      <c r="F1346" s="49">
        <f>TRUNC(((1+VLOOKUP(A1346,IPCA!$A$2:$C$140,3,0)))^(C1346/(EDATE(D1346-C1346,1)-(D1346-C1346))),8)</f>
        <v/>
      </c>
      <c r="G1346" s="49">
        <f>TRUNC((E1346*F1346),8)</f>
        <v/>
      </c>
      <c r="H1346" s="49">
        <f>ROUND(((1+$H$4)^(30/360))^(C1346/(EDATE(D1346-B1346,1)-(D1346-B1346))),9)</f>
        <v/>
      </c>
      <c r="I1346" s="49">
        <f>TRUNC((G1346*H1346-G1346),8)</f>
        <v/>
      </c>
      <c r="J1346" s="49">
        <f>G1346+I1346</f>
        <v/>
      </c>
      <c r="K1346" s="256" t="n"/>
      <c r="L1346" s="256" t="n"/>
      <c r="M1346" s="256" t="n"/>
      <c r="N1346" s="256" t="n"/>
      <c r="O1346" s="256" t="n"/>
      <c r="P1346" s="256" t="n"/>
      <c r="Q1346" s="256" t="n"/>
    </row>
    <row r="1347">
      <c r="A1347">
        <f>IF(DAY(D1347)=DAY($L$1+1),A1346+1,A1346)</f>
        <v/>
      </c>
      <c r="B1347" s="46">
        <f>IF(DAY(D1347)=DAY($L$1+1),1,B1346+1)</f>
        <v/>
      </c>
      <c r="C1347" s="46">
        <f>IF(DAY(D1347)=DAY($L$1+1),1,C1346+1)</f>
        <v/>
      </c>
      <c r="D1347" s="2">
        <f>D1346+1</f>
        <v/>
      </c>
      <c r="E1347" s="8">
        <f>IF(DAY(D1347)=DAY($L$1+1),TRUNC((N1346),8),E1346)</f>
        <v/>
      </c>
      <c r="F1347" s="49">
        <f>TRUNC(((1+VLOOKUP(A1347,IPCA!$A$2:$C$140,3,0)))^(C1347/(EDATE(D1347-C1347,1)-(D1347-C1347))),8)</f>
        <v/>
      </c>
      <c r="G1347" s="49">
        <f>TRUNC((E1347*F1347),8)</f>
        <v/>
      </c>
      <c r="H1347" s="49">
        <f>ROUND(((1+$H$4)^(30/360))^(C1347/(EDATE(D1347-B1347,1)-(D1347-B1347))),9)</f>
        <v/>
      </c>
      <c r="I1347" s="49">
        <f>TRUNC((G1347*H1347-G1347),8)</f>
        <v/>
      </c>
      <c r="J1347" s="49">
        <f>G1347+I1347</f>
        <v/>
      </c>
      <c r="K1347" s="256" t="n"/>
      <c r="L1347" s="256" t="n"/>
      <c r="M1347" s="256" t="n"/>
      <c r="N1347" s="256" t="n"/>
      <c r="O1347" s="256" t="n"/>
      <c r="P1347" s="256" t="n"/>
      <c r="Q1347" s="256" t="n"/>
    </row>
    <row r="1348">
      <c r="A1348">
        <f>IF(DAY(D1348)=DAY($L$1+1),A1347+1,A1347)</f>
        <v/>
      </c>
      <c r="B1348" s="46">
        <f>IF(DAY(D1348)=DAY($L$1+1),1,B1347+1)</f>
        <v/>
      </c>
      <c r="C1348" s="46">
        <f>IF(DAY(D1348)=DAY($L$1+1),1,C1347+1)</f>
        <v/>
      </c>
      <c r="D1348" s="2">
        <f>D1347+1</f>
        <v/>
      </c>
      <c r="E1348" s="8">
        <f>IF(DAY(D1348)=DAY($L$1+1),TRUNC((N1347),8),E1347)</f>
        <v/>
      </c>
      <c r="F1348" s="49">
        <f>TRUNC(((1+VLOOKUP(A1348,IPCA!$A$2:$C$140,3,0)))^(C1348/(EDATE(D1348-C1348,1)-(D1348-C1348))),8)</f>
        <v/>
      </c>
      <c r="G1348" s="49">
        <f>TRUNC((E1348*F1348),8)</f>
        <v/>
      </c>
      <c r="H1348" s="49">
        <f>ROUND(((1+$H$4)^(30/360))^(C1348/(EDATE(D1348-B1348,1)-(D1348-B1348))),9)</f>
        <v/>
      </c>
      <c r="I1348" s="49">
        <f>TRUNC((G1348*H1348-G1348),8)</f>
        <v/>
      </c>
      <c r="J1348" s="49">
        <f>G1348+I1348</f>
        <v/>
      </c>
      <c r="K1348" s="256" t="n"/>
      <c r="L1348" s="256" t="n"/>
      <c r="M1348" s="256" t="n"/>
      <c r="N1348" s="256" t="n"/>
      <c r="O1348" s="256" t="n"/>
      <c r="P1348" s="256" t="n"/>
      <c r="Q1348" s="256" t="n"/>
    </row>
    <row r="1349">
      <c r="A1349">
        <f>IF(DAY(D1349)=DAY($L$1+1),A1348+1,A1348)</f>
        <v/>
      </c>
      <c r="B1349" s="46">
        <f>IF(DAY(D1349)=DAY($L$1+1),1,B1348+1)</f>
        <v/>
      </c>
      <c r="C1349" s="46">
        <f>IF(DAY(D1349)=DAY($L$1+1),1,C1348+1)</f>
        <v/>
      </c>
      <c r="D1349" s="2">
        <f>D1348+1</f>
        <v/>
      </c>
      <c r="E1349" s="8">
        <f>IF(DAY(D1349)=DAY($L$1+1),TRUNC((N1348),8),E1348)</f>
        <v/>
      </c>
      <c r="F1349" s="49">
        <f>TRUNC(((1+VLOOKUP(A1349,IPCA!$A$2:$C$140,3,0)))^(C1349/(EDATE(D1349-C1349,1)-(D1349-C1349))),8)</f>
        <v/>
      </c>
      <c r="G1349" s="49">
        <f>TRUNC((E1349*F1349),8)</f>
        <v/>
      </c>
      <c r="H1349" s="49">
        <f>ROUND(((1+$H$4)^(30/360))^(C1349/(EDATE(D1349-B1349,1)-(D1349-B1349))),9)</f>
        <v/>
      </c>
      <c r="I1349" s="49">
        <f>TRUNC((G1349*H1349-G1349),8)</f>
        <v/>
      </c>
      <c r="J1349" s="49">
        <f>G1349+I1349</f>
        <v/>
      </c>
      <c r="K1349" s="256" t="n"/>
      <c r="L1349" s="256" t="n"/>
      <c r="M1349" s="256" t="n"/>
      <c r="N1349" s="256" t="n"/>
      <c r="O1349" s="256" t="n"/>
      <c r="P1349" s="256" t="n"/>
      <c r="Q1349" s="256" t="n"/>
    </row>
    <row r="1350">
      <c r="A1350">
        <f>IF(DAY(D1350)=DAY($L$1+1),A1349+1,A1349)</f>
        <v/>
      </c>
      <c r="B1350" s="46">
        <f>IF(DAY(D1350)=DAY($L$1+1),1,B1349+1)</f>
        <v/>
      </c>
      <c r="C1350" s="46">
        <f>IF(DAY(D1350)=DAY($L$1+1),1,C1349+1)</f>
        <v/>
      </c>
      <c r="D1350" s="2">
        <f>D1349+1</f>
        <v/>
      </c>
      <c r="E1350" s="8">
        <f>IF(DAY(D1350)=DAY($L$1+1),TRUNC((N1349),8),E1349)</f>
        <v/>
      </c>
      <c r="F1350" s="49">
        <f>TRUNC(((1+VLOOKUP(A1350,IPCA!$A$2:$C$140,3,0)))^(C1350/(EDATE(D1350-C1350,1)-(D1350-C1350))),8)</f>
        <v/>
      </c>
      <c r="G1350" s="49">
        <f>TRUNC((E1350*F1350),8)</f>
        <v/>
      </c>
      <c r="H1350" s="49">
        <f>ROUND(((1+$H$4)^(30/360))^(C1350/(EDATE(D1350-B1350,1)-(D1350-B1350))),9)</f>
        <v/>
      </c>
      <c r="I1350" s="49">
        <f>TRUNC((G1350*H1350-G1350),8)</f>
        <v/>
      </c>
      <c r="J1350" s="49">
        <f>G1350+I1350</f>
        <v/>
      </c>
      <c r="K1350" s="256" t="n"/>
      <c r="L1350" s="256" t="n"/>
      <c r="M1350" s="256" t="n"/>
      <c r="N1350" s="256" t="n"/>
      <c r="O1350" s="256" t="n"/>
      <c r="P1350" s="256" t="n"/>
      <c r="Q1350" s="256" t="n"/>
    </row>
    <row r="1351">
      <c r="A1351">
        <f>IF(DAY(D1351)=DAY($L$1+1),A1350+1,A1350)</f>
        <v/>
      </c>
      <c r="B1351" s="46">
        <f>IF(DAY(D1351)=DAY($L$1+1),1,B1350+1)</f>
        <v/>
      </c>
      <c r="C1351" s="46">
        <f>IF(DAY(D1351)=DAY($L$1+1),1,C1350+1)</f>
        <v/>
      </c>
      <c r="D1351" s="2">
        <f>D1350+1</f>
        <v/>
      </c>
      <c r="E1351" s="8">
        <f>IF(DAY(D1351)=DAY($L$1+1),TRUNC((N1350),8),E1350)</f>
        <v/>
      </c>
      <c r="F1351" s="49">
        <f>TRUNC(((1+VLOOKUP(A1351,IPCA!$A$2:$C$140,3,0)))^(C1351/(EDATE(D1351-C1351,1)-(D1351-C1351))),8)</f>
        <v/>
      </c>
      <c r="G1351" s="49">
        <f>TRUNC((E1351*F1351),8)</f>
        <v/>
      </c>
      <c r="H1351" s="49">
        <f>ROUND(((1+$H$4)^(30/360))^(C1351/(EDATE(D1351-B1351,1)-(D1351-B1351))),9)</f>
        <v/>
      </c>
      <c r="I1351" s="49">
        <f>TRUNC((G1351*H1351-G1351),8)</f>
        <v/>
      </c>
      <c r="J1351" s="49">
        <f>G1351+I1351</f>
        <v/>
      </c>
      <c r="K1351" s="256" t="n"/>
      <c r="L1351" s="256" t="n"/>
      <c r="M1351" s="256" t="n"/>
      <c r="N1351" s="256" t="n"/>
      <c r="O1351" s="256" t="n"/>
      <c r="P1351" s="256" t="n"/>
      <c r="Q1351" s="256" t="n"/>
    </row>
    <row r="1352">
      <c r="A1352">
        <f>IF(DAY(D1352)=DAY($L$1+1),A1351+1,A1351)</f>
        <v/>
      </c>
      <c r="B1352" s="46">
        <f>IF(DAY(D1352)=DAY($L$1+1),1,B1351+1)</f>
        <v/>
      </c>
      <c r="C1352" s="46">
        <f>IF(DAY(D1352)=DAY($L$1+1),1,C1351+1)</f>
        <v/>
      </c>
      <c r="D1352" s="2">
        <f>D1351+1</f>
        <v/>
      </c>
      <c r="E1352" s="8">
        <f>IF(DAY(D1352)=DAY($L$1+1),TRUNC((N1351),8),E1351)</f>
        <v/>
      </c>
      <c r="F1352" s="49">
        <f>TRUNC(((1+VLOOKUP(A1352,IPCA!$A$2:$C$140,3,0)))^(C1352/(EDATE(D1352-C1352,1)-(D1352-C1352))),8)</f>
        <v/>
      </c>
      <c r="G1352" s="49">
        <f>TRUNC((E1352*F1352),8)</f>
        <v/>
      </c>
      <c r="H1352" s="49">
        <f>ROUND(((1+$H$4)^(30/360))^(C1352/(EDATE(D1352-B1352,1)-(D1352-B1352))),9)</f>
        <v/>
      </c>
      <c r="I1352" s="49">
        <f>TRUNC((G1352*H1352-G1352),8)</f>
        <v/>
      </c>
      <c r="J1352" s="49">
        <f>G1352+I1352</f>
        <v/>
      </c>
      <c r="K1352" s="256" t="n"/>
      <c r="L1352" s="256" t="n"/>
      <c r="M1352" s="256" t="n"/>
      <c r="N1352" s="256" t="n"/>
      <c r="O1352" s="256" t="n"/>
      <c r="P1352" s="256" t="n"/>
      <c r="Q1352" s="256" t="n"/>
    </row>
    <row r="1353">
      <c r="A1353">
        <f>IF(DAY(D1353)=DAY($L$1+1),A1352+1,A1352)</f>
        <v/>
      </c>
      <c r="B1353" s="46">
        <f>IF(DAY(D1353)=DAY($L$1+1),1,B1352+1)</f>
        <v/>
      </c>
      <c r="C1353" s="46">
        <f>IF(DAY(D1353)=DAY($L$1+1),1,C1352+1)</f>
        <v/>
      </c>
      <c r="D1353" s="2">
        <f>D1352+1</f>
        <v/>
      </c>
      <c r="E1353" s="8">
        <f>IF(DAY(D1353)=DAY($L$1+1),TRUNC((N1352),8),E1352)</f>
        <v/>
      </c>
      <c r="F1353" s="49">
        <f>TRUNC(((1+VLOOKUP(A1353,IPCA!$A$2:$C$140,3,0)))^(C1353/(EDATE(D1353-C1353,1)-(D1353-C1353))),8)</f>
        <v/>
      </c>
      <c r="G1353" s="49">
        <f>TRUNC((E1353*F1353),8)</f>
        <v/>
      </c>
      <c r="H1353" s="49">
        <f>ROUND(((1+$H$4)^(30/360))^(C1353/(EDATE(D1353-B1353,1)-(D1353-B1353))),9)</f>
        <v/>
      </c>
      <c r="I1353" s="49">
        <f>TRUNC((G1353*H1353-G1353),8)</f>
        <v/>
      </c>
      <c r="J1353" s="49">
        <f>G1353+I1353</f>
        <v/>
      </c>
      <c r="K1353" s="256" t="n"/>
      <c r="L1353" s="256" t="n"/>
      <c r="M1353" s="256" t="n"/>
      <c r="N1353" s="256" t="n"/>
      <c r="O1353" s="256" t="n"/>
      <c r="P1353" s="256" t="n"/>
      <c r="Q1353" s="256" t="n"/>
    </row>
    <row r="1354">
      <c r="A1354">
        <f>IF(DAY(D1354)=DAY($L$1+1),A1353+1,A1353)</f>
        <v/>
      </c>
      <c r="B1354" s="46">
        <f>IF(DAY(D1354)=DAY($L$1+1),1,B1353+1)</f>
        <v/>
      </c>
      <c r="C1354" s="46">
        <f>IF(DAY(D1354)=DAY($L$1+1),1,C1353+1)</f>
        <v/>
      </c>
      <c r="D1354" s="2">
        <f>D1353+1</f>
        <v/>
      </c>
      <c r="E1354" s="8">
        <f>IF(DAY(D1354)=DAY($L$1+1),TRUNC((N1353),8),E1353)</f>
        <v/>
      </c>
      <c r="F1354" s="49">
        <f>TRUNC(((1+VLOOKUP(A1354,IPCA!$A$2:$C$140,3,0)))^(C1354/(EDATE(D1354-C1354,1)-(D1354-C1354))),8)</f>
        <v/>
      </c>
      <c r="G1354" s="49">
        <f>TRUNC((E1354*F1354),8)</f>
        <v/>
      </c>
      <c r="H1354" s="49">
        <f>ROUND(((1+$H$4)^(30/360))^(C1354/(EDATE(D1354-B1354,1)-(D1354-B1354))),9)</f>
        <v/>
      </c>
      <c r="I1354" s="49">
        <f>TRUNC((G1354*H1354-G1354),8)</f>
        <v/>
      </c>
      <c r="J1354" s="49">
        <f>G1354+I1354</f>
        <v/>
      </c>
      <c r="K1354" s="256" t="n"/>
      <c r="L1354" s="256" t="n"/>
      <c r="M1354" s="256" t="n"/>
      <c r="N1354" s="256" t="n"/>
      <c r="O1354" s="256" t="n"/>
      <c r="P1354" s="256" t="n"/>
      <c r="Q1354" s="256" t="n"/>
    </row>
    <row r="1355">
      <c r="A1355">
        <f>IF(DAY(D1355)=DAY($L$1+1),A1354+1,A1354)</f>
        <v/>
      </c>
      <c r="B1355" s="46">
        <f>IF(DAY(D1355)=DAY($L$1+1),1,B1354+1)</f>
        <v/>
      </c>
      <c r="C1355" s="46">
        <f>IF(DAY(D1355)=DAY($L$1+1),1,C1354+1)</f>
        <v/>
      </c>
      <c r="D1355" s="2">
        <f>D1354+1</f>
        <v/>
      </c>
      <c r="E1355" s="8">
        <f>IF(DAY(D1355)=DAY($L$1+1),TRUNC((N1354),8),E1354)</f>
        <v/>
      </c>
      <c r="F1355" s="49">
        <f>TRUNC(((1+VLOOKUP(A1355,IPCA!$A$2:$C$140,3,0)))^(C1355/(EDATE(D1355-C1355,1)-(D1355-C1355))),8)</f>
        <v/>
      </c>
      <c r="G1355" s="49">
        <f>TRUNC((E1355*F1355),8)</f>
        <v/>
      </c>
      <c r="H1355" s="49">
        <f>ROUND(((1+$H$4)^(30/360))^(C1355/(EDATE(D1355-B1355,1)-(D1355-B1355))),9)</f>
        <v/>
      </c>
      <c r="I1355" s="49">
        <f>TRUNC((G1355*H1355-G1355),8)</f>
        <v/>
      </c>
      <c r="J1355" s="49">
        <f>G1355+I1355</f>
        <v/>
      </c>
      <c r="K1355" s="256" t="n"/>
      <c r="L1355" s="256" t="n"/>
      <c r="M1355" s="256" t="n"/>
      <c r="N1355" s="256" t="n"/>
      <c r="O1355" s="256" t="n"/>
      <c r="P1355" s="256" t="n"/>
      <c r="Q1355" s="256" t="n"/>
    </row>
    <row r="1356">
      <c r="A1356">
        <f>IF(DAY(D1356)=DAY($L$1+1),A1355+1,A1355)</f>
        <v/>
      </c>
      <c r="B1356" s="46">
        <f>IF(DAY(D1356)=DAY($L$1+1),1,B1355+1)</f>
        <v/>
      </c>
      <c r="C1356" s="46">
        <f>IF(DAY(D1356)=DAY($L$1+1),1,C1355+1)</f>
        <v/>
      </c>
      <c r="D1356" s="2">
        <f>D1355+1</f>
        <v/>
      </c>
      <c r="E1356" s="8">
        <f>IF(DAY(D1356)=DAY($L$1+1),TRUNC((N1355),8),E1355)</f>
        <v/>
      </c>
      <c r="F1356" s="49">
        <f>TRUNC(((1+VLOOKUP(A1356,IPCA!$A$2:$C$140,3,0)))^(C1356/(EDATE(D1356-C1356,1)-(D1356-C1356))),8)</f>
        <v/>
      </c>
      <c r="G1356" s="49">
        <f>TRUNC((E1356*F1356),8)</f>
        <v/>
      </c>
      <c r="H1356" s="49">
        <f>ROUND(((1+$H$4)^(30/360))^(C1356/(EDATE(D1356-B1356,1)-(D1356-B1356))),9)</f>
        <v/>
      </c>
      <c r="I1356" s="49">
        <f>TRUNC((G1356*H1356-G1356),8)</f>
        <v/>
      </c>
      <c r="J1356" s="49">
        <f>G1356+I1356</f>
        <v/>
      </c>
      <c r="K1356" s="256" t="inlineStr">
        <is>
          <t>Cri Integralizado</t>
        </is>
      </c>
      <c r="L1356" s="270">
        <f>L1328</f>
        <v/>
      </c>
      <c r="M1356" s="256" t="n"/>
      <c r="N1356" s="256" t="n"/>
      <c r="O1356" s="256" t="n"/>
      <c r="P1356" s="256" t="n"/>
      <c r="Q1356" s="256" t="n"/>
    </row>
    <row r="1357">
      <c r="A1357">
        <f>IF(DAY(D1357)=DAY($L$1+1),A1356+1,A1356)</f>
        <v/>
      </c>
      <c r="B1357" s="46">
        <f>IF(DAY(D1357)=DAY($L$1+1),1,B1356+1)</f>
        <v/>
      </c>
      <c r="C1357" s="46">
        <f>IF(DAY(D1357)=DAY($L$1+1),1,C1356+1)</f>
        <v/>
      </c>
      <c r="D1357" s="47">
        <f>D1356+1</f>
        <v/>
      </c>
      <c r="E1357" s="8">
        <f>IF(DAY(D1357)=DAY($L$1+1),TRUNC((N1356),8),E1356)</f>
        <v/>
      </c>
      <c r="F1357" s="49">
        <f>TRUNC(((1+VLOOKUP(A1357,IPCA!$A$2:$C$140,3,0)))^(C1357/(EDATE(D1357-C1357,1)-(D1357-C1357))),8)</f>
        <v/>
      </c>
      <c r="G1357" s="49">
        <f>TRUNC((E1357*F1357),8)</f>
        <v/>
      </c>
      <c r="H1357" s="49">
        <f>ROUND(((1+$H$4)^(30/360))^(C1357/(EDATE(D1357-B1357,1)-(D1357-B1357))),9)</f>
        <v/>
      </c>
      <c r="I1357" s="49">
        <f>TRUNC((G1357*H1357-G1357),8)</f>
        <v/>
      </c>
      <c r="J1357" s="49">
        <f>G1357+I1357</f>
        <v/>
      </c>
      <c r="K1357" s="118" t="inlineStr">
        <is>
          <t>JUROS</t>
        </is>
      </c>
      <c r="L1357" s="118" t="inlineStr">
        <is>
          <t>AMORTIZAÇÃO</t>
        </is>
      </c>
      <c r="M1357" s="118" t="inlineStr">
        <is>
          <t>AMEX</t>
        </is>
      </c>
      <c r="N1357" s="118" t="inlineStr">
        <is>
          <t>RESIDUAL</t>
        </is>
      </c>
      <c r="O1357" s="256" t="n"/>
      <c r="P1357" s="256" t="n"/>
      <c r="Q1357" s="256" t="n"/>
    </row>
    <row r="1358">
      <c r="A1358">
        <f>IF(DAY(D1358)=DAY($L$1+1),A1357+1,A1357)</f>
        <v/>
      </c>
      <c r="B1358" s="111">
        <f>IF(DAY(D1358)=DAY($L$1+1),1,B1357+1)</f>
        <v/>
      </c>
      <c r="C1358" s="111">
        <f>IF(DAY(D1358)=DAY($L$1+1),1,C1357+1)</f>
        <v/>
      </c>
      <c r="D1358" s="112">
        <f>D1357+1</f>
        <v/>
      </c>
      <c r="E1358" s="113">
        <f>IF(DAY(D1358)=DAY($L$1+1),TRUNC((N1357),8),E1357)</f>
        <v/>
      </c>
      <c r="F1358" s="114">
        <f>TRUNC(((1+VLOOKUP(A1358,IPCA!$A$2:$C$140,3,0)))^(C1358/(EDATE(D1358-C1358,1)-(D1358-C1358))),8)</f>
        <v/>
      </c>
      <c r="G1358" s="114">
        <f>TRUNC((E1358*F1358),8)</f>
        <v/>
      </c>
      <c r="H1358" s="114">
        <f>ROUND(((1+$H$4)^(30/360))^(C1358/(EDATE(D1358-B1358,1)-(D1358-B1358))),9)</f>
        <v/>
      </c>
      <c r="I1358" s="114">
        <f>TRUNC((G1358*H1358-G1358),8)</f>
        <v/>
      </c>
      <c r="J1358" s="114">
        <f>G1358+I1358</f>
        <v/>
      </c>
      <c r="K1358" s="119">
        <f>I1358</f>
        <v/>
      </c>
      <c r="L1358" s="120">
        <f>TRUNC(G1358*VLOOKUP(D1358,'Amort TS'!$G$3:$H$140,2,0),8)</f>
        <v/>
      </c>
      <c r="M1358" s="120" t="n">
        <v>0</v>
      </c>
      <c r="N1358" s="120">
        <f>J1358-K1358-L1358-M1358</f>
        <v/>
      </c>
      <c r="O1358" s="256" t="n"/>
      <c r="P1358" s="256" t="n"/>
      <c r="Q1358" s="256" t="n"/>
    </row>
    <row r="1359">
      <c r="A1359">
        <f>IF(DAY(D1359)=DAY($L$1+1),A1358+1,A1358)</f>
        <v/>
      </c>
      <c r="B1359" s="46">
        <f>IF(DAY(D1359)=DAY($L$1+1),1,B1358+1)</f>
        <v/>
      </c>
      <c r="C1359" s="46">
        <f>IF(DAY(D1359)=DAY($L$1+1),1,C1358+1)</f>
        <v/>
      </c>
      <c r="D1359" s="2">
        <f>D1358+1</f>
        <v/>
      </c>
      <c r="E1359" s="8">
        <f>IF(DAY(D1359)=DAY($L$1+1),TRUNC((N1358),8),E1358)</f>
        <v/>
      </c>
      <c r="F1359" s="49">
        <f>TRUNC(((1+VLOOKUP(A1359,IPCA!$A$2:$C$140,3,0)))^(C1359/(EDATE(D1359-C1359,1)-(D1359-C1359))),8)</f>
        <v/>
      </c>
      <c r="G1359" s="49">
        <f>TRUNC((E1359*F1359),8)</f>
        <v/>
      </c>
      <c r="H1359" s="49">
        <f>ROUND(((1+$H$4)^(30/360))^(C1359/(EDATE(D1359-B1359,1)-(D1359-B1359))),9)</f>
        <v/>
      </c>
      <c r="I1359" s="49">
        <f>TRUNC((G1359*H1359-G1359),8)</f>
        <v/>
      </c>
      <c r="J1359" s="49">
        <f>G1359+I1359</f>
        <v/>
      </c>
      <c r="K1359" s="121">
        <f>K1358*L1356</f>
        <v/>
      </c>
      <c r="L1359" s="121">
        <f>L1358*L1356</f>
        <v/>
      </c>
      <c r="M1359" s="121">
        <f>M1358*L1356</f>
        <v/>
      </c>
      <c r="N1359" s="121">
        <f>N1358*L1356</f>
        <v/>
      </c>
      <c r="O1359" s="256" t="n"/>
      <c r="P1359" s="256" t="n"/>
      <c r="Q1359" s="256" t="n"/>
    </row>
    <row r="1360">
      <c r="A1360">
        <f>IF(DAY(D1360)=DAY($L$1+1),A1359+1,A1359)</f>
        <v/>
      </c>
      <c r="B1360" s="46">
        <f>IF(DAY(D1360)=DAY($L$1+1),1,B1359+1)</f>
        <v/>
      </c>
      <c r="C1360" s="46">
        <f>IF(DAY(D1360)=DAY($L$1+1),1,C1359+1)</f>
        <v/>
      </c>
      <c r="D1360" s="47">
        <f>D1359+1</f>
        <v/>
      </c>
      <c r="E1360" s="8">
        <f>IF(DAY(D1360)=DAY($L$1+1),TRUNC((N1359),8),E1359)</f>
        <v/>
      </c>
      <c r="F1360" s="49">
        <f>TRUNC(((1+VLOOKUP(A1360,IPCA!$A$2:$C$140,3,0)))^(C1360/(EDATE(D1360-C1360,1)-(D1360-C1360))),8)</f>
        <v/>
      </c>
      <c r="G1360" s="49">
        <f>TRUNC((E1360*F1360),8)</f>
        <v/>
      </c>
      <c r="H1360" s="49">
        <f>ROUND(((1+$H$4)^(30/360))^(C1360/(EDATE(D1360-B1360,1)-(D1360-B1360))),9)</f>
        <v/>
      </c>
      <c r="I1360" s="49">
        <f>TRUNC((G1360*H1360-G1360),8)</f>
        <v/>
      </c>
      <c r="J1360" s="49">
        <f>G1360+I1360</f>
        <v/>
      </c>
      <c r="K1360" s="256" t="n"/>
      <c r="L1360" s="256" t="n"/>
      <c r="M1360" s="256" t="n"/>
      <c r="N1360" s="256" t="n"/>
      <c r="O1360" s="256" t="n"/>
      <c r="P1360" s="256" t="n"/>
      <c r="Q1360" s="256" t="n"/>
    </row>
    <row r="1361">
      <c r="A1361">
        <f>IF(DAY(D1361)=DAY($L$1+1),A1360+1,A1360)</f>
        <v/>
      </c>
      <c r="B1361" s="46">
        <f>IF(DAY(D1361)=DAY($L$1+1),1,B1360+1)</f>
        <v/>
      </c>
      <c r="C1361" s="46">
        <f>IF(DAY(D1361)=DAY($L$1+1),1,C1360+1)</f>
        <v/>
      </c>
      <c r="D1361" s="2">
        <f>D1360+1</f>
        <v/>
      </c>
      <c r="E1361" s="8">
        <f>IF(DAY(D1361)=DAY($L$1+1),TRUNC((#REF!),8),E1360)</f>
        <v/>
      </c>
      <c r="F1361" s="49">
        <f>TRUNC(((1+VLOOKUP(A1361,IPCA!$A$2:$C$140,3,0)))^(C1361/(EDATE(D1361-C1361,1)-(D1361-C1361))),8)</f>
        <v/>
      </c>
      <c r="G1361" s="49">
        <f>TRUNC((E1361*F1361),8)</f>
        <v/>
      </c>
      <c r="H1361" s="49">
        <f>ROUND(((1+$H$4)^(30/360))^(C1361/(EDATE(D1361-B1361,1)-(D1361-B1361))),9)</f>
        <v/>
      </c>
      <c r="I1361" s="49">
        <f>TRUNC((G1361*H1361-G1361),8)</f>
        <v/>
      </c>
      <c r="J1361" s="49">
        <f>G1361+I1361</f>
        <v/>
      </c>
      <c r="K1361" s="256" t="n"/>
      <c r="L1361" s="256" t="n"/>
      <c r="M1361" s="256" t="n"/>
      <c r="N1361" s="256" t="n"/>
      <c r="O1361" s="256" t="n"/>
      <c r="P1361" s="256" t="n"/>
      <c r="Q1361" s="256" t="n"/>
    </row>
    <row r="1362">
      <c r="A1362">
        <f>IF(DAY(D1362)=DAY($L$1+1),A1361+1,A1361)</f>
        <v/>
      </c>
      <c r="B1362" s="46">
        <f>IF(DAY(D1362)=DAY($L$1+1),1,B1361+1)</f>
        <v/>
      </c>
      <c r="C1362" s="46">
        <f>IF(DAY(D1362)=DAY($L$1+1),1,C1361+1)</f>
        <v/>
      </c>
      <c r="D1362" s="2">
        <f>D1361+1</f>
        <v/>
      </c>
      <c r="E1362" s="8">
        <f>IF(DAY(D1362)=DAY($L$1+1),TRUNC((#REF!),8),E1361)</f>
        <v/>
      </c>
      <c r="F1362" s="49">
        <f>TRUNC(((1+VLOOKUP(A1362,IPCA!$A$2:$C$140,3,0)))^(C1362/(EDATE(D1362-C1362,1)-(D1362-C1362))),8)</f>
        <v/>
      </c>
      <c r="G1362" s="49">
        <f>TRUNC((E1362*F1362),8)</f>
        <v/>
      </c>
      <c r="H1362" s="49">
        <f>ROUND(((1+$H$4)^(30/360))^(C1362/(EDATE(D1362-B1362,1)-(D1362-B1362))),9)</f>
        <v/>
      </c>
      <c r="I1362" s="49">
        <f>TRUNC((G1362*H1362-G1362),8)</f>
        <v/>
      </c>
      <c r="J1362" s="49">
        <f>G1362+I1362</f>
        <v/>
      </c>
      <c r="K1362" s="256" t="n"/>
      <c r="L1362" s="256" t="n"/>
      <c r="M1362" s="256" t="n"/>
      <c r="N1362" s="256" t="n"/>
      <c r="O1362" s="256" t="n"/>
      <c r="P1362" s="256" t="n"/>
      <c r="Q1362" s="256" t="n"/>
    </row>
    <row r="1363">
      <c r="A1363">
        <f>IF(DAY(D1363)=DAY($L$1+1),A1362+1,A1362)</f>
        <v/>
      </c>
      <c r="B1363" s="46">
        <f>IF(DAY(D1363)=DAY($L$1+1),1,B1362+1)</f>
        <v/>
      </c>
      <c r="C1363" s="46">
        <f>IF(DAY(D1363)=DAY($L$1+1),1,C1362+1)</f>
        <v/>
      </c>
      <c r="D1363" s="2">
        <f>D1362+1</f>
        <v/>
      </c>
      <c r="E1363" s="8">
        <f>IF(DAY(D1363)=DAY($L$1+1),TRUNC((#REF!),8),E1362)</f>
        <v/>
      </c>
      <c r="F1363" s="49">
        <f>TRUNC(((1+VLOOKUP(A1363,IPCA!$A$2:$C$140,3,0)))^(C1363/(EDATE(D1363-C1363,1)-(D1363-C1363))),8)</f>
        <v/>
      </c>
      <c r="G1363" s="49">
        <f>TRUNC((E1363*F1363),8)</f>
        <v/>
      </c>
      <c r="H1363" s="49">
        <f>ROUND(((1+$H$4)^(30/360))^(C1363/(EDATE(D1363-B1363,1)-(D1363-B1363))),9)</f>
        <v/>
      </c>
      <c r="I1363" s="49">
        <f>TRUNC((G1363*H1363-G1363),8)</f>
        <v/>
      </c>
      <c r="J1363" s="49">
        <f>G1363+I1363</f>
        <v/>
      </c>
      <c r="K1363" s="256" t="n"/>
      <c r="L1363" s="256" t="n"/>
      <c r="M1363" s="256" t="n"/>
      <c r="N1363" s="256" t="n"/>
      <c r="O1363" s="256" t="n"/>
      <c r="P1363" s="256" t="n"/>
      <c r="Q1363" s="256" t="n"/>
    </row>
    <row r="1364">
      <c r="A1364">
        <f>IF(DAY(D1364)=DAY($L$1+1),A1363+1,A1363)</f>
        <v/>
      </c>
      <c r="B1364" s="46">
        <f>IF(DAY(D1364)=DAY($L$1+1),1,B1363+1)</f>
        <v/>
      </c>
      <c r="C1364" s="46">
        <f>IF(DAY(D1364)=DAY($L$1+1),1,C1363+1)</f>
        <v/>
      </c>
      <c r="D1364" s="2">
        <f>D1363+1</f>
        <v/>
      </c>
      <c r="E1364" s="8">
        <f>IF(DAY(D1364)=DAY($L$1+1),TRUNC((#REF!),8),E1363)</f>
        <v/>
      </c>
      <c r="F1364" s="49">
        <f>TRUNC(((1+VLOOKUP(A1364,IPCA!$A$2:$C$140,3,0)))^(C1364/(EDATE(D1364-C1364,1)-(D1364-C1364))),8)</f>
        <v/>
      </c>
      <c r="G1364" s="49">
        <f>TRUNC((E1364*F1364),8)</f>
        <v/>
      </c>
      <c r="H1364" s="49">
        <f>ROUND(((1+$H$4)^(30/360))^(C1364/(EDATE(D1364-B1364,1)-(D1364-B1364))),9)</f>
        <v/>
      </c>
      <c r="I1364" s="49">
        <f>TRUNC((G1364*H1364-G1364),8)</f>
        <v/>
      </c>
      <c r="J1364" s="49">
        <f>G1364+I1364</f>
        <v/>
      </c>
      <c r="K1364" s="256" t="n"/>
      <c r="L1364" s="256" t="n"/>
      <c r="M1364" s="256" t="n"/>
      <c r="N1364" s="256" t="n"/>
      <c r="O1364" s="256" t="n"/>
      <c r="P1364" s="256" t="n"/>
      <c r="Q1364" s="256" t="n"/>
    </row>
    <row r="1365">
      <c r="A1365">
        <f>IF(DAY(D1365)=DAY($L$1+1),A1364+1,A1364)</f>
        <v/>
      </c>
      <c r="B1365" s="46">
        <f>IF(DAY(D1365)=DAY($L$1+1),1,B1364+1)</f>
        <v/>
      </c>
      <c r="C1365" s="46">
        <f>IF(DAY(D1365)=DAY($L$1+1),1,C1364+1)</f>
        <v/>
      </c>
      <c r="D1365" s="2">
        <f>D1364+1</f>
        <v/>
      </c>
      <c r="E1365" s="8">
        <f>IF(DAY(D1365)=DAY($L$1+1),TRUNC((#REF!),8),E1364)</f>
        <v/>
      </c>
      <c r="F1365" s="49">
        <f>TRUNC(((1+VLOOKUP(A1365,IPCA!$A$2:$C$140,3,0)))^(C1365/(EDATE(D1365-C1365,1)-(D1365-C1365))),8)</f>
        <v/>
      </c>
      <c r="G1365" s="49">
        <f>TRUNC((E1365*F1365),8)</f>
        <v/>
      </c>
      <c r="H1365" s="49">
        <f>ROUND(((1+$H$4)^(30/360))^(C1365/(EDATE(D1365-B1365,1)-(D1365-B1365))),9)</f>
        <v/>
      </c>
      <c r="I1365" s="49">
        <f>TRUNC((G1365*H1365-G1365),8)</f>
        <v/>
      </c>
      <c r="J1365" s="49">
        <f>G1365+I1365</f>
        <v/>
      </c>
      <c r="K1365" s="256" t="n"/>
      <c r="L1365" s="256" t="n"/>
      <c r="M1365" s="256" t="n"/>
      <c r="N1365" s="256" t="n"/>
      <c r="O1365" s="256" t="n"/>
      <c r="P1365" s="256" t="n"/>
      <c r="Q1365" s="256" t="n"/>
    </row>
    <row r="1366">
      <c r="A1366">
        <f>IF(DAY(D1366)=DAY($L$1+1),A1365+1,A1365)</f>
        <v/>
      </c>
      <c r="B1366" s="46">
        <f>IF(DAY(D1366)=DAY($L$1+1),1,B1365+1)</f>
        <v/>
      </c>
      <c r="C1366" s="46">
        <f>IF(DAY(D1366)=DAY($L$1+1),1,C1365+1)</f>
        <v/>
      </c>
      <c r="D1366" s="2">
        <f>D1365+1</f>
        <v/>
      </c>
      <c r="E1366" s="8">
        <f>IF(DAY(D1366)=DAY($L$1+1),TRUNC((#REF!),8),E1365)</f>
        <v/>
      </c>
      <c r="F1366" s="49">
        <f>TRUNC(((1+VLOOKUP(A1366,IPCA!$A$2:$C$140,3,0)))^(C1366/(EDATE(D1366-C1366,1)-(D1366-C1366))),8)</f>
        <v/>
      </c>
      <c r="G1366" s="49">
        <f>TRUNC((E1366*F1366),8)</f>
        <v/>
      </c>
      <c r="H1366" s="49">
        <f>ROUND(((1+$H$4)^(30/360))^(C1366/(EDATE(D1366-B1366,1)-(D1366-B1366))),9)</f>
        <v/>
      </c>
      <c r="I1366" s="49">
        <f>TRUNC((G1366*H1366-G1366),8)</f>
        <v/>
      </c>
      <c r="J1366" s="49">
        <f>G1366+I1366</f>
        <v/>
      </c>
      <c r="K1366" s="256" t="n"/>
      <c r="L1366" s="256" t="n"/>
      <c r="M1366" s="256" t="n"/>
      <c r="N1366" s="256" t="n"/>
      <c r="O1366" s="256" t="n"/>
      <c r="P1366" s="256" t="n"/>
      <c r="Q1366" s="256" t="n"/>
    </row>
    <row r="1367">
      <c r="A1367">
        <f>IF(DAY(D1367)=DAY($L$1+1),A1366+1,A1366)</f>
        <v/>
      </c>
      <c r="B1367" s="46">
        <f>IF(DAY(D1367)=DAY($L$1+1),1,B1366+1)</f>
        <v/>
      </c>
      <c r="C1367" s="46">
        <f>IF(DAY(D1367)=DAY($L$1+1),1,C1366+1)</f>
        <v/>
      </c>
      <c r="D1367" s="2">
        <f>D1366+1</f>
        <v/>
      </c>
      <c r="E1367" s="8">
        <f>IF(DAY(D1367)=DAY($L$1+1),TRUNC((#REF!),8),E1366)</f>
        <v/>
      </c>
      <c r="F1367" s="49">
        <f>TRUNC(((1+VLOOKUP(A1367,IPCA!$A$2:$C$140,3,0)))^(C1367/(EDATE(D1367-C1367,1)-(D1367-C1367))),8)</f>
        <v/>
      </c>
      <c r="G1367" s="49">
        <f>TRUNC((E1367*F1367),8)</f>
        <v/>
      </c>
      <c r="H1367" s="49">
        <f>ROUND(((1+$H$4)^(30/360))^(C1367/(EDATE(D1367-B1367,1)-(D1367-B1367))),9)</f>
        <v/>
      </c>
      <c r="I1367" s="49">
        <f>TRUNC((G1367*H1367-G1367),8)</f>
        <v/>
      </c>
      <c r="J1367" s="49">
        <f>G1367+I1367</f>
        <v/>
      </c>
      <c r="K1367" s="256" t="n"/>
      <c r="L1367" s="256" t="n"/>
      <c r="M1367" s="256" t="n"/>
      <c r="N1367" s="256" t="n"/>
      <c r="O1367" s="256" t="n"/>
      <c r="P1367" s="256" t="n"/>
      <c r="Q1367" s="256" t="n"/>
    </row>
    <row r="1368">
      <c r="A1368">
        <f>IF(DAY(D1368)=DAY($L$1+1),A1367+1,A1367)</f>
        <v/>
      </c>
      <c r="B1368" s="46">
        <f>IF(DAY(D1368)=DAY($L$1+1),1,B1367+1)</f>
        <v/>
      </c>
      <c r="C1368" s="46">
        <f>IF(DAY(D1368)=DAY($L$1+1),1,C1367+1)</f>
        <v/>
      </c>
      <c r="D1368" s="2">
        <f>D1367+1</f>
        <v/>
      </c>
      <c r="E1368" s="8">
        <f>IF(DAY(D1368)=DAY($L$1+1),TRUNC((#REF!),8),E1367)</f>
        <v/>
      </c>
      <c r="F1368" s="49">
        <f>TRUNC(((1+VLOOKUP(A1368,IPCA!$A$2:$C$140,3,0)))^(C1368/(EDATE(D1368-C1368,1)-(D1368-C1368))),8)</f>
        <v/>
      </c>
      <c r="G1368" s="49">
        <f>TRUNC((E1368*F1368),8)</f>
        <v/>
      </c>
      <c r="H1368" s="49">
        <f>ROUND(((1+$H$4)^(30/360))^(C1368/(EDATE(D1368-B1368,1)-(D1368-B1368))),9)</f>
        <v/>
      </c>
      <c r="I1368" s="49">
        <f>TRUNC((G1368*H1368-G1368),8)</f>
        <v/>
      </c>
      <c r="J1368" s="49">
        <f>G1368+I1368</f>
        <v/>
      </c>
      <c r="K1368" s="256" t="n"/>
      <c r="L1368" s="256" t="n"/>
      <c r="M1368" s="256" t="n"/>
      <c r="N1368" s="256" t="n"/>
      <c r="O1368" s="256" t="n"/>
      <c r="P1368" s="256" t="n"/>
      <c r="Q1368" s="256" t="n"/>
    </row>
    <row r="1369">
      <c r="A1369">
        <f>IF(DAY(D1369)=DAY($L$1+1),A1368+1,A1368)</f>
        <v/>
      </c>
      <c r="B1369" s="46">
        <f>IF(DAY(D1369)=DAY($L$1+1),1,B1368+1)</f>
        <v/>
      </c>
      <c r="C1369" s="46">
        <f>IF(DAY(D1369)=DAY($L$1+1),1,C1368+1)</f>
        <v/>
      </c>
      <c r="D1369" s="2">
        <f>D1368+1</f>
        <v/>
      </c>
      <c r="E1369" s="8">
        <f>IF(DAY(D1369)=DAY($L$1+1),TRUNC((#REF!),8),E1368)</f>
        <v/>
      </c>
      <c r="F1369" s="49">
        <f>TRUNC(((1+VLOOKUP(A1369,IPCA!$A$2:$C$140,3,0)))^(C1369/(EDATE(D1369-C1369,1)-(D1369-C1369))),8)</f>
        <v/>
      </c>
      <c r="G1369" s="49">
        <f>TRUNC((E1369*F1369),8)</f>
        <v/>
      </c>
      <c r="H1369" s="49">
        <f>ROUND(((1+$H$4)^(30/360))^(C1369/(EDATE(D1369-B1369,1)-(D1369-B1369))),9)</f>
        <v/>
      </c>
      <c r="I1369" s="49">
        <f>TRUNC((G1369*H1369-G1369),8)</f>
        <v/>
      </c>
      <c r="J1369" s="49">
        <f>G1369+I1369</f>
        <v/>
      </c>
      <c r="K1369" s="256" t="n"/>
      <c r="L1369" s="256" t="n"/>
      <c r="M1369" s="256" t="n"/>
      <c r="N1369" s="256" t="n"/>
      <c r="O1369" s="256" t="n"/>
      <c r="P1369" s="256" t="n"/>
      <c r="Q1369" s="256" t="n"/>
    </row>
    <row r="1370">
      <c r="A1370">
        <f>IF(DAY(D1370)=DAY($L$1+1),A1369+1,A1369)</f>
        <v/>
      </c>
      <c r="B1370" s="46">
        <f>IF(DAY(D1370)=DAY($L$1+1),1,B1369+1)</f>
        <v/>
      </c>
      <c r="C1370" s="46">
        <f>IF(DAY(D1370)=DAY($L$1+1),1,C1369+1)</f>
        <v/>
      </c>
      <c r="D1370" s="2">
        <f>D1369+1</f>
        <v/>
      </c>
      <c r="E1370" s="8">
        <f>IF(DAY(D1370)=DAY($L$1+1),TRUNC((#REF!),8),E1369)</f>
        <v/>
      </c>
      <c r="F1370" s="49">
        <f>TRUNC(((1+VLOOKUP(A1370,IPCA!$A$2:$C$140,3,0)))^(C1370/(EDATE(D1370-C1370,1)-(D1370-C1370))),8)</f>
        <v/>
      </c>
      <c r="G1370" s="49">
        <f>TRUNC((E1370*F1370),8)</f>
        <v/>
      </c>
      <c r="H1370" s="49">
        <f>ROUND(((1+$H$4)^(30/360))^(C1370/(EDATE(D1370-B1370,1)-(D1370-B1370))),9)</f>
        <v/>
      </c>
      <c r="I1370" s="49">
        <f>TRUNC((G1370*H1370-G1370),8)</f>
        <v/>
      </c>
      <c r="J1370" s="49">
        <f>G1370+I1370</f>
        <v/>
      </c>
      <c r="K1370" s="256" t="n"/>
      <c r="L1370" s="256" t="n"/>
      <c r="M1370" s="256" t="n"/>
      <c r="N1370" s="256" t="n"/>
      <c r="O1370" s="256" t="n"/>
      <c r="P1370" s="256" t="n"/>
      <c r="Q1370" s="256" t="n"/>
    </row>
    <row r="1371">
      <c r="A1371">
        <f>IF(DAY(D1371)=DAY($L$1+1),A1370+1,A1370)</f>
        <v/>
      </c>
      <c r="B1371" s="46">
        <f>IF(DAY(D1371)=DAY($L$1+1),1,B1370+1)</f>
        <v/>
      </c>
      <c r="C1371" s="46">
        <f>IF(DAY(D1371)=DAY($L$1+1),1,C1370+1)</f>
        <v/>
      </c>
      <c r="D1371" s="2">
        <f>D1370+1</f>
        <v/>
      </c>
      <c r="E1371" s="8">
        <f>IF(DAY(D1371)=DAY($L$1+1),TRUNC((#REF!),8),E1370)</f>
        <v/>
      </c>
      <c r="F1371" s="49">
        <f>TRUNC(((1+VLOOKUP(A1371,IPCA!$A$2:$C$140,3,0)))^(C1371/(EDATE(D1371-C1371,1)-(D1371-C1371))),8)</f>
        <v/>
      </c>
      <c r="G1371" s="49">
        <f>TRUNC((E1371*F1371),8)</f>
        <v/>
      </c>
      <c r="H1371" s="49">
        <f>ROUND(((1+$H$4)^(30/360))^(C1371/(EDATE(D1371-B1371,1)-(D1371-B1371))),9)</f>
        <v/>
      </c>
      <c r="I1371" s="49">
        <f>TRUNC((G1371*H1371-G1371),8)</f>
        <v/>
      </c>
      <c r="J1371" s="49">
        <f>G1371+I1371</f>
        <v/>
      </c>
      <c r="K1371" s="256" t="n"/>
      <c r="L1371" s="256" t="n"/>
      <c r="M1371" s="256" t="n"/>
      <c r="N1371" s="256" t="n"/>
      <c r="O1371" s="256" t="n"/>
      <c r="P1371" s="256" t="n"/>
      <c r="Q1371" s="256" t="n"/>
    </row>
    <row r="1372">
      <c r="A1372">
        <f>IF(DAY(D1372)=DAY($L$1+1),A1371+1,A1371)</f>
        <v/>
      </c>
      <c r="B1372" s="46">
        <f>IF(DAY(D1372)=DAY($L$1+1),1,B1371+1)</f>
        <v/>
      </c>
      <c r="C1372" s="46">
        <f>IF(DAY(D1372)=DAY($L$1+1),1,C1371+1)</f>
        <v/>
      </c>
      <c r="D1372" s="2">
        <f>D1371+1</f>
        <v/>
      </c>
      <c r="E1372" s="8">
        <f>IF(DAY(D1372)=DAY($L$1+1),TRUNC((#REF!),8),E1371)</f>
        <v/>
      </c>
      <c r="F1372" s="49">
        <f>TRUNC(((1+VLOOKUP(A1372,IPCA!$A$2:$C$140,3,0)))^(C1372/(EDATE(D1372-C1372,1)-(D1372-C1372))),8)</f>
        <v/>
      </c>
      <c r="G1372" s="49">
        <f>TRUNC((E1372*F1372),8)</f>
        <v/>
      </c>
      <c r="H1372" s="49">
        <f>ROUND(((1+$H$4)^(30/360))^(C1372/(EDATE(D1372-B1372,1)-(D1372-B1372))),9)</f>
        <v/>
      </c>
      <c r="I1372" s="49">
        <f>TRUNC((G1372*H1372-G1372),8)</f>
        <v/>
      </c>
      <c r="J1372" s="49">
        <f>G1372+I1372</f>
        <v/>
      </c>
      <c r="K1372" s="256" t="n"/>
      <c r="L1372" s="256" t="n"/>
      <c r="M1372" s="256" t="n"/>
      <c r="N1372" s="256" t="n"/>
      <c r="O1372" s="256" t="n"/>
      <c r="P1372" s="256" t="n"/>
      <c r="Q1372" s="256" t="n"/>
    </row>
    <row r="1373">
      <c r="A1373">
        <f>IF(DAY(D1373)=DAY($L$1+1),A1372+1,A1372)</f>
        <v/>
      </c>
      <c r="B1373" s="46">
        <f>IF(DAY(D1373)=DAY($L$1+1),1,B1372+1)</f>
        <v/>
      </c>
      <c r="C1373" s="46">
        <f>IF(DAY(D1373)=DAY($L$1+1),1,C1372+1)</f>
        <v/>
      </c>
      <c r="D1373" s="2">
        <f>D1372+1</f>
        <v/>
      </c>
      <c r="E1373" s="8">
        <f>IF(DAY(D1373)=DAY($L$1+1),TRUNC((#REF!),8),E1372)</f>
        <v/>
      </c>
      <c r="F1373" s="49">
        <f>TRUNC(((1+VLOOKUP(A1373,IPCA!$A$2:$C$140,3,0)))^(C1373/(EDATE(D1373-C1373,1)-(D1373-C1373))),8)</f>
        <v/>
      </c>
      <c r="G1373" s="49">
        <f>TRUNC((E1373*F1373),8)</f>
        <v/>
      </c>
      <c r="H1373" s="49">
        <f>ROUND(((1+$H$4)^(30/360))^(C1373/(EDATE(D1373-B1373,1)-(D1373-B1373))),9)</f>
        <v/>
      </c>
      <c r="I1373" s="49">
        <f>TRUNC((G1373*H1373-G1373),8)</f>
        <v/>
      </c>
      <c r="J1373" s="49">
        <f>G1373+I1373</f>
        <v/>
      </c>
      <c r="K1373" s="256" t="n"/>
      <c r="L1373" s="256" t="n"/>
      <c r="M1373" s="256" t="n"/>
      <c r="N1373" s="256" t="n"/>
      <c r="O1373" s="256" t="n"/>
      <c r="P1373" s="256" t="n"/>
      <c r="Q1373" s="256" t="n"/>
    </row>
    <row r="1374">
      <c r="A1374">
        <f>IF(DAY(D1374)=DAY($L$1+1),A1373+1,A1373)</f>
        <v/>
      </c>
      <c r="B1374" s="46">
        <f>IF(DAY(D1374)=DAY($L$1+1),1,B1373+1)</f>
        <v/>
      </c>
      <c r="C1374" s="46">
        <f>IF(DAY(D1374)=DAY($L$1+1),1,C1373+1)</f>
        <v/>
      </c>
      <c r="D1374" s="2">
        <f>D1373+1</f>
        <v/>
      </c>
      <c r="E1374" s="8">
        <f>IF(DAY(D1374)=DAY($L$1+1),TRUNC((#REF!),8),E1373)</f>
        <v/>
      </c>
      <c r="F1374" s="49">
        <f>TRUNC(((1+VLOOKUP(A1374,IPCA!$A$2:$C$140,3,0)))^(C1374/(EDATE(D1374-C1374,1)-(D1374-C1374))),8)</f>
        <v/>
      </c>
      <c r="G1374" s="49">
        <f>TRUNC((E1374*F1374),8)</f>
        <v/>
      </c>
      <c r="H1374" s="49">
        <f>ROUND(((1+$H$4)^(30/360))^(C1374/(EDATE(D1374-B1374,1)-(D1374-B1374))),9)</f>
        <v/>
      </c>
      <c r="I1374" s="49">
        <f>TRUNC((G1374*H1374-G1374),8)</f>
        <v/>
      </c>
      <c r="J1374" s="49">
        <f>G1374+I1374</f>
        <v/>
      </c>
      <c r="K1374" s="256" t="n"/>
      <c r="L1374" s="256" t="n"/>
      <c r="M1374" s="256" t="n"/>
      <c r="N1374" s="256" t="n"/>
      <c r="O1374" s="256" t="n"/>
      <c r="P1374" s="256" t="n"/>
      <c r="Q1374" s="256" t="n"/>
    </row>
    <row r="1375">
      <c r="A1375">
        <f>IF(DAY(D1375)=DAY($L$1+1),A1374+1,A1374)</f>
        <v/>
      </c>
      <c r="B1375" s="46">
        <f>IF(DAY(D1375)=DAY($L$1+1),1,B1374+1)</f>
        <v/>
      </c>
      <c r="C1375" s="46">
        <f>IF(DAY(D1375)=DAY($L$1+1),1,C1374+1)</f>
        <v/>
      </c>
      <c r="D1375" s="2">
        <f>D1374+1</f>
        <v/>
      </c>
      <c r="E1375" s="8">
        <f>IF(DAY(D1375)=DAY($L$1+1),TRUNC((#REF!),8),E1374)</f>
        <v/>
      </c>
      <c r="F1375" s="49">
        <f>TRUNC(((1+VLOOKUP(A1375,IPCA!$A$2:$C$140,3,0)))^(C1375/(EDATE(D1375-C1375,1)-(D1375-C1375))),8)</f>
        <v/>
      </c>
      <c r="G1375" s="49">
        <f>TRUNC((E1375*F1375),8)</f>
        <v/>
      </c>
      <c r="H1375" s="49">
        <f>ROUND(((1+$H$4)^(30/360))^(C1375/(EDATE(D1375-B1375,1)-(D1375-B1375))),9)</f>
        <v/>
      </c>
      <c r="I1375" s="49">
        <f>TRUNC((G1375*H1375-G1375),8)</f>
        <v/>
      </c>
      <c r="J1375" s="49">
        <f>G1375+I1375</f>
        <v/>
      </c>
      <c r="K1375" s="256" t="n"/>
      <c r="L1375" s="256" t="n"/>
      <c r="M1375" s="256" t="n"/>
      <c r="N1375" s="256" t="n"/>
      <c r="O1375" s="256" t="n"/>
      <c r="P1375" s="256" t="n"/>
      <c r="Q1375" s="256" t="n"/>
    </row>
    <row r="1376">
      <c r="A1376">
        <f>IF(DAY(D1376)=DAY($L$1+1),A1375+1,A1375)</f>
        <v/>
      </c>
      <c r="B1376" s="46">
        <f>IF(DAY(D1376)=DAY($L$1+1),1,B1375+1)</f>
        <v/>
      </c>
      <c r="C1376" s="46">
        <f>IF(DAY(D1376)=DAY($L$1+1),1,C1375+1)</f>
        <v/>
      </c>
      <c r="D1376" s="2">
        <f>D1375+1</f>
        <v/>
      </c>
      <c r="E1376" s="8">
        <f>IF(DAY(D1376)=DAY($L$1+1),TRUNC((#REF!),8),E1375)</f>
        <v/>
      </c>
      <c r="F1376" s="49">
        <f>TRUNC(((1+VLOOKUP(A1376,IPCA!$A$2:$C$140,3,0)))^(C1376/(EDATE(D1376-C1376,1)-(D1376-C1376))),8)</f>
        <v/>
      </c>
      <c r="G1376" s="49">
        <f>TRUNC((E1376*F1376),8)</f>
        <v/>
      </c>
      <c r="H1376" s="49">
        <f>ROUND(((1+$H$4)^(30/360))^(C1376/(EDATE(D1376-B1376,1)-(D1376-B1376))),9)</f>
        <v/>
      </c>
      <c r="I1376" s="49">
        <f>TRUNC((G1376*H1376-G1376),8)</f>
        <v/>
      </c>
      <c r="J1376" s="49">
        <f>G1376+I1376</f>
        <v/>
      </c>
      <c r="K1376" s="256" t="n"/>
      <c r="L1376" s="256" t="n"/>
      <c r="M1376" s="256" t="n"/>
      <c r="N1376" s="256" t="n"/>
      <c r="O1376" s="256" t="n"/>
      <c r="P1376" s="256" t="n"/>
      <c r="Q1376" s="256" t="n"/>
    </row>
    <row r="1377">
      <c r="A1377">
        <f>IF(DAY(D1377)=DAY($L$1+1),A1376+1,A1376)</f>
        <v/>
      </c>
      <c r="B1377" s="46">
        <f>IF(DAY(D1377)=DAY($L$1+1),1,B1376+1)</f>
        <v/>
      </c>
      <c r="C1377" s="46">
        <f>IF(DAY(D1377)=DAY($L$1+1),1,C1376+1)</f>
        <v/>
      </c>
      <c r="D1377" s="2">
        <f>D1376+1</f>
        <v/>
      </c>
      <c r="E1377" s="8">
        <f>IF(DAY(D1377)=DAY($L$1+1),TRUNC((N1376),8),E1376)</f>
        <v/>
      </c>
      <c r="F1377" s="49">
        <f>TRUNC(((1+VLOOKUP(A1377,IPCA!$A$2:$C$140,3,0)))^(C1377/(EDATE(D1377-C1377,1)-(D1377-C1377))),8)</f>
        <v/>
      </c>
      <c r="G1377" s="49">
        <f>TRUNC((E1377*F1377),8)</f>
        <v/>
      </c>
      <c r="H1377" s="49">
        <f>ROUND(((1+$H$4)^(30/360))^(C1377/(EDATE(D1377-B1377,1)-(D1377-B1377))),9)</f>
        <v/>
      </c>
      <c r="I1377" s="49">
        <f>TRUNC((G1377*H1377-G1377),8)</f>
        <v/>
      </c>
      <c r="J1377" s="49">
        <f>G1377+I1377</f>
        <v/>
      </c>
      <c r="K1377" s="256" t="n"/>
      <c r="L1377" s="256" t="n"/>
      <c r="M1377" s="256" t="n"/>
      <c r="N1377" s="256" t="n"/>
      <c r="O1377" s="256" t="n"/>
      <c r="P1377" s="256" t="n"/>
      <c r="Q1377" s="256" t="n"/>
    </row>
    <row r="1378">
      <c r="A1378">
        <f>IF(DAY(D1378)=DAY($L$1+1),A1377+1,A1377)</f>
        <v/>
      </c>
      <c r="B1378" s="46">
        <f>IF(DAY(D1378)=DAY($L$1+1),1,B1377+1)</f>
        <v/>
      </c>
      <c r="C1378" s="46">
        <f>IF(DAY(D1378)=DAY($L$1+1),1,C1377+1)</f>
        <v/>
      </c>
      <c r="D1378" s="2">
        <f>D1377+1</f>
        <v/>
      </c>
      <c r="E1378" s="8">
        <f>IF(DAY(D1378)=DAY($L$1+1),TRUNC((N1377),8),E1377)</f>
        <v/>
      </c>
      <c r="F1378" s="49">
        <f>TRUNC(((1+VLOOKUP(A1378,IPCA!$A$2:$C$140,3,0)))^(C1378/(EDATE(D1378-C1378,1)-(D1378-C1378))),8)</f>
        <v/>
      </c>
      <c r="G1378" s="49">
        <f>TRUNC((E1378*F1378),8)</f>
        <v/>
      </c>
      <c r="H1378" s="49">
        <f>ROUND(((1+$H$4)^(30/360))^(C1378/(EDATE(D1378-B1378,1)-(D1378-B1378))),9)</f>
        <v/>
      </c>
      <c r="I1378" s="49">
        <f>TRUNC((G1378*H1378-G1378),8)</f>
        <v/>
      </c>
      <c r="J1378" s="49">
        <f>G1378+I1378</f>
        <v/>
      </c>
      <c r="K1378" s="256" t="n"/>
      <c r="L1378" s="256" t="n"/>
      <c r="M1378" s="256" t="n"/>
      <c r="N1378" s="256" t="n"/>
      <c r="O1378" s="256" t="n"/>
      <c r="P1378" s="256" t="n"/>
      <c r="Q1378" s="256" t="n"/>
    </row>
    <row r="1379">
      <c r="A1379">
        <f>IF(DAY(D1379)=DAY($L$1+1),A1378+1,A1378)</f>
        <v/>
      </c>
      <c r="B1379" s="46">
        <f>IF(DAY(D1379)=DAY($L$1+1),1,B1378+1)</f>
        <v/>
      </c>
      <c r="C1379" s="46">
        <f>IF(DAY(D1379)=DAY($L$1+1),1,C1378+1)</f>
        <v/>
      </c>
      <c r="D1379" s="2">
        <f>D1378+1</f>
        <v/>
      </c>
      <c r="E1379" s="8">
        <f>IF(DAY(D1379)=DAY($L$1+1),TRUNC((N1378),8),E1378)</f>
        <v/>
      </c>
      <c r="F1379" s="49">
        <f>TRUNC(((1+VLOOKUP(A1379,IPCA!$A$2:$C$140,3,0)))^(C1379/(EDATE(D1379-C1379,1)-(D1379-C1379))),8)</f>
        <v/>
      </c>
      <c r="G1379" s="49">
        <f>TRUNC((E1379*F1379),8)</f>
        <v/>
      </c>
      <c r="H1379" s="49">
        <f>ROUND(((1+$H$4)^(30/360))^(C1379/(EDATE(D1379-B1379,1)-(D1379-B1379))),9)</f>
        <v/>
      </c>
      <c r="I1379" s="49">
        <f>TRUNC((G1379*H1379-G1379),8)</f>
        <v/>
      </c>
      <c r="J1379" s="49">
        <f>G1379+I1379</f>
        <v/>
      </c>
      <c r="K1379" s="256" t="n"/>
      <c r="L1379" s="256" t="n"/>
      <c r="M1379" s="256" t="n"/>
      <c r="N1379" s="256" t="n"/>
      <c r="O1379" s="256" t="n"/>
      <c r="P1379" s="256" t="n"/>
      <c r="Q1379" s="256" t="n"/>
    </row>
    <row r="1380">
      <c r="A1380">
        <f>IF(DAY(D1380)=DAY($L$1+1),A1379+1,A1379)</f>
        <v/>
      </c>
      <c r="B1380" s="46">
        <f>IF(DAY(D1380)=DAY($L$1+1),1,B1379+1)</f>
        <v/>
      </c>
      <c r="C1380" s="46">
        <f>IF(DAY(D1380)=DAY($L$1+1),1,C1379+1)</f>
        <v/>
      </c>
      <c r="D1380" s="2">
        <f>D1379+1</f>
        <v/>
      </c>
      <c r="E1380" s="8">
        <f>IF(DAY(D1380)=DAY($L$1+1),TRUNC((N1379),8),E1379)</f>
        <v/>
      </c>
      <c r="F1380" s="49">
        <f>TRUNC(((1+VLOOKUP(A1380,IPCA!$A$2:$C$140,3,0)))^(C1380/(EDATE(D1380-C1380,1)-(D1380-C1380))),8)</f>
        <v/>
      </c>
      <c r="G1380" s="49">
        <f>TRUNC((E1380*F1380),8)</f>
        <v/>
      </c>
      <c r="H1380" s="49">
        <f>ROUND(((1+$H$4)^(30/360))^(C1380/(EDATE(D1380-B1380,1)-(D1380-B1380))),9)</f>
        <v/>
      </c>
      <c r="I1380" s="49">
        <f>TRUNC((G1380*H1380-G1380),8)</f>
        <v/>
      </c>
      <c r="J1380" s="49">
        <f>G1380+I1380</f>
        <v/>
      </c>
      <c r="K1380" s="256" t="n"/>
      <c r="L1380" s="256" t="n"/>
      <c r="M1380" s="256" t="n"/>
      <c r="N1380" s="256" t="n"/>
      <c r="O1380" s="256" t="n"/>
      <c r="P1380" s="256" t="n"/>
      <c r="Q1380" s="256" t="n"/>
    </row>
    <row r="1381">
      <c r="A1381">
        <f>IF(DAY(D1381)=DAY($L$1+1),A1380+1,A1380)</f>
        <v/>
      </c>
      <c r="B1381" s="46">
        <f>IF(DAY(D1381)=DAY($L$1+1),1,B1380+1)</f>
        <v/>
      </c>
      <c r="C1381" s="46">
        <f>IF(DAY(D1381)=DAY($L$1+1),1,C1380+1)</f>
        <v/>
      </c>
      <c r="D1381" s="2">
        <f>D1380+1</f>
        <v/>
      </c>
      <c r="E1381" s="8">
        <f>IF(DAY(D1381)=DAY($L$1+1),TRUNC((N1380),8),E1380)</f>
        <v/>
      </c>
      <c r="F1381" s="49">
        <f>TRUNC(((1+VLOOKUP(A1381,IPCA!$A$2:$C$140,3,0)))^(C1381/(EDATE(D1381-C1381,1)-(D1381-C1381))),8)</f>
        <v/>
      </c>
      <c r="G1381" s="49">
        <f>TRUNC((E1381*F1381),8)</f>
        <v/>
      </c>
      <c r="H1381" s="49">
        <f>ROUND(((1+$H$4)^(30/360))^(C1381/(EDATE(D1381-B1381,1)-(D1381-B1381))),9)</f>
        <v/>
      </c>
      <c r="I1381" s="49">
        <f>TRUNC((G1381*H1381-G1381),8)</f>
        <v/>
      </c>
      <c r="J1381" s="49">
        <f>G1381+I1381</f>
        <v/>
      </c>
      <c r="K1381" s="256" t="n"/>
      <c r="L1381" s="256" t="n"/>
      <c r="M1381" s="256" t="n"/>
      <c r="N1381" s="256" t="n"/>
      <c r="O1381" s="256" t="n"/>
      <c r="P1381" s="256" t="n"/>
      <c r="Q1381" s="256" t="n"/>
    </row>
    <row r="1382">
      <c r="A1382">
        <f>IF(DAY(D1382)=DAY($L$1+1),A1381+1,A1381)</f>
        <v/>
      </c>
      <c r="B1382" s="46">
        <f>IF(DAY(D1382)=DAY($L$1+1),1,B1381+1)</f>
        <v/>
      </c>
      <c r="C1382" s="46">
        <f>IF(DAY(D1382)=DAY($L$1+1),1,C1381+1)</f>
        <v/>
      </c>
      <c r="D1382" s="2">
        <f>D1381+1</f>
        <v/>
      </c>
      <c r="E1382" s="8">
        <f>IF(DAY(D1382)=DAY($L$1+1),TRUNC((N1381),8),E1381)</f>
        <v/>
      </c>
      <c r="F1382" s="49">
        <f>TRUNC(((1+VLOOKUP(A1382,IPCA!$A$2:$C$140,3,0)))^(C1382/(EDATE(D1382-C1382,1)-(D1382-C1382))),8)</f>
        <v/>
      </c>
      <c r="G1382" s="49">
        <f>TRUNC((E1382*F1382),8)</f>
        <v/>
      </c>
      <c r="H1382" s="49">
        <f>ROUND(((1+$H$4)^(30/360))^(C1382/(EDATE(D1382-B1382,1)-(D1382-B1382))),9)</f>
        <v/>
      </c>
      <c r="I1382" s="49">
        <f>TRUNC((G1382*H1382-G1382),8)</f>
        <v/>
      </c>
      <c r="J1382" s="49">
        <f>G1382+I1382</f>
        <v/>
      </c>
      <c r="K1382" s="256" t="n"/>
      <c r="L1382" s="256" t="n"/>
      <c r="M1382" s="256" t="n"/>
      <c r="N1382" s="256" t="n"/>
      <c r="O1382" s="256" t="n"/>
      <c r="P1382" s="256" t="n"/>
      <c r="Q1382" s="256" t="n"/>
    </row>
    <row r="1383">
      <c r="A1383">
        <f>IF(DAY(D1383)=DAY($L$1+1),A1382+1,A1382)</f>
        <v/>
      </c>
      <c r="B1383" s="46">
        <f>IF(DAY(D1383)=DAY($L$1+1),1,B1382+1)</f>
        <v/>
      </c>
      <c r="C1383" s="46">
        <f>IF(DAY(D1383)=DAY($L$1+1),1,C1382+1)</f>
        <v/>
      </c>
      <c r="D1383" s="2">
        <f>D1382+1</f>
        <v/>
      </c>
      <c r="E1383" s="8">
        <f>IF(DAY(D1383)=DAY($L$1+1),TRUNC((N1382),8),E1382)</f>
        <v/>
      </c>
      <c r="F1383" s="49">
        <f>TRUNC(((1+VLOOKUP(A1383,IPCA!$A$2:$C$140,3,0)))^(C1383/(EDATE(D1383-C1383,1)-(D1383-C1383))),8)</f>
        <v/>
      </c>
      <c r="G1383" s="49">
        <f>TRUNC((E1383*F1383),8)</f>
        <v/>
      </c>
      <c r="H1383" s="49">
        <f>ROUND(((1+$H$4)^(30/360))^(C1383/(EDATE(D1383-B1383,1)-(D1383-B1383))),9)</f>
        <v/>
      </c>
      <c r="I1383" s="49">
        <f>TRUNC((G1383*H1383-G1383),8)</f>
        <v/>
      </c>
      <c r="J1383" s="49">
        <f>G1383+I1383</f>
        <v/>
      </c>
      <c r="K1383" s="256" t="n"/>
      <c r="L1383" s="256" t="n"/>
      <c r="M1383" s="256" t="n"/>
      <c r="N1383" s="256" t="n"/>
      <c r="O1383" s="256" t="n"/>
      <c r="P1383" s="256" t="n"/>
      <c r="Q1383" s="256" t="n"/>
    </row>
    <row r="1384">
      <c r="A1384">
        <f>IF(DAY(D1384)=DAY($L$1+1),A1383+1,A1383)</f>
        <v/>
      </c>
      <c r="B1384" s="46">
        <f>IF(DAY(D1384)=DAY($L$1+1),1,B1383+1)</f>
        <v/>
      </c>
      <c r="C1384" s="46">
        <f>IF(DAY(D1384)=DAY($L$1+1),1,C1383+1)</f>
        <v/>
      </c>
      <c r="D1384" s="2">
        <f>D1383+1</f>
        <v/>
      </c>
      <c r="E1384" s="8">
        <f>IF(DAY(D1384)=DAY($L$1+1),TRUNC((N1383),8),E1383)</f>
        <v/>
      </c>
      <c r="F1384" s="49">
        <f>TRUNC(((1+VLOOKUP(A1384,IPCA!$A$2:$C$140,3,0)))^(C1384/(EDATE(D1384-C1384,1)-(D1384-C1384))),8)</f>
        <v/>
      </c>
      <c r="G1384" s="49">
        <f>TRUNC((E1384*F1384),8)</f>
        <v/>
      </c>
      <c r="H1384" s="49">
        <f>ROUND(((1+$H$4)^(30/360))^(C1384/(EDATE(D1384-B1384,1)-(D1384-B1384))),9)</f>
        <v/>
      </c>
      <c r="I1384" s="49">
        <f>TRUNC((G1384*H1384-G1384),8)</f>
        <v/>
      </c>
      <c r="J1384" s="49">
        <f>G1384+I1384</f>
        <v/>
      </c>
      <c r="K1384" s="256" t="n"/>
      <c r="L1384" s="256" t="n"/>
      <c r="M1384" s="256" t="n"/>
      <c r="N1384" s="256" t="n"/>
      <c r="O1384" s="256" t="n"/>
      <c r="P1384" s="256" t="n"/>
      <c r="Q1384" s="256" t="n"/>
    </row>
    <row r="1385">
      <c r="A1385">
        <f>IF(DAY(D1385)=DAY($L$1+1),A1384+1,A1384)</f>
        <v/>
      </c>
      <c r="B1385" s="46">
        <f>IF(DAY(D1385)=DAY($L$1+1),1,B1384+1)</f>
        <v/>
      </c>
      <c r="C1385" s="46">
        <f>IF(DAY(D1385)=DAY($L$1+1),1,C1384+1)</f>
        <v/>
      </c>
      <c r="D1385" s="2">
        <f>D1384+1</f>
        <v/>
      </c>
      <c r="E1385" s="8">
        <f>IF(DAY(D1385)=DAY($L$1+1),TRUNC((N1384),8),E1384)</f>
        <v/>
      </c>
      <c r="F1385" s="49">
        <f>TRUNC(((1+VLOOKUP(A1385,IPCA!$A$2:$C$140,3,0)))^(C1385/(EDATE(D1385-C1385,1)-(D1385-C1385))),8)</f>
        <v/>
      </c>
      <c r="G1385" s="49">
        <f>TRUNC((E1385*F1385),8)</f>
        <v/>
      </c>
      <c r="H1385" s="49">
        <f>ROUND(((1+$H$4)^(30/360))^(C1385/(EDATE(D1385-B1385,1)-(D1385-B1385))),9)</f>
        <v/>
      </c>
      <c r="I1385" s="49">
        <f>TRUNC((G1385*H1385-G1385),8)</f>
        <v/>
      </c>
      <c r="J1385" s="49">
        <f>G1385+I1385</f>
        <v/>
      </c>
      <c r="K1385" s="256" t="n"/>
      <c r="L1385" s="256" t="n"/>
      <c r="M1385" s="256" t="n"/>
      <c r="N1385" s="256" t="n"/>
      <c r="O1385" s="256" t="n"/>
      <c r="P1385" s="256" t="n"/>
      <c r="Q1385" s="256" t="n"/>
    </row>
    <row r="1386">
      <c r="A1386">
        <f>IF(DAY(D1386)=DAY($L$1+1),A1385+1,A1385)</f>
        <v/>
      </c>
      <c r="B1386" s="46">
        <f>IF(DAY(D1386)=DAY($L$1+1),1,B1385+1)</f>
        <v/>
      </c>
      <c r="C1386" s="46">
        <f>IF(DAY(D1386)=DAY($L$1+1),1,C1385+1)</f>
        <v/>
      </c>
      <c r="D1386" s="2">
        <f>D1385+1</f>
        <v/>
      </c>
      <c r="E1386" s="8">
        <f>IF(DAY(D1386)=DAY($L$1+1),TRUNC((N1385),8),E1385)</f>
        <v/>
      </c>
      <c r="F1386" s="49">
        <f>TRUNC(((1+VLOOKUP(A1386,IPCA!$A$2:$C$140,3,0)))^(C1386/(EDATE(D1386-C1386,1)-(D1386-C1386))),8)</f>
        <v/>
      </c>
      <c r="G1386" s="49">
        <f>TRUNC((E1386*F1386),8)</f>
        <v/>
      </c>
      <c r="H1386" s="49">
        <f>ROUND(((1+$H$4)^(30/360))^(C1386/(EDATE(D1386-B1386,1)-(D1386-B1386))),9)</f>
        <v/>
      </c>
      <c r="I1386" s="49">
        <f>TRUNC((G1386*H1386-G1386),8)</f>
        <v/>
      </c>
      <c r="J1386" s="49">
        <f>G1386+I1386</f>
        <v/>
      </c>
      <c r="K1386" s="256" t="n"/>
      <c r="L1386" s="256" t="n"/>
      <c r="M1386" s="256" t="n"/>
      <c r="N1386" s="256" t="n"/>
      <c r="O1386" s="256" t="n"/>
      <c r="P1386" s="256" t="n"/>
      <c r="Q1386" s="256" t="n"/>
    </row>
    <row r="1387">
      <c r="A1387">
        <f>IF(DAY(D1387)=DAY($L$1+1),A1386+1,A1386)</f>
        <v/>
      </c>
      <c r="B1387" s="46">
        <f>IF(DAY(D1387)=DAY($L$1+1),1,B1386+1)</f>
        <v/>
      </c>
      <c r="C1387" s="46">
        <f>IF(DAY(D1387)=DAY($L$1+1),1,C1386+1)</f>
        <v/>
      </c>
      <c r="D1387" s="2">
        <f>D1386+1</f>
        <v/>
      </c>
      <c r="E1387" s="8">
        <f>IF(DAY(D1387)=DAY($L$1+1),TRUNC((N1386),8),E1386)</f>
        <v/>
      </c>
      <c r="F1387" s="49">
        <f>TRUNC(((1+VLOOKUP(A1387,IPCA!$A$2:$C$140,3,0)))^(C1387/(EDATE(D1387-C1387,1)-(D1387-C1387))),8)</f>
        <v/>
      </c>
      <c r="G1387" s="49">
        <f>TRUNC((E1387*F1387),8)</f>
        <v/>
      </c>
      <c r="H1387" s="49">
        <f>ROUND(((1+$H$4)^(30/360))^(C1387/(EDATE(D1387-B1387,1)-(D1387-B1387))),9)</f>
        <v/>
      </c>
      <c r="I1387" s="49">
        <f>TRUNC((G1387*H1387-G1387),8)</f>
        <v/>
      </c>
      <c r="J1387" s="49">
        <f>G1387+I1387</f>
        <v/>
      </c>
      <c r="K1387" s="256" t="inlineStr">
        <is>
          <t>Cri Integralizado</t>
        </is>
      </c>
      <c r="L1387" s="270">
        <f>L1356</f>
        <v/>
      </c>
      <c r="M1387" s="256" t="n"/>
      <c r="N1387" s="256" t="n"/>
      <c r="O1387" s="256" t="n"/>
      <c r="P1387" s="256" t="n"/>
      <c r="Q1387" s="256" t="n"/>
    </row>
    <row r="1388">
      <c r="A1388">
        <f>IF(DAY(D1388)=DAY($L$1+1),A1387+1,A1387)</f>
        <v/>
      </c>
      <c r="B1388" s="46">
        <f>IF(DAY(D1388)=DAY($L$1+1),1,B1387+1)</f>
        <v/>
      </c>
      <c r="C1388" s="46">
        <f>IF(DAY(D1388)=DAY($L$1+1),1,C1387+1)</f>
        <v/>
      </c>
      <c r="D1388" s="47">
        <f>D1387+1</f>
        <v/>
      </c>
      <c r="E1388" s="8">
        <f>IF(DAY(D1388)=DAY($L$1+1),TRUNC((N1387),8),E1387)</f>
        <v/>
      </c>
      <c r="F1388" s="49">
        <f>TRUNC(((1+VLOOKUP(A1388,IPCA!$A$2:$C$140,3,0)))^(C1388/(EDATE(D1388-C1388,1)-(D1388-C1388))),8)</f>
        <v/>
      </c>
      <c r="G1388" s="49">
        <f>TRUNC((E1388*F1388),8)</f>
        <v/>
      </c>
      <c r="H1388" s="49">
        <f>ROUND(((1+$H$4)^(30/360))^(C1388/(EDATE(D1388-B1388,1)-(D1388-B1388))),9)</f>
        <v/>
      </c>
      <c r="I1388" s="49">
        <f>TRUNC((G1388*H1388-G1388),8)</f>
        <v/>
      </c>
      <c r="J1388" s="49">
        <f>G1388+I1388</f>
        <v/>
      </c>
      <c r="K1388" s="118" t="inlineStr">
        <is>
          <t>JUROS</t>
        </is>
      </c>
      <c r="L1388" s="118" t="inlineStr">
        <is>
          <t>AMORTIZAÇÃO</t>
        </is>
      </c>
      <c r="M1388" s="118" t="inlineStr">
        <is>
          <t>AMEX</t>
        </is>
      </c>
      <c r="N1388" s="118" t="inlineStr">
        <is>
          <t>RESIDUAL</t>
        </is>
      </c>
      <c r="O1388" s="256" t="n"/>
      <c r="P1388" s="256" t="n"/>
      <c r="Q1388" s="256" t="n"/>
    </row>
    <row r="1389">
      <c r="A1389">
        <f>IF(DAY(D1389)=DAY($L$1+1),A1388+1,A1388)</f>
        <v/>
      </c>
      <c r="B1389" s="111">
        <f>IF(DAY(D1389)=DAY($L$1+1),1,B1388+1)</f>
        <v/>
      </c>
      <c r="C1389" s="111">
        <f>IF(DAY(D1389)=DAY($L$1+1),1,C1388+1)</f>
        <v/>
      </c>
      <c r="D1389" s="112">
        <f>D1388+1</f>
        <v/>
      </c>
      <c r="E1389" s="113">
        <f>IF(DAY(D1389)=DAY($L$1+1),TRUNC((N1388),8),E1388)</f>
        <v/>
      </c>
      <c r="F1389" s="114">
        <f>TRUNC(((1+VLOOKUP(A1389,IPCA!$A$2:$C$140,3,0)))^(C1389/(EDATE(D1389-C1389,1)-(D1389-C1389))),8)</f>
        <v/>
      </c>
      <c r="G1389" s="114">
        <f>TRUNC((E1389*F1389),8)</f>
        <v/>
      </c>
      <c r="H1389" s="114">
        <f>ROUND(((1+$H$4)^(30/360))^(C1389/(EDATE(D1389-B1389,1)-(D1389-B1389))),9)</f>
        <v/>
      </c>
      <c r="I1389" s="114">
        <f>TRUNC((G1389*H1389-G1389),8)</f>
        <v/>
      </c>
      <c r="J1389" s="114">
        <f>G1389+I1389</f>
        <v/>
      </c>
      <c r="K1389" s="119">
        <f>I1389</f>
        <v/>
      </c>
      <c r="L1389" s="120">
        <f>TRUNC(G1389*VLOOKUP(D1389,'Amort TS'!$G$3:$H$140,2,0),8)</f>
        <v/>
      </c>
      <c r="M1389" s="120" t="n">
        <v>0</v>
      </c>
      <c r="N1389" s="120">
        <f>J1389-K1389-L1389-M1389</f>
        <v/>
      </c>
      <c r="O1389" s="256" t="n"/>
      <c r="P1389" s="256" t="n"/>
      <c r="Q1389" s="256" t="n"/>
    </row>
    <row r="1390">
      <c r="A1390">
        <f>IF(DAY(D1390)=DAY($L$1+1),A1389+1,A1389)</f>
        <v/>
      </c>
      <c r="B1390" s="46">
        <f>IF(DAY(D1390)=DAY($L$1+1),1,B1389+1)</f>
        <v/>
      </c>
      <c r="C1390" s="46">
        <f>IF(DAY(D1390)=DAY($L$1+1),1,C1389+1)</f>
        <v/>
      </c>
      <c r="D1390" s="2">
        <f>D1389+1</f>
        <v/>
      </c>
      <c r="E1390" s="8">
        <f>IF(DAY(D1390)=DAY($L$1+1),TRUNC((N1389),8),E1389)</f>
        <v/>
      </c>
      <c r="F1390" s="49">
        <f>TRUNC(((1+VLOOKUP(A1390,IPCA!$A$2:$C$140,3,0)))^(C1390/(EDATE(D1390-C1390,1)-(D1390-C1390))),8)</f>
        <v/>
      </c>
      <c r="G1390" s="49">
        <f>TRUNC((E1390*F1390),8)</f>
        <v/>
      </c>
      <c r="H1390" s="49">
        <f>ROUND(((1+$H$4)^(30/360))^(C1390/(EDATE(D1390-B1390,1)-(D1390-B1390))),9)</f>
        <v/>
      </c>
      <c r="I1390" s="49">
        <f>TRUNC((G1390*H1390-G1390),8)</f>
        <v/>
      </c>
      <c r="J1390" s="49">
        <f>G1390+I1390</f>
        <v/>
      </c>
      <c r="K1390" s="121">
        <f>K1389*L1387</f>
        <v/>
      </c>
      <c r="L1390" s="121">
        <f>L1389*L1387</f>
        <v/>
      </c>
      <c r="M1390" s="121">
        <f>M1389*L1387</f>
        <v/>
      </c>
      <c r="N1390" s="121">
        <f>N1389*L1387</f>
        <v/>
      </c>
      <c r="O1390" s="256" t="n"/>
      <c r="P1390" s="256" t="n"/>
      <c r="Q1390" s="256" t="n"/>
    </row>
    <row r="1391">
      <c r="A1391">
        <f>IF(DAY(D1391)=DAY($L$1+1),A1390+1,A1390)</f>
        <v/>
      </c>
      <c r="B1391" s="46">
        <f>IF(DAY(D1391)=DAY($L$1+1),1,B1390+1)</f>
        <v/>
      </c>
      <c r="C1391" s="46">
        <f>IF(DAY(D1391)=DAY($L$1+1),1,C1390+1)</f>
        <v/>
      </c>
      <c r="D1391" s="47">
        <f>D1390+1</f>
        <v/>
      </c>
      <c r="E1391" s="8">
        <f>IF(DAY(D1391)=DAY($L$1+1),TRUNC((N1390),8),E1390)</f>
        <v/>
      </c>
      <c r="F1391" s="49">
        <f>TRUNC(((1+VLOOKUP(A1391,IPCA!$A$2:$C$140,3,0)))^(C1391/(EDATE(D1391-C1391,1)-(D1391-C1391))),8)</f>
        <v/>
      </c>
      <c r="G1391" s="49">
        <f>TRUNC((E1391*F1391),8)</f>
        <v/>
      </c>
      <c r="H1391" s="49">
        <f>ROUND(((1+$H$4)^(30/360))^(C1391/(EDATE(D1391-B1391,1)-(D1391-B1391))),9)</f>
        <v/>
      </c>
      <c r="I1391" s="49">
        <f>TRUNC((G1391*H1391-G1391),8)</f>
        <v/>
      </c>
      <c r="J1391" s="49">
        <f>G1391+I1391</f>
        <v/>
      </c>
      <c r="K1391" s="256" t="n"/>
      <c r="L1391" s="256" t="n"/>
      <c r="M1391" s="256" t="n"/>
      <c r="N1391" s="256" t="n"/>
      <c r="O1391" s="256" t="n"/>
      <c r="P1391" s="256" t="n"/>
      <c r="Q1391" s="256" t="n"/>
    </row>
    <row r="1392">
      <c r="A1392">
        <f>IF(DAY(D1392)=DAY($L$1+1),A1391+1,A1391)</f>
        <v/>
      </c>
      <c r="B1392" s="46">
        <f>IF(DAY(D1392)=DAY($L$1+1),1,B1391+1)</f>
        <v/>
      </c>
      <c r="C1392" s="46">
        <f>IF(DAY(D1392)=DAY($L$1+1),1,C1391+1)</f>
        <v/>
      </c>
      <c r="D1392" s="2">
        <f>D1391+1</f>
        <v/>
      </c>
      <c r="E1392" s="8">
        <f>IF(DAY(D1392)=DAY($L$1+1),TRUNC((#REF!),8),E1391)</f>
        <v/>
      </c>
      <c r="F1392" s="49">
        <f>TRUNC(((1+VLOOKUP(A1392,IPCA!$A$2:$C$140,3,0)))^(C1392/(EDATE(D1392-C1392,1)-(D1392-C1392))),8)</f>
        <v/>
      </c>
      <c r="G1392" s="49">
        <f>TRUNC((E1392*F1392),8)</f>
        <v/>
      </c>
      <c r="H1392" s="49">
        <f>ROUND(((1+$H$4)^(30/360))^(C1392/(EDATE(D1392-B1392,1)-(D1392-B1392))),9)</f>
        <v/>
      </c>
      <c r="I1392" s="49">
        <f>TRUNC((G1392*H1392-G1392),8)</f>
        <v/>
      </c>
      <c r="J1392" s="49">
        <f>G1392+I1392</f>
        <v/>
      </c>
      <c r="K1392" s="256" t="n"/>
      <c r="L1392" s="256" t="n"/>
      <c r="M1392" s="256" t="n"/>
      <c r="N1392" s="256" t="n"/>
      <c r="O1392" s="256" t="n"/>
      <c r="P1392" s="256" t="n"/>
      <c r="Q1392" s="256" t="n"/>
    </row>
    <row r="1393">
      <c r="A1393">
        <f>IF(DAY(D1393)=DAY($L$1+1),A1392+1,A1392)</f>
        <v/>
      </c>
      <c r="B1393" s="46">
        <f>IF(DAY(D1393)=DAY($L$1+1),1,B1392+1)</f>
        <v/>
      </c>
      <c r="C1393" s="46">
        <f>IF(DAY(D1393)=DAY($L$1+1),1,C1392+1)</f>
        <v/>
      </c>
      <c r="D1393" s="2">
        <f>D1392+1</f>
        <v/>
      </c>
      <c r="E1393" s="8">
        <f>IF(DAY(D1393)=DAY($L$1+1),TRUNC((#REF!),8),E1392)</f>
        <v/>
      </c>
      <c r="F1393" s="49">
        <f>TRUNC(((1+VLOOKUP(A1393,IPCA!$A$2:$C$140,3,0)))^(C1393/(EDATE(D1393-C1393,1)-(D1393-C1393))),8)</f>
        <v/>
      </c>
      <c r="G1393" s="49">
        <f>TRUNC((E1393*F1393),8)</f>
        <v/>
      </c>
      <c r="H1393" s="49">
        <f>ROUND(((1+$H$4)^(30/360))^(C1393/(EDATE(D1393-B1393,1)-(D1393-B1393))),9)</f>
        <v/>
      </c>
      <c r="I1393" s="49">
        <f>TRUNC((G1393*H1393-G1393),8)</f>
        <v/>
      </c>
      <c r="J1393" s="49">
        <f>G1393+I1393</f>
        <v/>
      </c>
      <c r="K1393" s="256" t="n"/>
      <c r="L1393" s="256" t="n"/>
      <c r="M1393" s="256" t="n"/>
      <c r="N1393" s="256" t="n"/>
      <c r="O1393" s="256" t="n"/>
      <c r="P1393" s="256" t="n"/>
      <c r="Q1393" s="256" t="n"/>
    </row>
    <row r="1394">
      <c r="A1394">
        <f>IF(DAY(D1394)=DAY($L$1+1),A1393+1,A1393)</f>
        <v/>
      </c>
      <c r="B1394" s="46">
        <f>IF(DAY(D1394)=DAY($L$1+1),1,B1393+1)</f>
        <v/>
      </c>
      <c r="C1394" s="46">
        <f>IF(DAY(D1394)=DAY($L$1+1),1,C1393+1)</f>
        <v/>
      </c>
      <c r="D1394" s="2">
        <f>D1393+1</f>
        <v/>
      </c>
      <c r="E1394" s="8">
        <f>IF(DAY(D1394)=DAY($L$1+1),TRUNC((#REF!),8),E1393)</f>
        <v/>
      </c>
      <c r="F1394" s="49">
        <f>TRUNC(((1+VLOOKUP(A1394,IPCA!$A$2:$C$140,3,0)))^(C1394/(EDATE(D1394-C1394,1)-(D1394-C1394))),8)</f>
        <v/>
      </c>
      <c r="G1394" s="49">
        <f>TRUNC((E1394*F1394),8)</f>
        <v/>
      </c>
      <c r="H1394" s="49">
        <f>ROUND(((1+$H$4)^(30/360))^(C1394/(EDATE(D1394-B1394,1)-(D1394-B1394))),9)</f>
        <v/>
      </c>
      <c r="I1394" s="49">
        <f>TRUNC((G1394*H1394-G1394),8)</f>
        <v/>
      </c>
      <c r="J1394" s="49">
        <f>G1394+I1394</f>
        <v/>
      </c>
      <c r="K1394" s="256" t="n"/>
      <c r="L1394" s="256" t="n"/>
      <c r="M1394" s="256" t="n"/>
      <c r="N1394" s="256" t="n"/>
      <c r="O1394" s="256" t="n"/>
      <c r="P1394" s="256" t="n"/>
      <c r="Q1394" s="256" t="n"/>
    </row>
    <row r="1395">
      <c r="A1395">
        <f>IF(DAY(D1395)=DAY($L$1+1),A1394+1,A1394)</f>
        <v/>
      </c>
      <c r="B1395" s="46">
        <f>IF(DAY(D1395)=DAY($L$1+1),1,B1394+1)</f>
        <v/>
      </c>
      <c r="C1395" s="46">
        <f>IF(DAY(D1395)=DAY($L$1+1),1,C1394+1)</f>
        <v/>
      </c>
      <c r="D1395" s="2">
        <f>D1394+1</f>
        <v/>
      </c>
      <c r="E1395" s="8">
        <f>IF(DAY(D1395)=DAY($L$1+1),TRUNC((#REF!),8),E1394)</f>
        <v/>
      </c>
      <c r="F1395" s="49">
        <f>TRUNC(((1+VLOOKUP(A1395,IPCA!$A$2:$C$140,3,0)))^(C1395/(EDATE(D1395-C1395,1)-(D1395-C1395))),8)</f>
        <v/>
      </c>
      <c r="G1395" s="49">
        <f>TRUNC((E1395*F1395),8)</f>
        <v/>
      </c>
      <c r="H1395" s="49">
        <f>ROUND(((1+$H$4)^(30/360))^(C1395/(EDATE(D1395-B1395,1)-(D1395-B1395))),9)</f>
        <v/>
      </c>
      <c r="I1395" s="49">
        <f>TRUNC((G1395*H1395-G1395),8)</f>
        <v/>
      </c>
      <c r="J1395" s="49">
        <f>G1395+I1395</f>
        <v/>
      </c>
      <c r="K1395" s="256" t="n"/>
      <c r="L1395" s="256" t="n"/>
      <c r="M1395" s="256" t="n"/>
      <c r="N1395" s="256" t="n"/>
      <c r="O1395" s="256" t="n"/>
      <c r="P1395" s="256" t="n"/>
      <c r="Q1395" s="256" t="n"/>
    </row>
    <row r="1396">
      <c r="A1396">
        <f>IF(DAY(D1396)=DAY($L$1+1),A1395+1,A1395)</f>
        <v/>
      </c>
      <c r="B1396" s="46">
        <f>IF(DAY(D1396)=DAY($L$1+1),1,B1395+1)</f>
        <v/>
      </c>
      <c r="C1396" s="46">
        <f>IF(DAY(D1396)=DAY($L$1+1),1,C1395+1)</f>
        <v/>
      </c>
      <c r="D1396" s="2">
        <f>D1395+1</f>
        <v/>
      </c>
      <c r="E1396" s="8">
        <f>IF(DAY(D1396)=DAY($L$1+1),TRUNC((#REF!),8),E1395)</f>
        <v/>
      </c>
      <c r="F1396" s="49">
        <f>TRUNC(((1+VLOOKUP(A1396,IPCA!$A$2:$C$140,3,0)))^(C1396/(EDATE(D1396-C1396,1)-(D1396-C1396))),8)</f>
        <v/>
      </c>
      <c r="G1396" s="49">
        <f>TRUNC((E1396*F1396),8)</f>
        <v/>
      </c>
      <c r="H1396" s="49">
        <f>ROUND(((1+$H$4)^(30/360))^(C1396/(EDATE(D1396-B1396,1)-(D1396-B1396))),9)</f>
        <v/>
      </c>
      <c r="I1396" s="49">
        <f>TRUNC((G1396*H1396-G1396),8)</f>
        <v/>
      </c>
      <c r="J1396" s="49">
        <f>G1396+I1396</f>
        <v/>
      </c>
      <c r="K1396" s="256" t="n"/>
      <c r="L1396" s="256" t="n"/>
      <c r="M1396" s="256" t="n"/>
      <c r="N1396" s="256" t="n"/>
      <c r="O1396" s="256" t="n"/>
      <c r="P1396" s="256" t="n"/>
      <c r="Q1396" s="256" t="n"/>
    </row>
    <row r="1397">
      <c r="A1397">
        <f>IF(DAY(D1397)=DAY($L$1+1),A1396+1,A1396)</f>
        <v/>
      </c>
      <c r="B1397" s="46">
        <f>IF(DAY(D1397)=DAY($L$1+1),1,B1396+1)</f>
        <v/>
      </c>
      <c r="C1397" s="46">
        <f>IF(DAY(D1397)=DAY($L$1+1),1,C1396+1)</f>
        <v/>
      </c>
      <c r="D1397" s="2">
        <f>D1396+1</f>
        <v/>
      </c>
      <c r="E1397" s="8">
        <f>IF(DAY(D1397)=DAY($L$1+1),TRUNC((#REF!),8),E1396)</f>
        <v/>
      </c>
      <c r="F1397" s="49">
        <f>TRUNC(((1+VLOOKUP(A1397,IPCA!$A$2:$C$140,3,0)))^(C1397/(EDATE(D1397-C1397,1)-(D1397-C1397))),8)</f>
        <v/>
      </c>
      <c r="G1397" s="49">
        <f>TRUNC((E1397*F1397),8)</f>
        <v/>
      </c>
      <c r="H1397" s="49">
        <f>ROUND(((1+$H$4)^(30/360))^(C1397/(EDATE(D1397-B1397,1)-(D1397-B1397))),9)</f>
        <v/>
      </c>
      <c r="I1397" s="49">
        <f>TRUNC((G1397*H1397-G1397),8)</f>
        <v/>
      </c>
      <c r="J1397" s="49">
        <f>G1397+I1397</f>
        <v/>
      </c>
      <c r="K1397" s="256" t="n"/>
      <c r="L1397" s="256" t="n"/>
      <c r="M1397" s="256" t="n"/>
      <c r="N1397" s="256" t="n"/>
      <c r="O1397" s="256" t="n"/>
      <c r="P1397" s="256" t="n"/>
      <c r="Q1397" s="256" t="n"/>
    </row>
    <row r="1398">
      <c r="A1398">
        <f>IF(DAY(D1398)=DAY($L$1+1),A1397+1,A1397)</f>
        <v/>
      </c>
      <c r="B1398" s="46">
        <f>IF(DAY(D1398)=DAY($L$1+1),1,B1397+1)</f>
        <v/>
      </c>
      <c r="C1398" s="46">
        <f>IF(DAY(D1398)=DAY($L$1+1),1,C1397+1)</f>
        <v/>
      </c>
      <c r="D1398" s="2">
        <f>D1397+1</f>
        <v/>
      </c>
      <c r="E1398" s="8">
        <f>IF(DAY(D1398)=DAY($L$1+1),TRUNC((#REF!),8),E1397)</f>
        <v/>
      </c>
      <c r="F1398" s="49">
        <f>TRUNC(((1+VLOOKUP(A1398,IPCA!$A$2:$C$140,3,0)))^(C1398/(EDATE(D1398-C1398,1)-(D1398-C1398))),8)</f>
        <v/>
      </c>
      <c r="G1398" s="49">
        <f>TRUNC((E1398*F1398),8)</f>
        <v/>
      </c>
      <c r="H1398" s="49">
        <f>ROUND(((1+$H$4)^(30/360))^(C1398/(EDATE(D1398-B1398,1)-(D1398-B1398))),9)</f>
        <v/>
      </c>
      <c r="I1398" s="49">
        <f>TRUNC((G1398*H1398-G1398),8)</f>
        <v/>
      </c>
      <c r="J1398" s="49">
        <f>G1398+I1398</f>
        <v/>
      </c>
      <c r="K1398" s="256" t="n"/>
      <c r="L1398" s="256" t="n"/>
      <c r="M1398" s="256" t="n"/>
      <c r="N1398" s="256" t="n"/>
      <c r="O1398" s="256" t="n"/>
      <c r="P1398" s="256" t="n"/>
      <c r="Q1398" s="256" t="n"/>
    </row>
    <row r="1399">
      <c r="A1399">
        <f>IF(DAY(D1399)=DAY($L$1+1),A1398+1,A1398)</f>
        <v/>
      </c>
      <c r="B1399" s="46">
        <f>IF(DAY(D1399)=DAY($L$1+1),1,B1398+1)</f>
        <v/>
      </c>
      <c r="C1399" s="46">
        <f>IF(DAY(D1399)=DAY($L$1+1),1,C1398+1)</f>
        <v/>
      </c>
      <c r="D1399" s="2">
        <f>D1398+1</f>
        <v/>
      </c>
      <c r="E1399" s="8">
        <f>IF(DAY(D1399)=DAY($L$1+1),TRUNC((#REF!),8),E1398)</f>
        <v/>
      </c>
      <c r="F1399" s="49">
        <f>TRUNC(((1+VLOOKUP(A1399,IPCA!$A$2:$C$140,3,0)))^(C1399/(EDATE(D1399-C1399,1)-(D1399-C1399))),8)</f>
        <v/>
      </c>
      <c r="G1399" s="49">
        <f>TRUNC((E1399*F1399),8)</f>
        <v/>
      </c>
      <c r="H1399" s="49">
        <f>ROUND(((1+$H$4)^(30/360))^(C1399/(EDATE(D1399-B1399,1)-(D1399-B1399))),9)</f>
        <v/>
      </c>
      <c r="I1399" s="49">
        <f>TRUNC((G1399*H1399-G1399),8)</f>
        <v/>
      </c>
      <c r="J1399" s="49">
        <f>G1399+I1399</f>
        <v/>
      </c>
      <c r="K1399" s="256" t="n"/>
      <c r="L1399" s="256" t="n"/>
      <c r="M1399" s="256" t="n"/>
      <c r="N1399" s="256" t="n"/>
      <c r="O1399" s="256" t="n"/>
      <c r="P1399" s="256" t="n"/>
      <c r="Q1399" s="256" t="n"/>
    </row>
    <row r="1400">
      <c r="A1400">
        <f>IF(DAY(D1400)=DAY($L$1+1),A1399+1,A1399)</f>
        <v/>
      </c>
      <c r="B1400" s="46">
        <f>IF(DAY(D1400)=DAY($L$1+1),1,B1399+1)</f>
        <v/>
      </c>
      <c r="C1400" s="46">
        <f>IF(DAY(D1400)=DAY($L$1+1),1,C1399+1)</f>
        <v/>
      </c>
      <c r="D1400" s="2">
        <f>D1399+1</f>
        <v/>
      </c>
      <c r="E1400" s="8">
        <f>IF(DAY(D1400)=DAY($L$1+1),TRUNC((#REF!),8),E1399)</f>
        <v/>
      </c>
      <c r="F1400" s="49">
        <f>TRUNC(((1+VLOOKUP(A1400,IPCA!$A$2:$C$140,3,0)))^(C1400/(EDATE(D1400-C1400,1)-(D1400-C1400))),8)</f>
        <v/>
      </c>
      <c r="G1400" s="49">
        <f>TRUNC((E1400*F1400),8)</f>
        <v/>
      </c>
      <c r="H1400" s="49">
        <f>ROUND(((1+$H$4)^(30/360))^(C1400/(EDATE(D1400-B1400,1)-(D1400-B1400))),9)</f>
        <v/>
      </c>
      <c r="I1400" s="49">
        <f>TRUNC((G1400*H1400-G1400),8)</f>
        <v/>
      </c>
      <c r="J1400" s="49">
        <f>G1400+I1400</f>
        <v/>
      </c>
      <c r="K1400" s="256" t="n"/>
      <c r="L1400" s="256" t="n"/>
      <c r="M1400" s="256" t="n"/>
      <c r="N1400" s="256" t="n"/>
      <c r="O1400" s="256" t="n"/>
      <c r="P1400" s="256" t="n"/>
      <c r="Q1400" s="256" t="n"/>
    </row>
    <row r="1401">
      <c r="A1401">
        <f>IF(DAY(D1401)=DAY($L$1+1),A1400+1,A1400)</f>
        <v/>
      </c>
      <c r="B1401" s="46">
        <f>IF(DAY(D1401)=DAY($L$1+1),1,B1400+1)</f>
        <v/>
      </c>
      <c r="C1401" s="46">
        <f>IF(DAY(D1401)=DAY($L$1+1),1,C1400+1)</f>
        <v/>
      </c>
      <c r="D1401" s="2">
        <f>D1400+1</f>
        <v/>
      </c>
      <c r="E1401" s="8">
        <f>IF(DAY(D1401)=DAY($L$1+1),TRUNC((#REF!),8),E1400)</f>
        <v/>
      </c>
      <c r="F1401" s="49">
        <f>TRUNC(((1+VLOOKUP(A1401,IPCA!$A$2:$C$140,3,0)))^(C1401/(EDATE(D1401-C1401,1)-(D1401-C1401))),8)</f>
        <v/>
      </c>
      <c r="G1401" s="49">
        <f>TRUNC((E1401*F1401),8)</f>
        <v/>
      </c>
      <c r="H1401" s="49">
        <f>ROUND(((1+$H$4)^(30/360))^(C1401/(EDATE(D1401-B1401,1)-(D1401-B1401))),9)</f>
        <v/>
      </c>
      <c r="I1401" s="49">
        <f>TRUNC((G1401*H1401-G1401),8)</f>
        <v/>
      </c>
      <c r="J1401" s="49">
        <f>G1401+I1401</f>
        <v/>
      </c>
      <c r="K1401" s="256" t="n"/>
      <c r="L1401" s="256" t="n"/>
      <c r="M1401" s="256" t="n"/>
      <c r="N1401" s="256" t="n"/>
      <c r="O1401" s="256" t="n"/>
      <c r="P1401" s="256" t="n"/>
      <c r="Q1401" s="256" t="n"/>
    </row>
    <row r="1402">
      <c r="A1402">
        <f>IF(DAY(D1402)=DAY($L$1+1),A1401+1,A1401)</f>
        <v/>
      </c>
      <c r="B1402" s="46">
        <f>IF(DAY(D1402)=DAY($L$1+1),1,B1401+1)</f>
        <v/>
      </c>
      <c r="C1402" s="46">
        <f>IF(DAY(D1402)=DAY($L$1+1),1,C1401+1)</f>
        <v/>
      </c>
      <c r="D1402" s="2">
        <f>D1401+1</f>
        <v/>
      </c>
      <c r="E1402" s="8">
        <f>IF(DAY(D1402)=DAY($L$1+1),TRUNC((#REF!),8),E1401)</f>
        <v/>
      </c>
      <c r="F1402" s="49">
        <f>TRUNC(((1+VLOOKUP(A1402,IPCA!$A$2:$C$140,3,0)))^(C1402/(EDATE(D1402-C1402,1)-(D1402-C1402))),8)</f>
        <v/>
      </c>
      <c r="G1402" s="49">
        <f>TRUNC((E1402*F1402),8)</f>
        <v/>
      </c>
      <c r="H1402" s="49">
        <f>ROUND(((1+$H$4)^(30/360))^(C1402/(EDATE(D1402-B1402,1)-(D1402-B1402))),9)</f>
        <v/>
      </c>
      <c r="I1402" s="49">
        <f>TRUNC((G1402*H1402-G1402),8)</f>
        <v/>
      </c>
      <c r="J1402" s="49">
        <f>G1402+I1402</f>
        <v/>
      </c>
      <c r="K1402" s="256" t="n"/>
      <c r="L1402" s="256" t="n"/>
      <c r="M1402" s="256" t="n"/>
      <c r="N1402" s="256" t="n"/>
      <c r="O1402" s="256" t="n"/>
      <c r="P1402" s="256" t="n"/>
      <c r="Q1402" s="256" t="n"/>
    </row>
    <row r="1403">
      <c r="A1403">
        <f>IF(DAY(D1403)=DAY($L$1+1),A1402+1,A1402)</f>
        <v/>
      </c>
      <c r="B1403" s="46">
        <f>IF(DAY(D1403)=DAY($L$1+1),1,B1402+1)</f>
        <v/>
      </c>
      <c r="C1403" s="46">
        <f>IF(DAY(D1403)=DAY($L$1+1),1,C1402+1)</f>
        <v/>
      </c>
      <c r="D1403" s="2">
        <f>D1402+1</f>
        <v/>
      </c>
      <c r="E1403" s="8">
        <f>IF(DAY(D1403)=DAY($L$1+1),TRUNC((#REF!),8),E1402)</f>
        <v/>
      </c>
      <c r="F1403" s="49">
        <f>TRUNC(((1+VLOOKUP(A1403,IPCA!$A$2:$C$140,3,0)))^(C1403/(EDATE(D1403-C1403,1)-(D1403-C1403))),8)</f>
        <v/>
      </c>
      <c r="G1403" s="49">
        <f>TRUNC((E1403*F1403),8)</f>
        <v/>
      </c>
      <c r="H1403" s="49">
        <f>ROUND(((1+$H$4)^(30/360))^(C1403/(EDATE(D1403-B1403,1)-(D1403-B1403))),9)</f>
        <v/>
      </c>
      <c r="I1403" s="49">
        <f>TRUNC((G1403*H1403-G1403),8)</f>
        <v/>
      </c>
      <c r="J1403" s="49">
        <f>G1403+I1403</f>
        <v/>
      </c>
      <c r="K1403" s="256" t="n"/>
      <c r="L1403" s="256" t="n"/>
      <c r="M1403" s="256" t="n"/>
      <c r="N1403" s="256" t="n"/>
      <c r="O1403" s="256" t="n"/>
      <c r="P1403" s="256" t="n"/>
      <c r="Q1403" s="256" t="n"/>
    </row>
    <row r="1404">
      <c r="A1404">
        <f>IF(DAY(D1404)=DAY($L$1+1),A1403+1,A1403)</f>
        <v/>
      </c>
      <c r="B1404" s="46">
        <f>IF(DAY(D1404)=DAY($L$1+1),1,B1403+1)</f>
        <v/>
      </c>
      <c r="C1404" s="46">
        <f>IF(DAY(D1404)=DAY($L$1+1),1,C1403+1)</f>
        <v/>
      </c>
      <c r="D1404" s="2">
        <f>D1403+1</f>
        <v/>
      </c>
      <c r="E1404" s="8">
        <f>IF(DAY(D1404)=DAY($L$1+1),TRUNC((#REF!),8),E1403)</f>
        <v/>
      </c>
      <c r="F1404" s="49">
        <f>TRUNC(((1+VLOOKUP(A1404,IPCA!$A$2:$C$140,3,0)))^(C1404/(EDATE(D1404-C1404,1)-(D1404-C1404))),8)</f>
        <v/>
      </c>
      <c r="G1404" s="49">
        <f>TRUNC((E1404*F1404),8)</f>
        <v/>
      </c>
      <c r="H1404" s="49">
        <f>ROUND(((1+$H$4)^(30/360))^(C1404/(EDATE(D1404-B1404,1)-(D1404-B1404))),9)</f>
        <v/>
      </c>
      <c r="I1404" s="49">
        <f>TRUNC((G1404*H1404-G1404),8)</f>
        <v/>
      </c>
      <c r="J1404" s="49">
        <f>G1404+I1404</f>
        <v/>
      </c>
      <c r="K1404" s="256" t="n"/>
      <c r="L1404" s="256" t="n"/>
      <c r="M1404" s="256" t="n"/>
      <c r="N1404" s="256" t="n"/>
      <c r="O1404" s="256" t="n"/>
      <c r="P1404" s="256" t="n"/>
      <c r="Q1404" s="256" t="n"/>
    </row>
    <row r="1405">
      <c r="A1405">
        <f>IF(DAY(D1405)=DAY($L$1+1),A1404+1,A1404)</f>
        <v/>
      </c>
      <c r="B1405" s="46">
        <f>IF(DAY(D1405)=DAY($L$1+1),1,B1404+1)</f>
        <v/>
      </c>
      <c r="C1405" s="46">
        <f>IF(DAY(D1405)=DAY($L$1+1),1,C1404+1)</f>
        <v/>
      </c>
      <c r="D1405" s="2">
        <f>D1404+1</f>
        <v/>
      </c>
      <c r="E1405" s="8">
        <f>IF(DAY(D1405)=DAY($L$1+1),TRUNC((#REF!),8),E1404)</f>
        <v/>
      </c>
      <c r="F1405" s="49">
        <f>TRUNC(((1+VLOOKUP(A1405,IPCA!$A$2:$C$140,3,0)))^(C1405/(EDATE(D1405-C1405,1)-(D1405-C1405))),8)</f>
        <v/>
      </c>
      <c r="G1405" s="49">
        <f>TRUNC((E1405*F1405),8)</f>
        <v/>
      </c>
      <c r="H1405" s="49">
        <f>ROUND(((1+$H$4)^(30/360))^(C1405/(EDATE(D1405-B1405,1)-(D1405-B1405))),9)</f>
        <v/>
      </c>
      <c r="I1405" s="49">
        <f>TRUNC((G1405*H1405-G1405),8)</f>
        <v/>
      </c>
      <c r="J1405" s="49">
        <f>G1405+I1405</f>
        <v/>
      </c>
      <c r="K1405" s="256" t="n"/>
      <c r="L1405" s="256" t="n"/>
      <c r="M1405" s="256" t="n"/>
      <c r="N1405" s="256" t="n"/>
      <c r="O1405" s="256" t="n"/>
      <c r="P1405" s="256" t="n"/>
      <c r="Q1405" s="256" t="n"/>
    </row>
    <row r="1406">
      <c r="A1406">
        <f>IF(DAY(D1406)=DAY($L$1+1),A1405+1,A1405)</f>
        <v/>
      </c>
      <c r="B1406" s="46">
        <f>IF(DAY(D1406)=DAY($L$1+1),1,B1405+1)</f>
        <v/>
      </c>
      <c r="C1406" s="46">
        <f>IF(DAY(D1406)=DAY($L$1+1),1,C1405+1)</f>
        <v/>
      </c>
      <c r="D1406" s="2">
        <f>D1405+1</f>
        <v/>
      </c>
      <c r="E1406" s="8">
        <f>IF(DAY(D1406)=DAY($L$1+1),TRUNC((N1405),8),E1405)</f>
        <v/>
      </c>
      <c r="F1406" s="49">
        <f>TRUNC(((1+VLOOKUP(A1406,IPCA!$A$2:$C$140,3,0)))^(C1406/(EDATE(D1406-C1406,1)-(D1406-C1406))),8)</f>
        <v/>
      </c>
      <c r="G1406" s="49">
        <f>TRUNC((E1406*F1406),8)</f>
        <v/>
      </c>
      <c r="H1406" s="49">
        <f>ROUND(((1+$H$4)^(30/360))^(C1406/(EDATE(D1406-B1406,1)-(D1406-B1406))),9)</f>
        <v/>
      </c>
      <c r="I1406" s="49">
        <f>TRUNC((G1406*H1406-G1406),8)</f>
        <v/>
      </c>
      <c r="J1406" s="49">
        <f>G1406+I1406</f>
        <v/>
      </c>
      <c r="K1406" s="256" t="n"/>
      <c r="L1406" s="256" t="n"/>
      <c r="M1406" s="256" t="n"/>
      <c r="N1406" s="256" t="n"/>
      <c r="O1406" s="256" t="n"/>
      <c r="P1406" s="256" t="n"/>
      <c r="Q1406" s="256" t="n"/>
    </row>
    <row r="1407">
      <c r="A1407">
        <f>IF(DAY(D1407)=DAY($L$1+1),A1406+1,A1406)</f>
        <v/>
      </c>
      <c r="B1407" s="46">
        <f>IF(DAY(D1407)=DAY($L$1+1),1,B1406+1)</f>
        <v/>
      </c>
      <c r="C1407" s="46">
        <f>IF(DAY(D1407)=DAY($L$1+1),1,C1406+1)</f>
        <v/>
      </c>
      <c r="D1407" s="2">
        <f>D1406+1</f>
        <v/>
      </c>
      <c r="E1407" s="8">
        <f>IF(DAY(D1407)=DAY($L$1+1),TRUNC((N1406),8),E1406)</f>
        <v/>
      </c>
      <c r="F1407" s="49">
        <f>TRUNC(((1+VLOOKUP(A1407,IPCA!$A$2:$C$140,3,0)))^(C1407/(EDATE(D1407-C1407,1)-(D1407-C1407))),8)</f>
        <v/>
      </c>
      <c r="G1407" s="49">
        <f>TRUNC((E1407*F1407),8)</f>
        <v/>
      </c>
      <c r="H1407" s="49">
        <f>ROUND(((1+$H$4)^(30/360))^(C1407/(EDATE(D1407-B1407,1)-(D1407-B1407))),9)</f>
        <v/>
      </c>
      <c r="I1407" s="49">
        <f>TRUNC((G1407*H1407-G1407),8)</f>
        <v/>
      </c>
      <c r="J1407" s="49">
        <f>G1407+I1407</f>
        <v/>
      </c>
      <c r="K1407" s="256" t="n"/>
      <c r="L1407" s="256" t="n"/>
      <c r="M1407" s="256" t="n"/>
      <c r="N1407" s="256" t="n"/>
      <c r="O1407" s="256" t="n"/>
      <c r="P1407" s="256" t="n"/>
      <c r="Q1407" s="256" t="n"/>
    </row>
    <row r="1408">
      <c r="A1408">
        <f>IF(DAY(D1408)=DAY($L$1+1),A1407+1,A1407)</f>
        <v/>
      </c>
      <c r="B1408" s="46">
        <f>IF(DAY(D1408)=DAY($L$1+1),1,B1407+1)</f>
        <v/>
      </c>
      <c r="C1408" s="46">
        <f>IF(DAY(D1408)=DAY($L$1+1),1,C1407+1)</f>
        <v/>
      </c>
      <c r="D1408" s="2">
        <f>D1407+1</f>
        <v/>
      </c>
      <c r="E1408" s="8">
        <f>IF(DAY(D1408)=DAY($L$1+1),TRUNC((N1407),8),E1407)</f>
        <v/>
      </c>
      <c r="F1408" s="49">
        <f>TRUNC(((1+VLOOKUP(A1408,IPCA!$A$2:$C$140,3,0)))^(C1408/(EDATE(D1408-C1408,1)-(D1408-C1408))),8)</f>
        <v/>
      </c>
      <c r="G1408" s="49">
        <f>TRUNC((E1408*F1408),8)</f>
        <v/>
      </c>
      <c r="H1408" s="49">
        <f>ROUND(((1+$H$4)^(30/360))^(C1408/(EDATE(D1408-B1408,1)-(D1408-B1408))),9)</f>
        <v/>
      </c>
      <c r="I1408" s="49">
        <f>TRUNC((G1408*H1408-G1408),8)</f>
        <v/>
      </c>
      <c r="J1408" s="49">
        <f>G1408+I1408</f>
        <v/>
      </c>
      <c r="K1408" s="256" t="n"/>
      <c r="L1408" s="256" t="n"/>
      <c r="M1408" s="256" t="n"/>
      <c r="N1408" s="256" t="n"/>
      <c r="O1408" s="256" t="n"/>
      <c r="P1408" s="256" t="n"/>
      <c r="Q1408" s="256" t="n"/>
    </row>
    <row r="1409">
      <c r="A1409">
        <f>IF(DAY(D1409)=DAY($L$1+1),A1408+1,A1408)</f>
        <v/>
      </c>
      <c r="B1409" s="46">
        <f>IF(DAY(D1409)=DAY($L$1+1),1,B1408+1)</f>
        <v/>
      </c>
      <c r="C1409" s="46">
        <f>IF(DAY(D1409)=DAY($L$1+1),1,C1408+1)</f>
        <v/>
      </c>
      <c r="D1409" s="2">
        <f>D1408+1</f>
        <v/>
      </c>
      <c r="E1409" s="8">
        <f>IF(DAY(D1409)=DAY($L$1+1),TRUNC((N1408),8),E1408)</f>
        <v/>
      </c>
      <c r="F1409" s="49">
        <f>TRUNC(((1+VLOOKUP(A1409,IPCA!$A$2:$C$140,3,0)))^(C1409/(EDATE(D1409-C1409,1)-(D1409-C1409))),8)</f>
        <v/>
      </c>
      <c r="G1409" s="49">
        <f>TRUNC((E1409*F1409),8)</f>
        <v/>
      </c>
      <c r="H1409" s="49">
        <f>ROUND(((1+$H$4)^(30/360))^(C1409/(EDATE(D1409-B1409,1)-(D1409-B1409))),9)</f>
        <v/>
      </c>
      <c r="I1409" s="49">
        <f>TRUNC((G1409*H1409-G1409),8)</f>
        <v/>
      </c>
      <c r="J1409" s="49">
        <f>G1409+I1409</f>
        <v/>
      </c>
      <c r="K1409" s="256" t="n"/>
      <c r="L1409" s="256" t="n"/>
      <c r="M1409" s="256" t="n"/>
      <c r="N1409" s="256" t="n"/>
      <c r="O1409" s="256" t="n"/>
      <c r="P1409" s="256" t="n"/>
      <c r="Q1409" s="256" t="n"/>
    </row>
    <row r="1410">
      <c r="A1410">
        <f>IF(DAY(D1410)=DAY($L$1+1),A1409+1,A1409)</f>
        <v/>
      </c>
      <c r="B1410" s="46">
        <f>IF(DAY(D1410)=DAY($L$1+1),1,B1409+1)</f>
        <v/>
      </c>
      <c r="C1410" s="46">
        <f>IF(DAY(D1410)=DAY($L$1+1),1,C1409+1)</f>
        <v/>
      </c>
      <c r="D1410" s="2">
        <f>D1409+1</f>
        <v/>
      </c>
      <c r="E1410" s="8">
        <f>IF(DAY(D1410)=DAY($L$1+1),TRUNC((N1409),8),E1409)</f>
        <v/>
      </c>
      <c r="F1410" s="49">
        <f>TRUNC(((1+VLOOKUP(A1410,IPCA!$A$2:$C$140,3,0)))^(C1410/(EDATE(D1410-C1410,1)-(D1410-C1410))),8)</f>
        <v/>
      </c>
      <c r="G1410" s="49">
        <f>TRUNC((E1410*F1410),8)</f>
        <v/>
      </c>
      <c r="H1410" s="49">
        <f>ROUND(((1+$H$4)^(30/360))^(C1410/(EDATE(D1410-B1410,1)-(D1410-B1410))),9)</f>
        <v/>
      </c>
      <c r="I1410" s="49">
        <f>TRUNC((G1410*H1410-G1410),8)</f>
        <v/>
      </c>
      <c r="J1410" s="49">
        <f>G1410+I1410</f>
        <v/>
      </c>
      <c r="K1410" s="256" t="n"/>
      <c r="L1410" s="256" t="n"/>
      <c r="M1410" s="256" t="n"/>
      <c r="N1410" s="256" t="n"/>
      <c r="O1410" s="256" t="n"/>
      <c r="P1410" s="256" t="n"/>
      <c r="Q1410" s="256" t="n"/>
    </row>
    <row r="1411">
      <c r="A1411">
        <f>IF(DAY(D1411)=DAY($L$1+1),A1410+1,A1410)</f>
        <v/>
      </c>
      <c r="B1411" s="46">
        <f>IF(DAY(D1411)=DAY($L$1+1),1,B1410+1)</f>
        <v/>
      </c>
      <c r="C1411" s="46">
        <f>IF(DAY(D1411)=DAY($L$1+1),1,C1410+1)</f>
        <v/>
      </c>
      <c r="D1411" s="2">
        <f>D1410+1</f>
        <v/>
      </c>
      <c r="E1411" s="8">
        <f>IF(DAY(D1411)=DAY($L$1+1),TRUNC((N1410),8),E1410)</f>
        <v/>
      </c>
      <c r="F1411" s="49">
        <f>TRUNC(((1+VLOOKUP(A1411,IPCA!$A$2:$C$140,3,0)))^(C1411/(EDATE(D1411-C1411,1)-(D1411-C1411))),8)</f>
        <v/>
      </c>
      <c r="G1411" s="49">
        <f>TRUNC((E1411*F1411),8)</f>
        <v/>
      </c>
      <c r="H1411" s="49">
        <f>ROUND(((1+$H$4)^(30/360))^(C1411/(EDATE(D1411-B1411,1)-(D1411-B1411))),9)</f>
        <v/>
      </c>
      <c r="I1411" s="49">
        <f>TRUNC((G1411*H1411-G1411),8)</f>
        <v/>
      </c>
      <c r="J1411" s="49">
        <f>G1411+I1411</f>
        <v/>
      </c>
      <c r="K1411" s="256" t="n"/>
      <c r="L1411" s="256" t="n"/>
      <c r="M1411" s="256" t="n"/>
      <c r="N1411" s="256" t="n"/>
      <c r="O1411" s="256" t="n"/>
      <c r="P1411" s="256" t="n"/>
      <c r="Q1411" s="256" t="n"/>
    </row>
    <row r="1412">
      <c r="A1412">
        <f>IF(DAY(D1412)=DAY($L$1+1),A1411+1,A1411)</f>
        <v/>
      </c>
      <c r="B1412" s="46">
        <f>IF(DAY(D1412)=DAY($L$1+1),1,B1411+1)</f>
        <v/>
      </c>
      <c r="C1412" s="46">
        <f>IF(DAY(D1412)=DAY($L$1+1),1,C1411+1)</f>
        <v/>
      </c>
      <c r="D1412" s="2">
        <f>D1411+1</f>
        <v/>
      </c>
      <c r="E1412" s="8">
        <f>IF(DAY(D1412)=DAY($L$1+1),TRUNC((N1411),8),E1411)</f>
        <v/>
      </c>
      <c r="F1412" s="49">
        <f>TRUNC(((1+VLOOKUP(A1412,IPCA!$A$2:$C$140,3,0)))^(C1412/(EDATE(D1412-C1412,1)-(D1412-C1412))),8)</f>
        <v/>
      </c>
      <c r="G1412" s="49">
        <f>TRUNC((E1412*F1412),8)</f>
        <v/>
      </c>
      <c r="H1412" s="49">
        <f>ROUND(((1+$H$4)^(30/360))^(C1412/(EDATE(D1412-B1412,1)-(D1412-B1412))),9)</f>
        <v/>
      </c>
      <c r="I1412" s="49">
        <f>TRUNC((G1412*H1412-G1412),8)</f>
        <v/>
      </c>
      <c r="J1412" s="49">
        <f>G1412+I1412</f>
        <v/>
      </c>
      <c r="K1412" s="256" t="n"/>
      <c r="L1412" s="256" t="n"/>
      <c r="M1412" s="256" t="n"/>
      <c r="N1412" s="256" t="n"/>
      <c r="O1412" s="256" t="n"/>
      <c r="P1412" s="256" t="n"/>
      <c r="Q1412" s="256" t="n"/>
    </row>
    <row r="1413">
      <c r="A1413">
        <f>IF(DAY(D1413)=DAY($L$1+1),A1412+1,A1412)</f>
        <v/>
      </c>
      <c r="B1413" s="46">
        <f>IF(DAY(D1413)=DAY($L$1+1),1,B1412+1)</f>
        <v/>
      </c>
      <c r="C1413" s="46">
        <f>IF(DAY(D1413)=DAY($L$1+1),1,C1412+1)</f>
        <v/>
      </c>
      <c r="D1413" s="2">
        <f>D1412+1</f>
        <v/>
      </c>
      <c r="E1413" s="8">
        <f>IF(DAY(D1413)=DAY($L$1+1),TRUNC((N1412),8),E1412)</f>
        <v/>
      </c>
      <c r="F1413" s="49">
        <f>TRUNC(((1+VLOOKUP(A1413,IPCA!$A$2:$C$140,3,0)))^(C1413/(EDATE(D1413-C1413,1)-(D1413-C1413))),8)</f>
        <v/>
      </c>
      <c r="G1413" s="49">
        <f>TRUNC((E1413*F1413),8)</f>
        <v/>
      </c>
      <c r="H1413" s="49">
        <f>ROUND(((1+$H$4)^(30/360))^(C1413/(EDATE(D1413-B1413,1)-(D1413-B1413))),9)</f>
        <v/>
      </c>
      <c r="I1413" s="49">
        <f>TRUNC((G1413*H1413-G1413),8)</f>
        <v/>
      </c>
      <c r="J1413" s="49">
        <f>G1413+I1413</f>
        <v/>
      </c>
      <c r="K1413" s="256" t="n"/>
      <c r="L1413" s="256" t="n"/>
      <c r="M1413" s="256" t="n"/>
      <c r="N1413" s="256" t="n"/>
      <c r="O1413" s="256" t="n"/>
      <c r="P1413" s="256" t="n"/>
      <c r="Q1413" s="256" t="n"/>
    </row>
    <row r="1414">
      <c r="A1414">
        <f>IF(DAY(D1414)=DAY($L$1+1),A1413+1,A1413)</f>
        <v/>
      </c>
      <c r="B1414" s="46">
        <f>IF(DAY(D1414)=DAY($L$1+1),1,B1413+1)</f>
        <v/>
      </c>
      <c r="C1414" s="46">
        <f>IF(DAY(D1414)=DAY($L$1+1),1,C1413+1)</f>
        <v/>
      </c>
      <c r="D1414" s="2">
        <f>D1413+1</f>
        <v/>
      </c>
      <c r="E1414" s="8">
        <f>IF(DAY(D1414)=DAY($L$1+1),TRUNC((N1413),8),E1413)</f>
        <v/>
      </c>
      <c r="F1414" s="49">
        <f>TRUNC(((1+VLOOKUP(A1414,IPCA!$A$2:$C$140,3,0)))^(C1414/(EDATE(D1414-C1414,1)-(D1414-C1414))),8)</f>
        <v/>
      </c>
      <c r="G1414" s="49">
        <f>TRUNC((E1414*F1414),8)</f>
        <v/>
      </c>
      <c r="H1414" s="49">
        <f>ROUND(((1+$H$4)^(30/360))^(C1414/(EDATE(D1414-B1414,1)-(D1414-B1414))),9)</f>
        <v/>
      </c>
      <c r="I1414" s="49">
        <f>TRUNC((G1414*H1414-G1414),8)</f>
        <v/>
      </c>
      <c r="J1414" s="49">
        <f>G1414+I1414</f>
        <v/>
      </c>
      <c r="K1414" s="256" t="n"/>
      <c r="L1414" s="256" t="n"/>
      <c r="M1414" s="256" t="n"/>
      <c r="N1414" s="256" t="n"/>
      <c r="O1414" s="256" t="n"/>
      <c r="P1414" s="256" t="n"/>
      <c r="Q1414" s="256" t="n"/>
    </row>
    <row r="1415">
      <c r="A1415">
        <f>IF(DAY(D1415)=DAY($L$1+1),A1414+1,A1414)</f>
        <v/>
      </c>
      <c r="B1415" s="46">
        <f>IF(DAY(D1415)=DAY($L$1+1),1,B1414+1)</f>
        <v/>
      </c>
      <c r="C1415" s="46">
        <f>IF(DAY(D1415)=DAY($L$1+1),1,C1414+1)</f>
        <v/>
      </c>
      <c r="D1415" s="2">
        <f>D1414+1</f>
        <v/>
      </c>
      <c r="E1415" s="8">
        <f>IF(DAY(D1415)=DAY($L$1+1),TRUNC((N1414),8),E1414)</f>
        <v/>
      </c>
      <c r="F1415" s="49">
        <f>TRUNC(((1+VLOOKUP(A1415,IPCA!$A$2:$C$140,3,0)))^(C1415/(EDATE(D1415-C1415,1)-(D1415-C1415))),8)</f>
        <v/>
      </c>
      <c r="G1415" s="49">
        <f>TRUNC((E1415*F1415),8)</f>
        <v/>
      </c>
      <c r="H1415" s="49">
        <f>ROUND(((1+$H$4)^(30/360))^(C1415/(EDATE(D1415-B1415,1)-(D1415-B1415))),9)</f>
        <v/>
      </c>
      <c r="I1415" s="49">
        <f>TRUNC((G1415*H1415-G1415),8)</f>
        <v/>
      </c>
      <c r="J1415" s="49">
        <f>G1415+I1415</f>
        <v/>
      </c>
      <c r="K1415" s="256" t="n"/>
      <c r="L1415" s="256" t="n"/>
      <c r="M1415" s="256" t="n"/>
      <c r="N1415" s="256" t="n"/>
      <c r="O1415" s="256" t="n"/>
      <c r="P1415" s="256" t="n"/>
      <c r="Q1415" s="256" t="n"/>
    </row>
    <row r="1416">
      <c r="A1416">
        <f>IF(DAY(D1416)=DAY($L$1+1),A1415+1,A1415)</f>
        <v/>
      </c>
      <c r="B1416" s="46">
        <f>IF(DAY(D1416)=DAY($L$1+1),1,B1415+1)</f>
        <v/>
      </c>
      <c r="C1416" s="46">
        <f>IF(DAY(D1416)=DAY($L$1+1),1,C1415+1)</f>
        <v/>
      </c>
      <c r="D1416" s="2">
        <f>D1415+1</f>
        <v/>
      </c>
      <c r="E1416" s="8">
        <f>IF(DAY(D1416)=DAY($L$1+1),TRUNC((N1415),8),E1415)</f>
        <v/>
      </c>
      <c r="F1416" s="49">
        <f>TRUNC(((1+VLOOKUP(A1416,IPCA!$A$2:$C$140,3,0)))^(C1416/(EDATE(D1416-C1416,1)-(D1416-C1416))),8)</f>
        <v/>
      </c>
      <c r="G1416" s="49">
        <f>TRUNC((E1416*F1416),8)</f>
        <v/>
      </c>
      <c r="H1416" s="49">
        <f>ROUND(((1+$H$4)^(30/360))^(C1416/(EDATE(D1416-B1416,1)-(D1416-B1416))),9)</f>
        <v/>
      </c>
      <c r="I1416" s="49">
        <f>TRUNC((G1416*H1416-G1416),8)</f>
        <v/>
      </c>
      <c r="J1416" s="49">
        <f>G1416+I1416</f>
        <v/>
      </c>
      <c r="K1416" s="256" t="n"/>
      <c r="L1416" s="256" t="n"/>
      <c r="M1416" s="256" t="n"/>
      <c r="N1416" s="256" t="n"/>
      <c r="O1416" s="256" t="n"/>
      <c r="P1416" s="256" t="n"/>
      <c r="Q1416" s="256" t="n"/>
    </row>
    <row r="1417">
      <c r="A1417">
        <f>IF(DAY(D1417)=DAY($L$1+1),A1416+1,A1416)</f>
        <v/>
      </c>
      <c r="B1417" s="46">
        <f>IF(DAY(D1417)=DAY($L$1+1),1,B1416+1)</f>
        <v/>
      </c>
      <c r="C1417" s="46">
        <f>IF(DAY(D1417)=DAY($L$1+1),1,C1416+1)</f>
        <v/>
      </c>
      <c r="D1417" s="2">
        <f>D1416+1</f>
        <v/>
      </c>
      <c r="E1417" s="8">
        <f>IF(DAY(D1417)=DAY($L$1+1),TRUNC((N1416),8),E1416)</f>
        <v/>
      </c>
      <c r="F1417" s="49">
        <f>TRUNC(((1+VLOOKUP(A1417,IPCA!$A$2:$C$140,3,0)))^(C1417/(EDATE(D1417-C1417,1)-(D1417-C1417))),8)</f>
        <v/>
      </c>
      <c r="G1417" s="49">
        <f>TRUNC((E1417*F1417),8)</f>
        <v/>
      </c>
      <c r="H1417" s="49">
        <f>ROUND(((1+$H$4)^(30/360))^(C1417/(EDATE(D1417-B1417,1)-(D1417-B1417))),9)</f>
        <v/>
      </c>
      <c r="I1417" s="49">
        <f>TRUNC((G1417*H1417-G1417),8)</f>
        <v/>
      </c>
      <c r="J1417" s="49">
        <f>G1417+I1417</f>
        <v/>
      </c>
      <c r="K1417" s="256" t="inlineStr">
        <is>
          <t>Cri Integralizado</t>
        </is>
      </c>
      <c r="L1417" s="270">
        <f>L1387</f>
        <v/>
      </c>
      <c r="M1417" s="256" t="n"/>
      <c r="N1417" s="256" t="n"/>
      <c r="O1417" s="256" t="n"/>
      <c r="P1417" s="256" t="n"/>
      <c r="Q1417" s="256" t="n"/>
    </row>
    <row r="1418">
      <c r="A1418">
        <f>IF(DAY(D1418)=DAY($L$1+1),A1417+1,A1417)</f>
        <v/>
      </c>
      <c r="B1418" s="46">
        <f>IF(DAY(D1418)=DAY($L$1+1),1,B1417+1)</f>
        <v/>
      </c>
      <c r="C1418" s="46">
        <f>IF(DAY(D1418)=DAY($L$1+1),1,C1417+1)</f>
        <v/>
      </c>
      <c r="D1418" s="47">
        <f>D1417+1</f>
        <v/>
      </c>
      <c r="E1418" s="8">
        <f>IF(DAY(D1418)=DAY($L$1+1),TRUNC((N1417),8),E1417)</f>
        <v/>
      </c>
      <c r="F1418" s="49">
        <f>TRUNC(((1+VLOOKUP(A1418,IPCA!$A$2:$C$140,3,0)))^(C1418/(EDATE(D1418-C1418,1)-(D1418-C1418))),8)</f>
        <v/>
      </c>
      <c r="G1418" s="49">
        <f>TRUNC((E1418*F1418),8)</f>
        <v/>
      </c>
      <c r="H1418" s="49">
        <f>ROUND(((1+$H$4)^(30/360))^(C1418/(EDATE(D1418-B1418,1)-(D1418-B1418))),9)</f>
        <v/>
      </c>
      <c r="I1418" s="49">
        <f>TRUNC((G1418*H1418-G1418),8)</f>
        <v/>
      </c>
      <c r="J1418" s="49">
        <f>G1418+I1418</f>
        <v/>
      </c>
      <c r="K1418" s="118" t="inlineStr">
        <is>
          <t>JUROS</t>
        </is>
      </c>
      <c r="L1418" s="118" t="inlineStr">
        <is>
          <t>AMORTIZAÇÃO</t>
        </is>
      </c>
      <c r="M1418" s="118" t="inlineStr">
        <is>
          <t>AMEX</t>
        </is>
      </c>
      <c r="N1418" s="118" t="inlineStr">
        <is>
          <t>RESIDUAL</t>
        </is>
      </c>
      <c r="O1418" s="256" t="n"/>
      <c r="P1418" s="256" t="n"/>
      <c r="Q1418" s="256" t="n"/>
    </row>
    <row r="1419">
      <c r="A1419">
        <f>IF(DAY(D1419)=DAY($L$1+1),A1418+1,A1418)</f>
        <v/>
      </c>
      <c r="B1419" s="111">
        <f>IF(DAY(D1419)=DAY($L$1+1),1,B1418+1)</f>
        <v/>
      </c>
      <c r="C1419" s="111">
        <f>IF(DAY(D1419)=DAY($L$1+1),1,C1418+1)</f>
        <v/>
      </c>
      <c r="D1419" s="112">
        <f>D1418+1</f>
        <v/>
      </c>
      <c r="E1419" s="113">
        <f>IF(DAY(D1419)=DAY($L$1+1),TRUNC((N1418),8),E1418)</f>
        <v/>
      </c>
      <c r="F1419" s="114">
        <f>TRUNC(((1+VLOOKUP(A1419,IPCA!$A$2:$C$140,3,0)))^(C1419/(EDATE(D1419-C1419,1)-(D1419-C1419))),8)</f>
        <v/>
      </c>
      <c r="G1419" s="114">
        <f>TRUNC((E1419*F1419),8)</f>
        <v/>
      </c>
      <c r="H1419" s="114">
        <f>ROUND(((1+$H$4)^(30/360))^(C1419/(EDATE(D1419-B1419,1)-(D1419-B1419))),9)</f>
        <v/>
      </c>
      <c r="I1419" s="114">
        <f>TRUNC((G1419*H1419-G1419),8)</f>
        <v/>
      </c>
      <c r="J1419" s="114">
        <f>G1419+I1419</f>
        <v/>
      </c>
      <c r="K1419" s="119">
        <f>I1419</f>
        <v/>
      </c>
      <c r="L1419" s="120">
        <f>TRUNC(G1419*VLOOKUP(D1419,'Amort TS'!$G$3:$H$140,2,0),8)</f>
        <v/>
      </c>
      <c r="M1419" s="120" t="n">
        <v>0</v>
      </c>
      <c r="N1419" s="120">
        <f>J1419-K1419-L1419-M1419</f>
        <v/>
      </c>
      <c r="O1419" s="256" t="n"/>
      <c r="P1419" s="256" t="n"/>
      <c r="Q1419" s="256" t="n"/>
    </row>
    <row r="1420">
      <c r="A1420">
        <f>IF(DAY(D1420)=DAY($L$1+1),A1419+1,A1419)</f>
        <v/>
      </c>
      <c r="B1420" s="46">
        <f>IF(DAY(D1420)=DAY($L$1+1),1,B1419+1)</f>
        <v/>
      </c>
      <c r="C1420" s="46">
        <f>IF(DAY(D1420)=DAY($L$1+1),1,C1419+1)</f>
        <v/>
      </c>
      <c r="D1420" s="2">
        <f>D1419+1</f>
        <v/>
      </c>
      <c r="E1420" s="8">
        <f>IF(DAY(D1420)=DAY($L$1+1),TRUNC((N1419),8),E1419)</f>
        <v/>
      </c>
      <c r="F1420" s="49">
        <f>TRUNC(((1+VLOOKUP(A1420,IPCA!$A$2:$C$140,3,0)))^(C1420/(EDATE(D1420-C1420,1)-(D1420-C1420))),8)</f>
        <v/>
      </c>
      <c r="G1420" s="49">
        <f>TRUNC((E1420*F1420),8)</f>
        <v/>
      </c>
      <c r="H1420" s="49">
        <f>ROUND(((1+$H$4)^(30/360))^(C1420/(EDATE(D1420-B1420,1)-(D1420-B1420))),9)</f>
        <v/>
      </c>
      <c r="I1420" s="49">
        <f>TRUNC((G1420*H1420-G1420),8)</f>
        <v/>
      </c>
      <c r="J1420" s="49">
        <f>G1420+I1420</f>
        <v/>
      </c>
      <c r="K1420" s="121">
        <f>K1419*L1417</f>
        <v/>
      </c>
      <c r="L1420" s="121">
        <f>L1419*L1417</f>
        <v/>
      </c>
      <c r="M1420" s="121">
        <f>M1419*L1417</f>
        <v/>
      </c>
      <c r="N1420" s="121">
        <f>N1419*L1417</f>
        <v/>
      </c>
      <c r="O1420" s="256" t="n"/>
      <c r="P1420" s="256" t="n"/>
      <c r="Q1420" s="256" t="n"/>
    </row>
    <row r="1421">
      <c r="A1421">
        <f>IF(DAY(D1421)=DAY($L$1+1),A1420+1,A1420)</f>
        <v/>
      </c>
      <c r="B1421" s="46">
        <f>IF(DAY(D1421)=DAY($L$1+1),1,B1420+1)</f>
        <v/>
      </c>
      <c r="C1421" s="46">
        <f>IF(DAY(D1421)=DAY($L$1+1),1,C1420+1)</f>
        <v/>
      </c>
      <c r="D1421" s="47">
        <f>D1420+1</f>
        <v/>
      </c>
      <c r="E1421" s="8">
        <f>IF(DAY(D1421)=DAY($L$1+1),TRUNC((N1420),8),E1420)</f>
        <v/>
      </c>
      <c r="F1421" s="49">
        <f>TRUNC(((1+VLOOKUP(A1421,IPCA!$A$2:$C$140,3,0)))^(C1421/(EDATE(D1421-C1421,1)-(D1421-C1421))),8)</f>
        <v/>
      </c>
      <c r="G1421" s="49">
        <f>TRUNC((E1421*F1421),8)</f>
        <v/>
      </c>
      <c r="H1421" s="49">
        <f>ROUND(((1+$H$4)^(30/360))^(C1421/(EDATE(D1421-B1421,1)-(D1421-B1421))),9)</f>
        <v/>
      </c>
      <c r="I1421" s="49">
        <f>TRUNC((G1421*H1421-G1421),8)</f>
        <v/>
      </c>
      <c r="J1421" s="49">
        <f>G1421+I1421</f>
        <v/>
      </c>
      <c r="K1421" s="256" t="n"/>
      <c r="L1421" s="256" t="n"/>
      <c r="M1421" s="256" t="n"/>
      <c r="N1421" s="256" t="n"/>
      <c r="O1421" s="256" t="n"/>
      <c r="P1421" s="256" t="n"/>
      <c r="Q1421" s="256" t="n"/>
    </row>
    <row r="1422">
      <c r="A1422">
        <f>IF(DAY(D1422)=DAY($L$1+1),A1421+1,A1421)</f>
        <v/>
      </c>
      <c r="B1422" s="46">
        <f>IF(DAY(D1422)=DAY($L$1+1),1,B1421+1)</f>
        <v/>
      </c>
      <c r="C1422" s="46">
        <f>IF(DAY(D1422)=DAY($L$1+1),1,C1421+1)</f>
        <v/>
      </c>
      <c r="D1422" s="2">
        <f>D1421+1</f>
        <v/>
      </c>
      <c r="E1422" s="8">
        <f>IF(DAY(D1422)=DAY($L$1+1),TRUNC((#REF!),8),E1421)</f>
        <v/>
      </c>
      <c r="F1422" s="49">
        <f>TRUNC(((1+VLOOKUP(A1422,IPCA!$A$2:$C$140,3,0)))^(C1422/(EDATE(D1422-C1422,1)-(D1422-C1422))),8)</f>
        <v/>
      </c>
      <c r="G1422" s="49">
        <f>TRUNC((E1422*F1422),8)</f>
        <v/>
      </c>
      <c r="H1422" s="49">
        <f>ROUND(((1+$H$4)^(30/360))^(C1422/(EDATE(D1422-B1422,1)-(D1422-B1422))),9)</f>
        <v/>
      </c>
      <c r="I1422" s="49">
        <f>TRUNC((G1422*H1422-G1422),8)</f>
        <v/>
      </c>
      <c r="J1422" s="49">
        <f>G1422+I1422</f>
        <v/>
      </c>
      <c r="K1422" s="256" t="n"/>
      <c r="L1422" s="256" t="n"/>
      <c r="M1422" s="256" t="n"/>
      <c r="N1422" s="256" t="n"/>
      <c r="O1422" s="256" t="n"/>
      <c r="P1422" s="256" t="n"/>
      <c r="Q1422" s="256" t="n"/>
    </row>
    <row r="1423">
      <c r="A1423">
        <f>IF(DAY(D1423)=DAY($L$1+1),A1422+1,A1422)</f>
        <v/>
      </c>
      <c r="B1423" s="46">
        <f>IF(DAY(D1423)=DAY($L$1+1),1,B1422+1)</f>
        <v/>
      </c>
      <c r="C1423" s="46">
        <f>IF(DAY(D1423)=DAY($L$1+1),1,C1422+1)</f>
        <v/>
      </c>
      <c r="D1423" s="2">
        <f>D1422+1</f>
        <v/>
      </c>
      <c r="E1423" s="8">
        <f>IF(DAY(D1423)=DAY($L$1+1),TRUNC((#REF!),8),E1422)</f>
        <v/>
      </c>
      <c r="F1423" s="49">
        <f>TRUNC(((1+VLOOKUP(A1423,IPCA!$A$2:$C$140,3,0)))^(C1423/(EDATE(D1423-C1423,1)-(D1423-C1423))),8)</f>
        <v/>
      </c>
      <c r="G1423" s="49">
        <f>TRUNC((E1423*F1423),8)</f>
        <v/>
      </c>
      <c r="H1423" s="49">
        <f>ROUND(((1+$H$4)^(30/360))^(C1423/(EDATE(D1423-B1423,1)-(D1423-B1423))),9)</f>
        <v/>
      </c>
      <c r="I1423" s="49">
        <f>TRUNC((G1423*H1423-G1423),8)</f>
        <v/>
      </c>
      <c r="J1423" s="49">
        <f>G1423+I1423</f>
        <v/>
      </c>
      <c r="K1423" s="256" t="n"/>
      <c r="L1423" s="256" t="n"/>
      <c r="M1423" s="256" t="n"/>
      <c r="N1423" s="256" t="n"/>
      <c r="O1423" s="256" t="n"/>
      <c r="P1423" s="256" t="n"/>
      <c r="Q1423" s="256" t="n"/>
    </row>
    <row r="1424">
      <c r="A1424">
        <f>IF(DAY(D1424)=DAY($L$1+1),A1423+1,A1423)</f>
        <v/>
      </c>
      <c r="B1424" s="46">
        <f>IF(DAY(D1424)=DAY($L$1+1),1,B1423+1)</f>
        <v/>
      </c>
      <c r="C1424" s="46">
        <f>IF(DAY(D1424)=DAY($L$1+1),1,C1423+1)</f>
        <v/>
      </c>
      <c r="D1424" s="2">
        <f>D1423+1</f>
        <v/>
      </c>
      <c r="E1424" s="8">
        <f>IF(DAY(D1424)=DAY($L$1+1),TRUNC((#REF!),8),E1423)</f>
        <v/>
      </c>
      <c r="F1424" s="49">
        <f>TRUNC(((1+VLOOKUP(A1424,IPCA!$A$2:$C$140,3,0)))^(C1424/(EDATE(D1424-C1424,1)-(D1424-C1424))),8)</f>
        <v/>
      </c>
      <c r="G1424" s="49">
        <f>TRUNC((E1424*F1424),8)</f>
        <v/>
      </c>
      <c r="H1424" s="49">
        <f>ROUND(((1+$H$4)^(30/360))^(C1424/(EDATE(D1424-B1424,1)-(D1424-B1424))),9)</f>
        <v/>
      </c>
      <c r="I1424" s="49">
        <f>TRUNC((G1424*H1424-G1424),8)</f>
        <v/>
      </c>
      <c r="J1424" s="49">
        <f>G1424+I1424</f>
        <v/>
      </c>
      <c r="K1424" s="256" t="n"/>
      <c r="L1424" s="256" t="n"/>
      <c r="M1424" s="256" t="n"/>
      <c r="N1424" s="256" t="n"/>
      <c r="O1424" s="256" t="n"/>
      <c r="P1424" s="256" t="n"/>
      <c r="Q1424" s="256" t="n"/>
    </row>
    <row r="1425">
      <c r="A1425">
        <f>IF(DAY(D1425)=DAY($L$1+1),A1424+1,A1424)</f>
        <v/>
      </c>
      <c r="B1425" s="46">
        <f>IF(DAY(D1425)=DAY($L$1+1),1,B1424+1)</f>
        <v/>
      </c>
      <c r="C1425" s="46">
        <f>IF(DAY(D1425)=DAY($L$1+1),1,C1424+1)</f>
        <v/>
      </c>
      <c r="D1425" s="2">
        <f>D1424+1</f>
        <v/>
      </c>
      <c r="E1425" s="8">
        <f>IF(DAY(D1425)=DAY($L$1+1),TRUNC((#REF!),8),E1424)</f>
        <v/>
      </c>
      <c r="F1425" s="49">
        <f>TRUNC(((1+VLOOKUP(A1425,IPCA!$A$2:$C$140,3,0)))^(C1425/(EDATE(D1425-C1425,1)-(D1425-C1425))),8)</f>
        <v/>
      </c>
      <c r="G1425" s="49">
        <f>TRUNC((E1425*F1425),8)</f>
        <v/>
      </c>
      <c r="H1425" s="49">
        <f>ROUND(((1+$H$4)^(30/360))^(C1425/(EDATE(D1425-B1425,1)-(D1425-B1425))),9)</f>
        <v/>
      </c>
      <c r="I1425" s="49">
        <f>TRUNC((G1425*H1425-G1425),8)</f>
        <v/>
      </c>
      <c r="J1425" s="49">
        <f>G1425+I1425</f>
        <v/>
      </c>
      <c r="K1425" s="256" t="n"/>
      <c r="L1425" s="256" t="n"/>
      <c r="M1425" s="256" t="n"/>
      <c r="N1425" s="256" t="n"/>
      <c r="O1425" s="256" t="n"/>
      <c r="P1425" s="256" t="n"/>
      <c r="Q1425" s="256" t="n"/>
    </row>
    <row r="1426">
      <c r="A1426">
        <f>IF(DAY(D1426)=DAY($L$1+1),A1425+1,A1425)</f>
        <v/>
      </c>
      <c r="B1426" s="46">
        <f>IF(DAY(D1426)=DAY($L$1+1),1,B1425+1)</f>
        <v/>
      </c>
      <c r="C1426" s="46">
        <f>IF(DAY(D1426)=DAY($L$1+1),1,C1425+1)</f>
        <v/>
      </c>
      <c r="D1426" s="2">
        <f>D1425+1</f>
        <v/>
      </c>
      <c r="E1426" s="8">
        <f>IF(DAY(D1426)=DAY($L$1+1),TRUNC((#REF!),8),E1425)</f>
        <v/>
      </c>
      <c r="F1426" s="49">
        <f>TRUNC(((1+VLOOKUP(A1426,IPCA!$A$2:$C$140,3,0)))^(C1426/(EDATE(D1426-C1426,1)-(D1426-C1426))),8)</f>
        <v/>
      </c>
      <c r="G1426" s="49">
        <f>TRUNC((E1426*F1426),8)</f>
        <v/>
      </c>
      <c r="H1426" s="49">
        <f>ROUND(((1+$H$4)^(30/360))^(C1426/(EDATE(D1426-B1426,1)-(D1426-B1426))),9)</f>
        <v/>
      </c>
      <c r="I1426" s="49">
        <f>TRUNC((G1426*H1426-G1426),8)</f>
        <v/>
      </c>
      <c r="J1426" s="49">
        <f>G1426+I1426</f>
        <v/>
      </c>
      <c r="K1426" s="256" t="n"/>
      <c r="L1426" s="256" t="n"/>
      <c r="M1426" s="256" t="n"/>
      <c r="N1426" s="256" t="n"/>
      <c r="O1426" s="256" t="n"/>
      <c r="P1426" s="256" t="n"/>
      <c r="Q1426" s="256" t="n"/>
    </row>
    <row r="1427">
      <c r="A1427">
        <f>IF(DAY(D1427)=DAY($L$1+1),A1426+1,A1426)</f>
        <v/>
      </c>
      <c r="B1427" s="46">
        <f>IF(DAY(D1427)=DAY($L$1+1),1,B1426+1)</f>
        <v/>
      </c>
      <c r="C1427" s="46">
        <f>IF(DAY(D1427)=DAY($L$1+1),1,C1426+1)</f>
        <v/>
      </c>
      <c r="D1427" s="2">
        <f>D1426+1</f>
        <v/>
      </c>
      <c r="E1427" s="8">
        <f>IF(DAY(D1427)=DAY($L$1+1),TRUNC((#REF!),8),E1426)</f>
        <v/>
      </c>
      <c r="F1427" s="49">
        <f>TRUNC(((1+VLOOKUP(A1427,IPCA!$A$2:$C$140,3,0)))^(C1427/(EDATE(D1427-C1427,1)-(D1427-C1427))),8)</f>
        <v/>
      </c>
      <c r="G1427" s="49">
        <f>TRUNC((E1427*F1427),8)</f>
        <v/>
      </c>
      <c r="H1427" s="49">
        <f>ROUND(((1+$H$4)^(30/360))^(C1427/(EDATE(D1427-B1427,1)-(D1427-B1427))),9)</f>
        <v/>
      </c>
      <c r="I1427" s="49">
        <f>TRUNC((G1427*H1427-G1427),8)</f>
        <v/>
      </c>
      <c r="J1427" s="49">
        <f>G1427+I1427</f>
        <v/>
      </c>
      <c r="K1427" s="256" t="n"/>
      <c r="L1427" s="256" t="n"/>
      <c r="M1427" s="256" t="n"/>
      <c r="N1427" s="256" t="n"/>
      <c r="O1427" s="256" t="n"/>
      <c r="P1427" s="256" t="n"/>
      <c r="Q1427" s="256" t="n"/>
    </row>
    <row r="1428">
      <c r="A1428">
        <f>IF(DAY(D1428)=DAY($L$1+1),A1427+1,A1427)</f>
        <v/>
      </c>
      <c r="B1428" s="46">
        <f>IF(DAY(D1428)=DAY($L$1+1),1,B1427+1)</f>
        <v/>
      </c>
      <c r="C1428" s="46">
        <f>IF(DAY(D1428)=DAY($L$1+1),1,C1427+1)</f>
        <v/>
      </c>
      <c r="D1428" s="2">
        <f>D1427+1</f>
        <v/>
      </c>
      <c r="E1428" s="8">
        <f>IF(DAY(D1428)=DAY($L$1+1),TRUNC((#REF!),8),E1427)</f>
        <v/>
      </c>
      <c r="F1428" s="49">
        <f>TRUNC(((1+VLOOKUP(A1428,IPCA!$A$2:$C$140,3,0)))^(C1428/(EDATE(D1428-C1428,1)-(D1428-C1428))),8)</f>
        <v/>
      </c>
      <c r="G1428" s="49">
        <f>TRUNC((E1428*F1428),8)</f>
        <v/>
      </c>
      <c r="H1428" s="49">
        <f>ROUND(((1+$H$4)^(30/360))^(C1428/(EDATE(D1428-B1428,1)-(D1428-B1428))),9)</f>
        <v/>
      </c>
      <c r="I1428" s="49">
        <f>TRUNC((G1428*H1428-G1428),8)</f>
        <v/>
      </c>
      <c r="J1428" s="49">
        <f>G1428+I1428</f>
        <v/>
      </c>
      <c r="K1428" s="256" t="n"/>
      <c r="L1428" s="256" t="n"/>
      <c r="M1428" s="256" t="n"/>
      <c r="N1428" s="256" t="n"/>
      <c r="O1428" s="256" t="n"/>
      <c r="P1428" s="256" t="n"/>
      <c r="Q1428" s="256" t="n"/>
    </row>
    <row r="1429">
      <c r="A1429">
        <f>IF(DAY(D1429)=DAY($L$1+1),A1428+1,A1428)</f>
        <v/>
      </c>
      <c r="B1429" s="46">
        <f>IF(DAY(D1429)=DAY($L$1+1),1,B1428+1)</f>
        <v/>
      </c>
      <c r="C1429" s="46">
        <f>IF(DAY(D1429)=DAY($L$1+1),1,C1428+1)</f>
        <v/>
      </c>
      <c r="D1429" s="2">
        <f>D1428+1</f>
        <v/>
      </c>
      <c r="E1429" s="8">
        <f>IF(DAY(D1429)=DAY($L$1+1),TRUNC((#REF!),8),E1428)</f>
        <v/>
      </c>
      <c r="F1429" s="49">
        <f>TRUNC(((1+VLOOKUP(A1429,IPCA!$A$2:$C$140,3,0)))^(C1429/(EDATE(D1429-C1429,1)-(D1429-C1429))),8)</f>
        <v/>
      </c>
      <c r="G1429" s="49">
        <f>TRUNC((E1429*F1429),8)</f>
        <v/>
      </c>
      <c r="H1429" s="49">
        <f>ROUND(((1+$H$4)^(30/360))^(C1429/(EDATE(D1429-B1429,1)-(D1429-B1429))),9)</f>
        <v/>
      </c>
      <c r="I1429" s="49">
        <f>TRUNC((G1429*H1429-G1429),8)</f>
        <v/>
      </c>
      <c r="J1429" s="49">
        <f>G1429+I1429</f>
        <v/>
      </c>
      <c r="K1429" s="256" t="n"/>
      <c r="L1429" s="256" t="n"/>
      <c r="M1429" s="256" t="n"/>
      <c r="N1429" s="256" t="n"/>
      <c r="O1429" s="256" t="n"/>
      <c r="P1429" s="256" t="n"/>
      <c r="Q1429" s="256" t="n"/>
    </row>
    <row r="1430">
      <c r="A1430">
        <f>IF(DAY(D1430)=DAY($L$1+1),A1429+1,A1429)</f>
        <v/>
      </c>
      <c r="B1430" s="46">
        <f>IF(DAY(D1430)=DAY($L$1+1),1,B1429+1)</f>
        <v/>
      </c>
      <c r="C1430" s="46">
        <f>IF(DAY(D1430)=DAY($L$1+1),1,C1429+1)</f>
        <v/>
      </c>
      <c r="D1430" s="2">
        <f>D1429+1</f>
        <v/>
      </c>
      <c r="E1430" s="8">
        <f>IF(DAY(D1430)=DAY($L$1+1),TRUNC((#REF!),8),E1429)</f>
        <v/>
      </c>
      <c r="F1430" s="49">
        <f>TRUNC(((1+VLOOKUP(A1430,IPCA!$A$2:$C$140,3,0)))^(C1430/(EDATE(D1430-C1430,1)-(D1430-C1430))),8)</f>
        <v/>
      </c>
      <c r="G1430" s="49">
        <f>TRUNC((E1430*F1430),8)</f>
        <v/>
      </c>
      <c r="H1430" s="49">
        <f>ROUND(((1+$H$4)^(30/360))^(C1430/(EDATE(D1430-B1430,1)-(D1430-B1430))),9)</f>
        <v/>
      </c>
      <c r="I1430" s="49">
        <f>TRUNC((G1430*H1430-G1430),8)</f>
        <v/>
      </c>
      <c r="J1430" s="49">
        <f>G1430+I1430</f>
        <v/>
      </c>
      <c r="K1430" s="256" t="n"/>
      <c r="L1430" s="256" t="n"/>
      <c r="M1430" s="256" t="n"/>
      <c r="N1430" s="256" t="n"/>
      <c r="O1430" s="256" t="n"/>
      <c r="P1430" s="256" t="n"/>
      <c r="Q1430" s="256" t="n"/>
    </row>
    <row r="1431">
      <c r="A1431">
        <f>IF(DAY(D1431)=DAY($L$1+1),A1430+1,A1430)</f>
        <v/>
      </c>
      <c r="B1431" s="46">
        <f>IF(DAY(D1431)=DAY($L$1+1),1,B1430+1)</f>
        <v/>
      </c>
      <c r="C1431" s="46">
        <f>IF(DAY(D1431)=DAY($L$1+1),1,C1430+1)</f>
        <v/>
      </c>
      <c r="D1431" s="2">
        <f>D1430+1</f>
        <v/>
      </c>
      <c r="E1431" s="8">
        <f>IF(DAY(D1431)=DAY($L$1+1),TRUNC((#REF!),8),E1430)</f>
        <v/>
      </c>
      <c r="F1431" s="49">
        <f>TRUNC(((1+VLOOKUP(A1431,IPCA!$A$2:$C$140,3,0)))^(C1431/(EDATE(D1431-C1431,1)-(D1431-C1431))),8)</f>
        <v/>
      </c>
      <c r="G1431" s="49">
        <f>TRUNC((E1431*F1431),8)</f>
        <v/>
      </c>
      <c r="H1431" s="49">
        <f>ROUND(((1+$H$4)^(30/360))^(C1431/(EDATE(D1431-B1431,1)-(D1431-B1431))),9)</f>
        <v/>
      </c>
      <c r="I1431" s="49">
        <f>TRUNC((G1431*H1431-G1431),8)</f>
        <v/>
      </c>
      <c r="J1431" s="49">
        <f>G1431+I1431</f>
        <v/>
      </c>
      <c r="K1431" s="256" t="n"/>
      <c r="L1431" s="256" t="n"/>
      <c r="M1431" s="256" t="n"/>
      <c r="N1431" s="256" t="n"/>
      <c r="O1431" s="256" t="n"/>
      <c r="P1431" s="256" t="n"/>
      <c r="Q1431" s="256" t="n"/>
    </row>
    <row r="1432">
      <c r="A1432">
        <f>IF(DAY(D1432)=DAY($L$1+1),A1431+1,A1431)</f>
        <v/>
      </c>
      <c r="B1432" s="46">
        <f>IF(DAY(D1432)=DAY($L$1+1),1,B1431+1)</f>
        <v/>
      </c>
      <c r="C1432" s="46">
        <f>IF(DAY(D1432)=DAY($L$1+1),1,C1431+1)</f>
        <v/>
      </c>
      <c r="D1432" s="2">
        <f>D1431+1</f>
        <v/>
      </c>
      <c r="E1432" s="8">
        <f>IF(DAY(D1432)=DAY($L$1+1),TRUNC((#REF!),8),E1431)</f>
        <v/>
      </c>
      <c r="F1432" s="49">
        <f>TRUNC(((1+VLOOKUP(A1432,IPCA!$A$2:$C$140,3,0)))^(C1432/(EDATE(D1432-C1432,1)-(D1432-C1432))),8)</f>
        <v/>
      </c>
      <c r="G1432" s="49">
        <f>TRUNC((E1432*F1432),8)</f>
        <v/>
      </c>
      <c r="H1432" s="49">
        <f>ROUND(((1+$H$4)^(30/360))^(C1432/(EDATE(D1432-B1432,1)-(D1432-B1432))),9)</f>
        <v/>
      </c>
      <c r="I1432" s="49">
        <f>TRUNC((G1432*H1432-G1432),8)</f>
        <v/>
      </c>
      <c r="J1432" s="49">
        <f>G1432+I1432</f>
        <v/>
      </c>
      <c r="K1432" s="256" t="n"/>
      <c r="L1432" s="256" t="n"/>
      <c r="M1432" s="256" t="n"/>
      <c r="N1432" s="256" t="n"/>
      <c r="O1432" s="256" t="n"/>
      <c r="P1432" s="256" t="n"/>
      <c r="Q1432" s="256" t="n"/>
    </row>
    <row r="1433">
      <c r="A1433">
        <f>IF(DAY(D1433)=DAY($L$1+1),A1432+1,A1432)</f>
        <v/>
      </c>
      <c r="B1433" s="46">
        <f>IF(DAY(D1433)=DAY($L$1+1),1,B1432+1)</f>
        <v/>
      </c>
      <c r="C1433" s="46">
        <f>IF(DAY(D1433)=DAY($L$1+1),1,C1432+1)</f>
        <v/>
      </c>
      <c r="D1433" s="2">
        <f>D1432+1</f>
        <v/>
      </c>
      <c r="E1433" s="8">
        <f>IF(DAY(D1433)=DAY($L$1+1),TRUNC((N1432),8),E1432)</f>
        <v/>
      </c>
      <c r="F1433" s="49">
        <f>TRUNC(((1+VLOOKUP(A1433,IPCA!$A$2:$C$140,3,0)))^(C1433/(EDATE(D1433-C1433,1)-(D1433-C1433))),8)</f>
        <v/>
      </c>
      <c r="G1433" s="49">
        <f>TRUNC((E1433*F1433),8)</f>
        <v/>
      </c>
      <c r="H1433" s="49">
        <f>ROUND(((1+$H$4)^(30/360))^(C1433/(EDATE(D1433-B1433,1)-(D1433-B1433))),9)</f>
        <v/>
      </c>
      <c r="I1433" s="49">
        <f>TRUNC((G1433*H1433-G1433),8)</f>
        <v/>
      </c>
      <c r="J1433" s="49">
        <f>G1433+I1433</f>
        <v/>
      </c>
      <c r="K1433" s="256" t="n"/>
      <c r="L1433" s="256" t="n"/>
      <c r="M1433" s="256" t="n"/>
      <c r="N1433" s="256" t="n"/>
      <c r="O1433" s="256" t="n"/>
      <c r="P1433" s="256" t="n"/>
      <c r="Q1433" s="256" t="n"/>
    </row>
    <row r="1434">
      <c r="A1434">
        <f>IF(DAY(D1434)=DAY($L$1+1),A1433+1,A1433)</f>
        <v/>
      </c>
      <c r="B1434" s="46">
        <f>IF(DAY(D1434)=DAY($L$1+1),1,B1433+1)</f>
        <v/>
      </c>
      <c r="C1434" s="46">
        <f>IF(DAY(D1434)=DAY($L$1+1),1,C1433+1)</f>
        <v/>
      </c>
      <c r="D1434" s="2">
        <f>D1433+1</f>
        <v/>
      </c>
      <c r="E1434" s="8">
        <f>IF(DAY(D1434)=DAY($L$1+1),TRUNC((N1433),8),E1433)</f>
        <v/>
      </c>
      <c r="F1434" s="49">
        <f>TRUNC(((1+VLOOKUP(A1434,IPCA!$A$2:$C$140,3,0)))^(C1434/(EDATE(D1434-C1434,1)-(D1434-C1434))),8)</f>
        <v/>
      </c>
      <c r="G1434" s="49">
        <f>TRUNC((E1434*F1434),8)</f>
        <v/>
      </c>
      <c r="H1434" s="49">
        <f>ROUND(((1+$H$4)^(30/360))^(C1434/(EDATE(D1434-B1434,1)-(D1434-B1434))),9)</f>
        <v/>
      </c>
      <c r="I1434" s="49">
        <f>TRUNC((G1434*H1434-G1434),8)</f>
        <v/>
      </c>
      <c r="J1434" s="49">
        <f>G1434+I1434</f>
        <v/>
      </c>
      <c r="K1434" s="256" t="n"/>
      <c r="L1434" s="256" t="n"/>
      <c r="M1434" s="256" t="n"/>
      <c r="N1434" s="256" t="n"/>
      <c r="O1434" s="256" t="n"/>
      <c r="P1434" s="256" t="n"/>
      <c r="Q1434" s="256" t="n"/>
    </row>
    <row r="1435">
      <c r="A1435">
        <f>IF(DAY(D1435)=DAY($L$1+1),A1434+1,A1434)</f>
        <v/>
      </c>
      <c r="B1435" s="46">
        <f>IF(DAY(D1435)=DAY($L$1+1),1,B1434+1)</f>
        <v/>
      </c>
      <c r="C1435" s="46">
        <f>IF(DAY(D1435)=DAY($L$1+1),1,C1434+1)</f>
        <v/>
      </c>
      <c r="D1435" s="2">
        <f>D1434+1</f>
        <v/>
      </c>
      <c r="E1435" s="8">
        <f>IF(DAY(D1435)=DAY($L$1+1),TRUNC((N1434),8),E1434)</f>
        <v/>
      </c>
      <c r="F1435" s="49">
        <f>TRUNC(((1+VLOOKUP(A1435,IPCA!$A$2:$C$140,3,0)))^(C1435/(EDATE(D1435-C1435,1)-(D1435-C1435))),8)</f>
        <v/>
      </c>
      <c r="G1435" s="49">
        <f>TRUNC((E1435*F1435),8)</f>
        <v/>
      </c>
      <c r="H1435" s="49">
        <f>ROUND(((1+$H$4)^(30/360))^(C1435/(EDATE(D1435-B1435,1)-(D1435-B1435))),9)</f>
        <v/>
      </c>
      <c r="I1435" s="49">
        <f>TRUNC((G1435*H1435-G1435),8)</f>
        <v/>
      </c>
      <c r="J1435" s="49">
        <f>G1435+I1435</f>
        <v/>
      </c>
      <c r="K1435" s="123" t="n"/>
      <c r="L1435" s="271" t="n"/>
      <c r="M1435" s="256" t="n"/>
      <c r="N1435" s="256" t="n"/>
      <c r="O1435" s="256" t="n"/>
      <c r="P1435" s="256" t="n"/>
      <c r="Q1435" s="256" t="n"/>
    </row>
    <row r="1436">
      <c r="A1436">
        <f>IF(DAY(D1436)=DAY($L$1+1),A1435+1,A1435)</f>
        <v/>
      </c>
      <c r="B1436" s="46">
        <f>IF(DAY(D1436)=DAY($L$1+1),1,B1435+1)</f>
        <v/>
      </c>
      <c r="C1436" s="46">
        <f>IF(DAY(D1436)=DAY($L$1+1),1,C1435+1)</f>
        <v/>
      </c>
      <c r="D1436" s="2">
        <f>D1435+1</f>
        <v/>
      </c>
      <c r="E1436" s="8">
        <f>IF(DAY(D1436)=DAY($L$1+1),TRUNC((N1435),8),E1435)</f>
        <v/>
      </c>
      <c r="F1436" s="49">
        <f>TRUNC(((1+VLOOKUP(A1436,IPCA!$A$2:$C$140,3,0)))^(C1436/(EDATE(D1436-C1436,1)-(D1436-C1436))),8)</f>
        <v/>
      </c>
      <c r="G1436" s="49">
        <f>TRUNC((E1436*F1436),8)</f>
        <v/>
      </c>
      <c r="H1436" s="49">
        <f>ROUND(((1+$H$4)^(30/360))^(C1436/(EDATE(D1436-B1436,1)-(D1436-B1436))),9)</f>
        <v/>
      </c>
      <c r="I1436" s="49">
        <f>TRUNC((G1436*H1436-G1436),8)</f>
        <v/>
      </c>
      <c r="J1436" s="49">
        <f>G1436+I1436</f>
        <v/>
      </c>
      <c r="K1436" s="256" t="n"/>
      <c r="L1436" s="256" t="n"/>
      <c r="M1436" s="256" t="n"/>
      <c r="N1436" s="256" t="n"/>
      <c r="O1436" s="256" t="n"/>
      <c r="P1436" s="256" t="n"/>
      <c r="Q1436" s="256" t="n"/>
    </row>
    <row r="1437">
      <c r="A1437">
        <f>IF(DAY(D1437)=DAY($L$1+1),A1436+1,A1436)</f>
        <v/>
      </c>
      <c r="B1437" s="46">
        <f>IF(DAY(D1437)=DAY($L$1+1),1,B1436+1)</f>
        <v/>
      </c>
      <c r="C1437" s="46">
        <f>IF(DAY(D1437)=DAY($L$1+1),1,C1436+1)</f>
        <v/>
      </c>
      <c r="D1437" s="2">
        <f>D1436+1</f>
        <v/>
      </c>
      <c r="E1437" s="8">
        <f>IF(DAY(D1437)=DAY($L$1+1),TRUNC((N1436),8),E1436)</f>
        <v/>
      </c>
      <c r="F1437" s="49">
        <f>TRUNC(((1+VLOOKUP(A1437,IPCA!$A$2:$C$140,3,0)))^(C1437/(EDATE(D1437-C1437,1)-(D1437-C1437))),8)</f>
        <v/>
      </c>
      <c r="G1437" s="49">
        <f>TRUNC((E1437*F1437),8)</f>
        <v/>
      </c>
      <c r="H1437" s="49">
        <f>ROUND(((1+$H$4)^(30/360))^(C1437/(EDATE(D1437-B1437,1)-(D1437-B1437))),9)</f>
        <v/>
      </c>
      <c r="I1437" s="49">
        <f>TRUNC((G1437*H1437-G1437),8)</f>
        <v/>
      </c>
      <c r="J1437" s="49">
        <f>G1437+I1437</f>
        <v/>
      </c>
      <c r="K1437" s="256" t="n"/>
      <c r="L1437" s="256" t="n"/>
      <c r="M1437" s="256" t="n"/>
      <c r="N1437" s="256" t="n"/>
      <c r="O1437" s="256" t="n"/>
      <c r="P1437" s="256" t="n"/>
      <c r="Q1437" s="256" t="n"/>
    </row>
    <row r="1438">
      <c r="A1438">
        <f>IF(DAY(D1438)=DAY($L$1+1),A1437+1,A1437)</f>
        <v/>
      </c>
      <c r="B1438" s="46">
        <f>IF(DAY(D1438)=DAY($L$1+1),1,B1437+1)</f>
        <v/>
      </c>
      <c r="C1438" s="46">
        <f>IF(DAY(D1438)=DAY($L$1+1),1,C1437+1)</f>
        <v/>
      </c>
      <c r="D1438" s="2">
        <f>D1437+1</f>
        <v/>
      </c>
      <c r="E1438" s="8">
        <f>IF(DAY(D1438)=DAY($L$1+1),TRUNC((N1437),8),E1437)</f>
        <v/>
      </c>
      <c r="F1438" s="49">
        <f>TRUNC(((1+VLOOKUP(A1438,IPCA!$A$2:$C$140,3,0)))^(C1438/(EDATE(D1438-C1438,1)-(D1438-C1438))),8)</f>
        <v/>
      </c>
      <c r="G1438" s="49">
        <f>TRUNC((E1438*F1438),8)</f>
        <v/>
      </c>
      <c r="H1438" s="49">
        <f>ROUND(((1+$H$4)^(30/360))^(C1438/(EDATE(D1438-B1438,1)-(D1438-B1438))),9)</f>
        <v/>
      </c>
      <c r="I1438" s="49">
        <f>TRUNC((G1438*H1438-G1438),8)</f>
        <v/>
      </c>
      <c r="J1438" s="49">
        <f>G1438+I1438</f>
        <v/>
      </c>
      <c r="K1438" s="256" t="n"/>
      <c r="L1438" s="256" t="n"/>
      <c r="M1438" s="256" t="n"/>
      <c r="N1438" s="256" t="n"/>
      <c r="O1438" s="256" t="n"/>
      <c r="P1438" s="256" t="n"/>
      <c r="Q1438" s="256" t="n"/>
    </row>
    <row r="1439">
      <c r="A1439">
        <f>IF(DAY(D1439)=DAY($L$1+1),A1438+1,A1438)</f>
        <v/>
      </c>
      <c r="B1439" s="46">
        <f>IF(DAY(D1439)=DAY($L$1+1),1,B1438+1)</f>
        <v/>
      </c>
      <c r="C1439" s="46">
        <f>IF(DAY(D1439)=DAY($L$1+1),1,C1438+1)</f>
        <v/>
      </c>
      <c r="D1439" s="2">
        <f>D1438+1</f>
        <v/>
      </c>
      <c r="E1439" s="8">
        <f>IF(DAY(D1439)=DAY($L$1+1),TRUNC((N1438),8),E1438)</f>
        <v/>
      </c>
      <c r="F1439" s="49">
        <f>TRUNC(((1+VLOOKUP(A1439,IPCA!$A$2:$C$140,3,0)))^(C1439/(EDATE(D1439-C1439,1)-(D1439-C1439))),8)</f>
        <v/>
      </c>
      <c r="G1439" s="49">
        <f>TRUNC((E1439*F1439),8)</f>
        <v/>
      </c>
      <c r="H1439" s="49">
        <f>ROUND(((1+$H$4)^(30/360))^(C1439/(EDATE(D1439-B1439,1)-(D1439-B1439))),9)</f>
        <v/>
      </c>
      <c r="I1439" s="49">
        <f>TRUNC((G1439*H1439-G1439),8)</f>
        <v/>
      </c>
      <c r="J1439" s="49">
        <f>G1439+I1439</f>
        <v/>
      </c>
      <c r="K1439" s="256" t="n"/>
      <c r="L1439" s="256" t="n"/>
      <c r="M1439" s="256" t="n"/>
      <c r="N1439" s="256" t="n"/>
      <c r="O1439" s="256" t="n"/>
      <c r="P1439" s="256" t="n"/>
      <c r="Q1439" s="256" t="n"/>
    </row>
    <row r="1440">
      <c r="A1440">
        <f>IF(DAY(D1440)=DAY($L$1+1),A1439+1,A1439)</f>
        <v/>
      </c>
      <c r="B1440" s="46">
        <f>IF(DAY(D1440)=DAY($L$1+1),1,B1439+1)</f>
        <v/>
      </c>
      <c r="C1440" s="46">
        <f>IF(DAY(D1440)=DAY($L$1+1),1,C1439+1)</f>
        <v/>
      </c>
      <c r="D1440" s="2">
        <f>D1439+1</f>
        <v/>
      </c>
      <c r="E1440" s="8">
        <f>IF(DAY(D1440)=DAY($L$1+1),TRUNC((N1439),8),E1439)</f>
        <v/>
      </c>
      <c r="F1440" s="49">
        <f>TRUNC(((1+VLOOKUP(A1440,IPCA!$A$2:$C$140,3,0)))^(C1440/(EDATE(D1440-C1440,1)-(D1440-C1440))),8)</f>
        <v/>
      </c>
      <c r="G1440" s="49">
        <f>TRUNC((E1440*F1440),8)</f>
        <v/>
      </c>
      <c r="H1440" s="49">
        <f>ROUND(((1+$H$4)^(30/360))^(C1440/(EDATE(D1440-B1440,1)-(D1440-B1440))),9)</f>
        <v/>
      </c>
      <c r="I1440" s="49">
        <f>TRUNC((G1440*H1440-G1440),8)</f>
        <v/>
      </c>
      <c r="J1440" s="49">
        <f>G1440+I1440</f>
        <v/>
      </c>
      <c r="K1440" s="256" t="n"/>
      <c r="L1440" s="256" t="n"/>
      <c r="M1440" s="256" t="n"/>
      <c r="N1440" s="256" t="n"/>
      <c r="O1440" s="256" t="n"/>
      <c r="P1440" s="256" t="n"/>
      <c r="Q1440" s="256" t="n"/>
    </row>
    <row r="1441">
      <c r="A1441">
        <f>IF(DAY(D1441)=DAY($L$1+1),A1440+1,A1440)</f>
        <v/>
      </c>
      <c r="B1441" s="46">
        <f>IF(DAY(D1441)=DAY($L$1+1),1,B1440+1)</f>
        <v/>
      </c>
      <c r="C1441" s="46">
        <f>IF(DAY(D1441)=DAY($L$1+1),1,C1440+1)</f>
        <v/>
      </c>
      <c r="D1441" s="2">
        <f>D1440+1</f>
        <v/>
      </c>
      <c r="E1441" s="8">
        <f>IF(DAY(D1441)=DAY($L$1+1),TRUNC((N1440),8),E1440)</f>
        <v/>
      </c>
      <c r="F1441" s="49">
        <f>TRUNC(((1+VLOOKUP(A1441,IPCA!$A$2:$C$140,3,0)))^(C1441/(EDATE(D1441-C1441,1)-(D1441-C1441))),8)</f>
        <v/>
      </c>
      <c r="G1441" s="49">
        <f>TRUNC((E1441*F1441),8)</f>
        <v/>
      </c>
      <c r="H1441" s="49">
        <f>ROUND(((1+$H$4)^(30/360))^(C1441/(EDATE(D1441-B1441,1)-(D1441-B1441))),9)</f>
        <v/>
      </c>
      <c r="I1441" s="49">
        <f>TRUNC((G1441*H1441-G1441),8)</f>
        <v/>
      </c>
      <c r="J1441" s="49">
        <f>G1441+I1441</f>
        <v/>
      </c>
      <c r="K1441" s="256" t="n"/>
      <c r="L1441" s="256" t="n"/>
      <c r="M1441" s="256" t="n"/>
      <c r="N1441" s="256" t="n"/>
      <c r="O1441" s="256" t="n"/>
      <c r="P1441" s="256" t="n"/>
      <c r="Q1441" s="256" t="n"/>
    </row>
    <row r="1442">
      <c r="A1442">
        <f>IF(DAY(D1442)=DAY($L$1+1),A1441+1,A1441)</f>
        <v/>
      </c>
      <c r="B1442" s="46">
        <f>IF(DAY(D1442)=DAY($L$1+1),1,B1441+1)</f>
        <v/>
      </c>
      <c r="C1442" s="46">
        <f>IF(DAY(D1442)=DAY($L$1+1),1,C1441+1)</f>
        <v/>
      </c>
      <c r="D1442" s="2">
        <f>D1441+1</f>
        <v/>
      </c>
      <c r="E1442" s="8">
        <f>IF(DAY(D1442)=DAY($L$1+1),TRUNC((N1441),8),E1441)</f>
        <v/>
      </c>
      <c r="F1442" s="49">
        <f>TRUNC(((1+VLOOKUP(A1442,IPCA!$A$2:$C$140,3,0)))^(C1442/(EDATE(D1442-C1442,1)-(D1442-C1442))),8)</f>
        <v/>
      </c>
      <c r="G1442" s="49">
        <f>TRUNC((E1442*F1442),8)</f>
        <v/>
      </c>
      <c r="H1442" s="49">
        <f>ROUND(((1+$H$4)^(30/360))^(C1442/(EDATE(D1442-B1442,1)-(D1442-B1442))),9)</f>
        <v/>
      </c>
      <c r="I1442" s="49">
        <f>TRUNC((G1442*H1442-G1442),8)</f>
        <v/>
      </c>
      <c r="J1442" s="49">
        <f>G1442+I1442</f>
        <v/>
      </c>
      <c r="K1442" s="256" t="n"/>
      <c r="L1442" s="256" t="n"/>
      <c r="M1442" s="256" t="n"/>
      <c r="N1442" s="256" t="n"/>
      <c r="O1442" s="256" t="n"/>
      <c r="P1442" s="256" t="n"/>
      <c r="Q1442" s="256" t="n"/>
    </row>
    <row r="1443">
      <c r="A1443">
        <f>IF(DAY(D1443)=DAY($L$1+1),A1442+1,A1442)</f>
        <v/>
      </c>
      <c r="B1443" s="46">
        <f>IF(DAY(D1443)=DAY($L$1+1),1,B1442+1)</f>
        <v/>
      </c>
      <c r="C1443" s="46">
        <f>IF(DAY(D1443)=DAY($L$1+1),1,C1442+1)</f>
        <v/>
      </c>
      <c r="D1443" s="2">
        <f>D1442+1</f>
        <v/>
      </c>
      <c r="E1443" s="8">
        <f>IF(DAY(D1443)=DAY($L$1+1),TRUNC((N1442),8),E1442)</f>
        <v/>
      </c>
      <c r="F1443" s="49">
        <f>TRUNC(((1+VLOOKUP(A1443,IPCA!$A$2:$C$140,3,0)))^(C1443/(EDATE(D1443-C1443,1)-(D1443-C1443))),8)</f>
        <v/>
      </c>
      <c r="G1443" s="49">
        <f>TRUNC((E1443*F1443),8)</f>
        <v/>
      </c>
      <c r="H1443" s="49">
        <f>ROUND(((1+$H$4)^(30/360))^(C1443/(EDATE(D1443-B1443,1)-(D1443-B1443))),9)</f>
        <v/>
      </c>
      <c r="I1443" s="49">
        <f>TRUNC((G1443*H1443-G1443),8)</f>
        <v/>
      </c>
      <c r="J1443" s="49">
        <f>G1443+I1443</f>
        <v/>
      </c>
      <c r="K1443" s="256" t="n"/>
      <c r="L1443" s="256" t="n"/>
      <c r="M1443" s="256" t="n"/>
      <c r="N1443" s="256" t="n"/>
      <c r="O1443" s="256" t="n"/>
      <c r="P1443" s="256" t="n"/>
      <c r="Q1443" s="256" t="n"/>
    </row>
    <row r="1444">
      <c r="A1444">
        <f>IF(DAY(D1444)=DAY($L$1+1),A1443+1,A1443)</f>
        <v/>
      </c>
      <c r="B1444" s="46">
        <f>IF(DAY(D1444)=DAY($L$1+1),1,B1443+1)</f>
        <v/>
      </c>
      <c r="C1444" s="46">
        <f>IF(DAY(D1444)=DAY($L$1+1),1,C1443+1)</f>
        <v/>
      </c>
      <c r="D1444" s="2">
        <f>D1443+1</f>
        <v/>
      </c>
      <c r="E1444" s="8">
        <f>IF(DAY(D1444)=DAY($L$1+1),TRUNC((N1443),8),E1443)</f>
        <v/>
      </c>
      <c r="F1444" s="49">
        <f>TRUNC(((1+VLOOKUP(A1444,IPCA!$A$2:$C$140,3,0)))^(C1444/(EDATE(D1444-C1444,1)-(D1444-C1444))),8)</f>
        <v/>
      </c>
      <c r="G1444" s="49">
        <f>TRUNC((E1444*F1444),8)</f>
        <v/>
      </c>
      <c r="H1444" s="49">
        <f>ROUND(((1+$H$4)^(30/360))^(C1444/(EDATE(D1444-B1444,1)-(D1444-B1444))),9)</f>
        <v/>
      </c>
      <c r="I1444" s="49">
        <f>TRUNC((G1444*H1444-G1444),8)</f>
        <v/>
      </c>
      <c r="J1444" s="49">
        <f>G1444+I1444</f>
        <v/>
      </c>
      <c r="K1444" s="256" t="n"/>
      <c r="L1444" s="256" t="n"/>
      <c r="M1444" s="256" t="n"/>
      <c r="N1444" s="256" t="n"/>
      <c r="O1444" s="256" t="n"/>
      <c r="P1444" s="256" t="n"/>
      <c r="Q1444" s="256" t="n"/>
    </row>
    <row r="1445">
      <c r="A1445">
        <f>IF(DAY(D1445)=DAY($L$1+1),A1444+1,A1444)</f>
        <v/>
      </c>
      <c r="B1445" s="46">
        <f>IF(DAY(D1445)=DAY($L$1+1),1,B1444+1)</f>
        <v/>
      </c>
      <c r="C1445" s="46">
        <f>IF(DAY(D1445)=DAY($L$1+1),1,C1444+1)</f>
        <v/>
      </c>
      <c r="D1445" s="2">
        <f>D1444+1</f>
        <v/>
      </c>
      <c r="E1445" s="8">
        <f>IF(DAY(D1445)=DAY($L$1+1),TRUNC((N1444),8),E1444)</f>
        <v/>
      </c>
      <c r="F1445" s="49">
        <f>TRUNC(((1+VLOOKUP(A1445,IPCA!$A$2:$C$140,3,0)))^(C1445/(EDATE(D1445-C1445,1)-(D1445-C1445))),8)</f>
        <v/>
      </c>
      <c r="G1445" s="49">
        <f>TRUNC((E1445*F1445),8)</f>
        <v/>
      </c>
      <c r="H1445" s="49">
        <f>ROUND(((1+$H$4)^(30/360))^(C1445/(EDATE(D1445-B1445,1)-(D1445-B1445))),9)</f>
        <v/>
      </c>
      <c r="I1445" s="49">
        <f>TRUNC((G1445*H1445-G1445),8)</f>
        <v/>
      </c>
      <c r="J1445" s="49">
        <f>G1445+I1445</f>
        <v/>
      </c>
      <c r="K1445" s="256" t="n"/>
      <c r="L1445" s="256" t="n"/>
      <c r="M1445" s="256" t="n"/>
      <c r="N1445" s="256" t="n"/>
      <c r="O1445" s="256" t="n"/>
      <c r="P1445" s="256" t="n"/>
      <c r="Q1445" s="256" t="n"/>
    </row>
    <row r="1446">
      <c r="A1446">
        <f>IF(DAY(D1446)=DAY($L$1+1),A1445+1,A1445)</f>
        <v/>
      </c>
      <c r="B1446" s="46">
        <f>IF(DAY(D1446)=DAY($L$1+1),1,B1445+1)</f>
        <v/>
      </c>
      <c r="C1446" s="46">
        <f>IF(DAY(D1446)=DAY($L$1+1),1,C1445+1)</f>
        <v/>
      </c>
      <c r="D1446" s="2">
        <f>D1445+1</f>
        <v/>
      </c>
      <c r="E1446" s="8">
        <f>IF(DAY(D1446)=DAY($L$1+1),TRUNC((N1445),8),E1445)</f>
        <v/>
      </c>
      <c r="F1446" s="49">
        <f>TRUNC(((1+VLOOKUP(A1446,IPCA!$A$2:$C$140,3,0)))^(C1446/(EDATE(D1446-C1446,1)-(D1446-C1446))),8)</f>
        <v/>
      </c>
      <c r="G1446" s="49">
        <f>TRUNC((E1446*F1446),8)</f>
        <v/>
      </c>
      <c r="H1446" s="49">
        <f>ROUND(((1+$H$4)^(30/360))^(C1446/(EDATE(D1446-B1446,1)-(D1446-B1446))),9)</f>
        <v/>
      </c>
      <c r="I1446" s="49">
        <f>TRUNC((G1446*H1446-G1446),8)</f>
        <v/>
      </c>
      <c r="J1446" s="49">
        <f>G1446+I1446</f>
        <v/>
      </c>
      <c r="K1446" s="256" t="n"/>
      <c r="L1446" s="256" t="n"/>
      <c r="M1446" s="256" t="n"/>
      <c r="N1446" s="256" t="n"/>
      <c r="O1446" s="256" t="n"/>
      <c r="P1446" s="256" t="n"/>
      <c r="Q1446" s="256" t="n"/>
    </row>
    <row r="1447">
      <c r="A1447">
        <f>IF(DAY(D1447)=DAY($L$1+1),A1446+1,A1446)</f>
        <v/>
      </c>
      <c r="B1447" s="46">
        <f>IF(DAY(D1447)=DAY($L$1+1),1,B1446+1)</f>
        <v/>
      </c>
      <c r="C1447" s="46">
        <f>IF(DAY(D1447)=DAY($L$1+1),1,C1446+1)</f>
        <v/>
      </c>
      <c r="D1447" s="2">
        <f>D1446+1</f>
        <v/>
      </c>
      <c r="E1447" s="8">
        <f>IF(DAY(D1447)=DAY($L$1+1),TRUNC((N1446),8),E1446)</f>
        <v/>
      </c>
      <c r="F1447" s="49">
        <f>TRUNC(((1+VLOOKUP(A1447,IPCA!$A$2:$C$140,3,0)))^(C1447/(EDATE(D1447-C1447,1)-(D1447-C1447))),8)</f>
        <v/>
      </c>
      <c r="G1447" s="49">
        <f>TRUNC((E1447*F1447),8)</f>
        <v/>
      </c>
      <c r="H1447" s="49">
        <f>ROUND(((1+$H$4)^(30/360))^(C1447/(EDATE(D1447-B1447,1)-(D1447-B1447))),9)</f>
        <v/>
      </c>
      <c r="I1447" s="49">
        <f>TRUNC((G1447*H1447-G1447),8)</f>
        <v/>
      </c>
      <c r="J1447" s="49">
        <f>G1447+I1447</f>
        <v/>
      </c>
      <c r="K1447" s="256" t="n"/>
      <c r="L1447" s="256" t="n"/>
      <c r="M1447" s="256" t="n"/>
      <c r="N1447" s="256" t="n"/>
      <c r="O1447" s="256" t="n"/>
      <c r="P1447" s="256" t="n"/>
      <c r="Q1447" s="256" t="n"/>
    </row>
    <row r="1448">
      <c r="A1448">
        <f>IF(DAY(D1448)=DAY($L$1+1),A1447+1,A1447)</f>
        <v/>
      </c>
      <c r="B1448" s="46">
        <f>IF(DAY(D1448)=DAY($L$1+1),1,B1447+1)</f>
        <v/>
      </c>
      <c r="C1448" s="46">
        <f>IF(DAY(D1448)=DAY($L$1+1),1,C1447+1)</f>
        <v/>
      </c>
      <c r="D1448" s="2">
        <f>D1447+1</f>
        <v/>
      </c>
      <c r="E1448" s="8">
        <f>IF(DAY(D1448)=DAY($L$1+1),TRUNC((N1447),8),E1447)</f>
        <v/>
      </c>
      <c r="F1448" s="49">
        <f>TRUNC(((1+VLOOKUP(A1448,IPCA!$A$2:$C$140,3,0)))^(C1448/(EDATE(D1448-C1448,1)-(D1448-C1448))),8)</f>
        <v/>
      </c>
      <c r="G1448" s="49">
        <f>TRUNC((E1448*F1448),8)</f>
        <v/>
      </c>
      <c r="H1448" s="49">
        <f>ROUND(((1+$H$4)^(30/360))^(C1448/(EDATE(D1448-B1448,1)-(D1448-B1448))),9)</f>
        <v/>
      </c>
      <c r="I1448" s="49">
        <f>TRUNC((G1448*H1448-G1448),8)</f>
        <v/>
      </c>
      <c r="J1448" s="49">
        <f>G1448+I1448</f>
        <v/>
      </c>
      <c r="K1448" s="256" t="inlineStr">
        <is>
          <t>Cri Integralizado</t>
        </is>
      </c>
      <c r="L1448" s="270">
        <f>L1417</f>
        <v/>
      </c>
      <c r="M1448" s="256" t="n"/>
      <c r="N1448" s="256" t="n"/>
      <c r="O1448" s="256" t="n"/>
      <c r="P1448" s="256" t="n"/>
      <c r="Q1448" s="256" t="n"/>
    </row>
    <row r="1449">
      <c r="A1449">
        <f>IF(DAY(D1449)=DAY($L$1+1),A1448+1,A1448)</f>
        <v/>
      </c>
      <c r="B1449" s="46">
        <f>IF(DAY(D1449)=DAY($L$1+1),1,B1448+1)</f>
        <v/>
      </c>
      <c r="C1449" s="46">
        <f>IF(DAY(D1449)=DAY($L$1+1),1,C1448+1)</f>
        <v/>
      </c>
      <c r="D1449" s="47">
        <f>D1448+1</f>
        <v/>
      </c>
      <c r="E1449" s="8">
        <f>IF(DAY(D1449)=DAY($L$1+1),TRUNC((N1448),8),E1448)</f>
        <v/>
      </c>
      <c r="F1449" s="49">
        <f>TRUNC(((1+VLOOKUP(A1449,IPCA!$A$2:$C$140,3,0)))^(C1449/(EDATE(D1449-C1449,1)-(D1449-C1449))),8)</f>
        <v/>
      </c>
      <c r="G1449" s="49">
        <f>TRUNC((E1449*F1449),8)</f>
        <v/>
      </c>
      <c r="H1449" s="49">
        <f>ROUND(((1+$H$4)^(30/360))^(C1449/(EDATE(D1449-B1449,1)-(D1449-B1449))),9)</f>
        <v/>
      </c>
      <c r="I1449" s="49">
        <f>TRUNC((G1449*H1449-G1449),8)</f>
        <v/>
      </c>
      <c r="J1449" s="49">
        <f>G1449+I1449</f>
        <v/>
      </c>
      <c r="K1449" s="118" t="inlineStr">
        <is>
          <t>JUROS</t>
        </is>
      </c>
      <c r="L1449" s="118" t="inlineStr">
        <is>
          <t>AMORTIZAÇÃO</t>
        </is>
      </c>
      <c r="M1449" s="118" t="inlineStr">
        <is>
          <t>AMEX</t>
        </is>
      </c>
      <c r="N1449" s="118" t="inlineStr">
        <is>
          <t>RESIDUAL</t>
        </is>
      </c>
      <c r="O1449" s="256" t="n"/>
      <c r="P1449" s="256" t="n"/>
      <c r="Q1449" s="256" t="n"/>
    </row>
    <row r="1450">
      <c r="A1450">
        <f>IF(DAY(D1450)=DAY($L$1+1),A1449+1,A1449)</f>
        <v/>
      </c>
      <c r="B1450" s="111">
        <f>IF(DAY(D1450)=DAY($L$1+1),1,B1449+1)</f>
        <v/>
      </c>
      <c r="C1450" s="111">
        <f>IF(DAY(D1450)=DAY($L$1+1),1,C1449+1)</f>
        <v/>
      </c>
      <c r="D1450" s="112">
        <f>D1449+1</f>
        <v/>
      </c>
      <c r="E1450" s="113">
        <f>IF(DAY(D1450)=DAY($L$1+1),TRUNC((N1449),8),E1449)</f>
        <v/>
      </c>
      <c r="F1450" s="114">
        <f>TRUNC(((1+VLOOKUP(A1450,IPCA!$A$2:$C$140,3,0)))^(C1450/(EDATE(D1450-C1450,1)-(D1450-C1450))),8)</f>
        <v/>
      </c>
      <c r="G1450" s="114">
        <f>TRUNC((E1450*F1450),8)</f>
        <v/>
      </c>
      <c r="H1450" s="114">
        <f>ROUND(((1+$H$4)^(30/360))^(C1450/(EDATE(D1450-B1450,1)-(D1450-B1450))),9)</f>
        <v/>
      </c>
      <c r="I1450" s="114">
        <f>TRUNC((G1450*H1450-G1450),8)</f>
        <v/>
      </c>
      <c r="J1450" s="114">
        <f>G1450+I1450</f>
        <v/>
      </c>
      <c r="K1450" s="119">
        <f>I1450</f>
        <v/>
      </c>
      <c r="L1450" s="120">
        <f>TRUNC(G1450*VLOOKUP(D1450,'Amort TS'!$G$3:$H$140,2,0),8)</f>
        <v/>
      </c>
      <c r="M1450" s="120" t="n">
        <v>0</v>
      </c>
      <c r="N1450" s="120">
        <f>J1450-K1450-L1450-M1450</f>
        <v/>
      </c>
      <c r="O1450" s="256" t="n"/>
      <c r="P1450" s="256" t="n"/>
      <c r="Q1450" s="256" t="n"/>
    </row>
    <row r="1451">
      <c r="A1451">
        <f>IF(DAY(D1451)=DAY($L$1+1),A1450+1,A1450)</f>
        <v/>
      </c>
      <c r="B1451" s="46">
        <f>IF(DAY(D1451)=DAY($L$1+1),1,B1450+1)</f>
        <v/>
      </c>
      <c r="C1451" s="46">
        <f>IF(DAY(D1451)=DAY($L$1+1),1,C1450+1)</f>
        <v/>
      </c>
      <c r="D1451" s="2">
        <f>D1450+1</f>
        <v/>
      </c>
      <c r="E1451" s="8">
        <f>IF(DAY(D1451)=DAY($L$1+1),TRUNC((N1450),8),E1450)</f>
        <v/>
      </c>
      <c r="F1451" s="49">
        <f>TRUNC(((1+VLOOKUP(A1451,IPCA!$A$2:$C$140,3,0)))^(C1451/(EDATE(D1451-C1451,1)-(D1451-C1451))),8)</f>
        <v/>
      </c>
      <c r="G1451" s="49">
        <f>TRUNC((E1451*F1451),8)</f>
        <v/>
      </c>
      <c r="H1451" s="49">
        <f>ROUND(((1+$H$4)^(30/360))^(C1451/(EDATE(D1451-B1451,1)-(D1451-B1451))),9)</f>
        <v/>
      </c>
      <c r="I1451" s="49">
        <f>TRUNC((G1451*H1451-G1451),8)</f>
        <v/>
      </c>
      <c r="J1451" s="49">
        <f>G1451+I1451</f>
        <v/>
      </c>
      <c r="K1451" s="121">
        <f>K1450*L1448</f>
        <v/>
      </c>
      <c r="L1451" s="121">
        <f>L1450*L1448</f>
        <v/>
      </c>
      <c r="M1451" s="121">
        <f>M1450*L1448</f>
        <v/>
      </c>
      <c r="N1451" s="121">
        <f>N1450*L1448</f>
        <v/>
      </c>
      <c r="O1451" s="256" t="n"/>
      <c r="P1451" s="256" t="n"/>
      <c r="Q1451" s="256" t="n"/>
    </row>
    <row r="1452">
      <c r="A1452">
        <f>IF(DAY(D1452)=DAY($L$1+1),A1451+1,A1451)</f>
        <v/>
      </c>
      <c r="B1452" s="46">
        <f>IF(DAY(D1452)=DAY($L$1+1),1,B1451+1)</f>
        <v/>
      </c>
      <c r="C1452" s="46">
        <f>IF(DAY(D1452)=DAY($L$1+1),1,C1451+1)</f>
        <v/>
      </c>
      <c r="D1452" s="47">
        <f>D1451+1</f>
        <v/>
      </c>
      <c r="E1452" s="8">
        <f>IF(DAY(D1452)=DAY($L$1+1),TRUNC((N1451),8),E1451)</f>
        <v/>
      </c>
      <c r="F1452" s="49">
        <f>TRUNC(((1+VLOOKUP(A1452,IPCA!$A$2:$C$140,3,0)))^(C1452/(EDATE(D1452-C1452,1)-(D1452-C1452))),8)</f>
        <v/>
      </c>
      <c r="G1452" s="49">
        <f>TRUNC((E1452*F1452),8)</f>
        <v/>
      </c>
      <c r="H1452" s="49">
        <f>ROUND(((1+$H$4)^(30/360))^(C1452/(EDATE(D1452-B1452,1)-(D1452-B1452))),9)</f>
        <v/>
      </c>
      <c r="I1452" s="49">
        <f>TRUNC((G1452*H1452-G1452),8)</f>
        <v/>
      </c>
      <c r="J1452" s="49">
        <f>G1452+I1452</f>
        <v/>
      </c>
      <c r="K1452" s="256" t="n"/>
      <c r="L1452" s="256" t="n"/>
      <c r="M1452" s="256" t="n"/>
      <c r="N1452" s="256" t="n"/>
      <c r="O1452" s="256" t="n"/>
      <c r="P1452" s="256" t="n"/>
      <c r="Q1452" s="256" t="n"/>
    </row>
    <row r="1453">
      <c r="A1453">
        <f>IF(DAY(D1453)=DAY($L$1+1),A1452+1,A1452)</f>
        <v/>
      </c>
      <c r="B1453" s="46">
        <f>IF(DAY(D1453)=DAY($L$1+1),1,B1452+1)</f>
        <v/>
      </c>
      <c r="C1453" s="46">
        <f>IF(DAY(D1453)=DAY($L$1+1),1,C1452+1)</f>
        <v/>
      </c>
      <c r="D1453" s="2">
        <f>D1452+1</f>
        <v/>
      </c>
      <c r="E1453" s="8">
        <f>IF(DAY(D1453)=DAY($L$1+1),TRUNC((#REF!),8),E1452)</f>
        <v/>
      </c>
      <c r="F1453" s="49">
        <f>TRUNC(((1+VLOOKUP(A1453,IPCA!$A$2:$C$140,3,0)))^(C1453/(EDATE(D1453-C1453,1)-(D1453-C1453))),8)</f>
        <v/>
      </c>
      <c r="G1453" s="49">
        <f>TRUNC((E1453*F1453),8)</f>
        <v/>
      </c>
      <c r="H1453" s="49">
        <f>ROUND(((1+$H$4)^(30/360))^(C1453/(EDATE(D1453-B1453,1)-(D1453-B1453))),9)</f>
        <v/>
      </c>
      <c r="I1453" s="49">
        <f>TRUNC((G1453*H1453-G1453),8)</f>
        <v/>
      </c>
      <c r="J1453" s="49">
        <f>G1453+I1453</f>
        <v/>
      </c>
      <c r="K1453" s="256" t="n"/>
      <c r="L1453" s="256" t="n"/>
      <c r="M1453" s="256" t="n"/>
      <c r="N1453" s="256" t="n"/>
      <c r="O1453" s="256" t="n"/>
      <c r="P1453" s="256" t="n"/>
      <c r="Q1453" s="256" t="n"/>
    </row>
    <row r="1454">
      <c r="A1454">
        <f>IF(DAY(D1454)=DAY($L$1+1),A1453+1,A1453)</f>
        <v/>
      </c>
      <c r="B1454" s="46">
        <f>IF(DAY(D1454)=DAY($L$1+1),1,B1453+1)</f>
        <v/>
      </c>
      <c r="C1454" s="46">
        <f>IF(DAY(D1454)=DAY($L$1+1),1,C1453+1)</f>
        <v/>
      </c>
      <c r="D1454" s="2">
        <f>D1453+1</f>
        <v/>
      </c>
      <c r="E1454" s="8">
        <f>IF(DAY(D1454)=DAY($L$1+1),TRUNC((#REF!),8),E1453)</f>
        <v/>
      </c>
      <c r="F1454" s="49">
        <f>TRUNC(((1+VLOOKUP(A1454,IPCA!$A$2:$C$140,3,0)))^(C1454/(EDATE(D1454-C1454,1)-(D1454-C1454))),8)</f>
        <v/>
      </c>
      <c r="G1454" s="49">
        <f>TRUNC((E1454*F1454),8)</f>
        <v/>
      </c>
      <c r="H1454" s="49">
        <f>ROUND(((1+$H$4)^(30/360))^(C1454/(EDATE(D1454-B1454,1)-(D1454-B1454))),9)</f>
        <v/>
      </c>
      <c r="I1454" s="49">
        <f>TRUNC((G1454*H1454-G1454),8)</f>
        <v/>
      </c>
      <c r="J1454" s="49">
        <f>G1454+I1454</f>
        <v/>
      </c>
      <c r="K1454" s="256" t="n"/>
      <c r="L1454" s="256" t="n"/>
      <c r="M1454" s="256" t="n"/>
      <c r="N1454" s="256" t="n"/>
      <c r="O1454" s="256" t="n"/>
      <c r="P1454" s="256" t="n"/>
      <c r="Q1454" s="256" t="n"/>
    </row>
    <row r="1455">
      <c r="A1455">
        <f>IF(DAY(D1455)=DAY($L$1+1),A1454+1,A1454)</f>
        <v/>
      </c>
      <c r="B1455" s="46">
        <f>IF(DAY(D1455)=DAY($L$1+1),1,B1454+1)</f>
        <v/>
      </c>
      <c r="C1455" s="46">
        <f>IF(DAY(D1455)=DAY($L$1+1),1,C1454+1)</f>
        <v/>
      </c>
      <c r="D1455" s="2">
        <f>D1454+1</f>
        <v/>
      </c>
      <c r="E1455" s="8">
        <f>IF(DAY(D1455)=DAY($L$1+1),TRUNC((#REF!),8),E1454)</f>
        <v/>
      </c>
      <c r="F1455" s="49">
        <f>TRUNC(((1+VLOOKUP(A1455,IPCA!$A$2:$C$140,3,0)))^(C1455/(EDATE(D1455-C1455,1)-(D1455-C1455))),8)</f>
        <v/>
      </c>
      <c r="G1455" s="49">
        <f>TRUNC((E1455*F1455),8)</f>
        <v/>
      </c>
      <c r="H1455" s="49">
        <f>ROUND(((1+$H$4)^(30/360))^(C1455/(EDATE(D1455-B1455,1)-(D1455-B1455))),9)</f>
        <v/>
      </c>
      <c r="I1455" s="49">
        <f>TRUNC((G1455*H1455-G1455),8)</f>
        <v/>
      </c>
      <c r="J1455" s="49">
        <f>G1455+I1455</f>
        <v/>
      </c>
      <c r="K1455" s="256" t="n"/>
      <c r="L1455" s="256" t="n"/>
      <c r="M1455" s="256" t="n"/>
      <c r="N1455" s="256" t="n"/>
      <c r="O1455" s="256" t="n"/>
      <c r="P1455" s="256" t="n"/>
      <c r="Q1455" s="256" t="n"/>
    </row>
    <row r="1456">
      <c r="A1456">
        <f>IF(DAY(D1456)=DAY($L$1+1),A1455+1,A1455)</f>
        <v/>
      </c>
      <c r="B1456" s="46">
        <f>IF(DAY(D1456)=DAY($L$1+1),1,B1455+1)</f>
        <v/>
      </c>
      <c r="C1456" s="46">
        <f>IF(DAY(D1456)=DAY($L$1+1),1,C1455+1)</f>
        <v/>
      </c>
      <c r="D1456" s="2">
        <f>D1455+1</f>
        <v/>
      </c>
      <c r="E1456" s="8">
        <f>IF(DAY(D1456)=DAY($L$1+1),TRUNC((#REF!),8),E1455)</f>
        <v/>
      </c>
      <c r="F1456" s="49">
        <f>TRUNC(((1+VLOOKUP(A1456,IPCA!$A$2:$C$140,3,0)))^(C1456/(EDATE(D1456-C1456,1)-(D1456-C1456))),8)</f>
        <v/>
      </c>
      <c r="G1456" s="49">
        <f>TRUNC((E1456*F1456),8)</f>
        <v/>
      </c>
      <c r="H1456" s="49">
        <f>ROUND(((1+$H$4)^(30/360))^(C1456/(EDATE(D1456-B1456,1)-(D1456-B1456))),9)</f>
        <v/>
      </c>
      <c r="I1456" s="49">
        <f>TRUNC((G1456*H1456-G1456),8)</f>
        <v/>
      </c>
      <c r="J1456" s="49">
        <f>G1456+I1456</f>
        <v/>
      </c>
      <c r="K1456" s="256" t="n"/>
      <c r="L1456" s="256" t="n"/>
      <c r="M1456" s="256" t="n"/>
      <c r="N1456" s="256" t="n"/>
      <c r="O1456" s="256" t="n"/>
      <c r="P1456" s="256" t="n"/>
      <c r="Q1456" s="256" t="n"/>
    </row>
    <row r="1457">
      <c r="A1457">
        <f>IF(DAY(D1457)=DAY($L$1+1),A1456+1,A1456)</f>
        <v/>
      </c>
      <c r="B1457" s="46">
        <f>IF(DAY(D1457)=DAY($L$1+1),1,B1456+1)</f>
        <v/>
      </c>
      <c r="C1457" s="46">
        <f>IF(DAY(D1457)=DAY($L$1+1),1,C1456+1)</f>
        <v/>
      </c>
      <c r="D1457" s="2">
        <f>D1456+1</f>
        <v/>
      </c>
      <c r="E1457" s="8">
        <f>IF(DAY(D1457)=DAY($L$1+1),TRUNC((#REF!),8),E1456)</f>
        <v/>
      </c>
      <c r="F1457" s="49">
        <f>TRUNC(((1+VLOOKUP(A1457,IPCA!$A$2:$C$140,3,0)))^(C1457/(EDATE(D1457-C1457,1)-(D1457-C1457))),8)</f>
        <v/>
      </c>
      <c r="G1457" s="49">
        <f>TRUNC((E1457*F1457),8)</f>
        <v/>
      </c>
      <c r="H1457" s="49">
        <f>ROUND(((1+$H$4)^(30/360))^(C1457/(EDATE(D1457-B1457,1)-(D1457-B1457))),9)</f>
        <v/>
      </c>
      <c r="I1457" s="49">
        <f>TRUNC((G1457*H1457-G1457),8)</f>
        <v/>
      </c>
      <c r="J1457" s="49">
        <f>G1457+I1457</f>
        <v/>
      </c>
      <c r="K1457" s="256" t="n"/>
      <c r="L1457" s="256" t="n"/>
      <c r="M1457" s="256" t="n"/>
      <c r="N1457" s="256" t="n"/>
      <c r="O1457" s="256" t="n"/>
      <c r="P1457" s="256" t="n"/>
      <c r="Q1457" s="256" t="n"/>
    </row>
    <row r="1458">
      <c r="A1458">
        <f>IF(DAY(D1458)=DAY($L$1+1),A1457+1,A1457)</f>
        <v/>
      </c>
      <c r="B1458" s="46">
        <f>IF(DAY(D1458)=DAY($L$1+1),1,B1457+1)</f>
        <v/>
      </c>
      <c r="C1458" s="46">
        <f>IF(DAY(D1458)=DAY($L$1+1),1,C1457+1)</f>
        <v/>
      </c>
      <c r="D1458" s="2">
        <f>D1457+1</f>
        <v/>
      </c>
      <c r="E1458" s="8">
        <f>IF(DAY(D1458)=DAY($L$1+1),TRUNC((#REF!),8),E1457)</f>
        <v/>
      </c>
      <c r="F1458" s="49">
        <f>TRUNC(((1+VLOOKUP(A1458,IPCA!$A$2:$C$140,3,0)))^(C1458/(EDATE(D1458-C1458,1)-(D1458-C1458))),8)</f>
        <v/>
      </c>
      <c r="G1458" s="49">
        <f>TRUNC((E1458*F1458),8)</f>
        <v/>
      </c>
      <c r="H1458" s="49">
        <f>ROUND(((1+$H$4)^(30/360))^(C1458/(EDATE(D1458-B1458,1)-(D1458-B1458))),9)</f>
        <v/>
      </c>
      <c r="I1458" s="49">
        <f>TRUNC((G1458*H1458-G1458),8)</f>
        <v/>
      </c>
      <c r="J1458" s="49">
        <f>G1458+I1458</f>
        <v/>
      </c>
      <c r="K1458" s="256" t="n"/>
      <c r="L1458" s="256" t="n"/>
      <c r="M1458" s="256" t="n"/>
      <c r="N1458" s="256" t="n"/>
      <c r="O1458" s="256" t="n"/>
      <c r="P1458" s="256" t="n"/>
      <c r="Q1458" s="256" t="n"/>
    </row>
    <row r="1459">
      <c r="A1459">
        <f>IF(DAY(D1459)=DAY($L$1+1),A1458+1,A1458)</f>
        <v/>
      </c>
      <c r="B1459" s="46">
        <f>IF(DAY(D1459)=DAY($L$1+1),1,B1458+1)</f>
        <v/>
      </c>
      <c r="C1459" s="46">
        <f>IF(DAY(D1459)=DAY($L$1+1),1,C1458+1)</f>
        <v/>
      </c>
      <c r="D1459" s="2">
        <f>D1458+1</f>
        <v/>
      </c>
      <c r="E1459" s="8">
        <f>IF(DAY(D1459)=DAY($L$1+1),TRUNC((#REF!),8),E1458)</f>
        <v/>
      </c>
      <c r="F1459" s="49">
        <f>TRUNC(((1+VLOOKUP(A1459,IPCA!$A$2:$C$140,3,0)))^(C1459/(EDATE(D1459-C1459,1)-(D1459-C1459))),8)</f>
        <v/>
      </c>
      <c r="G1459" s="49">
        <f>TRUNC((E1459*F1459),8)</f>
        <v/>
      </c>
      <c r="H1459" s="49">
        <f>ROUND(((1+$H$4)^(30/360))^(C1459/(EDATE(D1459-B1459,1)-(D1459-B1459))),9)</f>
        <v/>
      </c>
      <c r="I1459" s="49">
        <f>TRUNC((G1459*H1459-G1459),8)</f>
        <v/>
      </c>
      <c r="J1459" s="49">
        <f>G1459+I1459</f>
        <v/>
      </c>
      <c r="K1459" s="256" t="n"/>
      <c r="L1459" s="256" t="n"/>
      <c r="M1459" s="256" t="n"/>
      <c r="N1459" s="256" t="n"/>
      <c r="O1459" s="256" t="n"/>
      <c r="P1459" s="256" t="n"/>
      <c r="Q1459" s="256" t="n"/>
    </row>
    <row r="1460">
      <c r="A1460">
        <f>IF(DAY(D1460)=DAY($L$1+1),A1459+1,A1459)</f>
        <v/>
      </c>
      <c r="B1460" s="46">
        <f>IF(DAY(D1460)=DAY($L$1+1),1,B1459+1)</f>
        <v/>
      </c>
      <c r="C1460" s="46">
        <f>IF(DAY(D1460)=DAY($L$1+1),1,C1459+1)</f>
        <v/>
      </c>
      <c r="D1460" s="2">
        <f>D1459+1</f>
        <v/>
      </c>
      <c r="E1460" s="8">
        <f>IF(DAY(D1460)=DAY($L$1+1),TRUNC((#REF!),8),E1459)</f>
        <v/>
      </c>
      <c r="F1460" s="49">
        <f>TRUNC(((1+VLOOKUP(A1460,IPCA!$A$2:$C$140,3,0)))^(C1460/(EDATE(D1460-C1460,1)-(D1460-C1460))),8)</f>
        <v/>
      </c>
      <c r="G1460" s="49">
        <f>TRUNC((E1460*F1460),8)</f>
        <v/>
      </c>
      <c r="H1460" s="49">
        <f>ROUND(((1+$H$4)^(30/360))^(C1460/(EDATE(D1460-B1460,1)-(D1460-B1460))),9)</f>
        <v/>
      </c>
      <c r="I1460" s="49">
        <f>TRUNC((G1460*H1460-G1460),8)</f>
        <v/>
      </c>
      <c r="J1460" s="49">
        <f>G1460+I1460</f>
        <v/>
      </c>
      <c r="K1460" s="256" t="n"/>
      <c r="L1460" s="256" t="n"/>
      <c r="M1460" s="256" t="n"/>
      <c r="N1460" s="256" t="n"/>
      <c r="O1460" s="256" t="n"/>
      <c r="P1460" s="256" t="n"/>
      <c r="Q1460" s="256" t="n"/>
    </row>
    <row r="1461">
      <c r="A1461">
        <f>IF(DAY(D1461)=DAY($L$1+1),A1460+1,A1460)</f>
        <v/>
      </c>
      <c r="B1461" s="46">
        <f>IF(DAY(D1461)=DAY($L$1+1),1,B1460+1)</f>
        <v/>
      </c>
      <c r="C1461" s="46">
        <f>IF(DAY(D1461)=DAY($L$1+1),1,C1460+1)</f>
        <v/>
      </c>
      <c r="D1461" s="2">
        <f>D1460+1</f>
        <v/>
      </c>
      <c r="E1461" s="8">
        <f>IF(DAY(D1461)=DAY($L$1+1),TRUNC((#REF!),8),E1460)</f>
        <v/>
      </c>
      <c r="F1461" s="49">
        <f>TRUNC(((1+VLOOKUP(A1461,IPCA!$A$2:$C$140,3,0)))^(C1461/(EDATE(D1461-C1461,1)-(D1461-C1461))),8)</f>
        <v/>
      </c>
      <c r="G1461" s="49">
        <f>TRUNC((E1461*F1461),8)</f>
        <v/>
      </c>
      <c r="H1461" s="49">
        <f>ROUND(((1+$H$4)^(30/360))^(C1461/(EDATE(D1461-B1461,1)-(D1461-B1461))),9)</f>
        <v/>
      </c>
      <c r="I1461" s="49">
        <f>TRUNC((G1461*H1461-G1461),8)</f>
        <v/>
      </c>
      <c r="J1461" s="49">
        <f>G1461+I1461</f>
        <v/>
      </c>
      <c r="K1461" s="256" t="n"/>
      <c r="L1461" s="256" t="n"/>
      <c r="M1461" s="256" t="n"/>
      <c r="N1461" s="256" t="n"/>
      <c r="O1461" s="256" t="n"/>
      <c r="P1461" s="256" t="n"/>
      <c r="Q1461" s="256" t="n"/>
    </row>
    <row r="1462">
      <c r="A1462">
        <f>IF(DAY(D1462)=DAY($L$1+1),A1461+1,A1461)</f>
        <v/>
      </c>
      <c r="B1462" s="46">
        <f>IF(DAY(D1462)=DAY($L$1+1),1,B1461+1)</f>
        <v/>
      </c>
      <c r="C1462" s="46">
        <f>IF(DAY(D1462)=DAY($L$1+1),1,C1461+1)</f>
        <v/>
      </c>
      <c r="D1462" s="2">
        <f>D1461+1</f>
        <v/>
      </c>
      <c r="E1462" s="8">
        <f>IF(DAY(D1462)=DAY($L$1+1),TRUNC((#REF!),8),E1461)</f>
        <v/>
      </c>
      <c r="F1462" s="49">
        <f>TRUNC(((1+VLOOKUP(A1462,IPCA!$A$2:$C$140,3,0)))^(C1462/(EDATE(D1462-C1462,1)-(D1462-C1462))),8)</f>
        <v/>
      </c>
      <c r="G1462" s="49">
        <f>TRUNC((E1462*F1462),8)</f>
        <v/>
      </c>
      <c r="H1462" s="49">
        <f>ROUND(((1+$H$4)^(30/360))^(C1462/(EDATE(D1462-B1462,1)-(D1462-B1462))),9)</f>
        <v/>
      </c>
      <c r="I1462" s="49">
        <f>TRUNC((G1462*H1462-G1462),8)</f>
        <v/>
      </c>
      <c r="J1462" s="49">
        <f>G1462+I1462</f>
        <v/>
      </c>
      <c r="K1462" s="256" t="n"/>
      <c r="L1462" s="256" t="n"/>
      <c r="M1462" s="256" t="n"/>
      <c r="N1462" s="256" t="n"/>
      <c r="O1462" s="256" t="n"/>
      <c r="P1462" s="256" t="n"/>
      <c r="Q1462" s="256" t="n"/>
    </row>
    <row r="1463">
      <c r="A1463">
        <f>IF(DAY(D1463)=DAY($L$1+1),A1462+1,A1462)</f>
        <v/>
      </c>
      <c r="B1463" s="46">
        <f>IF(DAY(D1463)=DAY($L$1+1),1,B1462+1)</f>
        <v/>
      </c>
      <c r="C1463" s="46">
        <f>IF(DAY(D1463)=DAY($L$1+1),1,C1462+1)</f>
        <v/>
      </c>
      <c r="D1463" s="2">
        <f>D1462+1</f>
        <v/>
      </c>
      <c r="E1463" s="8">
        <f>IF(DAY(D1463)=DAY($L$1+1),TRUNC((#REF!),8),E1462)</f>
        <v/>
      </c>
      <c r="F1463" s="49">
        <f>TRUNC(((1+VLOOKUP(A1463,IPCA!$A$2:$C$140,3,0)))^(C1463/(EDATE(D1463-C1463,1)-(D1463-C1463))),8)</f>
        <v/>
      </c>
      <c r="G1463" s="49">
        <f>TRUNC((E1463*F1463),8)</f>
        <v/>
      </c>
      <c r="H1463" s="49">
        <f>ROUND(((1+$H$4)^(30/360))^(C1463/(EDATE(D1463-B1463,1)-(D1463-B1463))),9)</f>
        <v/>
      </c>
      <c r="I1463" s="49">
        <f>TRUNC((G1463*H1463-G1463),8)</f>
        <v/>
      </c>
      <c r="J1463" s="49">
        <f>G1463+I1463</f>
        <v/>
      </c>
      <c r="K1463" s="256" t="n"/>
      <c r="L1463" s="256" t="n"/>
      <c r="M1463" s="256" t="n"/>
      <c r="N1463" s="256" t="n"/>
      <c r="O1463" s="256" t="n"/>
      <c r="P1463" s="256" t="n"/>
      <c r="Q1463" s="256" t="n"/>
    </row>
    <row r="1464">
      <c r="A1464">
        <f>IF(DAY(D1464)=DAY($L$1+1),A1463+1,A1463)</f>
        <v/>
      </c>
      <c r="B1464" s="46">
        <f>IF(DAY(D1464)=DAY($L$1+1),1,B1463+1)</f>
        <v/>
      </c>
      <c r="C1464" s="46">
        <f>IF(DAY(D1464)=DAY($L$1+1),1,C1463+1)</f>
        <v/>
      </c>
      <c r="D1464" s="2">
        <f>D1463+1</f>
        <v/>
      </c>
      <c r="E1464" s="8">
        <f>IF(DAY(D1464)=DAY($L$1+1),TRUNC((#REF!),8),E1463)</f>
        <v/>
      </c>
      <c r="F1464" s="49">
        <f>TRUNC(((1+VLOOKUP(A1464,IPCA!$A$2:$C$140,3,0)))^(C1464/(EDATE(D1464-C1464,1)-(D1464-C1464))),8)</f>
        <v/>
      </c>
      <c r="G1464" s="49">
        <f>TRUNC((E1464*F1464),8)</f>
        <v/>
      </c>
      <c r="H1464" s="49">
        <f>ROUND(((1+$H$4)^(30/360))^(C1464/(EDATE(D1464-B1464,1)-(D1464-B1464))),9)</f>
        <v/>
      </c>
      <c r="I1464" s="49">
        <f>TRUNC((G1464*H1464-G1464),8)</f>
        <v/>
      </c>
      <c r="J1464" s="49">
        <f>G1464+I1464</f>
        <v/>
      </c>
      <c r="K1464" s="256" t="n"/>
      <c r="L1464" s="256" t="n"/>
      <c r="M1464" s="256" t="n"/>
      <c r="N1464" s="256" t="n"/>
      <c r="O1464" s="256" t="n"/>
      <c r="P1464" s="256" t="n"/>
      <c r="Q1464" s="256" t="n"/>
    </row>
    <row r="1465">
      <c r="A1465">
        <f>IF(DAY(D1465)=DAY($L$1+1),A1464+1,A1464)</f>
        <v/>
      </c>
      <c r="B1465" s="46">
        <f>IF(DAY(D1465)=DAY($L$1+1),1,B1464+1)</f>
        <v/>
      </c>
      <c r="C1465" s="46">
        <f>IF(DAY(D1465)=DAY($L$1+1),1,C1464+1)</f>
        <v/>
      </c>
      <c r="D1465" s="2">
        <f>D1464+1</f>
        <v/>
      </c>
      <c r="E1465" s="8">
        <f>IF(DAY(D1465)=DAY($L$1+1),TRUNC((#REF!),8),E1464)</f>
        <v/>
      </c>
      <c r="F1465" s="49">
        <f>TRUNC(((1+VLOOKUP(A1465,IPCA!$A$2:$C$140,3,0)))^(C1465/(EDATE(D1465-C1465,1)-(D1465-C1465))),8)</f>
        <v/>
      </c>
      <c r="G1465" s="49">
        <f>TRUNC((E1465*F1465),8)</f>
        <v/>
      </c>
      <c r="H1465" s="49">
        <f>ROUND(((1+$H$4)^(30/360))^(C1465/(EDATE(D1465-B1465,1)-(D1465-B1465))),9)</f>
        <v/>
      </c>
      <c r="I1465" s="49">
        <f>TRUNC((G1465*H1465-G1465),8)</f>
        <v/>
      </c>
      <c r="J1465" s="49">
        <f>G1465+I1465</f>
        <v/>
      </c>
      <c r="K1465" s="256" t="n"/>
      <c r="L1465" s="256" t="n"/>
      <c r="M1465" s="256" t="n"/>
      <c r="N1465" s="256" t="n"/>
      <c r="O1465" s="256" t="n"/>
      <c r="P1465" s="256" t="n"/>
      <c r="Q1465" s="256" t="n"/>
    </row>
    <row r="1466">
      <c r="A1466">
        <f>IF(DAY(D1466)=DAY($L$1+1),A1465+1,A1465)</f>
        <v/>
      </c>
      <c r="B1466" s="46">
        <f>IF(DAY(D1466)=DAY($L$1+1),1,B1465+1)</f>
        <v/>
      </c>
      <c r="C1466" s="46">
        <f>IF(DAY(D1466)=DAY($L$1+1),1,C1465+1)</f>
        <v/>
      </c>
      <c r="D1466" s="2">
        <f>D1465+1</f>
        <v/>
      </c>
      <c r="E1466" s="8">
        <f>IF(DAY(D1466)=DAY($L$1+1),TRUNC((#REF!),8),E1465)</f>
        <v/>
      </c>
      <c r="F1466" s="49">
        <f>TRUNC(((1+VLOOKUP(A1466,IPCA!$A$2:$C$140,3,0)))^(C1466/(EDATE(D1466-C1466,1)-(D1466-C1466))),8)</f>
        <v/>
      </c>
      <c r="G1466" s="49">
        <f>TRUNC((E1466*F1466),8)</f>
        <v/>
      </c>
      <c r="H1466" s="49">
        <f>ROUND(((1+$H$4)^(30/360))^(C1466/(EDATE(D1466-B1466,1)-(D1466-B1466))),9)</f>
        <v/>
      </c>
      <c r="I1466" s="49">
        <f>TRUNC((G1466*H1466-G1466),8)</f>
        <v/>
      </c>
      <c r="J1466" s="49">
        <f>G1466+I1466</f>
        <v/>
      </c>
      <c r="K1466" s="256" t="n"/>
      <c r="L1466" s="256" t="n"/>
      <c r="M1466" s="256" t="n"/>
      <c r="N1466" s="256" t="n"/>
      <c r="O1466" s="256" t="n"/>
      <c r="P1466" s="256" t="n"/>
      <c r="Q1466" s="256" t="n"/>
    </row>
    <row r="1467">
      <c r="A1467">
        <f>IF(DAY(D1467)=DAY($L$1+1),A1466+1,A1466)</f>
        <v/>
      </c>
      <c r="B1467" s="46">
        <f>IF(DAY(D1467)=DAY($L$1+1),1,B1466+1)</f>
        <v/>
      </c>
      <c r="C1467" s="46">
        <f>IF(DAY(D1467)=DAY($L$1+1),1,C1466+1)</f>
        <v/>
      </c>
      <c r="D1467" s="2">
        <f>D1466+1</f>
        <v/>
      </c>
      <c r="E1467" s="8">
        <f>IF(DAY(D1467)=DAY($L$1+1),TRUNC((#REF!),8),E1466)</f>
        <v/>
      </c>
      <c r="F1467" s="49">
        <f>TRUNC(((1+VLOOKUP(A1467,IPCA!$A$2:$C$140,3,0)))^(C1467/(EDATE(D1467-C1467,1)-(D1467-C1467))),8)</f>
        <v/>
      </c>
      <c r="G1467" s="49">
        <f>TRUNC((E1467*F1467),8)</f>
        <v/>
      </c>
      <c r="H1467" s="49">
        <f>ROUND(((1+$H$4)^(30/360))^(C1467/(EDATE(D1467-B1467,1)-(D1467-B1467))),9)</f>
        <v/>
      </c>
      <c r="I1467" s="49">
        <f>TRUNC((G1467*H1467-G1467),8)</f>
        <v/>
      </c>
      <c r="J1467" s="49">
        <f>G1467+I1467</f>
        <v/>
      </c>
      <c r="K1467" s="256" t="n"/>
      <c r="L1467" s="256" t="n"/>
      <c r="M1467" s="256" t="n"/>
      <c r="N1467" s="256" t="n"/>
      <c r="O1467" s="256" t="n"/>
      <c r="P1467" s="256" t="n"/>
      <c r="Q1467" s="256" t="n"/>
    </row>
    <row r="1468">
      <c r="A1468">
        <f>IF(DAY(D1468)=DAY($L$1+1),A1467+1,A1467)</f>
        <v/>
      </c>
      <c r="B1468" s="46">
        <f>IF(DAY(D1468)=DAY($L$1+1),1,B1467+1)</f>
        <v/>
      </c>
      <c r="C1468" s="46">
        <f>IF(DAY(D1468)=DAY($L$1+1),1,C1467+1)</f>
        <v/>
      </c>
      <c r="D1468" s="2">
        <f>D1467+1</f>
        <v/>
      </c>
      <c r="E1468" s="8">
        <f>IF(DAY(D1468)=DAY($L$1+1),TRUNC((N1467),8),E1467)</f>
        <v/>
      </c>
      <c r="F1468" s="49">
        <f>TRUNC(((1+VLOOKUP(A1468,IPCA!$A$2:$C$140,3,0)))^(C1468/(EDATE(D1468-C1468,1)-(D1468-C1468))),8)</f>
        <v/>
      </c>
      <c r="G1468" s="49">
        <f>TRUNC((E1468*F1468),8)</f>
        <v/>
      </c>
      <c r="H1468" s="49">
        <f>ROUND(((1+$H$4)^(30/360))^(C1468/(EDATE(D1468-B1468,1)-(D1468-B1468))),9)</f>
        <v/>
      </c>
      <c r="I1468" s="49">
        <f>TRUNC((G1468*H1468-G1468),8)</f>
        <v/>
      </c>
      <c r="J1468" s="49">
        <f>G1468+I1468</f>
        <v/>
      </c>
      <c r="K1468" s="256" t="n"/>
      <c r="L1468" s="256" t="n"/>
      <c r="M1468" s="256" t="n"/>
      <c r="N1468" s="256" t="n"/>
      <c r="O1468" s="256" t="n"/>
      <c r="P1468" s="256" t="n"/>
      <c r="Q1468" s="256" t="n"/>
    </row>
    <row r="1469">
      <c r="A1469">
        <f>IF(DAY(D1469)=DAY($L$1+1),A1468+1,A1468)</f>
        <v/>
      </c>
      <c r="B1469" s="46">
        <f>IF(DAY(D1469)=DAY($L$1+1),1,B1468+1)</f>
        <v/>
      </c>
      <c r="C1469" s="46">
        <f>IF(DAY(D1469)=DAY($L$1+1),1,C1468+1)</f>
        <v/>
      </c>
      <c r="D1469" s="2">
        <f>D1468+1</f>
        <v/>
      </c>
      <c r="E1469" s="8">
        <f>IF(DAY(D1469)=DAY($L$1+1),TRUNC((N1468),8),E1468)</f>
        <v/>
      </c>
      <c r="F1469" s="49">
        <f>TRUNC(((1+VLOOKUP(A1469,IPCA!$A$2:$C$140,3,0)))^(C1469/(EDATE(D1469-C1469,1)-(D1469-C1469))),8)</f>
        <v/>
      </c>
      <c r="G1469" s="49">
        <f>TRUNC((E1469*F1469),8)</f>
        <v/>
      </c>
      <c r="H1469" s="49">
        <f>ROUND(((1+$H$4)^(30/360))^(C1469/(EDATE(D1469-B1469,1)-(D1469-B1469))),9)</f>
        <v/>
      </c>
      <c r="I1469" s="49">
        <f>TRUNC((G1469*H1469-G1469),8)</f>
        <v/>
      </c>
      <c r="J1469" s="49">
        <f>G1469+I1469</f>
        <v/>
      </c>
      <c r="K1469" s="256" t="n"/>
      <c r="L1469" s="256" t="n"/>
      <c r="M1469" s="256" t="n"/>
      <c r="N1469" s="256" t="n"/>
      <c r="O1469" s="256" t="n"/>
      <c r="P1469" s="256" t="n"/>
      <c r="Q1469" s="256" t="n"/>
    </row>
    <row r="1470">
      <c r="A1470">
        <f>IF(DAY(D1470)=DAY($L$1+1),A1469+1,A1469)</f>
        <v/>
      </c>
      <c r="B1470" s="46">
        <f>IF(DAY(D1470)=DAY($L$1+1),1,B1469+1)</f>
        <v/>
      </c>
      <c r="C1470" s="46">
        <f>IF(DAY(D1470)=DAY($L$1+1),1,C1469+1)</f>
        <v/>
      </c>
      <c r="D1470" s="2">
        <f>D1469+1</f>
        <v/>
      </c>
      <c r="E1470" s="8">
        <f>IF(DAY(D1470)=DAY($L$1+1),TRUNC((N1469),8),E1469)</f>
        <v/>
      </c>
      <c r="F1470" s="49">
        <f>TRUNC(((1+VLOOKUP(A1470,IPCA!$A$2:$C$140,3,0)))^(C1470/(EDATE(D1470-C1470,1)-(D1470-C1470))),8)</f>
        <v/>
      </c>
      <c r="G1470" s="49">
        <f>TRUNC((E1470*F1470),8)</f>
        <v/>
      </c>
      <c r="H1470" s="49">
        <f>ROUND(((1+$H$4)^(30/360))^(C1470/(EDATE(D1470-B1470,1)-(D1470-B1470))),9)</f>
        <v/>
      </c>
      <c r="I1470" s="49">
        <f>TRUNC((G1470*H1470-G1470),8)</f>
        <v/>
      </c>
      <c r="J1470" s="49">
        <f>G1470+I1470</f>
        <v/>
      </c>
      <c r="K1470" s="256" t="n"/>
      <c r="L1470" s="256" t="n"/>
      <c r="M1470" s="256" t="n"/>
      <c r="N1470" s="256" t="n"/>
      <c r="O1470" s="256" t="n"/>
      <c r="P1470" s="256" t="n"/>
      <c r="Q1470" s="256" t="n"/>
    </row>
    <row r="1471">
      <c r="A1471">
        <f>IF(DAY(D1471)=DAY($L$1+1),A1470+1,A1470)</f>
        <v/>
      </c>
      <c r="B1471" s="46">
        <f>IF(DAY(D1471)=DAY($L$1+1),1,B1470+1)</f>
        <v/>
      </c>
      <c r="C1471" s="46">
        <f>IF(DAY(D1471)=DAY($L$1+1),1,C1470+1)</f>
        <v/>
      </c>
      <c r="D1471" s="2">
        <f>D1470+1</f>
        <v/>
      </c>
      <c r="E1471" s="8">
        <f>IF(DAY(D1471)=DAY($L$1+1),TRUNC((N1470),8),E1470)</f>
        <v/>
      </c>
      <c r="F1471" s="49">
        <f>TRUNC(((1+VLOOKUP(A1471,IPCA!$A$2:$C$140,3,0)))^(C1471/(EDATE(D1471-C1471,1)-(D1471-C1471))),8)</f>
        <v/>
      </c>
      <c r="G1471" s="49">
        <f>TRUNC((E1471*F1471),8)</f>
        <v/>
      </c>
      <c r="H1471" s="49">
        <f>ROUND(((1+$H$4)^(30/360))^(C1471/(EDATE(D1471-B1471,1)-(D1471-B1471))),9)</f>
        <v/>
      </c>
      <c r="I1471" s="49">
        <f>TRUNC((G1471*H1471-G1471),8)</f>
        <v/>
      </c>
      <c r="J1471" s="49">
        <f>G1471+I1471</f>
        <v/>
      </c>
      <c r="K1471" s="256" t="n"/>
      <c r="L1471" s="256" t="n"/>
      <c r="M1471" s="256" t="n"/>
      <c r="N1471" s="256" t="n"/>
      <c r="O1471" s="256" t="n"/>
      <c r="P1471" s="256" t="n"/>
      <c r="Q1471" s="256" t="n"/>
    </row>
    <row r="1472">
      <c r="A1472">
        <f>IF(DAY(D1472)=DAY($L$1+1),A1471+1,A1471)</f>
        <v/>
      </c>
      <c r="B1472" s="46">
        <f>IF(DAY(D1472)=DAY($L$1+1),1,B1471+1)</f>
        <v/>
      </c>
      <c r="C1472" s="46">
        <f>IF(DAY(D1472)=DAY($L$1+1),1,C1471+1)</f>
        <v/>
      </c>
      <c r="D1472" s="2">
        <f>D1471+1</f>
        <v/>
      </c>
      <c r="E1472" s="8">
        <f>IF(DAY(D1472)=DAY($L$1+1),TRUNC((N1471),8),E1471)</f>
        <v/>
      </c>
      <c r="F1472" s="49">
        <f>TRUNC(((1+VLOOKUP(A1472,IPCA!$A$2:$C$140,3,0)))^(C1472/(EDATE(D1472-C1472,1)-(D1472-C1472))),8)</f>
        <v/>
      </c>
      <c r="G1472" s="49">
        <f>TRUNC((E1472*F1472),8)</f>
        <v/>
      </c>
      <c r="H1472" s="49">
        <f>ROUND(((1+$H$4)^(30/360))^(C1472/(EDATE(D1472-B1472,1)-(D1472-B1472))),9)</f>
        <v/>
      </c>
      <c r="I1472" s="49">
        <f>TRUNC((G1472*H1472-G1472),8)</f>
        <v/>
      </c>
      <c r="J1472" s="49">
        <f>G1472+I1472</f>
        <v/>
      </c>
      <c r="K1472" s="256" t="n"/>
      <c r="L1472" s="256" t="n"/>
      <c r="M1472" s="256" t="n"/>
      <c r="N1472" s="256" t="n"/>
      <c r="O1472" s="256" t="n"/>
      <c r="P1472" s="256" t="n"/>
      <c r="Q1472" s="256" t="n"/>
    </row>
    <row r="1473">
      <c r="A1473">
        <f>IF(DAY(D1473)=DAY($L$1+1),A1472+1,A1472)</f>
        <v/>
      </c>
      <c r="B1473" s="46">
        <f>IF(DAY(D1473)=DAY($L$1+1),1,B1472+1)</f>
        <v/>
      </c>
      <c r="C1473" s="46">
        <f>IF(DAY(D1473)=DAY($L$1+1),1,C1472+1)</f>
        <v/>
      </c>
      <c r="D1473" s="2">
        <f>D1472+1</f>
        <v/>
      </c>
      <c r="E1473" s="8">
        <f>IF(DAY(D1473)=DAY($L$1+1),TRUNC((N1472),8),E1472)</f>
        <v/>
      </c>
      <c r="F1473" s="49">
        <f>TRUNC(((1+VLOOKUP(A1473,IPCA!$A$2:$C$140,3,0)))^(C1473/(EDATE(D1473-C1473,1)-(D1473-C1473))),8)</f>
        <v/>
      </c>
      <c r="G1473" s="49">
        <f>TRUNC((E1473*F1473),8)</f>
        <v/>
      </c>
      <c r="H1473" s="49">
        <f>ROUND(((1+$H$4)^(30/360))^(C1473/(EDATE(D1473-B1473,1)-(D1473-B1473))),9)</f>
        <v/>
      </c>
      <c r="I1473" s="49">
        <f>TRUNC((G1473*H1473-G1473),8)</f>
        <v/>
      </c>
      <c r="J1473" s="49">
        <f>G1473+I1473</f>
        <v/>
      </c>
      <c r="K1473" s="256" t="n"/>
      <c r="L1473" s="256" t="n"/>
      <c r="M1473" s="256" t="n"/>
      <c r="N1473" s="256" t="n"/>
      <c r="O1473" s="256" t="n"/>
      <c r="P1473" s="256" t="n"/>
      <c r="Q1473" s="256" t="n"/>
    </row>
    <row r="1474">
      <c r="A1474">
        <f>IF(DAY(D1474)=DAY($L$1+1),A1473+1,A1473)</f>
        <v/>
      </c>
      <c r="B1474" s="46">
        <f>IF(DAY(D1474)=DAY($L$1+1),1,B1473+1)</f>
        <v/>
      </c>
      <c r="C1474" s="46">
        <f>IF(DAY(D1474)=DAY($L$1+1),1,C1473+1)</f>
        <v/>
      </c>
      <c r="D1474" s="2">
        <f>D1473+1</f>
        <v/>
      </c>
      <c r="E1474" s="8">
        <f>IF(DAY(D1474)=DAY($L$1+1),TRUNC((N1473),8),E1473)</f>
        <v/>
      </c>
      <c r="F1474" s="49">
        <f>TRUNC(((1+VLOOKUP(A1474,IPCA!$A$2:$C$140,3,0)))^(C1474/(EDATE(D1474-C1474,1)-(D1474-C1474))),8)</f>
        <v/>
      </c>
      <c r="G1474" s="49">
        <f>TRUNC((E1474*F1474),8)</f>
        <v/>
      </c>
      <c r="H1474" s="49">
        <f>ROUND(((1+$H$4)^(30/360))^(C1474/(EDATE(D1474-B1474,1)-(D1474-B1474))),9)</f>
        <v/>
      </c>
      <c r="I1474" s="49">
        <f>TRUNC((G1474*H1474-G1474),8)</f>
        <v/>
      </c>
      <c r="J1474" s="49">
        <f>G1474+I1474</f>
        <v/>
      </c>
      <c r="K1474" s="256" t="n"/>
      <c r="L1474" s="256" t="n"/>
      <c r="M1474" s="256" t="n"/>
      <c r="N1474" s="256" t="n"/>
      <c r="O1474" s="256" t="n"/>
      <c r="P1474" s="256" t="n"/>
      <c r="Q1474" s="256" t="n"/>
    </row>
    <row r="1475">
      <c r="A1475">
        <f>IF(DAY(D1475)=DAY($L$1+1),A1474+1,A1474)</f>
        <v/>
      </c>
      <c r="B1475" s="46">
        <f>IF(DAY(D1475)=DAY($L$1+1),1,B1474+1)</f>
        <v/>
      </c>
      <c r="C1475" s="46">
        <f>IF(DAY(D1475)=DAY($L$1+1),1,C1474+1)</f>
        <v/>
      </c>
      <c r="D1475" s="2">
        <f>D1474+1</f>
        <v/>
      </c>
      <c r="E1475" s="8">
        <f>IF(DAY(D1475)=DAY($L$1+1),TRUNC((N1474),8),E1474)</f>
        <v/>
      </c>
      <c r="F1475" s="49">
        <f>TRUNC(((1+VLOOKUP(A1475,IPCA!$A$2:$C$140,3,0)))^(C1475/(EDATE(D1475-C1475,1)-(D1475-C1475))),8)</f>
        <v/>
      </c>
      <c r="G1475" s="49">
        <f>TRUNC((E1475*F1475),8)</f>
        <v/>
      </c>
      <c r="H1475" s="49">
        <f>ROUND(((1+$H$4)^(30/360))^(C1475/(EDATE(D1475-B1475,1)-(D1475-B1475))),9)</f>
        <v/>
      </c>
      <c r="I1475" s="49">
        <f>TRUNC((G1475*H1475-G1475),8)</f>
        <v/>
      </c>
      <c r="J1475" s="49">
        <f>G1475+I1475</f>
        <v/>
      </c>
      <c r="K1475" s="256" t="n"/>
      <c r="L1475" s="256" t="n"/>
      <c r="M1475" s="256" t="n"/>
      <c r="N1475" s="256" t="n"/>
      <c r="O1475" s="256" t="n"/>
      <c r="P1475" s="256" t="n"/>
      <c r="Q1475" s="256" t="n"/>
    </row>
    <row r="1476">
      <c r="A1476">
        <f>IF(DAY(D1476)=DAY($L$1+1),A1475+1,A1475)</f>
        <v/>
      </c>
      <c r="B1476" s="46">
        <f>IF(DAY(D1476)=DAY($L$1+1),1,B1475+1)</f>
        <v/>
      </c>
      <c r="C1476" s="46">
        <f>IF(DAY(D1476)=DAY($L$1+1),1,C1475+1)</f>
        <v/>
      </c>
      <c r="D1476" s="2">
        <f>D1475+1</f>
        <v/>
      </c>
      <c r="E1476" s="8">
        <f>IF(DAY(D1476)=DAY($L$1+1),TRUNC((N1475),8),E1475)</f>
        <v/>
      </c>
      <c r="F1476" s="49">
        <f>TRUNC(((1+VLOOKUP(A1476,IPCA!$A$2:$C$140,3,0)))^(C1476/(EDATE(D1476-C1476,1)-(D1476-C1476))),8)</f>
        <v/>
      </c>
      <c r="G1476" s="49">
        <f>TRUNC((E1476*F1476),8)</f>
        <v/>
      </c>
      <c r="H1476" s="49">
        <f>ROUND(((1+$H$4)^(30/360))^(C1476/(EDATE(D1476-B1476,1)-(D1476-B1476))),9)</f>
        <v/>
      </c>
      <c r="I1476" s="49">
        <f>TRUNC((G1476*H1476-G1476),8)</f>
        <v/>
      </c>
      <c r="J1476" s="49">
        <f>G1476+I1476</f>
        <v/>
      </c>
      <c r="K1476" s="256" t="n"/>
      <c r="L1476" s="256" t="n"/>
      <c r="M1476" s="256" t="n"/>
      <c r="N1476" s="256" t="n"/>
      <c r="O1476" s="256" t="n"/>
      <c r="P1476" s="256" t="n"/>
      <c r="Q1476" s="256" t="n"/>
    </row>
    <row r="1477">
      <c r="A1477">
        <f>IF(DAY(D1477)=DAY($L$1+1),A1476+1,A1476)</f>
        <v/>
      </c>
      <c r="B1477" s="46">
        <f>IF(DAY(D1477)=DAY($L$1+1),1,B1476+1)</f>
        <v/>
      </c>
      <c r="C1477" s="46">
        <f>IF(DAY(D1477)=DAY($L$1+1),1,C1476+1)</f>
        <v/>
      </c>
      <c r="D1477" s="2">
        <f>D1476+1</f>
        <v/>
      </c>
      <c r="E1477" s="8">
        <f>IF(DAY(D1477)=DAY($L$1+1),TRUNC((N1476),8),E1476)</f>
        <v/>
      </c>
      <c r="F1477" s="49">
        <f>TRUNC(((1+VLOOKUP(A1477,IPCA!$A$2:$C$140,3,0)))^(C1477/(EDATE(D1477-C1477,1)-(D1477-C1477))),8)</f>
        <v/>
      </c>
      <c r="G1477" s="49">
        <f>TRUNC((E1477*F1477),8)</f>
        <v/>
      </c>
      <c r="H1477" s="49">
        <f>ROUND(((1+$H$4)^(30/360))^(C1477/(EDATE(D1477-B1477,1)-(D1477-B1477))),9)</f>
        <v/>
      </c>
      <c r="I1477" s="49">
        <f>TRUNC((G1477*H1477-G1477),8)</f>
        <v/>
      </c>
      <c r="J1477" s="49">
        <f>G1477+I1477</f>
        <v/>
      </c>
      <c r="K1477" s="256" t="n"/>
      <c r="L1477" s="256" t="n"/>
      <c r="M1477" s="256" t="n"/>
      <c r="N1477" s="256" t="n"/>
      <c r="O1477" s="256" t="n"/>
      <c r="P1477" s="256" t="n"/>
      <c r="Q1477" s="256" t="n"/>
    </row>
    <row r="1478">
      <c r="A1478">
        <f>IF(DAY(D1478)=DAY($L$1+1),A1477+1,A1477)</f>
        <v/>
      </c>
      <c r="B1478" s="46">
        <f>IF(DAY(D1478)=DAY($L$1+1),1,B1477+1)</f>
        <v/>
      </c>
      <c r="C1478" s="46">
        <f>IF(DAY(D1478)=DAY($L$1+1),1,C1477+1)</f>
        <v/>
      </c>
      <c r="D1478" s="2">
        <f>D1477+1</f>
        <v/>
      </c>
      <c r="E1478" s="8">
        <f>IF(DAY(D1478)=DAY($L$1+1),TRUNC((N1477),8),E1477)</f>
        <v/>
      </c>
      <c r="F1478" s="49">
        <f>TRUNC(((1+VLOOKUP(A1478,IPCA!$A$2:$C$140,3,0)))^(C1478/(EDATE(D1478-C1478,1)-(D1478-C1478))),8)</f>
        <v/>
      </c>
      <c r="G1478" s="49">
        <f>TRUNC((E1478*F1478),8)</f>
        <v/>
      </c>
      <c r="H1478" s="49">
        <f>ROUND(((1+$H$4)^(30/360))^(C1478/(EDATE(D1478-B1478,1)-(D1478-B1478))),9)</f>
        <v/>
      </c>
      <c r="I1478" s="49">
        <f>TRUNC((G1478*H1478-G1478),8)</f>
        <v/>
      </c>
      <c r="J1478" s="49">
        <f>G1478+I1478</f>
        <v/>
      </c>
      <c r="K1478" s="256" t="inlineStr">
        <is>
          <t>Cri Integralizado</t>
        </is>
      </c>
      <c r="L1478" s="270">
        <f>L1448</f>
        <v/>
      </c>
      <c r="M1478" s="256" t="n"/>
      <c r="N1478" s="256" t="n"/>
      <c r="O1478" s="256" t="n"/>
      <c r="P1478" s="256" t="n"/>
      <c r="Q1478" s="256" t="n"/>
    </row>
    <row r="1479">
      <c r="A1479">
        <f>IF(DAY(D1479)=DAY($L$1+1),A1478+1,A1478)</f>
        <v/>
      </c>
      <c r="B1479" s="46">
        <f>IF(DAY(D1479)=DAY($L$1+1),1,B1478+1)</f>
        <v/>
      </c>
      <c r="C1479" s="46">
        <f>IF(DAY(D1479)=DAY($L$1+1),1,C1478+1)</f>
        <v/>
      </c>
      <c r="D1479" s="47">
        <f>D1478+1</f>
        <v/>
      </c>
      <c r="E1479" s="8">
        <f>IF(DAY(D1479)=DAY($L$1+1),TRUNC((N1478),8),E1478)</f>
        <v/>
      </c>
      <c r="F1479" s="49">
        <f>TRUNC(((1+VLOOKUP(A1479,IPCA!$A$2:$C$140,3,0)))^(C1479/(EDATE(D1479-C1479,1)-(D1479-C1479))),8)</f>
        <v/>
      </c>
      <c r="G1479" s="49">
        <f>TRUNC((E1479*F1479),8)</f>
        <v/>
      </c>
      <c r="H1479" s="49">
        <f>ROUND(((1+$H$4)^(30/360))^(C1479/(EDATE(D1479-B1479,1)-(D1479-B1479))),9)</f>
        <v/>
      </c>
      <c r="I1479" s="49">
        <f>TRUNC((G1479*H1479-G1479),8)</f>
        <v/>
      </c>
      <c r="J1479" s="49">
        <f>G1479+I1479</f>
        <v/>
      </c>
      <c r="K1479" s="118" t="inlineStr">
        <is>
          <t>JUROS</t>
        </is>
      </c>
      <c r="L1479" s="118" t="inlineStr">
        <is>
          <t>AMORTIZAÇÃO</t>
        </is>
      </c>
      <c r="M1479" s="118" t="inlineStr">
        <is>
          <t>AMEX</t>
        </is>
      </c>
      <c r="N1479" s="118" t="inlineStr">
        <is>
          <t>RESIDUAL</t>
        </is>
      </c>
      <c r="O1479" s="256" t="n"/>
      <c r="P1479" s="256" t="n"/>
      <c r="Q1479" s="256" t="n"/>
    </row>
    <row r="1480">
      <c r="A1480">
        <f>IF(DAY(D1480)=DAY($L$1+1),A1479+1,A1479)</f>
        <v/>
      </c>
      <c r="B1480" s="111">
        <f>IF(DAY(D1480)=DAY($L$1+1),1,B1479+1)</f>
        <v/>
      </c>
      <c r="C1480" s="111">
        <f>IF(DAY(D1480)=DAY($L$1+1),1,C1479+1)</f>
        <v/>
      </c>
      <c r="D1480" s="112">
        <f>D1479+1</f>
        <v/>
      </c>
      <c r="E1480" s="113">
        <f>IF(DAY(D1480)=DAY($L$1+1),TRUNC((N1479),8),E1479)</f>
        <v/>
      </c>
      <c r="F1480" s="114">
        <f>TRUNC(((1+VLOOKUP(A1480,IPCA!$A$2:$C$140,3,0)))^(C1480/(EDATE(D1480-C1480,1)-(D1480-C1480))),8)</f>
        <v/>
      </c>
      <c r="G1480" s="114">
        <f>TRUNC((E1480*F1480),8)</f>
        <v/>
      </c>
      <c r="H1480" s="114">
        <f>ROUND(((1+$H$4)^(30/360))^(C1480/(EDATE(D1480-B1480,1)-(D1480-B1480))),9)</f>
        <v/>
      </c>
      <c r="I1480" s="114">
        <f>TRUNC((G1480*H1480-G1480),8)</f>
        <v/>
      </c>
      <c r="J1480" s="114">
        <f>G1480+I1480</f>
        <v/>
      </c>
      <c r="K1480" s="119">
        <f>I1480</f>
        <v/>
      </c>
      <c r="L1480" s="120">
        <f>TRUNC(G1480*VLOOKUP(D1480,'Amort TS'!$G$3:$H$140,2,0),8)</f>
        <v/>
      </c>
      <c r="M1480" s="120" t="n">
        <v>0</v>
      </c>
      <c r="N1480" s="120">
        <f>J1480-K1480-L1480-M1480</f>
        <v/>
      </c>
      <c r="O1480" s="256" t="n"/>
      <c r="P1480" s="256" t="n"/>
      <c r="Q1480" s="256" t="n"/>
    </row>
    <row r="1481">
      <c r="A1481">
        <f>IF(DAY(D1481)=DAY($L$1+1),A1480+1,A1480)</f>
        <v/>
      </c>
      <c r="B1481" s="46">
        <f>IF(DAY(D1481)=DAY($L$1+1),1,B1480+1)</f>
        <v/>
      </c>
      <c r="C1481" s="46">
        <f>IF(DAY(D1481)=DAY($L$1+1),1,C1480+1)</f>
        <v/>
      </c>
      <c r="D1481" s="2">
        <f>D1480+1</f>
        <v/>
      </c>
      <c r="E1481" s="8">
        <f>IF(DAY(D1481)=DAY($L$1+1),TRUNC((N1480),8),E1480)</f>
        <v/>
      </c>
      <c r="F1481" s="49">
        <f>TRUNC(((1+VLOOKUP(A1481,IPCA!$A$2:$C$140,3,0)))^(C1481/(EDATE(D1481-C1481,1)-(D1481-C1481))),8)</f>
        <v/>
      </c>
      <c r="G1481" s="49">
        <f>TRUNC((E1481*F1481),8)</f>
        <v/>
      </c>
      <c r="H1481" s="49">
        <f>ROUND(((1+$H$4)^(30/360))^(C1481/(EDATE(D1481-B1481,1)-(D1481-B1481))),9)</f>
        <v/>
      </c>
      <c r="I1481" s="49">
        <f>TRUNC((G1481*H1481-G1481),8)</f>
        <v/>
      </c>
      <c r="J1481" s="49">
        <f>G1481+I1481</f>
        <v/>
      </c>
      <c r="K1481" s="121">
        <f>K1480*L1478</f>
        <v/>
      </c>
      <c r="L1481" s="121">
        <f>L1480*L1478</f>
        <v/>
      </c>
      <c r="M1481" s="121">
        <f>M1480*L1478</f>
        <v/>
      </c>
      <c r="N1481" s="121">
        <f>N1480*L1478</f>
        <v/>
      </c>
      <c r="O1481" s="256" t="n"/>
      <c r="P1481" s="256" t="n"/>
      <c r="Q1481" s="256" t="n"/>
    </row>
    <row r="1482">
      <c r="A1482">
        <f>IF(DAY(D1482)=DAY($L$1+1),A1481+1,A1481)</f>
        <v/>
      </c>
      <c r="B1482" s="46">
        <f>IF(DAY(D1482)=DAY($L$1+1),1,B1481+1)</f>
        <v/>
      </c>
      <c r="C1482" s="46">
        <f>IF(DAY(D1482)=DAY($L$1+1),1,C1481+1)</f>
        <v/>
      </c>
      <c r="D1482" s="47">
        <f>D1481+1</f>
        <v/>
      </c>
      <c r="E1482" s="8">
        <f>IF(DAY(D1482)=DAY($L$1+1),TRUNC((N1481),8),E1481)</f>
        <v/>
      </c>
      <c r="F1482" s="49">
        <f>TRUNC(((1+VLOOKUP(A1482,IPCA!$A$2:$C$140,3,0)))^(C1482/(EDATE(D1482-C1482,1)-(D1482-C1482))),8)</f>
        <v/>
      </c>
      <c r="G1482" s="49">
        <f>TRUNC((E1482*F1482),8)</f>
        <v/>
      </c>
      <c r="H1482" s="49">
        <f>ROUND(((1+$H$4)^(30/360))^(C1482/(EDATE(D1482-B1482,1)-(D1482-B1482))),9)</f>
        <v/>
      </c>
      <c r="I1482" s="49">
        <f>TRUNC((G1482*H1482-G1482),8)</f>
        <v/>
      </c>
      <c r="J1482" s="49">
        <f>G1482+I1482</f>
        <v/>
      </c>
      <c r="K1482" s="256" t="n"/>
      <c r="L1482" s="256" t="n"/>
      <c r="M1482" s="256" t="n"/>
      <c r="N1482" s="256" t="n"/>
      <c r="O1482" s="256" t="n"/>
      <c r="P1482" s="256" t="n"/>
      <c r="Q1482" s="256" t="n"/>
    </row>
    <row r="1483">
      <c r="A1483">
        <f>IF(DAY(D1483)=DAY($L$1+1),A1482+1,A1482)</f>
        <v/>
      </c>
      <c r="B1483" s="46">
        <f>IF(DAY(D1483)=DAY($L$1+1),1,B1482+1)</f>
        <v/>
      </c>
      <c r="C1483" s="46">
        <f>IF(DAY(D1483)=DAY($L$1+1),1,C1482+1)</f>
        <v/>
      </c>
      <c r="D1483" s="2">
        <f>D1482+1</f>
        <v/>
      </c>
      <c r="E1483" s="8">
        <f>IF(DAY(D1483)=DAY($L$1+1),TRUNC((#REF!),8),E1482)</f>
        <v/>
      </c>
      <c r="F1483" s="49">
        <f>TRUNC(((1+VLOOKUP(A1483,IPCA!$A$2:$C$140,3,0)))^(C1483/(EDATE(D1483-C1483,1)-(D1483-C1483))),8)</f>
        <v/>
      </c>
      <c r="G1483" s="49">
        <f>TRUNC((E1483*F1483),8)</f>
        <v/>
      </c>
      <c r="H1483" s="49">
        <f>ROUND(((1+$H$4)^(30/360))^(C1483/(EDATE(D1483-B1483,1)-(D1483-B1483))),9)</f>
        <v/>
      </c>
      <c r="I1483" s="49">
        <f>TRUNC((G1483*H1483-G1483),8)</f>
        <v/>
      </c>
      <c r="J1483" s="49">
        <f>G1483+I1483</f>
        <v/>
      </c>
      <c r="K1483" s="256" t="n"/>
      <c r="L1483" s="256" t="n"/>
      <c r="M1483" s="256" t="n"/>
      <c r="N1483" s="256" t="n"/>
      <c r="O1483" s="256" t="n"/>
      <c r="P1483" s="256" t="n"/>
      <c r="Q1483" s="256" t="n"/>
    </row>
    <row r="1484">
      <c r="A1484">
        <f>IF(DAY(D1484)=DAY($L$1+1),A1483+1,A1483)</f>
        <v/>
      </c>
      <c r="B1484" s="46">
        <f>IF(DAY(D1484)=DAY($L$1+1),1,B1483+1)</f>
        <v/>
      </c>
      <c r="C1484" s="46">
        <f>IF(DAY(D1484)=DAY($L$1+1),1,C1483+1)</f>
        <v/>
      </c>
      <c r="D1484" s="2">
        <f>D1483+1</f>
        <v/>
      </c>
      <c r="E1484" s="8">
        <f>IF(DAY(D1484)=DAY($L$1+1),TRUNC((#REF!),8),E1483)</f>
        <v/>
      </c>
      <c r="F1484" s="49">
        <f>TRUNC(((1+VLOOKUP(A1484,IPCA!$A$2:$C$140,3,0)))^(C1484/(EDATE(D1484-C1484,1)-(D1484-C1484))),8)</f>
        <v/>
      </c>
      <c r="G1484" s="49">
        <f>TRUNC((E1484*F1484),8)</f>
        <v/>
      </c>
      <c r="H1484" s="49">
        <f>ROUND(((1+$H$4)^(30/360))^(C1484/(EDATE(D1484-B1484,1)-(D1484-B1484))),9)</f>
        <v/>
      </c>
      <c r="I1484" s="49">
        <f>TRUNC((G1484*H1484-G1484),8)</f>
        <v/>
      </c>
      <c r="J1484" s="49">
        <f>G1484+I1484</f>
        <v/>
      </c>
      <c r="K1484" s="256" t="n"/>
      <c r="L1484" s="256" t="n"/>
      <c r="M1484" s="256" t="n"/>
      <c r="N1484" s="256" t="n"/>
      <c r="O1484" s="256" t="n"/>
      <c r="P1484" s="256" t="n"/>
      <c r="Q1484" s="256" t="n"/>
    </row>
    <row r="1485">
      <c r="A1485">
        <f>IF(DAY(D1485)=DAY($L$1+1),A1484+1,A1484)</f>
        <v/>
      </c>
      <c r="B1485" s="46">
        <f>IF(DAY(D1485)=DAY($L$1+1),1,B1484+1)</f>
        <v/>
      </c>
      <c r="C1485" s="46">
        <f>IF(DAY(D1485)=DAY($L$1+1),1,C1484+1)</f>
        <v/>
      </c>
      <c r="D1485" s="2">
        <f>D1484+1</f>
        <v/>
      </c>
      <c r="E1485" s="8">
        <f>IF(DAY(D1485)=DAY($L$1+1),TRUNC((#REF!),8),E1484)</f>
        <v/>
      </c>
      <c r="F1485" s="49">
        <f>TRUNC(((1+VLOOKUP(A1485,IPCA!$A$2:$C$140,3,0)))^(C1485/(EDATE(D1485-C1485,1)-(D1485-C1485))),8)</f>
        <v/>
      </c>
      <c r="G1485" s="49">
        <f>TRUNC((E1485*F1485),8)</f>
        <v/>
      </c>
      <c r="H1485" s="49">
        <f>ROUND(((1+$H$4)^(30/360))^(C1485/(EDATE(D1485-B1485,1)-(D1485-B1485))),9)</f>
        <v/>
      </c>
      <c r="I1485" s="49">
        <f>TRUNC((G1485*H1485-G1485),8)</f>
        <v/>
      </c>
      <c r="J1485" s="49">
        <f>G1485+I1485</f>
        <v/>
      </c>
      <c r="K1485" s="256" t="n"/>
      <c r="L1485" s="256" t="n"/>
      <c r="M1485" s="256" t="n"/>
      <c r="N1485" s="256" t="n"/>
      <c r="O1485" s="256" t="n"/>
      <c r="P1485" s="256" t="n"/>
      <c r="Q1485" s="256" t="n"/>
    </row>
    <row r="1486">
      <c r="A1486">
        <f>IF(DAY(D1486)=DAY($L$1+1),A1485+1,A1485)</f>
        <v/>
      </c>
      <c r="B1486" s="46">
        <f>IF(DAY(D1486)=DAY($L$1+1),1,B1485+1)</f>
        <v/>
      </c>
      <c r="C1486" s="46">
        <f>IF(DAY(D1486)=DAY($L$1+1),1,C1485+1)</f>
        <v/>
      </c>
      <c r="D1486" s="2">
        <f>D1485+1</f>
        <v/>
      </c>
      <c r="E1486" s="8">
        <f>IF(DAY(D1486)=DAY($L$1+1),TRUNC((#REF!),8),E1485)</f>
        <v/>
      </c>
      <c r="F1486" s="49">
        <f>TRUNC(((1+VLOOKUP(A1486,IPCA!$A$2:$C$140,3,0)))^(C1486/(EDATE(D1486-C1486,1)-(D1486-C1486))),8)</f>
        <v/>
      </c>
      <c r="G1486" s="49">
        <f>TRUNC((E1486*F1486),8)</f>
        <v/>
      </c>
      <c r="H1486" s="49">
        <f>ROUND(((1+$H$4)^(30/360))^(C1486/(EDATE(D1486-B1486,1)-(D1486-B1486))),9)</f>
        <v/>
      </c>
      <c r="I1486" s="49">
        <f>TRUNC((G1486*H1486-G1486),8)</f>
        <v/>
      </c>
      <c r="J1486" s="49">
        <f>G1486+I1486</f>
        <v/>
      </c>
      <c r="K1486" s="256" t="n"/>
      <c r="L1486" s="256" t="n"/>
      <c r="M1486" s="256" t="n"/>
      <c r="N1486" s="256" t="n"/>
      <c r="O1486" s="256" t="n"/>
      <c r="P1486" s="256" t="n"/>
      <c r="Q1486" s="256" t="n"/>
    </row>
    <row r="1487">
      <c r="A1487">
        <f>IF(DAY(D1487)=DAY($L$1+1),A1486+1,A1486)</f>
        <v/>
      </c>
      <c r="B1487" s="46">
        <f>IF(DAY(D1487)=DAY($L$1+1),1,B1486+1)</f>
        <v/>
      </c>
      <c r="C1487" s="46">
        <f>IF(DAY(D1487)=DAY($L$1+1),1,C1486+1)</f>
        <v/>
      </c>
      <c r="D1487" s="2">
        <f>D1486+1</f>
        <v/>
      </c>
      <c r="E1487" s="8">
        <f>IF(DAY(D1487)=DAY($L$1+1),TRUNC((#REF!),8),E1486)</f>
        <v/>
      </c>
      <c r="F1487" s="49">
        <f>TRUNC(((1+VLOOKUP(A1487,IPCA!$A$2:$C$140,3,0)))^(C1487/(EDATE(D1487-C1487,1)-(D1487-C1487))),8)</f>
        <v/>
      </c>
      <c r="G1487" s="49">
        <f>TRUNC((E1487*F1487),8)</f>
        <v/>
      </c>
      <c r="H1487" s="49">
        <f>ROUND(((1+$H$4)^(30/360))^(C1487/(EDATE(D1487-B1487,1)-(D1487-B1487))),9)</f>
        <v/>
      </c>
      <c r="I1487" s="49">
        <f>TRUNC((G1487*H1487-G1487),8)</f>
        <v/>
      </c>
      <c r="J1487" s="49">
        <f>G1487+I1487</f>
        <v/>
      </c>
      <c r="K1487" s="256" t="n"/>
      <c r="L1487" s="256" t="n"/>
      <c r="M1487" s="256" t="n"/>
      <c r="N1487" s="256" t="n"/>
      <c r="O1487" s="256" t="n"/>
      <c r="P1487" s="256" t="n"/>
      <c r="Q1487" s="256" t="n"/>
    </row>
    <row r="1488">
      <c r="A1488">
        <f>IF(DAY(D1488)=DAY($L$1+1),A1487+1,A1487)</f>
        <v/>
      </c>
      <c r="B1488" s="46">
        <f>IF(DAY(D1488)=DAY($L$1+1),1,B1487+1)</f>
        <v/>
      </c>
      <c r="C1488" s="46">
        <f>IF(DAY(D1488)=DAY($L$1+1),1,C1487+1)</f>
        <v/>
      </c>
      <c r="D1488" s="2">
        <f>D1487+1</f>
        <v/>
      </c>
      <c r="E1488" s="8">
        <f>IF(DAY(D1488)=DAY($L$1+1),TRUNC((#REF!),8),E1487)</f>
        <v/>
      </c>
      <c r="F1488" s="49">
        <f>TRUNC(((1+VLOOKUP(A1488,IPCA!$A$2:$C$140,3,0)))^(C1488/(EDATE(D1488-C1488,1)-(D1488-C1488))),8)</f>
        <v/>
      </c>
      <c r="G1488" s="49">
        <f>TRUNC((E1488*F1488),8)</f>
        <v/>
      </c>
      <c r="H1488" s="49">
        <f>ROUND(((1+$H$4)^(30/360))^(C1488/(EDATE(D1488-B1488,1)-(D1488-B1488))),9)</f>
        <v/>
      </c>
      <c r="I1488" s="49">
        <f>TRUNC((G1488*H1488-G1488),8)</f>
        <v/>
      </c>
      <c r="J1488" s="49">
        <f>G1488+I1488</f>
        <v/>
      </c>
      <c r="K1488" s="256" t="n"/>
      <c r="L1488" s="256" t="n"/>
      <c r="M1488" s="256" t="n"/>
      <c r="N1488" s="256" t="n"/>
      <c r="O1488" s="256" t="n"/>
      <c r="P1488" s="256" t="n"/>
      <c r="Q1488" s="256" t="n"/>
    </row>
    <row r="1489">
      <c r="A1489">
        <f>IF(DAY(D1489)=DAY($L$1+1),A1488+1,A1488)</f>
        <v/>
      </c>
      <c r="B1489" s="46">
        <f>IF(DAY(D1489)=DAY($L$1+1),1,B1488+1)</f>
        <v/>
      </c>
      <c r="C1489" s="46">
        <f>IF(DAY(D1489)=DAY($L$1+1),1,C1488+1)</f>
        <v/>
      </c>
      <c r="D1489" s="2">
        <f>D1488+1</f>
        <v/>
      </c>
      <c r="E1489" s="8">
        <f>IF(DAY(D1489)=DAY($L$1+1),TRUNC((#REF!),8),E1488)</f>
        <v/>
      </c>
      <c r="F1489" s="49">
        <f>TRUNC(((1+VLOOKUP(A1489,IPCA!$A$2:$C$140,3,0)))^(C1489/(EDATE(D1489-C1489,1)-(D1489-C1489))),8)</f>
        <v/>
      </c>
      <c r="G1489" s="49">
        <f>TRUNC((E1489*F1489),8)</f>
        <v/>
      </c>
      <c r="H1489" s="49">
        <f>ROUND(((1+$H$4)^(30/360))^(C1489/(EDATE(D1489-B1489,1)-(D1489-B1489))),9)</f>
        <v/>
      </c>
      <c r="I1489" s="49">
        <f>TRUNC((G1489*H1489-G1489),8)</f>
        <v/>
      </c>
      <c r="J1489" s="49">
        <f>G1489+I1489</f>
        <v/>
      </c>
      <c r="K1489" s="256" t="n"/>
      <c r="L1489" s="256" t="n"/>
      <c r="M1489" s="256" t="n"/>
      <c r="N1489" s="256" t="n"/>
      <c r="O1489" s="256" t="n"/>
      <c r="P1489" s="256" t="n"/>
      <c r="Q1489" s="256" t="n"/>
    </row>
    <row r="1490">
      <c r="A1490">
        <f>IF(DAY(D1490)=DAY($L$1+1),A1489+1,A1489)</f>
        <v/>
      </c>
      <c r="B1490" s="46">
        <f>IF(DAY(D1490)=DAY($L$1+1),1,B1489+1)</f>
        <v/>
      </c>
      <c r="C1490" s="46">
        <f>IF(DAY(D1490)=DAY($L$1+1),1,C1489+1)</f>
        <v/>
      </c>
      <c r="D1490" s="2">
        <f>D1489+1</f>
        <v/>
      </c>
      <c r="E1490" s="8">
        <f>IF(DAY(D1490)=DAY($L$1+1),TRUNC((#REF!),8),E1489)</f>
        <v/>
      </c>
      <c r="F1490" s="49">
        <f>TRUNC(((1+VLOOKUP(A1490,IPCA!$A$2:$C$140,3,0)))^(C1490/(EDATE(D1490-C1490,1)-(D1490-C1490))),8)</f>
        <v/>
      </c>
      <c r="G1490" s="49">
        <f>TRUNC((E1490*F1490),8)</f>
        <v/>
      </c>
      <c r="H1490" s="49">
        <f>ROUND(((1+$H$4)^(30/360))^(C1490/(EDATE(D1490-B1490,1)-(D1490-B1490))),9)</f>
        <v/>
      </c>
      <c r="I1490" s="49">
        <f>TRUNC((G1490*H1490-G1490),8)</f>
        <v/>
      </c>
      <c r="J1490" s="49">
        <f>G1490+I1490</f>
        <v/>
      </c>
      <c r="K1490" s="256" t="n"/>
      <c r="L1490" s="256" t="n"/>
      <c r="M1490" s="256" t="n"/>
      <c r="N1490" s="256" t="n"/>
      <c r="O1490" s="256" t="n"/>
      <c r="P1490" s="256" t="n"/>
      <c r="Q1490" s="256" t="n"/>
    </row>
    <row r="1491">
      <c r="A1491">
        <f>IF(DAY(D1491)=DAY($L$1+1),A1490+1,A1490)</f>
        <v/>
      </c>
      <c r="B1491" s="46">
        <f>IF(DAY(D1491)=DAY($L$1+1),1,B1490+1)</f>
        <v/>
      </c>
      <c r="C1491" s="46">
        <f>IF(DAY(D1491)=DAY($L$1+1),1,C1490+1)</f>
        <v/>
      </c>
      <c r="D1491" s="2">
        <f>D1490+1</f>
        <v/>
      </c>
      <c r="E1491" s="8">
        <f>IF(DAY(D1491)=DAY($L$1+1),TRUNC((#REF!),8),E1490)</f>
        <v/>
      </c>
      <c r="F1491" s="49">
        <f>TRUNC(((1+VLOOKUP(A1491,IPCA!$A$2:$C$140,3,0)))^(C1491/(EDATE(D1491-C1491,1)-(D1491-C1491))),8)</f>
        <v/>
      </c>
      <c r="G1491" s="49">
        <f>TRUNC((E1491*F1491),8)</f>
        <v/>
      </c>
      <c r="H1491" s="49">
        <f>ROUND(((1+$H$4)^(30/360))^(C1491/(EDATE(D1491-B1491,1)-(D1491-B1491))),9)</f>
        <v/>
      </c>
      <c r="I1491" s="49">
        <f>TRUNC((G1491*H1491-G1491),8)</f>
        <v/>
      </c>
      <c r="J1491" s="49">
        <f>G1491+I1491</f>
        <v/>
      </c>
      <c r="K1491" s="256" t="n"/>
      <c r="L1491" s="256" t="n"/>
      <c r="M1491" s="256" t="n"/>
      <c r="N1491" s="256" t="n"/>
      <c r="O1491" s="256" t="n"/>
      <c r="P1491" s="256" t="n"/>
      <c r="Q1491" s="256" t="n"/>
    </row>
    <row r="1492">
      <c r="A1492">
        <f>IF(DAY(D1492)=DAY($L$1+1),A1491+1,A1491)</f>
        <v/>
      </c>
      <c r="B1492" s="46">
        <f>IF(DAY(D1492)=DAY($L$1+1),1,B1491+1)</f>
        <v/>
      </c>
      <c r="C1492" s="46">
        <f>IF(DAY(D1492)=DAY($L$1+1),1,C1491+1)</f>
        <v/>
      </c>
      <c r="D1492" s="2">
        <f>D1491+1</f>
        <v/>
      </c>
      <c r="E1492" s="8">
        <f>IF(DAY(D1492)=DAY($L$1+1),TRUNC((#REF!),8),E1491)</f>
        <v/>
      </c>
      <c r="F1492" s="49">
        <f>TRUNC(((1+VLOOKUP(A1492,IPCA!$A$2:$C$140,3,0)))^(C1492/(EDATE(D1492-C1492,1)-(D1492-C1492))),8)</f>
        <v/>
      </c>
      <c r="G1492" s="49">
        <f>TRUNC((E1492*F1492),8)</f>
        <v/>
      </c>
      <c r="H1492" s="49">
        <f>ROUND(((1+$H$4)^(30/360))^(C1492/(EDATE(D1492-B1492,1)-(D1492-B1492))),9)</f>
        <v/>
      </c>
      <c r="I1492" s="49">
        <f>TRUNC((G1492*H1492-G1492),8)</f>
        <v/>
      </c>
      <c r="J1492" s="49">
        <f>G1492+I1492</f>
        <v/>
      </c>
      <c r="K1492" s="256" t="n"/>
      <c r="L1492" s="256" t="n"/>
      <c r="M1492" s="256" t="n"/>
      <c r="N1492" s="256" t="n"/>
      <c r="O1492" s="256" t="n"/>
      <c r="P1492" s="256" t="n"/>
      <c r="Q1492" s="256" t="n"/>
    </row>
    <row r="1493">
      <c r="A1493">
        <f>IF(DAY(D1493)=DAY($L$1+1),A1492+1,A1492)</f>
        <v/>
      </c>
      <c r="B1493" s="46">
        <f>IF(DAY(D1493)=DAY($L$1+1),1,B1492+1)</f>
        <v/>
      </c>
      <c r="C1493" s="46">
        <f>IF(DAY(D1493)=DAY($L$1+1),1,C1492+1)</f>
        <v/>
      </c>
      <c r="D1493" s="2">
        <f>D1492+1</f>
        <v/>
      </c>
      <c r="E1493" s="8">
        <f>IF(DAY(D1493)=DAY($L$1+1),TRUNC((N1492),8),E1492)</f>
        <v/>
      </c>
      <c r="F1493" s="49">
        <f>TRUNC(((1+VLOOKUP(A1493,IPCA!$A$2:$C$140,3,0)))^(C1493/(EDATE(D1493-C1493,1)-(D1493-C1493))),8)</f>
        <v/>
      </c>
      <c r="G1493" s="49">
        <f>TRUNC((E1493*F1493),8)</f>
        <v/>
      </c>
      <c r="H1493" s="49">
        <f>ROUND(((1+$H$4)^(30/360))^(C1493/(EDATE(D1493-B1493,1)-(D1493-B1493))),9)</f>
        <v/>
      </c>
      <c r="I1493" s="49">
        <f>TRUNC((G1493*H1493-G1493),8)</f>
        <v/>
      </c>
      <c r="J1493" s="49">
        <f>G1493+I1493</f>
        <v/>
      </c>
      <c r="K1493" s="256" t="n"/>
      <c r="L1493" s="256" t="n"/>
      <c r="M1493" s="256" t="n"/>
      <c r="N1493" s="256" t="n"/>
      <c r="O1493" s="256" t="n"/>
      <c r="P1493" s="256" t="n"/>
      <c r="Q1493" s="256" t="n"/>
    </row>
    <row r="1494">
      <c r="A1494">
        <f>IF(DAY(D1494)=DAY($L$1+1),A1493+1,A1493)</f>
        <v/>
      </c>
      <c r="B1494" s="46">
        <f>IF(DAY(D1494)=DAY($L$1+1),1,B1493+1)</f>
        <v/>
      </c>
      <c r="C1494" s="46">
        <f>IF(DAY(D1494)=DAY($L$1+1),1,C1493+1)</f>
        <v/>
      </c>
      <c r="D1494" s="2">
        <f>D1493+1</f>
        <v/>
      </c>
      <c r="E1494" s="8">
        <f>IF(DAY(D1494)=DAY($L$1+1),TRUNC((N1493),8),E1493)</f>
        <v/>
      </c>
      <c r="F1494" s="49">
        <f>TRUNC(((1+VLOOKUP(A1494,IPCA!$A$2:$C$140,3,0)))^(C1494/(EDATE(D1494-C1494,1)-(D1494-C1494))),8)</f>
        <v/>
      </c>
      <c r="G1494" s="49">
        <f>TRUNC((E1494*F1494),8)</f>
        <v/>
      </c>
      <c r="H1494" s="49">
        <f>ROUND(((1+$H$4)^(30/360))^(C1494/(EDATE(D1494-B1494,1)-(D1494-B1494))),9)</f>
        <v/>
      </c>
      <c r="I1494" s="49">
        <f>TRUNC((G1494*H1494-G1494),8)</f>
        <v/>
      </c>
      <c r="J1494" s="49">
        <f>G1494+I1494</f>
        <v/>
      </c>
      <c r="K1494" s="256" t="n"/>
      <c r="L1494" s="256" t="n"/>
      <c r="M1494" s="256" t="n"/>
      <c r="N1494" s="256" t="n"/>
      <c r="O1494" s="256" t="n"/>
      <c r="P1494" s="256" t="n"/>
      <c r="Q1494" s="256" t="n"/>
    </row>
    <row r="1495">
      <c r="A1495">
        <f>IF(DAY(D1495)=DAY($L$1+1),A1494+1,A1494)</f>
        <v/>
      </c>
      <c r="B1495" s="46">
        <f>IF(DAY(D1495)=DAY($L$1+1),1,B1494+1)</f>
        <v/>
      </c>
      <c r="C1495" s="46">
        <f>IF(DAY(D1495)=DAY($L$1+1),1,C1494+1)</f>
        <v/>
      </c>
      <c r="D1495" s="2">
        <f>D1494+1</f>
        <v/>
      </c>
      <c r="E1495" s="8">
        <f>IF(DAY(D1495)=DAY($L$1+1),TRUNC((N1494),8),E1494)</f>
        <v/>
      </c>
      <c r="F1495" s="49">
        <f>TRUNC(((1+VLOOKUP(A1495,IPCA!$A$2:$C$140,3,0)))^(C1495/(EDATE(D1495-C1495,1)-(D1495-C1495))),8)</f>
        <v/>
      </c>
      <c r="G1495" s="49">
        <f>TRUNC((E1495*F1495),8)</f>
        <v/>
      </c>
      <c r="H1495" s="49">
        <f>ROUND(((1+$H$4)^(30/360))^(C1495/(EDATE(D1495-B1495,1)-(D1495-B1495))),9)</f>
        <v/>
      </c>
      <c r="I1495" s="49">
        <f>TRUNC((G1495*H1495-G1495),8)</f>
        <v/>
      </c>
      <c r="J1495" s="49">
        <f>G1495+I1495</f>
        <v/>
      </c>
      <c r="K1495" s="256" t="n"/>
      <c r="L1495" s="256" t="n"/>
      <c r="M1495" s="256" t="n"/>
      <c r="N1495" s="256" t="n"/>
      <c r="O1495" s="256" t="n"/>
      <c r="P1495" s="256" t="n"/>
      <c r="Q1495" s="256" t="n"/>
    </row>
    <row r="1496">
      <c r="A1496">
        <f>IF(DAY(D1496)=DAY($L$1+1),A1495+1,A1495)</f>
        <v/>
      </c>
      <c r="B1496" s="46">
        <f>IF(DAY(D1496)=DAY($L$1+1),1,B1495+1)</f>
        <v/>
      </c>
      <c r="C1496" s="46">
        <f>IF(DAY(D1496)=DAY($L$1+1),1,C1495+1)</f>
        <v/>
      </c>
      <c r="D1496" s="2">
        <f>D1495+1</f>
        <v/>
      </c>
      <c r="E1496" s="8">
        <f>IF(DAY(D1496)=DAY($L$1+1),TRUNC((N1495),8),E1495)</f>
        <v/>
      </c>
      <c r="F1496" s="49">
        <f>TRUNC(((1+VLOOKUP(A1496,IPCA!$A$2:$C$140,3,0)))^(C1496/(EDATE(D1496-C1496,1)-(D1496-C1496))),8)</f>
        <v/>
      </c>
      <c r="G1496" s="49">
        <f>TRUNC((E1496*F1496),8)</f>
        <v/>
      </c>
      <c r="H1496" s="49">
        <f>ROUND(((1+$H$4)^(30/360))^(C1496/(EDATE(D1496-B1496,1)-(D1496-B1496))),9)</f>
        <v/>
      </c>
      <c r="I1496" s="49">
        <f>TRUNC((G1496*H1496-G1496),8)</f>
        <v/>
      </c>
      <c r="J1496" s="49">
        <f>G1496+I1496</f>
        <v/>
      </c>
      <c r="K1496" s="123" t="n"/>
      <c r="L1496" s="271" t="n"/>
      <c r="M1496" s="256" t="n"/>
      <c r="N1496" s="256" t="n"/>
      <c r="O1496" s="256" t="n"/>
      <c r="P1496" s="256" t="n"/>
      <c r="Q1496" s="256" t="n"/>
    </row>
    <row r="1497">
      <c r="A1497">
        <f>IF(DAY(D1497)=DAY($L$1+1),A1496+1,A1496)</f>
        <v/>
      </c>
      <c r="B1497" s="46">
        <f>IF(DAY(D1497)=DAY($L$1+1),1,B1496+1)</f>
        <v/>
      </c>
      <c r="C1497" s="46">
        <f>IF(DAY(D1497)=DAY($L$1+1),1,C1496+1)</f>
        <v/>
      </c>
      <c r="D1497" s="2">
        <f>D1496+1</f>
        <v/>
      </c>
      <c r="E1497" s="8">
        <f>IF(DAY(D1497)=DAY($L$1+1),TRUNC((N1496),8),E1496)</f>
        <v/>
      </c>
      <c r="F1497" s="49">
        <f>TRUNC(((1+VLOOKUP(A1497,IPCA!$A$2:$C$140,3,0)))^(C1497/(EDATE(D1497-C1497,1)-(D1497-C1497))),8)</f>
        <v/>
      </c>
      <c r="G1497" s="49">
        <f>TRUNC((E1497*F1497),8)</f>
        <v/>
      </c>
      <c r="H1497" s="49">
        <f>ROUND(((1+$H$4)^(30/360))^(C1497/(EDATE(D1497-B1497,1)-(D1497-B1497))),9)</f>
        <v/>
      </c>
      <c r="I1497" s="49">
        <f>TRUNC((G1497*H1497-G1497),8)</f>
        <v/>
      </c>
      <c r="J1497" s="49">
        <f>G1497+I1497</f>
        <v/>
      </c>
      <c r="K1497" s="256" t="n"/>
      <c r="L1497" s="256" t="n"/>
      <c r="M1497" s="256" t="n"/>
      <c r="N1497" s="256" t="n"/>
      <c r="O1497" s="256" t="n"/>
      <c r="P1497" s="256" t="n"/>
      <c r="Q1497" s="256" t="n"/>
    </row>
    <row r="1498">
      <c r="A1498">
        <f>IF(DAY(D1498)=DAY($L$1+1),A1497+1,A1497)</f>
        <v/>
      </c>
      <c r="B1498" s="46">
        <f>IF(DAY(D1498)=DAY($L$1+1),1,B1497+1)</f>
        <v/>
      </c>
      <c r="C1498" s="46">
        <f>IF(DAY(D1498)=DAY($L$1+1),1,C1497+1)</f>
        <v/>
      </c>
      <c r="D1498" s="2">
        <f>D1497+1</f>
        <v/>
      </c>
      <c r="E1498" s="8">
        <f>IF(DAY(D1498)=DAY($L$1+1),TRUNC((N1497),8),E1497)</f>
        <v/>
      </c>
      <c r="F1498" s="49">
        <f>TRUNC(((1+VLOOKUP(A1498,IPCA!$A$2:$C$140,3,0)))^(C1498/(EDATE(D1498-C1498,1)-(D1498-C1498))),8)</f>
        <v/>
      </c>
      <c r="G1498" s="49">
        <f>TRUNC((E1498*F1498),8)</f>
        <v/>
      </c>
      <c r="H1498" s="49">
        <f>ROUND(((1+$H$4)^(30/360))^(C1498/(EDATE(D1498-B1498,1)-(D1498-B1498))),9)</f>
        <v/>
      </c>
      <c r="I1498" s="49">
        <f>TRUNC((G1498*H1498-G1498),8)</f>
        <v/>
      </c>
      <c r="J1498" s="49">
        <f>G1498+I1498</f>
        <v/>
      </c>
      <c r="K1498" s="256" t="n"/>
      <c r="L1498" s="256" t="n"/>
      <c r="M1498" s="256" t="n"/>
      <c r="N1498" s="256" t="n"/>
      <c r="O1498" s="256" t="n"/>
      <c r="P1498" s="256" t="n"/>
      <c r="Q1498" s="256" t="n"/>
    </row>
    <row r="1499">
      <c r="A1499">
        <f>IF(DAY(D1499)=DAY($L$1+1),A1498+1,A1498)</f>
        <v/>
      </c>
      <c r="B1499" s="46">
        <f>IF(DAY(D1499)=DAY($L$1+1),1,B1498+1)</f>
        <v/>
      </c>
      <c r="C1499" s="46">
        <f>IF(DAY(D1499)=DAY($L$1+1),1,C1498+1)</f>
        <v/>
      </c>
      <c r="D1499" s="2">
        <f>D1498+1</f>
        <v/>
      </c>
      <c r="E1499" s="8">
        <f>IF(DAY(D1499)=DAY($L$1+1),TRUNC((N1498),8),E1498)</f>
        <v/>
      </c>
      <c r="F1499" s="49">
        <f>TRUNC(((1+VLOOKUP(A1499,IPCA!$A$2:$C$140,3,0)))^(C1499/(EDATE(D1499-C1499,1)-(D1499-C1499))),8)</f>
        <v/>
      </c>
      <c r="G1499" s="49">
        <f>TRUNC((E1499*F1499),8)</f>
        <v/>
      </c>
      <c r="H1499" s="49">
        <f>ROUND(((1+$H$4)^(30/360))^(C1499/(EDATE(D1499-B1499,1)-(D1499-B1499))),9)</f>
        <v/>
      </c>
      <c r="I1499" s="49">
        <f>TRUNC((G1499*H1499-G1499),8)</f>
        <v/>
      </c>
      <c r="J1499" s="49">
        <f>G1499+I1499</f>
        <v/>
      </c>
      <c r="K1499" s="256" t="n"/>
      <c r="L1499" s="256" t="n"/>
      <c r="M1499" s="256" t="n"/>
      <c r="N1499" s="256" t="n"/>
      <c r="O1499" s="256" t="n"/>
      <c r="P1499" s="256" t="n"/>
      <c r="Q1499" s="256" t="n"/>
    </row>
    <row r="1500">
      <c r="A1500">
        <f>IF(DAY(D1500)=DAY($L$1+1),A1499+1,A1499)</f>
        <v/>
      </c>
      <c r="B1500" s="46">
        <f>IF(DAY(D1500)=DAY($L$1+1),1,B1499+1)</f>
        <v/>
      </c>
      <c r="C1500" s="46">
        <f>IF(DAY(D1500)=DAY($L$1+1),1,C1499+1)</f>
        <v/>
      </c>
      <c r="D1500" s="2">
        <f>D1499+1</f>
        <v/>
      </c>
      <c r="E1500" s="8">
        <f>IF(DAY(D1500)=DAY($L$1+1),TRUNC((N1499),8),E1499)</f>
        <v/>
      </c>
      <c r="F1500" s="49">
        <f>TRUNC(((1+VLOOKUP(A1500,IPCA!$A$2:$C$140,3,0)))^(C1500/(EDATE(D1500-C1500,1)-(D1500-C1500))),8)</f>
        <v/>
      </c>
      <c r="G1500" s="49">
        <f>TRUNC((E1500*F1500),8)</f>
        <v/>
      </c>
      <c r="H1500" s="49">
        <f>ROUND(((1+$H$4)^(30/360))^(C1500/(EDATE(D1500-B1500,1)-(D1500-B1500))),9)</f>
        <v/>
      </c>
      <c r="I1500" s="49">
        <f>TRUNC((G1500*H1500-G1500),8)</f>
        <v/>
      </c>
      <c r="J1500" s="49">
        <f>G1500+I1500</f>
        <v/>
      </c>
      <c r="K1500" s="256" t="n"/>
      <c r="L1500" s="256" t="n"/>
      <c r="M1500" s="256" t="n"/>
      <c r="N1500" s="256" t="n"/>
      <c r="O1500" s="256" t="n"/>
      <c r="P1500" s="256" t="n"/>
      <c r="Q1500" s="256" t="n"/>
    </row>
    <row r="1501">
      <c r="A1501">
        <f>IF(DAY(D1501)=DAY($L$1+1),A1500+1,A1500)</f>
        <v/>
      </c>
      <c r="B1501" s="46">
        <f>IF(DAY(D1501)=DAY($L$1+1),1,B1500+1)</f>
        <v/>
      </c>
      <c r="C1501" s="46">
        <f>IF(DAY(D1501)=DAY($L$1+1),1,C1500+1)</f>
        <v/>
      </c>
      <c r="D1501" s="2">
        <f>D1500+1</f>
        <v/>
      </c>
      <c r="E1501" s="8">
        <f>IF(DAY(D1501)=DAY($L$1+1),TRUNC((N1500),8),E1500)</f>
        <v/>
      </c>
      <c r="F1501" s="49">
        <f>TRUNC(((1+VLOOKUP(A1501,IPCA!$A$2:$C$140,3,0)))^(C1501/(EDATE(D1501-C1501,1)-(D1501-C1501))),8)</f>
        <v/>
      </c>
      <c r="G1501" s="49">
        <f>TRUNC((E1501*F1501),8)</f>
        <v/>
      </c>
      <c r="H1501" s="49">
        <f>ROUND(((1+$H$4)^(30/360))^(C1501/(EDATE(D1501-B1501,1)-(D1501-B1501))),9)</f>
        <v/>
      </c>
      <c r="I1501" s="49">
        <f>TRUNC((G1501*H1501-G1501),8)</f>
        <v/>
      </c>
      <c r="J1501" s="49">
        <f>G1501+I1501</f>
        <v/>
      </c>
      <c r="K1501" s="256" t="n"/>
      <c r="L1501" s="256" t="n"/>
      <c r="M1501" s="256" t="n"/>
      <c r="N1501" s="256" t="n"/>
      <c r="O1501" s="256" t="n"/>
      <c r="P1501" s="256" t="n"/>
      <c r="Q1501" s="256" t="n"/>
    </row>
    <row r="1502">
      <c r="A1502">
        <f>IF(DAY(D1502)=DAY($L$1+1),A1501+1,A1501)</f>
        <v/>
      </c>
      <c r="B1502" s="46">
        <f>IF(DAY(D1502)=DAY($L$1+1),1,B1501+1)</f>
        <v/>
      </c>
      <c r="C1502" s="46">
        <f>IF(DAY(D1502)=DAY($L$1+1),1,C1501+1)</f>
        <v/>
      </c>
      <c r="D1502" s="2">
        <f>D1501+1</f>
        <v/>
      </c>
      <c r="E1502" s="8">
        <f>IF(DAY(D1502)=DAY($L$1+1),TRUNC((N1501),8),E1501)</f>
        <v/>
      </c>
      <c r="F1502" s="49">
        <f>TRUNC(((1+VLOOKUP(A1502,IPCA!$A$2:$C$140,3,0)))^(C1502/(EDATE(D1502-C1502,1)-(D1502-C1502))),8)</f>
        <v/>
      </c>
      <c r="G1502" s="49">
        <f>TRUNC((E1502*F1502),8)</f>
        <v/>
      </c>
      <c r="H1502" s="49">
        <f>ROUND(((1+$H$4)^(30/360))^(C1502/(EDATE(D1502-B1502,1)-(D1502-B1502))),9)</f>
        <v/>
      </c>
      <c r="I1502" s="49">
        <f>TRUNC((G1502*H1502-G1502),8)</f>
        <v/>
      </c>
      <c r="J1502" s="49">
        <f>G1502+I1502</f>
        <v/>
      </c>
      <c r="K1502" s="256" t="n"/>
      <c r="L1502" s="256" t="n"/>
      <c r="M1502" s="256" t="n"/>
      <c r="N1502" s="256" t="n"/>
      <c r="O1502" s="256" t="n"/>
      <c r="P1502" s="256" t="n"/>
      <c r="Q1502" s="256" t="n"/>
    </row>
    <row r="1503">
      <c r="A1503">
        <f>IF(DAY(D1503)=DAY($L$1+1),A1502+1,A1502)</f>
        <v/>
      </c>
      <c r="B1503" s="46">
        <f>IF(DAY(D1503)=DAY($L$1+1),1,B1502+1)</f>
        <v/>
      </c>
      <c r="C1503" s="46">
        <f>IF(DAY(D1503)=DAY($L$1+1),1,C1502+1)</f>
        <v/>
      </c>
      <c r="D1503" s="2">
        <f>D1502+1</f>
        <v/>
      </c>
      <c r="E1503" s="8">
        <f>IF(DAY(D1503)=DAY($L$1+1),TRUNC((N1502),8),E1502)</f>
        <v/>
      </c>
      <c r="F1503" s="49">
        <f>TRUNC(((1+VLOOKUP(A1503,IPCA!$A$2:$C$140,3,0)))^(C1503/(EDATE(D1503-C1503,1)-(D1503-C1503))),8)</f>
        <v/>
      </c>
      <c r="G1503" s="49">
        <f>TRUNC((E1503*F1503),8)</f>
        <v/>
      </c>
      <c r="H1503" s="49">
        <f>ROUND(((1+$H$4)^(30/360))^(C1503/(EDATE(D1503-B1503,1)-(D1503-B1503))),9)</f>
        <v/>
      </c>
      <c r="I1503" s="49">
        <f>TRUNC((G1503*H1503-G1503),8)</f>
        <v/>
      </c>
      <c r="J1503" s="49">
        <f>G1503+I1503</f>
        <v/>
      </c>
      <c r="K1503" s="256" t="n"/>
      <c r="L1503" s="256" t="n"/>
      <c r="M1503" s="256" t="n"/>
      <c r="N1503" s="256" t="n"/>
      <c r="O1503" s="256" t="n"/>
      <c r="P1503" s="256" t="n"/>
      <c r="Q1503" s="256" t="n"/>
    </row>
    <row r="1504">
      <c r="A1504">
        <f>IF(DAY(D1504)=DAY($L$1+1),A1503+1,A1503)</f>
        <v/>
      </c>
      <c r="B1504" s="46">
        <f>IF(DAY(D1504)=DAY($L$1+1),1,B1503+1)</f>
        <v/>
      </c>
      <c r="C1504" s="46">
        <f>IF(DAY(D1504)=DAY($L$1+1),1,C1503+1)</f>
        <v/>
      </c>
      <c r="D1504" s="2">
        <f>D1503+1</f>
        <v/>
      </c>
      <c r="E1504" s="8">
        <f>IF(DAY(D1504)=DAY($L$1+1),TRUNC((N1503),8),E1503)</f>
        <v/>
      </c>
      <c r="F1504" s="49">
        <f>TRUNC(((1+VLOOKUP(A1504,IPCA!$A$2:$C$140,3,0)))^(C1504/(EDATE(D1504-C1504,1)-(D1504-C1504))),8)</f>
        <v/>
      </c>
      <c r="G1504" s="49">
        <f>TRUNC((E1504*F1504),8)</f>
        <v/>
      </c>
      <c r="H1504" s="49">
        <f>ROUND(((1+$H$4)^(30/360))^(C1504/(EDATE(D1504-B1504,1)-(D1504-B1504))),9)</f>
        <v/>
      </c>
      <c r="I1504" s="49">
        <f>TRUNC((G1504*H1504-G1504),8)</f>
        <v/>
      </c>
      <c r="J1504" s="49">
        <f>G1504+I1504</f>
        <v/>
      </c>
      <c r="K1504" s="256" t="n"/>
      <c r="L1504" s="256" t="n"/>
      <c r="M1504" s="256" t="n"/>
      <c r="N1504" s="256" t="n"/>
      <c r="O1504" s="256" t="n"/>
      <c r="P1504" s="256" t="n"/>
      <c r="Q1504" s="256" t="n"/>
    </row>
    <row r="1505">
      <c r="A1505">
        <f>IF(DAY(D1505)=DAY($L$1+1),A1504+1,A1504)</f>
        <v/>
      </c>
      <c r="B1505" s="46">
        <f>IF(DAY(D1505)=DAY($L$1+1),1,B1504+1)</f>
        <v/>
      </c>
      <c r="C1505" s="46">
        <f>IF(DAY(D1505)=DAY($L$1+1),1,C1504+1)</f>
        <v/>
      </c>
      <c r="D1505" s="2">
        <f>D1504+1</f>
        <v/>
      </c>
      <c r="E1505" s="8">
        <f>IF(DAY(D1505)=DAY($L$1+1),TRUNC((N1504),8),E1504)</f>
        <v/>
      </c>
      <c r="F1505" s="49">
        <f>TRUNC(((1+VLOOKUP(A1505,IPCA!$A$2:$C$140,3,0)))^(C1505/(EDATE(D1505-C1505,1)-(D1505-C1505))),8)</f>
        <v/>
      </c>
      <c r="G1505" s="49">
        <f>TRUNC((E1505*F1505),8)</f>
        <v/>
      </c>
      <c r="H1505" s="49">
        <f>ROUND(((1+$H$4)^(30/360))^(C1505/(EDATE(D1505-B1505,1)-(D1505-B1505))),9)</f>
        <v/>
      </c>
      <c r="I1505" s="49">
        <f>TRUNC((G1505*H1505-G1505),8)</f>
        <v/>
      </c>
      <c r="J1505" s="49">
        <f>G1505+I1505</f>
        <v/>
      </c>
      <c r="K1505" s="256" t="n"/>
      <c r="L1505" s="256" t="n"/>
      <c r="M1505" s="256" t="n"/>
      <c r="N1505" s="256" t="n"/>
      <c r="O1505" s="256" t="n"/>
      <c r="P1505" s="256" t="n"/>
      <c r="Q1505" s="256" t="n"/>
    </row>
    <row r="1506">
      <c r="A1506">
        <f>IF(DAY(D1506)=DAY($L$1+1),A1505+1,A1505)</f>
        <v/>
      </c>
      <c r="B1506" s="46">
        <f>IF(DAY(D1506)=DAY($L$1+1),1,B1505+1)</f>
        <v/>
      </c>
      <c r="C1506" s="46">
        <f>IF(DAY(D1506)=DAY($L$1+1),1,C1505+1)</f>
        <v/>
      </c>
      <c r="D1506" s="2">
        <f>D1505+1</f>
        <v/>
      </c>
      <c r="E1506" s="8">
        <f>IF(DAY(D1506)=DAY($L$1+1),TRUNC((N1505),8),E1505)</f>
        <v/>
      </c>
      <c r="F1506" s="49">
        <f>TRUNC(((1+VLOOKUP(A1506,IPCA!$A$2:$C$140,3,0)))^(C1506/(EDATE(D1506-C1506,1)-(D1506-C1506))),8)</f>
        <v/>
      </c>
      <c r="G1506" s="49">
        <f>TRUNC((E1506*F1506),8)</f>
        <v/>
      </c>
      <c r="H1506" s="49">
        <f>ROUND(((1+$H$4)^(30/360))^(C1506/(EDATE(D1506-B1506,1)-(D1506-B1506))),9)</f>
        <v/>
      </c>
      <c r="I1506" s="49">
        <f>TRUNC((G1506*H1506-G1506),8)</f>
        <v/>
      </c>
      <c r="J1506" s="49">
        <f>G1506+I1506</f>
        <v/>
      </c>
      <c r="K1506" s="256" t="n"/>
      <c r="L1506" s="256" t="n"/>
      <c r="M1506" s="256" t="n"/>
      <c r="N1506" s="256" t="n"/>
      <c r="O1506" s="256" t="n"/>
      <c r="P1506" s="256" t="n"/>
      <c r="Q1506" s="256" t="n"/>
    </row>
    <row r="1507">
      <c r="A1507">
        <f>IF(DAY(D1507)=DAY($L$1+1),A1506+1,A1506)</f>
        <v/>
      </c>
      <c r="B1507" s="46">
        <f>IF(DAY(D1507)=DAY($L$1+1),1,B1506+1)</f>
        <v/>
      </c>
      <c r="C1507" s="46">
        <f>IF(DAY(D1507)=DAY($L$1+1),1,C1506+1)</f>
        <v/>
      </c>
      <c r="D1507" s="2">
        <f>D1506+1</f>
        <v/>
      </c>
      <c r="E1507" s="8">
        <f>IF(DAY(D1507)=DAY($L$1+1),TRUNC((N1506),8),E1506)</f>
        <v/>
      </c>
      <c r="F1507" s="49">
        <f>TRUNC(((1+VLOOKUP(A1507,IPCA!$A$2:$C$140,3,0)))^(C1507/(EDATE(D1507-C1507,1)-(D1507-C1507))),8)</f>
        <v/>
      </c>
      <c r="G1507" s="49">
        <f>TRUNC((E1507*F1507),8)</f>
        <v/>
      </c>
      <c r="H1507" s="49">
        <f>ROUND(((1+$H$4)^(30/360))^(C1507/(EDATE(D1507-B1507,1)-(D1507-B1507))),9)</f>
        <v/>
      </c>
      <c r="I1507" s="49">
        <f>TRUNC((G1507*H1507-G1507),8)</f>
        <v/>
      </c>
      <c r="J1507" s="49">
        <f>G1507+I1507</f>
        <v/>
      </c>
      <c r="K1507" s="256" t="n"/>
      <c r="L1507" s="256" t="n"/>
      <c r="M1507" s="256" t="n"/>
      <c r="N1507" s="256" t="n"/>
      <c r="O1507" s="256" t="n"/>
      <c r="P1507" s="256" t="n"/>
      <c r="Q1507" s="256" t="n"/>
    </row>
    <row r="1508">
      <c r="A1508">
        <f>IF(DAY(D1508)=DAY($L$1+1),A1507+1,A1507)</f>
        <v/>
      </c>
      <c r="B1508" s="46">
        <f>IF(DAY(D1508)=DAY($L$1+1),1,B1507+1)</f>
        <v/>
      </c>
      <c r="C1508" s="46">
        <f>IF(DAY(D1508)=DAY($L$1+1),1,C1507+1)</f>
        <v/>
      </c>
      <c r="D1508" s="2">
        <f>D1507+1</f>
        <v/>
      </c>
      <c r="E1508" s="8">
        <f>IF(DAY(D1508)=DAY($L$1+1),TRUNC((N1507),8),E1507)</f>
        <v/>
      </c>
      <c r="F1508" s="49">
        <f>TRUNC(((1+VLOOKUP(A1508,IPCA!$A$2:$C$140,3,0)))^(C1508/(EDATE(D1508-C1508,1)-(D1508-C1508))),8)</f>
        <v/>
      </c>
      <c r="G1508" s="49">
        <f>TRUNC((E1508*F1508),8)</f>
        <v/>
      </c>
      <c r="H1508" s="49">
        <f>ROUND(((1+$H$4)^(30/360))^(C1508/(EDATE(D1508-B1508,1)-(D1508-B1508))),9)</f>
        <v/>
      </c>
      <c r="I1508" s="49">
        <f>TRUNC((G1508*H1508-G1508),8)</f>
        <v/>
      </c>
      <c r="J1508" s="49">
        <f>G1508+I1508</f>
        <v/>
      </c>
      <c r="K1508" s="256" t="n"/>
      <c r="L1508" s="256" t="n"/>
      <c r="M1508" s="256" t="n"/>
      <c r="N1508" s="256" t="n"/>
      <c r="O1508" s="256" t="n"/>
      <c r="P1508" s="256" t="n"/>
      <c r="Q1508" s="256" t="n"/>
    </row>
    <row r="1509">
      <c r="A1509">
        <f>IF(DAY(D1509)=DAY($L$1+1),A1508+1,A1508)</f>
        <v/>
      </c>
      <c r="B1509" s="46">
        <f>IF(DAY(D1509)=DAY($L$1+1),1,B1508+1)</f>
        <v/>
      </c>
      <c r="C1509" s="46">
        <f>IF(DAY(D1509)=DAY($L$1+1),1,C1508+1)</f>
        <v/>
      </c>
      <c r="D1509" s="2">
        <f>D1508+1</f>
        <v/>
      </c>
      <c r="E1509" s="8">
        <f>IF(DAY(D1509)=DAY($L$1+1),TRUNC((N1508),8),E1508)</f>
        <v/>
      </c>
      <c r="F1509" s="49">
        <f>TRUNC(((1+VLOOKUP(A1509,IPCA!$A$2:$C$140,3,0)))^(C1509/(EDATE(D1509-C1509,1)-(D1509-C1509))),8)</f>
        <v/>
      </c>
      <c r="G1509" s="49">
        <f>TRUNC((E1509*F1509),8)</f>
        <v/>
      </c>
      <c r="H1509" s="49">
        <f>ROUND(((1+$H$4)^(30/360))^(C1509/(EDATE(D1509-B1509,1)-(D1509-B1509))),9)</f>
        <v/>
      </c>
      <c r="I1509" s="49">
        <f>TRUNC((G1509*H1509-G1509),8)</f>
        <v/>
      </c>
      <c r="J1509" s="49">
        <f>G1509+I1509</f>
        <v/>
      </c>
      <c r="K1509" s="256" t="inlineStr">
        <is>
          <t>Cri Integralizado</t>
        </is>
      </c>
      <c r="L1509" s="270">
        <f>L1478</f>
        <v/>
      </c>
      <c r="M1509" s="256" t="n"/>
      <c r="N1509" s="256" t="n"/>
      <c r="O1509" s="256" t="n"/>
      <c r="P1509" s="256" t="n"/>
      <c r="Q1509" s="256" t="n"/>
    </row>
    <row r="1510">
      <c r="A1510">
        <f>IF(DAY(D1510)=DAY($L$1+1),A1509+1,A1509)</f>
        <v/>
      </c>
      <c r="B1510" s="46">
        <f>IF(DAY(D1510)=DAY($L$1+1),1,B1509+1)</f>
        <v/>
      </c>
      <c r="C1510" s="46">
        <f>IF(DAY(D1510)=DAY($L$1+1),1,C1509+1)</f>
        <v/>
      </c>
      <c r="D1510" s="47">
        <f>D1509+1</f>
        <v/>
      </c>
      <c r="E1510" s="8">
        <f>IF(DAY(D1510)=DAY($L$1+1),TRUNC((N1509),8),E1509)</f>
        <v/>
      </c>
      <c r="F1510" s="49">
        <f>TRUNC(((1+VLOOKUP(A1510,IPCA!$A$2:$C$140,3,0)))^(C1510/(EDATE(D1510-C1510,1)-(D1510-C1510))),8)</f>
        <v/>
      </c>
      <c r="G1510" s="49">
        <f>TRUNC((E1510*F1510),8)</f>
        <v/>
      </c>
      <c r="H1510" s="49">
        <f>ROUND(((1+$H$4)^(30/360))^(C1510/(EDATE(D1510-B1510,1)-(D1510-B1510))),9)</f>
        <v/>
      </c>
      <c r="I1510" s="49">
        <f>TRUNC((G1510*H1510-G1510),8)</f>
        <v/>
      </c>
      <c r="J1510" s="49">
        <f>G1510+I1510</f>
        <v/>
      </c>
      <c r="K1510" s="118" t="inlineStr">
        <is>
          <t>JUROS</t>
        </is>
      </c>
      <c r="L1510" s="118" t="inlineStr">
        <is>
          <t>AMORTIZAÇÃO</t>
        </is>
      </c>
      <c r="M1510" s="118" t="inlineStr">
        <is>
          <t>AMEX</t>
        </is>
      </c>
      <c r="N1510" s="118" t="inlineStr">
        <is>
          <t>RESIDUAL</t>
        </is>
      </c>
      <c r="O1510" s="256" t="n"/>
      <c r="P1510" s="256" t="n"/>
      <c r="Q1510" s="256" t="n"/>
    </row>
    <row r="1511">
      <c r="A1511">
        <f>IF(DAY(D1511)=DAY($L$1+1),A1510+1,A1510)</f>
        <v/>
      </c>
      <c r="B1511" s="111">
        <f>IF(DAY(D1511)=DAY($L$1+1),1,B1510+1)</f>
        <v/>
      </c>
      <c r="C1511" s="111">
        <f>IF(DAY(D1511)=DAY($L$1+1),1,C1510+1)</f>
        <v/>
      </c>
      <c r="D1511" s="112">
        <f>D1510+1</f>
        <v/>
      </c>
      <c r="E1511" s="113">
        <f>IF(DAY(D1511)=DAY($L$1+1),TRUNC((N1510),8),E1510)</f>
        <v/>
      </c>
      <c r="F1511" s="114">
        <f>TRUNC(((1+VLOOKUP(A1511,IPCA!$A$2:$C$140,3,0)))^(C1511/(EDATE(D1511-C1511,1)-(D1511-C1511))),8)</f>
        <v/>
      </c>
      <c r="G1511" s="114">
        <f>TRUNC((E1511*F1511),8)</f>
        <v/>
      </c>
      <c r="H1511" s="114">
        <f>ROUND(((1+$H$4)^(30/360))^(C1511/(EDATE(D1511-B1511,1)-(D1511-B1511))),9)</f>
        <v/>
      </c>
      <c r="I1511" s="114">
        <f>TRUNC((G1511*H1511-G1511),8)</f>
        <v/>
      </c>
      <c r="J1511" s="114">
        <f>G1511+I1511</f>
        <v/>
      </c>
      <c r="K1511" s="119">
        <f>I1511</f>
        <v/>
      </c>
      <c r="L1511" s="120">
        <f>TRUNC(G1511*VLOOKUP(D1511,'Amort TS'!$G$3:$H$140,2,0),8)</f>
        <v/>
      </c>
      <c r="M1511" s="120" t="n">
        <v>0</v>
      </c>
      <c r="N1511" s="120">
        <f>J1511-K1511-L1511-M1511</f>
        <v/>
      </c>
      <c r="O1511" s="256" t="n"/>
      <c r="P1511" s="256" t="n"/>
      <c r="Q1511" s="256" t="n"/>
    </row>
    <row r="1512">
      <c r="A1512">
        <f>IF(DAY(D1512)=DAY($L$1+1),A1511+1,A1511)</f>
        <v/>
      </c>
      <c r="B1512" s="46">
        <f>IF(DAY(D1512)=DAY($L$1+1),1,B1511+1)</f>
        <v/>
      </c>
      <c r="C1512" s="46">
        <f>IF(DAY(D1512)=DAY($L$1+1),1,C1511+1)</f>
        <v/>
      </c>
      <c r="D1512" s="2">
        <f>D1511+1</f>
        <v/>
      </c>
      <c r="E1512" s="8">
        <f>IF(DAY(D1512)=DAY($L$1+1),TRUNC((N1511),8),E1511)</f>
        <v/>
      </c>
      <c r="F1512" s="49">
        <f>TRUNC(((1+VLOOKUP(A1512,IPCA!$A$2:$C$140,3,0)))^(C1512/(EDATE(D1512-C1512,1)-(D1512-C1512))),8)</f>
        <v/>
      </c>
      <c r="G1512" s="49">
        <f>TRUNC((E1512*F1512),8)</f>
        <v/>
      </c>
      <c r="H1512" s="49">
        <f>ROUND(((1+$H$4)^(30/360))^(C1512/(EDATE(D1512-B1512,1)-(D1512-B1512))),9)</f>
        <v/>
      </c>
      <c r="I1512" s="49">
        <f>TRUNC((G1512*H1512-G1512),8)</f>
        <v/>
      </c>
      <c r="J1512" s="49">
        <f>G1512+I1512</f>
        <v/>
      </c>
      <c r="K1512" s="121">
        <f>K1511*L1509</f>
        <v/>
      </c>
      <c r="L1512" s="121">
        <f>L1511*L1509</f>
        <v/>
      </c>
      <c r="M1512" s="121">
        <f>M1511*L1509</f>
        <v/>
      </c>
      <c r="N1512" s="121">
        <f>N1511*L1509</f>
        <v/>
      </c>
      <c r="O1512" s="256" t="n"/>
      <c r="P1512" s="256" t="n"/>
      <c r="Q1512" s="256" t="n"/>
    </row>
    <row r="1513">
      <c r="A1513">
        <f>IF(DAY(D1513)=DAY($L$1+1),A1512+1,A1512)</f>
        <v/>
      </c>
      <c r="B1513" s="46">
        <f>IF(DAY(D1513)=DAY($L$1+1),1,B1512+1)</f>
        <v/>
      </c>
      <c r="C1513" s="46">
        <f>IF(DAY(D1513)=DAY($L$1+1),1,C1512+1)</f>
        <v/>
      </c>
      <c r="D1513" s="47">
        <f>D1512+1</f>
        <v/>
      </c>
      <c r="E1513" s="8">
        <f>IF(DAY(D1513)=DAY($L$1+1),TRUNC((N1512),8),E1512)</f>
        <v/>
      </c>
      <c r="F1513" s="49">
        <f>TRUNC(((1+VLOOKUP(A1513,IPCA!$A$2:$C$140,3,0)))^(C1513/(EDATE(D1513-C1513,1)-(D1513-C1513))),8)</f>
        <v/>
      </c>
      <c r="G1513" s="49">
        <f>TRUNC((E1513*F1513),8)</f>
        <v/>
      </c>
      <c r="H1513" s="49">
        <f>ROUND(((1+$H$4)^(30/360))^(C1513/(EDATE(D1513-B1513,1)-(D1513-B1513))),9)</f>
        <v/>
      </c>
      <c r="I1513" s="49">
        <f>TRUNC((G1513*H1513-G1513),8)</f>
        <v/>
      </c>
      <c r="J1513" s="49">
        <f>G1513+I1513</f>
        <v/>
      </c>
      <c r="K1513" s="256" t="n"/>
      <c r="L1513" s="256" t="n"/>
      <c r="M1513" s="256" t="n"/>
      <c r="N1513" s="256" t="n"/>
      <c r="O1513" s="256" t="n"/>
      <c r="P1513" s="256" t="n"/>
      <c r="Q1513" s="256" t="n"/>
    </row>
    <row r="1514">
      <c r="A1514">
        <f>IF(DAY(D1514)=DAY($L$1+1),A1513+1,A1513)</f>
        <v/>
      </c>
      <c r="B1514" s="46">
        <f>IF(DAY(D1514)=DAY($L$1+1),1,B1513+1)</f>
        <v/>
      </c>
      <c r="C1514" s="46">
        <f>IF(DAY(D1514)=DAY($L$1+1),1,C1513+1)</f>
        <v/>
      </c>
      <c r="D1514" s="2">
        <f>D1513+1</f>
        <v/>
      </c>
      <c r="E1514" s="8">
        <f>IF(DAY(D1514)=DAY($L$1+1),TRUNC((#REF!),8),E1513)</f>
        <v/>
      </c>
      <c r="F1514" s="49">
        <f>TRUNC(((1+VLOOKUP(A1514,IPCA!$A$2:$C$140,3,0)))^(C1514/(EDATE(D1514-C1514,1)-(D1514-C1514))),8)</f>
        <v/>
      </c>
      <c r="G1514" s="49">
        <f>TRUNC((E1514*F1514),8)</f>
        <v/>
      </c>
      <c r="H1514" s="49">
        <f>ROUND(((1+$H$4)^(30/360))^(C1514/(EDATE(D1514-B1514,1)-(D1514-B1514))),9)</f>
        <v/>
      </c>
      <c r="I1514" s="49">
        <f>TRUNC((G1514*H1514-G1514),8)</f>
        <v/>
      </c>
      <c r="J1514" s="49">
        <f>G1514+I1514</f>
        <v/>
      </c>
      <c r="K1514" s="256" t="n"/>
      <c r="L1514" s="256" t="n"/>
      <c r="M1514" s="256" t="n"/>
      <c r="N1514" s="256" t="n"/>
      <c r="O1514" s="256" t="n"/>
      <c r="P1514" s="256" t="n"/>
      <c r="Q1514" s="256" t="n"/>
    </row>
    <row r="1515">
      <c r="A1515">
        <f>IF(DAY(D1515)=DAY($L$1+1),A1514+1,A1514)</f>
        <v/>
      </c>
      <c r="B1515" s="46">
        <f>IF(DAY(D1515)=DAY($L$1+1),1,B1514+1)</f>
        <v/>
      </c>
      <c r="C1515" s="46">
        <f>IF(DAY(D1515)=DAY($L$1+1),1,C1514+1)</f>
        <v/>
      </c>
      <c r="D1515" s="2">
        <f>D1514+1</f>
        <v/>
      </c>
      <c r="E1515" s="8">
        <f>IF(DAY(D1515)=DAY($L$1+1),TRUNC((#REF!),8),E1514)</f>
        <v/>
      </c>
      <c r="F1515" s="49">
        <f>TRUNC(((1+VLOOKUP(A1515,IPCA!$A$2:$C$140,3,0)))^(C1515/(EDATE(D1515-C1515,1)-(D1515-C1515))),8)</f>
        <v/>
      </c>
      <c r="G1515" s="49">
        <f>TRUNC((E1515*F1515),8)</f>
        <v/>
      </c>
      <c r="H1515" s="49">
        <f>ROUND(((1+$H$4)^(30/360))^(C1515/(EDATE(D1515-B1515,1)-(D1515-B1515))),9)</f>
        <v/>
      </c>
      <c r="I1515" s="49">
        <f>TRUNC((G1515*H1515-G1515),8)</f>
        <v/>
      </c>
      <c r="J1515" s="49">
        <f>G1515+I1515</f>
        <v/>
      </c>
      <c r="K1515" s="256" t="n"/>
      <c r="L1515" s="256" t="n"/>
      <c r="M1515" s="256" t="n"/>
      <c r="N1515" s="256" t="n"/>
      <c r="O1515" s="256" t="n"/>
      <c r="P1515" s="256" t="n"/>
      <c r="Q1515" s="256" t="n"/>
    </row>
    <row r="1516">
      <c r="A1516">
        <f>IF(DAY(D1516)=DAY($L$1+1),A1515+1,A1515)</f>
        <v/>
      </c>
      <c r="B1516" s="46">
        <f>IF(DAY(D1516)=DAY($L$1+1),1,B1515+1)</f>
        <v/>
      </c>
      <c r="C1516" s="46">
        <f>IF(DAY(D1516)=DAY($L$1+1),1,C1515+1)</f>
        <v/>
      </c>
      <c r="D1516" s="2">
        <f>D1515+1</f>
        <v/>
      </c>
      <c r="E1516" s="8">
        <f>IF(DAY(D1516)=DAY($L$1+1),TRUNC((#REF!),8),E1515)</f>
        <v/>
      </c>
      <c r="F1516" s="49">
        <f>TRUNC(((1+VLOOKUP(A1516,IPCA!$A$2:$C$140,3,0)))^(C1516/(EDATE(D1516-C1516,1)-(D1516-C1516))),8)</f>
        <v/>
      </c>
      <c r="G1516" s="49">
        <f>TRUNC((E1516*F1516),8)</f>
        <v/>
      </c>
      <c r="H1516" s="49">
        <f>ROUND(((1+$H$4)^(30/360))^(C1516/(EDATE(D1516-B1516,1)-(D1516-B1516))),9)</f>
        <v/>
      </c>
      <c r="I1516" s="49">
        <f>TRUNC((G1516*H1516-G1516),8)</f>
        <v/>
      </c>
      <c r="J1516" s="49">
        <f>G1516+I1516</f>
        <v/>
      </c>
      <c r="K1516" s="256" t="n"/>
      <c r="L1516" s="256" t="n"/>
      <c r="M1516" s="256" t="n"/>
      <c r="N1516" s="256" t="n"/>
      <c r="O1516" s="256" t="n"/>
      <c r="P1516" s="256" t="n"/>
      <c r="Q1516" s="256" t="n"/>
    </row>
    <row r="1517">
      <c r="A1517">
        <f>IF(DAY(D1517)=DAY($L$1+1),A1516+1,A1516)</f>
        <v/>
      </c>
      <c r="B1517" s="46">
        <f>IF(DAY(D1517)=DAY($L$1+1),1,B1516+1)</f>
        <v/>
      </c>
      <c r="C1517" s="46">
        <f>IF(DAY(D1517)=DAY($L$1+1),1,C1516+1)</f>
        <v/>
      </c>
      <c r="D1517" s="2">
        <f>D1516+1</f>
        <v/>
      </c>
      <c r="E1517" s="8">
        <f>IF(DAY(D1517)=DAY($L$1+1),TRUNC((#REF!),8),E1516)</f>
        <v/>
      </c>
      <c r="F1517" s="49">
        <f>TRUNC(((1+VLOOKUP(A1517,IPCA!$A$2:$C$140,3,0)))^(C1517/(EDATE(D1517-C1517,1)-(D1517-C1517))),8)</f>
        <v/>
      </c>
      <c r="G1517" s="49">
        <f>TRUNC((E1517*F1517),8)</f>
        <v/>
      </c>
      <c r="H1517" s="49">
        <f>ROUND(((1+$H$4)^(30/360))^(C1517/(EDATE(D1517-B1517,1)-(D1517-B1517))),9)</f>
        <v/>
      </c>
      <c r="I1517" s="49">
        <f>TRUNC((G1517*H1517-G1517),8)</f>
        <v/>
      </c>
      <c r="J1517" s="49">
        <f>G1517+I1517</f>
        <v/>
      </c>
      <c r="K1517" s="256" t="n"/>
      <c r="L1517" s="256" t="n"/>
      <c r="M1517" s="256" t="n"/>
      <c r="N1517" s="256" t="n"/>
      <c r="O1517" s="256" t="n"/>
      <c r="P1517" s="256" t="n"/>
      <c r="Q1517" s="256" t="n"/>
    </row>
    <row r="1518">
      <c r="A1518">
        <f>IF(DAY(D1518)=DAY($L$1+1),A1517+1,A1517)</f>
        <v/>
      </c>
      <c r="B1518" s="46">
        <f>IF(DAY(D1518)=DAY($L$1+1),1,B1517+1)</f>
        <v/>
      </c>
      <c r="C1518" s="46">
        <f>IF(DAY(D1518)=DAY($L$1+1),1,C1517+1)</f>
        <v/>
      </c>
      <c r="D1518" s="2">
        <f>D1517+1</f>
        <v/>
      </c>
      <c r="E1518" s="8">
        <f>IF(DAY(D1518)=DAY($L$1+1),TRUNC((#REF!),8),E1517)</f>
        <v/>
      </c>
      <c r="F1518" s="49">
        <f>TRUNC(((1+VLOOKUP(A1518,IPCA!$A$2:$C$140,3,0)))^(C1518/(EDATE(D1518-C1518,1)-(D1518-C1518))),8)</f>
        <v/>
      </c>
      <c r="G1518" s="49">
        <f>TRUNC((E1518*F1518),8)</f>
        <v/>
      </c>
      <c r="H1518" s="49">
        <f>ROUND(((1+$H$4)^(30/360))^(C1518/(EDATE(D1518-B1518,1)-(D1518-B1518))),9)</f>
        <v/>
      </c>
      <c r="I1518" s="49">
        <f>TRUNC((G1518*H1518-G1518),8)</f>
        <v/>
      </c>
      <c r="J1518" s="49">
        <f>G1518+I1518</f>
        <v/>
      </c>
      <c r="K1518" s="256" t="n"/>
      <c r="L1518" s="256" t="n"/>
      <c r="M1518" s="256" t="n"/>
      <c r="N1518" s="256" t="n"/>
      <c r="O1518" s="256" t="n"/>
      <c r="P1518" s="256" t="n"/>
      <c r="Q1518" s="256" t="n"/>
    </row>
    <row r="1519">
      <c r="A1519">
        <f>IF(DAY(D1519)=DAY($L$1+1),A1518+1,A1518)</f>
        <v/>
      </c>
      <c r="B1519" s="46">
        <f>IF(DAY(D1519)=DAY($L$1+1),1,B1518+1)</f>
        <v/>
      </c>
      <c r="C1519" s="46">
        <f>IF(DAY(D1519)=DAY($L$1+1),1,C1518+1)</f>
        <v/>
      </c>
      <c r="D1519" s="2">
        <f>D1518+1</f>
        <v/>
      </c>
      <c r="E1519" s="8">
        <f>IF(DAY(D1519)=DAY($L$1+1),TRUNC((#REF!),8),E1518)</f>
        <v/>
      </c>
      <c r="F1519" s="49">
        <f>TRUNC(((1+VLOOKUP(A1519,IPCA!$A$2:$C$140,3,0)))^(C1519/(EDATE(D1519-C1519,1)-(D1519-C1519))),8)</f>
        <v/>
      </c>
      <c r="G1519" s="49">
        <f>TRUNC((E1519*F1519),8)</f>
        <v/>
      </c>
      <c r="H1519" s="49">
        <f>ROUND(((1+$H$4)^(30/360))^(C1519/(EDATE(D1519-B1519,1)-(D1519-B1519))),9)</f>
        <v/>
      </c>
      <c r="I1519" s="49">
        <f>TRUNC((G1519*H1519-G1519),8)</f>
        <v/>
      </c>
      <c r="J1519" s="49">
        <f>G1519+I1519</f>
        <v/>
      </c>
      <c r="K1519" s="256" t="n"/>
      <c r="L1519" s="256" t="n"/>
      <c r="M1519" s="256" t="n"/>
      <c r="N1519" s="256" t="n"/>
      <c r="O1519" s="256" t="n"/>
      <c r="P1519" s="256" t="n"/>
      <c r="Q1519" s="256" t="n"/>
    </row>
    <row r="1520">
      <c r="A1520">
        <f>IF(DAY(D1520)=DAY($L$1+1),A1519+1,A1519)</f>
        <v/>
      </c>
      <c r="B1520" s="46">
        <f>IF(DAY(D1520)=DAY($L$1+1),1,B1519+1)</f>
        <v/>
      </c>
      <c r="C1520" s="46">
        <f>IF(DAY(D1520)=DAY($L$1+1),1,C1519+1)</f>
        <v/>
      </c>
      <c r="D1520" s="2">
        <f>D1519+1</f>
        <v/>
      </c>
      <c r="E1520" s="8">
        <f>IF(DAY(D1520)=DAY($L$1+1),TRUNC((#REF!),8),E1519)</f>
        <v/>
      </c>
      <c r="F1520" s="49">
        <f>TRUNC(((1+VLOOKUP(A1520,IPCA!$A$2:$C$140,3,0)))^(C1520/(EDATE(D1520-C1520,1)-(D1520-C1520))),8)</f>
        <v/>
      </c>
      <c r="G1520" s="49">
        <f>TRUNC((E1520*F1520),8)</f>
        <v/>
      </c>
      <c r="H1520" s="49">
        <f>ROUND(((1+$H$4)^(30/360))^(C1520/(EDATE(D1520-B1520,1)-(D1520-B1520))),9)</f>
        <v/>
      </c>
      <c r="I1520" s="49">
        <f>TRUNC((G1520*H1520-G1520),8)</f>
        <v/>
      </c>
      <c r="J1520" s="49">
        <f>G1520+I1520</f>
        <v/>
      </c>
      <c r="K1520" s="256" t="n"/>
      <c r="L1520" s="256" t="n"/>
      <c r="M1520" s="256" t="n"/>
      <c r="N1520" s="256" t="n"/>
      <c r="O1520" s="256" t="n"/>
      <c r="P1520" s="256" t="n"/>
      <c r="Q1520" s="256" t="n"/>
    </row>
    <row r="1521">
      <c r="A1521">
        <f>IF(DAY(D1521)=DAY($L$1+1),A1520+1,A1520)</f>
        <v/>
      </c>
      <c r="B1521" s="46">
        <f>IF(DAY(D1521)=DAY($L$1+1),1,B1520+1)</f>
        <v/>
      </c>
      <c r="C1521" s="46">
        <f>IF(DAY(D1521)=DAY($L$1+1),1,C1520+1)</f>
        <v/>
      </c>
      <c r="D1521" s="2">
        <f>D1520+1</f>
        <v/>
      </c>
      <c r="E1521" s="8">
        <f>IF(DAY(D1521)=DAY($L$1+1),TRUNC((#REF!),8),E1520)</f>
        <v/>
      </c>
      <c r="F1521" s="49">
        <f>TRUNC(((1+VLOOKUP(A1521,IPCA!$A$2:$C$140,3,0)))^(C1521/(EDATE(D1521-C1521,1)-(D1521-C1521))),8)</f>
        <v/>
      </c>
      <c r="G1521" s="49">
        <f>TRUNC((E1521*F1521),8)</f>
        <v/>
      </c>
      <c r="H1521" s="49">
        <f>ROUND(((1+$H$4)^(30/360))^(C1521/(EDATE(D1521-B1521,1)-(D1521-B1521))),9)</f>
        <v/>
      </c>
      <c r="I1521" s="49">
        <f>TRUNC((G1521*H1521-G1521),8)</f>
        <v/>
      </c>
      <c r="J1521" s="49">
        <f>G1521+I1521</f>
        <v/>
      </c>
      <c r="K1521" s="256" t="n"/>
      <c r="L1521" s="256" t="n"/>
      <c r="M1521" s="256" t="n"/>
      <c r="N1521" s="256" t="n"/>
      <c r="O1521" s="256" t="n"/>
      <c r="P1521" s="256" t="n"/>
      <c r="Q1521" s="256" t="n"/>
    </row>
    <row r="1522">
      <c r="A1522">
        <f>IF(DAY(D1522)=DAY($L$1+1),A1521+1,A1521)</f>
        <v/>
      </c>
      <c r="B1522" s="46">
        <f>IF(DAY(D1522)=DAY($L$1+1),1,B1521+1)</f>
        <v/>
      </c>
      <c r="C1522" s="46">
        <f>IF(DAY(D1522)=DAY($L$1+1),1,C1521+1)</f>
        <v/>
      </c>
      <c r="D1522" s="2">
        <f>D1521+1</f>
        <v/>
      </c>
      <c r="E1522" s="8">
        <f>IF(DAY(D1522)=DAY($L$1+1),TRUNC((#REF!),8),E1521)</f>
        <v/>
      </c>
      <c r="F1522" s="49">
        <f>TRUNC(((1+VLOOKUP(A1522,IPCA!$A$2:$C$140,3,0)))^(C1522/(EDATE(D1522-C1522,1)-(D1522-C1522))),8)</f>
        <v/>
      </c>
      <c r="G1522" s="49">
        <f>TRUNC((E1522*F1522),8)</f>
        <v/>
      </c>
      <c r="H1522" s="49">
        <f>ROUND(((1+$H$4)^(30/360))^(C1522/(EDATE(D1522-B1522,1)-(D1522-B1522))),9)</f>
        <v/>
      </c>
      <c r="I1522" s="49">
        <f>TRUNC((G1522*H1522-G1522),8)</f>
        <v/>
      </c>
      <c r="J1522" s="49">
        <f>G1522+I1522</f>
        <v/>
      </c>
      <c r="K1522" s="256" t="n"/>
      <c r="L1522" s="256" t="n"/>
      <c r="M1522" s="256" t="n"/>
      <c r="N1522" s="256" t="n"/>
      <c r="O1522" s="256" t="n"/>
      <c r="P1522" s="256" t="n"/>
      <c r="Q1522" s="256" t="n"/>
    </row>
    <row r="1523">
      <c r="A1523">
        <f>IF(DAY(D1523)=DAY($L$1+1),A1522+1,A1522)</f>
        <v/>
      </c>
      <c r="B1523" s="46">
        <f>IF(DAY(D1523)=DAY($L$1+1),1,B1522+1)</f>
        <v/>
      </c>
      <c r="C1523" s="46">
        <f>IF(DAY(D1523)=DAY($L$1+1),1,C1522+1)</f>
        <v/>
      </c>
      <c r="D1523" s="2">
        <f>D1522+1</f>
        <v/>
      </c>
      <c r="E1523" s="8">
        <f>IF(DAY(D1523)=DAY($L$1+1),TRUNC((#REF!),8),E1522)</f>
        <v/>
      </c>
      <c r="F1523" s="49">
        <f>TRUNC(((1+VLOOKUP(A1523,IPCA!$A$2:$C$140,3,0)))^(C1523/(EDATE(D1523-C1523,1)-(D1523-C1523))),8)</f>
        <v/>
      </c>
      <c r="G1523" s="49">
        <f>TRUNC((E1523*F1523),8)</f>
        <v/>
      </c>
      <c r="H1523" s="49">
        <f>ROUND(((1+$H$4)^(30/360))^(C1523/(EDATE(D1523-B1523,1)-(D1523-B1523))),9)</f>
        <v/>
      </c>
      <c r="I1523" s="49">
        <f>TRUNC((G1523*H1523-G1523),8)</f>
        <v/>
      </c>
      <c r="J1523" s="49">
        <f>G1523+I1523</f>
        <v/>
      </c>
      <c r="K1523" s="256" t="n"/>
      <c r="L1523" s="256" t="n"/>
      <c r="M1523" s="256" t="n"/>
      <c r="N1523" s="256" t="n"/>
      <c r="O1523" s="256" t="n"/>
      <c r="P1523" s="256" t="n"/>
      <c r="Q1523" s="256" t="n"/>
    </row>
    <row r="1524">
      <c r="A1524">
        <f>IF(DAY(D1524)=DAY($L$1+1),A1523+1,A1523)</f>
        <v/>
      </c>
      <c r="B1524" s="46">
        <f>IF(DAY(D1524)=DAY($L$1+1),1,B1523+1)</f>
        <v/>
      </c>
      <c r="C1524" s="46">
        <f>IF(DAY(D1524)=DAY($L$1+1),1,C1523+1)</f>
        <v/>
      </c>
      <c r="D1524" s="2">
        <f>D1523+1</f>
        <v/>
      </c>
      <c r="E1524" s="8">
        <f>IF(DAY(D1524)=DAY($L$1+1),TRUNC((#REF!),8),E1523)</f>
        <v/>
      </c>
      <c r="F1524" s="49">
        <f>TRUNC(((1+VLOOKUP(A1524,IPCA!$A$2:$C$140,3,0)))^(C1524/(EDATE(D1524-C1524,1)-(D1524-C1524))),8)</f>
        <v/>
      </c>
      <c r="G1524" s="49">
        <f>TRUNC((E1524*F1524),8)</f>
        <v/>
      </c>
      <c r="H1524" s="49">
        <f>ROUND(((1+$H$4)^(30/360))^(C1524/(EDATE(D1524-B1524,1)-(D1524-B1524))),9)</f>
        <v/>
      </c>
      <c r="I1524" s="49">
        <f>TRUNC((G1524*H1524-G1524),8)</f>
        <v/>
      </c>
      <c r="J1524" s="49">
        <f>G1524+I1524</f>
        <v/>
      </c>
      <c r="K1524" s="256" t="n"/>
      <c r="L1524" s="256" t="n"/>
      <c r="M1524" s="256" t="n"/>
      <c r="N1524" s="256" t="n"/>
      <c r="O1524" s="256" t="n"/>
      <c r="P1524" s="256" t="n"/>
      <c r="Q1524" s="256" t="n"/>
    </row>
    <row r="1525">
      <c r="A1525">
        <f>IF(DAY(D1525)=DAY($L$1+1),A1524+1,A1524)</f>
        <v/>
      </c>
      <c r="B1525" s="46">
        <f>IF(DAY(D1525)=DAY($L$1+1),1,B1524+1)</f>
        <v/>
      </c>
      <c r="C1525" s="46">
        <f>IF(DAY(D1525)=DAY($L$1+1),1,C1524+1)</f>
        <v/>
      </c>
      <c r="D1525" s="2">
        <f>D1524+1</f>
        <v/>
      </c>
      <c r="E1525" s="8">
        <f>IF(DAY(D1525)=DAY($L$1+1),TRUNC((#REF!),8),E1524)</f>
        <v/>
      </c>
      <c r="F1525" s="49">
        <f>TRUNC(((1+VLOOKUP(A1525,IPCA!$A$2:$C$140,3,0)))^(C1525/(EDATE(D1525-C1525,1)-(D1525-C1525))),8)</f>
        <v/>
      </c>
      <c r="G1525" s="49">
        <f>TRUNC((E1525*F1525),8)</f>
        <v/>
      </c>
      <c r="H1525" s="49">
        <f>ROUND(((1+$H$4)^(30/360))^(C1525/(EDATE(D1525-B1525,1)-(D1525-B1525))),9)</f>
        <v/>
      </c>
      <c r="I1525" s="49">
        <f>TRUNC((G1525*H1525-G1525),8)</f>
        <v/>
      </c>
      <c r="J1525" s="49">
        <f>G1525+I1525</f>
        <v/>
      </c>
      <c r="K1525" s="256" t="n"/>
      <c r="L1525" s="256" t="n"/>
      <c r="M1525" s="256" t="n"/>
      <c r="N1525" s="256" t="n"/>
      <c r="O1525" s="256" t="n"/>
      <c r="P1525" s="256" t="n"/>
      <c r="Q1525" s="256" t="n"/>
    </row>
    <row r="1526">
      <c r="A1526">
        <f>IF(DAY(D1526)=DAY($L$1+1),A1525+1,A1525)</f>
        <v/>
      </c>
      <c r="B1526" s="46">
        <f>IF(DAY(D1526)=DAY($L$1+1),1,B1525+1)</f>
        <v/>
      </c>
      <c r="C1526" s="46">
        <f>IF(DAY(D1526)=DAY($L$1+1),1,C1525+1)</f>
        <v/>
      </c>
      <c r="D1526" s="2">
        <f>D1525+1</f>
        <v/>
      </c>
      <c r="E1526" s="8">
        <f>IF(DAY(D1526)=DAY($L$1+1),TRUNC((#REF!),8),E1525)</f>
        <v/>
      </c>
      <c r="F1526" s="49">
        <f>TRUNC(((1+VLOOKUP(A1526,IPCA!$A$2:$C$140,3,0)))^(C1526/(EDATE(D1526-C1526,1)-(D1526-C1526))),8)</f>
        <v/>
      </c>
      <c r="G1526" s="49">
        <f>TRUNC((E1526*F1526),8)</f>
        <v/>
      </c>
      <c r="H1526" s="49">
        <f>ROUND(((1+$H$4)^(30/360))^(C1526/(EDATE(D1526-B1526,1)-(D1526-B1526))),9)</f>
        <v/>
      </c>
      <c r="I1526" s="49">
        <f>TRUNC((G1526*H1526-G1526),8)</f>
        <v/>
      </c>
      <c r="J1526" s="49">
        <f>G1526+I1526</f>
        <v/>
      </c>
      <c r="K1526" s="256" t="n"/>
      <c r="L1526" s="256" t="n"/>
      <c r="M1526" s="256" t="n"/>
      <c r="N1526" s="256" t="n"/>
      <c r="O1526" s="256" t="n"/>
      <c r="P1526" s="256" t="n"/>
      <c r="Q1526" s="256" t="n"/>
    </row>
    <row r="1527">
      <c r="A1527">
        <f>IF(DAY(D1527)=DAY($L$1+1),A1526+1,A1526)</f>
        <v/>
      </c>
      <c r="B1527" s="46">
        <f>IF(DAY(D1527)=DAY($L$1+1),1,B1526+1)</f>
        <v/>
      </c>
      <c r="C1527" s="46">
        <f>IF(DAY(D1527)=DAY($L$1+1),1,C1526+1)</f>
        <v/>
      </c>
      <c r="D1527" s="2">
        <f>D1526+1</f>
        <v/>
      </c>
      <c r="E1527" s="8">
        <f>IF(DAY(D1527)=DAY($L$1+1),TRUNC((N1526),8),E1526)</f>
        <v/>
      </c>
      <c r="F1527" s="49">
        <f>TRUNC(((1+VLOOKUP(A1527,IPCA!$A$2:$C$140,3,0)))^(C1527/(EDATE(D1527-C1527,1)-(D1527-C1527))),8)</f>
        <v/>
      </c>
      <c r="G1527" s="49">
        <f>TRUNC((E1527*F1527),8)</f>
        <v/>
      </c>
      <c r="H1527" s="49">
        <f>ROUND(((1+$H$4)^(30/360))^(C1527/(EDATE(D1527-B1527,1)-(D1527-B1527))),9)</f>
        <v/>
      </c>
      <c r="I1527" s="49">
        <f>TRUNC((G1527*H1527-G1527),8)</f>
        <v/>
      </c>
      <c r="J1527" s="49">
        <f>G1527+I1527</f>
        <v/>
      </c>
      <c r="K1527" s="123" t="n"/>
      <c r="L1527" s="271" t="n"/>
      <c r="M1527" s="256" t="n"/>
      <c r="N1527" s="256" t="n"/>
      <c r="O1527" s="256" t="n"/>
      <c r="P1527" s="256" t="n"/>
      <c r="Q1527" s="256" t="n"/>
    </row>
    <row r="1528">
      <c r="A1528">
        <f>IF(DAY(D1528)=DAY($L$1+1),A1527+1,A1527)</f>
        <v/>
      </c>
      <c r="B1528" s="46">
        <f>IF(DAY(D1528)=DAY($L$1+1),1,B1527+1)</f>
        <v/>
      </c>
      <c r="C1528" s="46">
        <f>IF(DAY(D1528)=DAY($L$1+1),1,C1527+1)</f>
        <v/>
      </c>
      <c r="D1528" s="2">
        <f>D1527+1</f>
        <v/>
      </c>
      <c r="E1528" s="8">
        <f>IF(DAY(D1528)=DAY($L$1+1),TRUNC((N1527),8),E1527)</f>
        <v/>
      </c>
      <c r="F1528" s="49">
        <f>TRUNC(((1+VLOOKUP(A1528,IPCA!$A$2:$C$140,3,0)))^(C1528/(EDATE(D1528-C1528,1)-(D1528-C1528))),8)</f>
        <v/>
      </c>
      <c r="G1528" s="49">
        <f>TRUNC((E1528*F1528),8)</f>
        <v/>
      </c>
      <c r="H1528" s="49">
        <f>ROUND(((1+$H$4)^(30/360))^(C1528/(EDATE(D1528-B1528,1)-(D1528-B1528))),9)</f>
        <v/>
      </c>
      <c r="I1528" s="49">
        <f>TRUNC((G1528*H1528-G1528),8)</f>
        <v/>
      </c>
      <c r="J1528" s="49">
        <f>G1528+I1528</f>
        <v/>
      </c>
      <c r="K1528" s="256" t="n"/>
      <c r="L1528" s="256" t="n"/>
      <c r="M1528" s="256" t="n"/>
      <c r="N1528" s="256" t="n"/>
      <c r="O1528" s="256" t="n"/>
      <c r="P1528" s="256" t="n"/>
      <c r="Q1528" s="256" t="n"/>
    </row>
    <row r="1529">
      <c r="A1529">
        <f>IF(DAY(D1529)=DAY($L$1+1),A1528+1,A1528)</f>
        <v/>
      </c>
      <c r="B1529" s="46">
        <f>IF(DAY(D1529)=DAY($L$1+1),1,B1528+1)</f>
        <v/>
      </c>
      <c r="C1529" s="46">
        <f>IF(DAY(D1529)=DAY($L$1+1),1,C1528+1)</f>
        <v/>
      </c>
      <c r="D1529" s="2">
        <f>D1528+1</f>
        <v/>
      </c>
      <c r="E1529" s="8">
        <f>IF(DAY(D1529)=DAY($L$1+1),TRUNC((N1528),8),E1528)</f>
        <v/>
      </c>
      <c r="F1529" s="49">
        <f>TRUNC(((1+VLOOKUP(A1529,IPCA!$A$2:$C$140,3,0)))^(C1529/(EDATE(D1529-C1529,1)-(D1529-C1529))),8)</f>
        <v/>
      </c>
      <c r="G1529" s="49">
        <f>TRUNC((E1529*F1529),8)</f>
        <v/>
      </c>
      <c r="H1529" s="49">
        <f>ROUND(((1+$H$4)^(30/360))^(C1529/(EDATE(D1529-B1529,1)-(D1529-B1529))),9)</f>
        <v/>
      </c>
      <c r="I1529" s="49">
        <f>TRUNC((G1529*H1529-G1529),8)</f>
        <v/>
      </c>
      <c r="J1529" s="49">
        <f>G1529+I1529</f>
        <v/>
      </c>
      <c r="K1529" s="256" t="n"/>
      <c r="L1529" s="256" t="n"/>
      <c r="M1529" s="256" t="n"/>
      <c r="N1529" s="256" t="n"/>
      <c r="O1529" s="256" t="n"/>
      <c r="P1529" s="256" t="n"/>
      <c r="Q1529" s="256" t="n"/>
    </row>
    <row r="1530">
      <c r="A1530">
        <f>IF(DAY(D1530)=DAY($L$1+1),A1529+1,A1529)</f>
        <v/>
      </c>
      <c r="B1530" s="46">
        <f>IF(DAY(D1530)=DAY($L$1+1),1,B1529+1)</f>
        <v/>
      </c>
      <c r="C1530" s="46">
        <f>IF(DAY(D1530)=DAY($L$1+1),1,C1529+1)</f>
        <v/>
      </c>
      <c r="D1530" s="2">
        <f>D1529+1</f>
        <v/>
      </c>
      <c r="E1530" s="8">
        <f>IF(DAY(D1530)=DAY($L$1+1),TRUNC((N1529),8),E1529)</f>
        <v/>
      </c>
      <c r="F1530" s="49">
        <f>TRUNC(((1+VLOOKUP(A1530,IPCA!$A$2:$C$140,3,0)))^(C1530/(EDATE(D1530-C1530,1)-(D1530-C1530))),8)</f>
        <v/>
      </c>
      <c r="G1530" s="49">
        <f>TRUNC((E1530*F1530),8)</f>
        <v/>
      </c>
      <c r="H1530" s="49">
        <f>ROUND(((1+$H$4)^(30/360))^(C1530/(EDATE(D1530-B1530,1)-(D1530-B1530))),9)</f>
        <v/>
      </c>
      <c r="I1530" s="49">
        <f>TRUNC((G1530*H1530-G1530),8)</f>
        <v/>
      </c>
      <c r="J1530" s="49">
        <f>G1530+I1530</f>
        <v/>
      </c>
      <c r="K1530" s="256" t="n"/>
      <c r="L1530" s="256" t="n"/>
      <c r="M1530" s="256" t="n"/>
      <c r="N1530" s="256" t="n"/>
      <c r="O1530" s="256" t="n"/>
      <c r="P1530" s="256" t="n"/>
      <c r="Q1530" s="256" t="n"/>
    </row>
    <row r="1531">
      <c r="A1531">
        <f>IF(DAY(D1531)=DAY($L$1+1),A1530+1,A1530)</f>
        <v/>
      </c>
      <c r="B1531" s="46">
        <f>IF(DAY(D1531)=DAY($L$1+1),1,B1530+1)</f>
        <v/>
      </c>
      <c r="C1531" s="46">
        <f>IF(DAY(D1531)=DAY($L$1+1),1,C1530+1)</f>
        <v/>
      </c>
      <c r="D1531" s="2">
        <f>D1530+1</f>
        <v/>
      </c>
      <c r="E1531" s="8">
        <f>IF(DAY(D1531)=DAY($L$1+1),TRUNC((N1530),8),E1530)</f>
        <v/>
      </c>
      <c r="F1531" s="49">
        <f>TRUNC(((1+VLOOKUP(A1531,IPCA!$A$2:$C$140,3,0)))^(C1531/(EDATE(D1531-C1531,1)-(D1531-C1531))),8)</f>
        <v/>
      </c>
      <c r="G1531" s="49">
        <f>TRUNC((E1531*F1531),8)</f>
        <v/>
      </c>
      <c r="H1531" s="49">
        <f>ROUND(((1+$H$4)^(30/360))^(C1531/(EDATE(D1531-B1531,1)-(D1531-B1531))),9)</f>
        <v/>
      </c>
      <c r="I1531" s="49">
        <f>TRUNC((G1531*H1531-G1531),8)</f>
        <v/>
      </c>
      <c r="J1531" s="49">
        <f>G1531+I1531</f>
        <v/>
      </c>
      <c r="K1531" s="256" t="n"/>
      <c r="L1531" s="256" t="n"/>
      <c r="M1531" s="256" t="n"/>
      <c r="N1531" s="256" t="n"/>
      <c r="O1531" s="256" t="n"/>
      <c r="P1531" s="256" t="n"/>
      <c r="Q1531" s="256" t="n"/>
    </row>
    <row r="1532">
      <c r="A1532">
        <f>IF(DAY(D1532)=DAY($L$1+1),A1531+1,A1531)</f>
        <v/>
      </c>
      <c r="B1532" s="46">
        <f>IF(DAY(D1532)=DAY($L$1+1),1,B1531+1)</f>
        <v/>
      </c>
      <c r="C1532" s="46">
        <f>IF(DAY(D1532)=DAY($L$1+1),1,C1531+1)</f>
        <v/>
      </c>
      <c r="D1532" s="2">
        <f>D1531+1</f>
        <v/>
      </c>
      <c r="E1532" s="8">
        <f>IF(DAY(D1532)=DAY($L$1+1),TRUNC((N1531),8),E1531)</f>
        <v/>
      </c>
      <c r="F1532" s="49">
        <f>TRUNC(((1+VLOOKUP(A1532,IPCA!$A$2:$C$140,3,0)))^(C1532/(EDATE(D1532-C1532,1)-(D1532-C1532))),8)</f>
        <v/>
      </c>
      <c r="G1532" s="49">
        <f>TRUNC((E1532*F1532),8)</f>
        <v/>
      </c>
      <c r="H1532" s="49">
        <f>ROUND(((1+$H$4)^(30/360))^(C1532/(EDATE(D1532-B1532,1)-(D1532-B1532))),9)</f>
        <v/>
      </c>
      <c r="I1532" s="49">
        <f>TRUNC((G1532*H1532-G1532),8)</f>
        <v/>
      </c>
      <c r="J1532" s="49">
        <f>G1532+I1532</f>
        <v/>
      </c>
      <c r="K1532" s="256" t="n"/>
      <c r="L1532" s="256" t="n"/>
      <c r="M1532" s="256" t="n"/>
      <c r="N1532" s="256" t="n"/>
      <c r="O1532" s="256" t="n"/>
      <c r="P1532" s="256" t="n"/>
      <c r="Q1532" s="256" t="n"/>
    </row>
    <row r="1533">
      <c r="A1533">
        <f>IF(DAY(D1533)=DAY($L$1+1),A1532+1,A1532)</f>
        <v/>
      </c>
      <c r="B1533" s="46">
        <f>IF(DAY(D1533)=DAY($L$1+1),1,B1532+1)</f>
        <v/>
      </c>
      <c r="C1533" s="46">
        <f>IF(DAY(D1533)=DAY($L$1+1),1,C1532+1)</f>
        <v/>
      </c>
      <c r="D1533" s="2">
        <f>D1532+1</f>
        <v/>
      </c>
      <c r="E1533" s="8">
        <f>IF(DAY(D1533)=DAY($L$1+1),TRUNC((N1532),8),E1532)</f>
        <v/>
      </c>
      <c r="F1533" s="49">
        <f>TRUNC(((1+VLOOKUP(A1533,IPCA!$A$2:$C$140,3,0)))^(C1533/(EDATE(D1533-C1533,1)-(D1533-C1533))),8)</f>
        <v/>
      </c>
      <c r="G1533" s="49">
        <f>TRUNC((E1533*F1533),8)</f>
        <v/>
      </c>
      <c r="H1533" s="49">
        <f>ROUND(((1+$H$4)^(30/360))^(C1533/(EDATE(D1533-B1533,1)-(D1533-B1533))),9)</f>
        <v/>
      </c>
      <c r="I1533" s="49">
        <f>TRUNC((G1533*H1533-G1533),8)</f>
        <v/>
      </c>
      <c r="J1533" s="49">
        <f>G1533+I1533</f>
        <v/>
      </c>
      <c r="K1533" s="256" t="n"/>
      <c r="L1533" s="256" t="n"/>
      <c r="M1533" s="256" t="n"/>
      <c r="N1533" s="256" t="n"/>
      <c r="O1533" s="256" t="n"/>
      <c r="P1533" s="256" t="n"/>
      <c r="Q1533" s="256" t="n"/>
    </row>
    <row r="1534">
      <c r="A1534">
        <f>IF(DAY(D1534)=DAY($L$1+1),A1533+1,A1533)</f>
        <v/>
      </c>
      <c r="B1534" s="46">
        <f>IF(DAY(D1534)=DAY($L$1+1),1,B1533+1)</f>
        <v/>
      </c>
      <c r="C1534" s="46">
        <f>IF(DAY(D1534)=DAY($L$1+1),1,C1533+1)</f>
        <v/>
      </c>
      <c r="D1534" s="2">
        <f>D1533+1</f>
        <v/>
      </c>
      <c r="E1534" s="8">
        <f>IF(DAY(D1534)=DAY($L$1+1),TRUNC((N1533),8),E1533)</f>
        <v/>
      </c>
      <c r="F1534" s="49">
        <f>TRUNC(((1+VLOOKUP(A1534,IPCA!$A$2:$C$140,3,0)))^(C1534/(EDATE(D1534-C1534,1)-(D1534-C1534))),8)</f>
        <v/>
      </c>
      <c r="G1534" s="49">
        <f>TRUNC((E1534*F1534),8)</f>
        <v/>
      </c>
      <c r="H1534" s="49">
        <f>ROUND(((1+$H$4)^(30/360))^(C1534/(EDATE(D1534-B1534,1)-(D1534-B1534))),9)</f>
        <v/>
      </c>
      <c r="I1534" s="49">
        <f>TRUNC((G1534*H1534-G1534),8)</f>
        <v/>
      </c>
      <c r="J1534" s="49">
        <f>G1534+I1534</f>
        <v/>
      </c>
      <c r="K1534" s="256" t="n"/>
      <c r="L1534" s="256" t="n"/>
      <c r="M1534" s="256" t="n"/>
      <c r="N1534" s="256" t="n"/>
      <c r="O1534" s="256" t="n"/>
      <c r="P1534" s="256" t="n"/>
      <c r="Q1534" s="256" t="n"/>
    </row>
    <row r="1535">
      <c r="A1535">
        <f>IF(DAY(D1535)=DAY($L$1+1),A1534+1,A1534)</f>
        <v/>
      </c>
      <c r="B1535" s="46">
        <f>IF(DAY(D1535)=DAY($L$1+1),1,B1534+1)</f>
        <v/>
      </c>
      <c r="C1535" s="46">
        <f>IF(DAY(D1535)=DAY($L$1+1),1,C1534+1)</f>
        <v/>
      </c>
      <c r="D1535" s="2">
        <f>D1534+1</f>
        <v/>
      </c>
      <c r="E1535" s="8">
        <f>IF(DAY(D1535)=DAY($L$1+1),TRUNC((N1534),8),E1534)</f>
        <v/>
      </c>
      <c r="F1535" s="49">
        <f>TRUNC(((1+VLOOKUP(A1535,IPCA!$A$2:$C$140,3,0)))^(C1535/(EDATE(D1535-C1535,1)-(D1535-C1535))),8)</f>
        <v/>
      </c>
      <c r="G1535" s="49">
        <f>TRUNC((E1535*F1535),8)</f>
        <v/>
      </c>
      <c r="H1535" s="49">
        <f>ROUND(((1+$H$4)^(30/360))^(C1535/(EDATE(D1535-B1535,1)-(D1535-B1535))),9)</f>
        <v/>
      </c>
      <c r="I1535" s="49">
        <f>TRUNC((G1535*H1535-G1535),8)</f>
        <v/>
      </c>
      <c r="J1535" s="49">
        <f>G1535+I1535</f>
        <v/>
      </c>
      <c r="K1535" s="256" t="n"/>
      <c r="L1535" s="256" t="n"/>
      <c r="M1535" s="256" t="n"/>
      <c r="N1535" s="256" t="n"/>
      <c r="O1535" s="256" t="n"/>
      <c r="P1535" s="256" t="n"/>
      <c r="Q1535" s="256" t="n"/>
    </row>
    <row r="1536">
      <c r="A1536">
        <f>IF(DAY(D1536)=DAY($L$1+1),A1535+1,A1535)</f>
        <v/>
      </c>
      <c r="B1536" s="46">
        <f>IF(DAY(D1536)=DAY($L$1+1),1,B1535+1)</f>
        <v/>
      </c>
      <c r="C1536" s="46">
        <f>IF(DAY(D1536)=DAY($L$1+1),1,C1535+1)</f>
        <v/>
      </c>
      <c r="D1536" s="2">
        <f>D1535+1</f>
        <v/>
      </c>
      <c r="E1536" s="8">
        <f>IF(DAY(D1536)=DAY($L$1+1),TRUNC((N1535),8),E1535)</f>
        <v/>
      </c>
      <c r="F1536" s="49">
        <f>TRUNC(((1+VLOOKUP(A1536,IPCA!$A$2:$C$140,3,0)))^(C1536/(EDATE(D1536-C1536,1)-(D1536-C1536))),8)</f>
        <v/>
      </c>
      <c r="G1536" s="49">
        <f>TRUNC((E1536*F1536),8)</f>
        <v/>
      </c>
      <c r="H1536" s="49">
        <f>ROUND(((1+$H$4)^(30/360))^(C1536/(EDATE(D1536-B1536,1)-(D1536-B1536))),9)</f>
        <v/>
      </c>
      <c r="I1536" s="49">
        <f>TRUNC((G1536*H1536-G1536),8)</f>
        <v/>
      </c>
      <c r="J1536" s="49">
        <f>G1536+I1536</f>
        <v/>
      </c>
      <c r="K1536" s="256" t="n"/>
      <c r="L1536" s="256" t="n"/>
      <c r="M1536" s="256" t="n"/>
      <c r="N1536" s="256" t="n"/>
      <c r="O1536" s="256" t="n"/>
      <c r="P1536" s="256" t="n"/>
      <c r="Q1536" s="256" t="n"/>
    </row>
    <row r="1537">
      <c r="A1537">
        <f>IF(DAY(D1537)=DAY($L$1+1),A1536+1,A1536)</f>
        <v/>
      </c>
      <c r="B1537" s="46">
        <f>IF(DAY(D1537)=DAY($L$1+1),1,B1536+1)</f>
        <v/>
      </c>
      <c r="C1537" s="46">
        <f>IF(DAY(D1537)=DAY($L$1+1),1,C1536+1)</f>
        <v/>
      </c>
      <c r="D1537" s="2">
        <f>D1536+1</f>
        <v/>
      </c>
      <c r="E1537" s="8">
        <f>IF(DAY(D1537)=DAY($L$1+1),TRUNC((N1536),8),E1536)</f>
        <v/>
      </c>
      <c r="F1537" s="49">
        <f>TRUNC(((1+VLOOKUP(A1537,IPCA!$A$2:$C$140,3,0)))^(C1537/(EDATE(D1537-C1537,1)-(D1537-C1537))),8)</f>
        <v/>
      </c>
      <c r="G1537" s="49">
        <f>TRUNC((E1537*F1537),8)</f>
        <v/>
      </c>
      <c r="H1537" s="49">
        <f>ROUND(((1+$H$4)^(30/360))^(C1537/(EDATE(D1537-B1537,1)-(D1537-B1537))),9)</f>
        <v/>
      </c>
      <c r="I1537" s="49">
        <f>TRUNC((G1537*H1537-G1537),8)</f>
        <v/>
      </c>
      <c r="J1537" s="49">
        <f>G1537+I1537</f>
        <v/>
      </c>
      <c r="K1537" s="256" t="n"/>
      <c r="L1537" s="256" t="n"/>
      <c r="M1537" s="256" t="n"/>
      <c r="N1537" s="256" t="n"/>
      <c r="O1537" s="256" t="n"/>
      <c r="P1537" s="256" t="n"/>
      <c r="Q1537" s="256" t="n"/>
    </row>
    <row r="1538">
      <c r="A1538">
        <f>IF(DAY(D1538)=DAY($L$1+1),A1537+1,A1537)</f>
        <v/>
      </c>
      <c r="B1538" s="46">
        <f>IF(DAY(D1538)=DAY($L$1+1),1,B1537+1)</f>
        <v/>
      </c>
      <c r="C1538" s="46">
        <f>IF(DAY(D1538)=DAY($L$1+1),1,C1537+1)</f>
        <v/>
      </c>
      <c r="D1538" s="2">
        <f>D1537+1</f>
        <v/>
      </c>
      <c r="E1538" s="8">
        <f>IF(DAY(D1538)=DAY($L$1+1),TRUNC((N1537),8),E1537)</f>
        <v/>
      </c>
      <c r="F1538" s="49">
        <f>TRUNC(((1+VLOOKUP(A1538,IPCA!$A$2:$C$140,3,0)))^(C1538/(EDATE(D1538-C1538,1)-(D1538-C1538))),8)</f>
        <v/>
      </c>
      <c r="G1538" s="49">
        <f>TRUNC((E1538*F1538),8)</f>
        <v/>
      </c>
      <c r="H1538" s="49">
        <f>ROUND(((1+$H$4)^(30/360))^(C1538/(EDATE(D1538-B1538,1)-(D1538-B1538))),9)</f>
        <v/>
      </c>
      <c r="I1538" s="49">
        <f>TRUNC((G1538*H1538-G1538),8)</f>
        <v/>
      </c>
      <c r="J1538" s="49">
        <f>G1538+I1538</f>
        <v/>
      </c>
      <c r="K1538" s="256" t="n"/>
      <c r="L1538" s="256" t="n"/>
      <c r="M1538" s="256" t="n"/>
      <c r="N1538" s="256" t="n"/>
      <c r="O1538" s="256" t="n"/>
      <c r="P1538" s="256" t="n"/>
      <c r="Q1538" s="256" t="n"/>
    </row>
    <row r="1539">
      <c r="A1539">
        <f>IF(DAY(D1539)=DAY($L$1+1),A1538+1,A1538)</f>
        <v/>
      </c>
      <c r="B1539" s="46">
        <f>IF(DAY(D1539)=DAY($L$1+1),1,B1538+1)</f>
        <v/>
      </c>
      <c r="C1539" s="46">
        <f>IF(DAY(D1539)=DAY($L$1+1),1,C1538+1)</f>
        <v/>
      </c>
      <c r="D1539" s="2">
        <f>D1538+1</f>
        <v/>
      </c>
      <c r="E1539" s="8">
        <f>IF(DAY(D1539)=DAY($L$1+1),TRUNC((N1538),8),E1538)</f>
        <v/>
      </c>
      <c r="F1539" s="49">
        <f>TRUNC(((1+VLOOKUP(A1539,IPCA!$A$2:$C$140,3,0)))^(C1539/(EDATE(D1539-C1539,1)-(D1539-C1539))),8)</f>
        <v/>
      </c>
      <c r="G1539" s="49">
        <f>TRUNC((E1539*F1539),8)</f>
        <v/>
      </c>
      <c r="H1539" s="49">
        <f>ROUND(((1+$H$4)^(30/360))^(C1539/(EDATE(D1539-B1539,1)-(D1539-B1539))),9)</f>
        <v/>
      </c>
      <c r="I1539" s="49">
        <f>TRUNC((G1539*H1539-G1539),8)</f>
        <v/>
      </c>
      <c r="J1539" s="49">
        <f>G1539+I1539</f>
        <v/>
      </c>
      <c r="K1539" s="256" t="n"/>
      <c r="L1539" s="256" t="n"/>
      <c r="M1539" s="256" t="n"/>
      <c r="N1539" s="256" t="n"/>
      <c r="O1539" s="256" t="n"/>
      <c r="P1539" s="256" t="n"/>
      <c r="Q1539" s="256" t="n"/>
    </row>
    <row r="1540">
      <c r="A1540">
        <f>IF(DAY(D1540)=DAY($L$1+1),A1539+1,A1539)</f>
        <v/>
      </c>
      <c r="B1540" s="46">
        <f>IF(DAY(D1540)=DAY($L$1+1),1,B1539+1)</f>
        <v/>
      </c>
      <c r="C1540" s="46">
        <f>IF(DAY(D1540)=DAY($L$1+1),1,C1539+1)</f>
        <v/>
      </c>
      <c r="D1540" s="2">
        <f>D1539+1</f>
        <v/>
      </c>
      <c r="E1540" s="8">
        <f>IF(DAY(D1540)=DAY($L$1+1),TRUNC((N1539),8),E1539)</f>
        <v/>
      </c>
      <c r="F1540" s="49">
        <f>TRUNC(((1+VLOOKUP(A1540,IPCA!$A$2:$C$140,3,0)))^(C1540/(EDATE(D1540-C1540,1)-(D1540-C1540))),8)</f>
        <v/>
      </c>
      <c r="G1540" s="49">
        <f>TRUNC((E1540*F1540),8)</f>
        <v/>
      </c>
      <c r="H1540" s="49">
        <f>ROUND(((1+$H$4)^(30/360))^(C1540/(EDATE(D1540-B1540,1)-(D1540-B1540))),9)</f>
        <v/>
      </c>
      <c r="I1540" s="49">
        <f>TRUNC((G1540*H1540-G1540),8)</f>
        <v/>
      </c>
      <c r="J1540" s="49">
        <f>G1540+I1540</f>
        <v/>
      </c>
      <c r="K1540" s="256" t="inlineStr">
        <is>
          <t>Cri Integralizado</t>
        </is>
      </c>
      <c r="L1540" s="270">
        <f>L1509</f>
        <v/>
      </c>
      <c r="M1540" s="256" t="n"/>
      <c r="N1540" s="256" t="n"/>
      <c r="O1540" s="256" t="n"/>
      <c r="P1540" s="256" t="n"/>
      <c r="Q1540" s="256" t="n"/>
    </row>
    <row r="1541">
      <c r="A1541">
        <f>IF(DAY(D1541)=DAY($L$1+1),A1540+1,A1540)</f>
        <v/>
      </c>
      <c r="B1541" s="46">
        <f>IF(DAY(D1541)=DAY($L$1+1),1,B1540+1)</f>
        <v/>
      </c>
      <c r="C1541" s="46">
        <f>IF(DAY(D1541)=DAY($L$1+1),1,C1540+1)</f>
        <v/>
      </c>
      <c r="D1541" s="47">
        <f>D1540+1</f>
        <v/>
      </c>
      <c r="E1541" s="8">
        <f>IF(DAY(D1541)=DAY($L$1+1),TRUNC((N1540),8),E1540)</f>
        <v/>
      </c>
      <c r="F1541" s="49">
        <f>TRUNC(((1+VLOOKUP(A1541,IPCA!$A$2:$C$140,3,0)))^(C1541/(EDATE(D1541-C1541,1)-(D1541-C1541))),8)</f>
        <v/>
      </c>
      <c r="G1541" s="49">
        <f>TRUNC((E1541*F1541),8)</f>
        <v/>
      </c>
      <c r="H1541" s="49">
        <f>ROUND(((1+$H$4)^(30/360))^(C1541/(EDATE(D1541-B1541,1)-(D1541-B1541))),9)</f>
        <v/>
      </c>
      <c r="I1541" s="49">
        <f>TRUNC((G1541*H1541-G1541),8)</f>
        <v/>
      </c>
      <c r="J1541" s="49">
        <f>G1541+I1541</f>
        <v/>
      </c>
      <c r="K1541" s="118" t="inlineStr">
        <is>
          <t>JUROS</t>
        </is>
      </c>
      <c r="L1541" s="118" t="inlineStr">
        <is>
          <t>AMORTIZAÇÃO</t>
        </is>
      </c>
      <c r="M1541" s="118" t="inlineStr">
        <is>
          <t>AMEX</t>
        </is>
      </c>
      <c r="N1541" s="118" t="inlineStr">
        <is>
          <t>RESIDUAL</t>
        </is>
      </c>
      <c r="O1541" s="256" t="n"/>
      <c r="P1541" s="256" t="n"/>
      <c r="Q1541" s="256" t="n"/>
    </row>
    <row r="1542">
      <c r="A1542">
        <f>IF(DAY(D1542)=DAY($L$1+1),A1541+1,A1541)</f>
        <v/>
      </c>
      <c r="B1542" s="111">
        <f>IF(DAY(D1542)=DAY($L$1+1),1,B1541+1)</f>
        <v/>
      </c>
      <c r="C1542" s="111">
        <f>IF(DAY(D1542)=DAY($L$1+1),1,C1541+1)</f>
        <v/>
      </c>
      <c r="D1542" s="112">
        <f>D1541+1</f>
        <v/>
      </c>
      <c r="E1542" s="113">
        <f>IF(DAY(D1542)=DAY($L$1+1),TRUNC((N1541),8),E1541)</f>
        <v/>
      </c>
      <c r="F1542" s="114">
        <f>TRUNC(((1+VLOOKUP(A1542,IPCA!$A$2:$C$140,3,0)))^(C1542/(EDATE(D1542-C1542,1)-(D1542-C1542))),8)</f>
        <v/>
      </c>
      <c r="G1542" s="114">
        <f>TRUNC((E1542*F1542),8)</f>
        <v/>
      </c>
      <c r="H1542" s="114">
        <f>ROUND(((1+$H$4)^(30/360))^(C1542/(EDATE(D1542-B1542,1)-(D1542-B1542))),9)</f>
        <v/>
      </c>
      <c r="I1542" s="114">
        <f>TRUNC((G1542*H1542-G1542),8)</f>
        <v/>
      </c>
      <c r="J1542" s="114">
        <f>G1542+I1542</f>
        <v/>
      </c>
      <c r="K1542" s="119">
        <f>I1542</f>
        <v/>
      </c>
      <c r="L1542" s="120">
        <f>TRUNC(G1542*VLOOKUP(D1542,'Amort TS'!$G$3:$H$140,2,0),8)</f>
        <v/>
      </c>
      <c r="M1542" s="120" t="n">
        <v>0</v>
      </c>
      <c r="N1542" s="120">
        <f>J1542-K1542-L1542-M1542</f>
        <v/>
      </c>
      <c r="O1542" s="256" t="n"/>
      <c r="P1542" s="256" t="n"/>
      <c r="Q1542" s="256" t="n"/>
    </row>
    <row r="1543">
      <c r="A1543">
        <f>IF(DAY(D1543)=DAY($L$1+1),A1542+1,A1542)</f>
        <v/>
      </c>
      <c r="B1543" s="46">
        <f>IF(DAY(D1543)=DAY($L$1+1),1,B1542+1)</f>
        <v/>
      </c>
      <c r="C1543" s="46">
        <f>IF(DAY(D1543)=DAY($L$1+1),1,C1542+1)</f>
        <v/>
      </c>
      <c r="D1543" s="2">
        <f>D1542+1</f>
        <v/>
      </c>
      <c r="E1543" s="8">
        <f>IF(DAY(D1543)=DAY($L$1+1),TRUNC((N1542),8),E1542)</f>
        <v/>
      </c>
      <c r="F1543" s="49">
        <f>TRUNC(((1+VLOOKUP(A1543,IPCA!$A$2:$C$140,3,0)))^(C1543/(EDATE(D1543-C1543,1)-(D1543-C1543))),8)</f>
        <v/>
      </c>
      <c r="G1543" s="49">
        <f>TRUNC((E1543*F1543),8)</f>
        <v/>
      </c>
      <c r="H1543" s="49">
        <f>ROUND(((1+$H$4)^(30/360))^(C1543/(EDATE(D1543-B1543,1)-(D1543-B1543))),9)</f>
        <v/>
      </c>
      <c r="I1543" s="49">
        <f>TRUNC((G1543*H1543-G1543),8)</f>
        <v/>
      </c>
      <c r="J1543" s="49">
        <f>G1543+I1543</f>
        <v/>
      </c>
      <c r="K1543" s="121">
        <f>K1542*L1540</f>
        <v/>
      </c>
      <c r="L1543" s="121">
        <f>L1542*L1540</f>
        <v/>
      </c>
      <c r="M1543" s="121">
        <f>M1542*L1540</f>
        <v/>
      </c>
      <c r="N1543" s="121">
        <f>N1542*L1540</f>
        <v/>
      </c>
      <c r="O1543" s="256" t="n"/>
      <c r="P1543" s="256" t="n"/>
      <c r="Q1543" s="256" t="n"/>
    </row>
    <row r="1544">
      <c r="A1544">
        <f>IF(DAY(D1544)=DAY($L$1+1),A1543+1,A1543)</f>
        <v/>
      </c>
      <c r="B1544" s="46">
        <f>IF(DAY(D1544)=DAY($L$1+1),1,B1543+1)</f>
        <v/>
      </c>
      <c r="C1544" s="46">
        <f>IF(DAY(D1544)=DAY($L$1+1),1,C1543+1)</f>
        <v/>
      </c>
      <c r="D1544" s="47">
        <f>D1543+1</f>
        <v/>
      </c>
      <c r="E1544" s="8">
        <f>IF(DAY(D1544)=DAY($L$1+1),TRUNC((N1543),8),E1543)</f>
        <v/>
      </c>
      <c r="F1544" s="49">
        <f>TRUNC(((1+VLOOKUP(A1544,IPCA!$A$2:$C$140,3,0)))^(C1544/(EDATE(D1544-C1544,1)-(D1544-C1544))),8)</f>
        <v/>
      </c>
      <c r="G1544" s="49">
        <f>TRUNC((E1544*F1544),8)</f>
        <v/>
      </c>
      <c r="H1544" s="49">
        <f>ROUND(((1+$H$4)^(30/360))^(C1544/(EDATE(D1544-B1544,1)-(D1544-B1544))),9)</f>
        <v/>
      </c>
      <c r="I1544" s="49">
        <f>TRUNC((G1544*H1544-G1544),8)</f>
        <v/>
      </c>
      <c r="J1544" s="49">
        <f>G1544+I1544</f>
        <v/>
      </c>
      <c r="K1544" s="256" t="n"/>
      <c r="L1544" s="256" t="n"/>
      <c r="M1544" s="256" t="n"/>
      <c r="N1544" s="256" t="n"/>
      <c r="O1544" s="256" t="n"/>
      <c r="P1544" s="256" t="n"/>
      <c r="Q1544" s="256" t="n"/>
    </row>
    <row r="1545">
      <c r="A1545">
        <f>IF(DAY(D1545)=DAY($L$1+1),A1544+1,A1544)</f>
        <v/>
      </c>
      <c r="B1545" s="46">
        <f>IF(DAY(D1545)=DAY($L$1+1),1,B1544+1)</f>
        <v/>
      </c>
      <c r="C1545" s="46">
        <f>IF(DAY(D1545)=DAY($L$1+1),1,C1544+1)</f>
        <v/>
      </c>
      <c r="D1545" s="2">
        <f>D1544+1</f>
        <v/>
      </c>
      <c r="E1545" s="8">
        <f>IF(DAY(D1545)=DAY($L$1+1),TRUNC((#REF!),8),E1544)</f>
        <v/>
      </c>
      <c r="F1545" s="49">
        <f>TRUNC(((1+VLOOKUP(A1545,IPCA!$A$2:$C$140,3,0)))^(C1545/(EDATE(D1545-C1545,1)-(D1545-C1545))),8)</f>
        <v/>
      </c>
      <c r="G1545" s="49">
        <f>TRUNC((E1545*F1545),8)</f>
        <v/>
      </c>
      <c r="H1545" s="49">
        <f>ROUND(((1+$H$4)^(30/360))^(C1545/(EDATE(D1545-B1545,1)-(D1545-B1545))),9)</f>
        <v/>
      </c>
      <c r="I1545" s="49">
        <f>TRUNC((G1545*H1545-G1545),8)</f>
        <v/>
      </c>
      <c r="J1545" s="49">
        <f>G1545+I1545</f>
        <v/>
      </c>
      <c r="K1545" s="256" t="n"/>
      <c r="L1545" s="256" t="n"/>
      <c r="M1545" s="256" t="n"/>
      <c r="N1545" s="256" t="n"/>
      <c r="O1545" s="256" t="n"/>
      <c r="P1545" s="256" t="n"/>
      <c r="Q1545" s="256" t="n"/>
    </row>
    <row r="1546">
      <c r="A1546">
        <f>IF(DAY(D1546)=DAY($L$1+1),A1545+1,A1545)</f>
        <v/>
      </c>
      <c r="B1546" s="46">
        <f>IF(DAY(D1546)=DAY($L$1+1),1,B1545+1)</f>
        <v/>
      </c>
      <c r="C1546" s="46">
        <f>IF(DAY(D1546)=DAY($L$1+1),1,C1545+1)</f>
        <v/>
      </c>
      <c r="D1546" s="2">
        <f>D1545+1</f>
        <v/>
      </c>
      <c r="E1546" s="8">
        <f>IF(DAY(D1546)=DAY($L$1+1),TRUNC((#REF!),8),E1545)</f>
        <v/>
      </c>
      <c r="F1546" s="49">
        <f>TRUNC(((1+VLOOKUP(A1546,IPCA!$A$2:$C$140,3,0)))^(C1546/(EDATE(D1546-C1546,1)-(D1546-C1546))),8)</f>
        <v/>
      </c>
      <c r="G1546" s="49">
        <f>TRUNC((E1546*F1546),8)</f>
        <v/>
      </c>
      <c r="H1546" s="49">
        <f>ROUND(((1+$H$4)^(30/360))^(C1546/(EDATE(D1546-B1546,1)-(D1546-B1546))),9)</f>
        <v/>
      </c>
      <c r="I1546" s="49">
        <f>TRUNC((G1546*H1546-G1546),8)</f>
        <v/>
      </c>
      <c r="J1546" s="49">
        <f>G1546+I1546</f>
        <v/>
      </c>
      <c r="K1546" s="256" t="n"/>
      <c r="L1546" s="256" t="n"/>
      <c r="M1546" s="256" t="n"/>
      <c r="N1546" s="256" t="n"/>
      <c r="O1546" s="256" t="n"/>
      <c r="P1546" s="256" t="n"/>
      <c r="Q1546" s="256" t="n"/>
    </row>
    <row r="1547">
      <c r="A1547">
        <f>IF(DAY(D1547)=DAY($L$1+1),A1546+1,A1546)</f>
        <v/>
      </c>
      <c r="B1547" s="46">
        <f>IF(DAY(D1547)=DAY($L$1+1),1,B1546+1)</f>
        <v/>
      </c>
      <c r="C1547" s="46">
        <f>IF(DAY(D1547)=DAY($L$1+1),1,C1546+1)</f>
        <v/>
      </c>
      <c r="D1547" s="2">
        <f>D1546+1</f>
        <v/>
      </c>
      <c r="E1547" s="8">
        <f>IF(DAY(D1547)=DAY($L$1+1),TRUNC((#REF!),8),E1546)</f>
        <v/>
      </c>
      <c r="F1547" s="49">
        <f>TRUNC(((1+VLOOKUP(A1547,IPCA!$A$2:$C$140,3,0)))^(C1547/(EDATE(D1547-C1547,1)-(D1547-C1547))),8)</f>
        <v/>
      </c>
      <c r="G1547" s="49">
        <f>TRUNC((E1547*F1547),8)</f>
        <v/>
      </c>
      <c r="H1547" s="49">
        <f>ROUND(((1+$H$4)^(30/360))^(C1547/(EDATE(D1547-B1547,1)-(D1547-B1547))),9)</f>
        <v/>
      </c>
      <c r="I1547" s="49">
        <f>TRUNC((G1547*H1547-G1547),8)</f>
        <v/>
      </c>
      <c r="J1547" s="49">
        <f>G1547+I1547</f>
        <v/>
      </c>
      <c r="K1547" s="256" t="n"/>
      <c r="L1547" s="256" t="n"/>
      <c r="M1547" s="256" t="n"/>
      <c r="N1547" s="256" t="n"/>
      <c r="O1547" s="256" t="n"/>
      <c r="P1547" s="256" t="n"/>
      <c r="Q1547" s="256" t="n"/>
    </row>
    <row r="1548">
      <c r="A1548">
        <f>IF(DAY(D1548)=DAY($L$1+1),A1547+1,A1547)</f>
        <v/>
      </c>
      <c r="B1548" s="46">
        <f>IF(DAY(D1548)=DAY($L$1+1),1,B1547+1)</f>
        <v/>
      </c>
      <c r="C1548" s="46">
        <f>IF(DAY(D1548)=DAY($L$1+1),1,C1547+1)</f>
        <v/>
      </c>
      <c r="D1548" s="2">
        <f>D1547+1</f>
        <v/>
      </c>
      <c r="E1548" s="8">
        <f>IF(DAY(D1548)=DAY($L$1+1),TRUNC((#REF!),8),E1547)</f>
        <v/>
      </c>
      <c r="F1548" s="49">
        <f>TRUNC(((1+VLOOKUP(A1548,IPCA!$A$2:$C$140,3,0)))^(C1548/(EDATE(D1548-C1548,1)-(D1548-C1548))),8)</f>
        <v/>
      </c>
      <c r="G1548" s="49">
        <f>TRUNC((E1548*F1548),8)</f>
        <v/>
      </c>
      <c r="H1548" s="49">
        <f>ROUND(((1+$H$4)^(30/360))^(C1548/(EDATE(D1548-B1548,1)-(D1548-B1548))),9)</f>
        <v/>
      </c>
      <c r="I1548" s="49">
        <f>TRUNC((G1548*H1548-G1548),8)</f>
        <v/>
      </c>
      <c r="J1548" s="49">
        <f>G1548+I1548</f>
        <v/>
      </c>
      <c r="K1548" s="256" t="n"/>
      <c r="L1548" s="256" t="n"/>
      <c r="M1548" s="256" t="n"/>
      <c r="N1548" s="256" t="n"/>
      <c r="O1548" s="256" t="n"/>
      <c r="P1548" s="256" t="n"/>
      <c r="Q1548" s="256" t="n"/>
    </row>
    <row r="1549">
      <c r="A1549">
        <f>IF(DAY(D1549)=DAY($L$1+1),A1548+1,A1548)</f>
        <v/>
      </c>
      <c r="B1549" s="46">
        <f>IF(DAY(D1549)=DAY($L$1+1),1,B1548+1)</f>
        <v/>
      </c>
      <c r="C1549" s="46">
        <f>IF(DAY(D1549)=DAY($L$1+1),1,C1548+1)</f>
        <v/>
      </c>
      <c r="D1549" s="2">
        <f>D1548+1</f>
        <v/>
      </c>
      <c r="E1549" s="8">
        <f>IF(DAY(D1549)=DAY($L$1+1),TRUNC((#REF!),8),E1548)</f>
        <v/>
      </c>
      <c r="F1549" s="49">
        <f>TRUNC(((1+VLOOKUP(A1549,IPCA!$A$2:$C$140,3,0)))^(C1549/(EDATE(D1549-C1549,1)-(D1549-C1549))),8)</f>
        <v/>
      </c>
      <c r="G1549" s="49">
        <f>TRUNC((E1549*F1549),8)</f>
        <v/>
      </c>
      <c r="H1549" s="49">
        <f>ROUND(((1+$H$4)^(30/360))^(C1549/(EDATE(D1549-B1549,1)-(D1549-B1549))),9)</f>
        <v/>
      </c>
      <c r="I1549" s="49">
        <f>TRUNC((G1549*H1549-G1549),8)</f>
        <v/>
      </c>
      <c r="J1549" s="49">
        <f>G1549+I1549</f>
        <v/>
      </c>
      <c r="K1549" s="256" t="n"/>
      <c r="L1549" s="256" t="n"/>
      <c r="M1549" s="256" t="n"/>
      <c r="N1549" s="256" t="n"/>
      <c r="O1549" s="256" t="n"/>
      <c r="P1549" s="256" t="n"/>
      <c r="Q1549" s="256" t="n"/>
    </row>
    <row r="1550">
      <c r="A1550">
        <f>IF(DAY(D1550)=DAY($L$1+1),A1549+1,A1549)</f>
        <v/>
      </c>
      <c r="B1550" s="46">
        <f>IF(DAY(D1550)=DAY($L$1+1),1,B1549+1)</f>
        <v/>
      </c>
      <c r="C1550" s="46">
        <f>IF(DAY(D1550)=DAY($L$1+1),1,C1549+1)</f>
        <v/>
      </c>
      <c r="D1550" s="2">
        <f>D1549+1</f>
        <v/>
      </c>
      <c r="E1550" s="8">
        <f>IF(DAY(D1550)=DAY($L$1+1),TRUNC((#REF!),8),E1549)</f>
        <v/>
      </c>
      <c r="F1550" s="49">
        <f>TRUNC(((1+VLOOKUP(A1550,IPCA!$A$2:$C$140,3,0)))^(C1550/(EDATE(D1550-C1550,1)-(D1550-C1550))),8)</f>
        <v/>
      </c>
      <c r="G1550" s="49">
        <f>TRUNC((E1550*F1550),8)</f>
        <v/>
      </c>
      <c r="H1550" s="49">
        <f>ROUND(((1+$H$4)^(30/360))^(C1550/(EDATE(D1550-B1550,1)-(D1550-B1550))),9)</f>
        <v/>
      </c>
      <c r="I1550" s="49">
        <f>TRUNC((G1550*H1550-G1550),8)</f>
        <v/>
      </c>
      <c r="J1550" s="49">
        <f>G1550+I1550</f>
        <v/>
      </c>
      <c r="K1550" s="256" t="n"/>
      <c r="L1550" s="256" t="n"/>
      <c r="M1550" s="256" t="n"/>
      <c r="N1550" s="256" t="n"/>
      <c r="O1550" s="256" t="n"/>
      <c r="P1550" s="256" t="n"/>
      <c r="Q1550" s="256" t="n"/>
    </row>
    <row r="1551">
      <c r="A1551">
        <f>IF(DAY(D1551)=DAY($L$1+1),A1550+1,A1550)</f>
        <v/>
      </c>
      <c r="B1551" s="46">
        <f>IF(DAY(D1551)=DAY($L$1+1),1,B1550+1)</f>
        <v/>
      </c>
      <c r="C1551" s="46">
        <f>IF(DAY(D1551)=DAY($L$1+1),1,C1550+1)</f>
        <v/>
      </c>
      <c r="D1551" s="2">
        <f>D1550+1</f>
        <v/>
      </c>
      <c r="E1551" s="8">
        <f>IF(DAY(D1551)=DAY($L$1+1),TRUNC((#REF!),8),E1550)</f>
        <v/>
      </c>
      <c r="F1551" s="49">
        <f>TRUNC(((1+VLOOKUP(A1551,IPCA!$A$2:$C$140,3,0)))^(C1551/(EDATE(D1551-C1551,1)-(D1551-C1551))),8)</f>
        <v/>
      </c>
      <c r="G1551" s="49">
        <f>TRUNC((E1551*F1551),8)</f>
        <v/>
      </c>
      <c r="H1551" s="49">
        <f>ROUND(((1+$H$4)^(30/360))^(C1551/(EDATE(D1551-B1551,1)-(D1551-B1551))),9)</f>
        <v/>
      </c>
      <c r="I1551" s="49">
        <f>TRUNC((G1551*H1551-G1551),8)</f>
        <v/>
      </c>
      <c r="J1551" s="49">
        <f>G1551+I1551</f>
        <v/>
      </c>
      <c r="K1551" s="256" t="n"/>
      <c r="L1551" s="256" t="n"/>
      <c r="M1551" s="256" t="n"/>
      <c r="N1551" s="256" t="n"/>
      <c r="O1551" s="256" t="n"/>
      <c r="P1551" s="256" t="n"/>
      <c r="Q1551" s="256" t="n"/>
    </row>
    <row r="1552">
      <c r="A1552">
        <f>IF(DAY(D1552)=DAY($L$1+1),A1551+1,A1551)</f>
        <v/>
      </c>
      <c r="B1552" s="46">
        <f>IF(DAY(D1552)=DAY($L$1+1),1,B1551+1)</f>
        <v/>
      </c>
      <c r="C1552" s="46">
        <f>IF(DAY(D1552)=DAY($L$1+1),1,C1551+1)</f>
        <v/>
      </c>
      <c r="D1552" s="2">
        <f>D1551+1</f>
        <v/>
      </c>
      <c r="E1552" s="8">
        <f>IF(DAY(D1552)=DAY($L$1+1),TRUNC((#REF!),8),E1551)</f>
        <v/>
      </c>
      <c r="F1552" s="49">
        <f>TRUNC(((1+VLOOKUP(A1552,IPCA!$A$2:$C$140,3,0)))^(C1552/(EDATE(D1552-C1552,1)-(D1552-C1552))),8)</f>
        <v/>
      </c>
      <c r="G1552" s="49">
        <f>TRUNC((E1552*F1552),8)</f>
        <v/>
      </c>
      <c r="H1552" s="49">
        <f>ROUND(((1+$H$4)^(30/360))^(C1552/(EDATE(D1552-B1552,1)-(D1552-B1552))),9)</f>
        <v/>
      </c>
      <c r="I1552" s="49">
        <f>TRUNC((G1552*H1552-G1552),8)</f>
        <v/>
      </c>
      <c r="J1552" s="49">
        <f>G1552+I1552</f>
        <v/>
      </c>
      <c r="K1552" s="256" t="n"/>
      <c r="L1552" s="256" t="n"/>
      <c r="M1552" s="256" t="n"/>
      <c r="N1552" s="256" t="n"/>
      <c r="O1552" s="256" t="n"/>
      <c r="P1552" s="256" t="n"/>
      <c r="Q1552" s="256" t="n"/>
    </row>
    <row r="1553">
      <c r="A1553">
        <f>IF(DAY(D1553)=DAY($L$1+1),A1552+1,A1552)</f>
        <v/>
      </c>
      <c r="B1553" s="46">
        <f>IF(DAY(D1553)=DAY($L$1+1),1,B1552+1)</f>
        <v/>
      </c>
      <c r="C1553" s="46">
        <f>IF(DAY(D1553)=DAY($L$1+1),1,C1552+1)</f>
        <v/>
      </c>
      <c r="D1553" s="2">
        <f>D1552+1</f>
        <v/>
      </c>
      <c r="E1553" s="8">
        <f>IF(DAY(D1553)=DAY($L$1+1),TRUNC((#REF!),8),E1552)</f>
        <v/>
      </c>
      <c r="F1553" s="49">
        <f>TRUNC(((1+VLOOKUP(A1553,IPCA!$A$2:$C$140,3,0)))^(C1553/(EDATE(D1553-C1553,1)-(D1553-C1553))),8)</f>
        <v/>
      </c>
      <c r="G1553" s="49">
        <f>TRUNC((E1553*F1553),8)</f>
        <v/>
      </c>
      <c r="H1553" s="49">
        <f>ROUND(((1+$H$4)^(30/360))^(C1553/(EDATE(D1553-B1553,1)-(D1553-B1553))),9)</f>
        <v/>
      </c>
      <c r="I1553" s="49">
        <f>TRUNC((G1553*H1553-G1553),8)</f>
        <v/>
      </c>
      <c r="J1553" s="49">
        <f>G1553+I1553</f>
        <v/>
      </c>
      <c r="K1553" s="256" t="n"/>
      <c r="L1553" s="256" t="n"/>
      <c r="M1553" s="256" t="n"/>
      <c r="N1553" s="256" t="n"/>
      <c r="O1553" s="256" t="n"/>
      <c r="P1553" s="256" t="n"/>
      <c r="Q1553" s="256" t="n"/>
    </row>
    <row r="1554">
      <c r="A1554">
        <f>IF(DAY(D1554)=DAY($L$1+1),A1553+1,A1553)</f>
        <v/>
      </c>
      <c r="B1554" s="46">
        <f>IF(DAY(D1554)=DAY($L$1+1),1,B1553+1)</f>
        <v/>
      </c>
      <c r="C1554" s="46">
        <f>IF(DAY(D1554)=DAY($L$1+1),1,C1553+1)</f>
        <v/>
      </c>
      <c r="D1554" s="2">
        <f>D1553+1</f>
        <v/>
      </c>
      <c r="E1554" s="8">
        <f>IF(DAY(D1554)=DAY($L$1+1),TRUNC((#REF!),8),E1553)</f>
        <v/>
      </c>
      <c r="F1554" s="49">
        <f>TRUNC(((1+VLOOKUP(A1554,IPCA!$A$2:$C$140,3,0)))^(C1554/(EDATE(D1554-C1554,1)-(D1554-C1554))),8)</f>
        <v/>
      </c>
      <c r="G1554" s="49">
        <f>TRUNC((E1554*F1554),8)</f>
        <v/>
      </c>
      <c r="H1554" s="49">
        <f>ROUND(((1+$H$4)^(30/360))^(C1554/(EDATE(D1554-B1554,1)-(D1554-B1554))),9)</f>
        <v/>
      </c>
      <c r="I1554" s="49">
        <f>TRUNC((G1554*H1554-G1554),8)</f>
        <v/>
      </c>
      <c r="J1554" s="49">
        <f>G1554+I1554</f>
        <v/>
      </c>
      <c r="K1554" s="256" t="n"/>
      <c r="L1554" s="256" t="n"/>
      <c r="M1554" s="256" t="n"/>
      <c r="N1554" s="256" t="n"/>
      <c r="O1554" s="256" t="n"/>
      <c r="P1554" s="256" t="n"/>
      <c r="Q1554" s="256" t="n"/>
    </row>
    <row r="1555">
      <c r="A1555">
        <f>IF(DAY(D1555)=DAY($L$1+1),A1554+1,A1554)</f>
        <v/>
      </c>
      <c r="B1555" s="46">
        <f>IF(DAY(D1555)=DAY($L$1+1),1,B1554+1)</f>
        <v/>
      </c>
      <c r="C1555" s="46">
        <f>IF(DAY(D1555)=DAY($L$1+1),1,C1554+1)</f>
        <v/>
      </c>
      <c r="D1555" s="2">
        <f>D1554+1</f>
        <v/>
      </c>
      <c r="E1555" s="8">
        <f>IF(DAY(D1555)=DAY($L$1+1),TRUNC((#REF!),8),E1554)</f>
        <v/>
      </c>
      <c r="F1555" s="49">
        <f>TRUNC(((1+VLOOKUP(A1555,IPCA!$A$2:$C$140,3,0)))^(C1555/(EDATE(D1555-C1555,1)-(D1555-C1555))),8)</f>
        <v/>
      </c>
      <c r="G1555" s="49">
        <f>TRUNC((E1555*F1555),8)</f>
        <v/>
      </c>
      <c r="H1555" s="49">
        <f>ROUND(((1+$H$4)^(30/360))^(C1555/(EDATE(D1555-B1555,1)-(D1555-B1555))),9)</f>
        <v/>
      </c>
      <c r="I1555" s="49">
        <f>TRUNC((G1555*H1555-G1555),8)</f>
        <v/>
      </c>
      <c r="J1555" s="49">
        <f>G1555+I1555</f>
        <v/>
      </c>
      <c r="K1555" s="256" t="n"/>
      <c r="L1555" s="256" t="n"/>
      <c r="M1555" s="256" t="n"/>
      <c r="N1555" s="256" t="n"/>
      <c r="O1555" s="256" t="n"/>
      <c r="P1555" s="256" t="n"/>
      <c r="Q1555" s="256" t="n"/>
    </row>
    <row r="1556">
      <c r="A1556">
        <f>IF(DAY(D1556)=DAY($L$1+1),A1555+1,A1555)</f>
        <v/>
      </c>
      <c r="B1556" s="46">
        <f>IF(DAY(D1556)=DAY($L$1+1),1,B1555+1)</f>
        <v/>
      </c>
      <c r="C1556" s="46">
        <f>IF(DAY(D1556)=DAY($L$1+1),1,C1555+1)</f>
        <v/>
      </c>
      <c r="D1556" s="2">
        <f>D1555+1</f>
        <v/>
      </c>
      <c r="E1556" s="8">
        <f>IF(DAY(D1556)=DAY($L$1+1),TRUNC((#REF!),8),E1555)</f>
        <v/>
      </c>
      <c r="F1556" s="49">
        <f>TRUNC(((1+VLOOKUP(A1556,IPCA!$A$2:$C$140,3,0)))^(C1556/(EDATE(D1556-C1556,1)-(D1556-C1556))),8)</f>
        <v/>
      </c>
      <c r="G1556" s="49">
        <f>TRUNC((E1556*F1556),8)</f>
        <v/>
      </c>
      <c r="H1556" s="49">
        <f>ROUND(((1+$H$4)^(30/360))^(C1556/(EDATE(D1556-B1556,1)-(D1556-B1556))),9)</f>
        <v/>
      </c>
      <c r="I1556" s="49">
        <f>TRUNC((G1556*H1556-G1556),8)</f>
        <v/>
      </c>
      <c r="J1556" s="49">
        <f>G1556+I1556</f>
        <v/>
      </c>
      <c r="K1556" s="256" t="n"/>
      <c r="L1556" s="256" t="n"/>
      <c r="M1556" s="256" t="n"/>
      <c r="N1556" s="256" t="n"/>
      <c r="O1556" s="256" t="n"/>
      <c r="P1556" s="256" t="n"/>
      <c r="Q1556" s="256" t="n"/>
    </row>
    <row r="1557">
      <c r="A1557">
        <f>IF(DAY(D1557)=DAY($L$1+1),A1556+1,A1556)</f>
        <v/>
      </c>
      <c r="B1557" s="46">
        <f>IF(DAY(D1557)=DAY($L$1+1),1,B1556+1)</f>
        <v/>
      </c>
      <c r="C1557" s="46">
        <f>IF(DAY(D1557)=DAY($L$1+1),1,C1556+1)</f>
        <v/>
      </c>
      <c r="D1557" s="2">
        <f>D1556+1</f>
        <v/>
      </c>
      <c r="E1557" s="8">
        <f>IF(DAY(D1557)=DAY($L$1+1),TRUNC((#REF!),8),E1556)</f>
        <v/>
      </c>
      <c r="F1557" s="49">
        <f>TRUNC(((1+VLOOKUP(A1557,IPCA!$A$2:$C$140,3,0)))^(C1557/(EDATE(D1557-C1557,1)-(D1557-C1557))),8)</f>
        <v/>
      </c>
      <c r="G1557" s="49">
        <f>TRUNC((E1557*F1557),8)</f>
        <v/>
      </c>
      <c r="H1557" s="49">
        <f>ROUND(((1+$H$4)^(30/360))^(C1557/(EDATE(D1557-B1557,1)-(D1557-B1557))),9)</f>
        <v/>
      </c>
      <c r="I1557" s="49">
        <f>TRUNC((G1557*H1557-G1557),8)</f>
        <v/>
      </c>
      <c r="J1557" s="49">
        <f>G1557+I1557</f>
        <v/>
      </c>
      <c r="K1557" s="256" t="n"/>
      <c r="L1557" s="256" t="n"/>
      <c r="M1557" s="256" t="n"/>
      <c r="N1557" s="256" t="n"/>
      <c r="O1557" s="256" t="n"/>
      <c r="P1557" s="256" t="n"/>
      <c r="Q1557" s="256" t="n"/>
    </row>
    <row r="1558">
      <c r="A1558">
        <f>IF(DAY(D1558)=DAY($L$1+1),A1557+1,A1557)</f>
        <v/>
      </c>
      <c r="B1558" s="46">
        <f>IF(DAY(D1558)=DAY($L$1+1),1,B1557+1)</f>
        <v/>
      </c>
      <c r="C1558" s="46">
        <f>IF(DAY(D1558)=DAY($L$1+1),1,C1557+1)</f>
        <v/>
      </c>
      <c r="D1558" s="2">
        <f>D1557+1</f>
        <v/>
      </c>
      <c r="E1558" s="8">
        <f>IF(DAY(D1558)=DAY($L$1+1),TRUNC((#REF!),8),E1557)</f>
        <v/>
      </c>
      <c r="F1558" s="49">
        <f>TRUNC(((1+VLOOKUP(A1558,IPCA!$A$2:$C$140,3,0)))^(C1558/(EDATE(D1558-C1558,1)-(D1558-C1558))),8)</f>
        <v/>
      </c>
      <c r="G1558" s="49">
        <f>TRUNC((E1558*F1558),8)</f>
        <v/>
      </c>
      <c r="H1558" s="49">
        <f>ROUND(((1+$H$4)^(30/360))^(C1558/(EDATE(D1558-B1558,1)-(D1558-B1558))),9)</f>
        <v/>
      </c>
      <c r="I1558" s="49">
        <f>TRUNC((G1558*H1558-G1558),8)</f>
        <v/>
      </c>
      <c r="J1558" s="49">
        <f>G1558+I1558</f>
        <v/>
      </c>
      <c r="K1558" s="256" t="n"/>
      <c r="L1558" s="256" t="n"/>
      <c r="M1558" s="256" t="n"/>
      <c r="N1558" s="256" t="n"/>
      <c r="O1558" s="256" t="n"/>
      <c r="P1558" s="256" t="n"/>
      <c r="Q1558" s="256" t="n"/>
    </row>
    <row r="1559">
      <c r="A1559">
        <f>IF(DAY(D1559)=DAY($L$1+1),A1558+1,A1558)</f>
        <v/>
      </c>
      <c r="B1559" s="46">
        <f>IF(DAY(D1559)=DAY($L$1+1),1,B1558+1)</f>
        <v/>
      </c>
      <c r="C1559" s="46">
        <f>IF(DAY(D1559)=DAY($L$1+1),1,C1558+1)</f>
        <v/>
      </c>
      <c r="D1559" s="2">
        <f>D1558+1</f>
        <v/>
      </c>
      <c r="E1559" s="8">
        <f>IF(DAY(D1559)=DAY($L$1+1),TRUNC((N1558),8),E1558)</f>
        <v/>
      </c>
      <c r="F1559" s="49">
        <f>TRUNC(((1+VLOOKUP(A1559,IPCA!$A$2:$C$140,3,0)))^(C1559/(EDATE(D1559-C1559,1)-(D1559-C1559))),8)</f>
        <v/>
      </c>
      <c r="G1559" s="49">
        <f>TRUNC((E1559*F1559),8)</f>
        <v/>
      </c>
      <c r="H1559" s="49">
        <f>ROUND(((1+$H$4)^(30/360))^(C1559/(EDATE(D1559-B1559,1)-(D1559-B1559))),9)</f>
        <v/>
      </c>
      <c r="I1559" s="49">
        <f>TRUNC((G1559*H1559-G1559),8)</f>
        <v/>
      </c>
      <c r="J1559" s="49">
        <f>G1559+I1559</f>
        <v/>
      </c>
      <c r="K1559" s="256" t="n"/>
      <c r="L1559" s="256" t="n"/>
      <c r="M1559" s="256" t="n"/>
      <c r="N1559" s="256" t="n"/>
      <c r="O1559" s="256" t="n"/>
      <c r="P1559" s="256" t="n"/>
      <c r="Q1559" s="256" t="n"/>
    </row>
    <row r="1560">
      <c r="A1560">
        <f>IF(DAY(D1560)=DAY($L$1+1),A1559+1,A1559)</f>
        <v/>
      </c>
      <c r="B1560" s="46">
        <f>IF(DAY(D1560)=DAY($L$1+1),1,B1559+1)</f>
        <v/>
      </c>
      <c r="C1560" s="46">
        <f>IF(DAY(D1560)=DAY($L$1+1),1,C1559+1)</f>
        <v/>
      </c>
      <c r="D1560" s="2">
        <f>D1559+1</f>
        <v/>
      </c>
      <c r="E1560" s="8">
        <f>IF(DAY(D1560)=DAY($L$1+1),TRUNC((N1559),8),E1559)</f>
        <v/>
      </c>
      <c r="F1560" s="49">
        <f>TRUNC(((1+VLOOKUP(A1560,IPCA!$A$2:$C$140,3,0)))^(C1560/(EDATE(D1560-C1560,1)-(D1560-C1560))),8)</f>
        <v/>
      </c>
      <c r="G1560" s="49">
        <f>TRUNC((E1560*F1560),8)</f>
        <v/>
      </c>
      <c r="H1560" s="49">
        <f>ROUND(((1+$H$4)^(30/360))^(C1560/(EDATE(D1560-B1560,1)-(D1560-B1560))),9)</f>
        <v/>
      </c>
      <c r="I1560" s="49">
        <f>TRUNC((G1560*H1560-G1560),8)</f>
        <v/>
      </c>
      <c r="J1560" s="49">
        <f>G1560+I1560</f>
        <v/>
      </c>
      <c r="K1560" s="256" t="n"/>
      <c r="L1560" s="256" t="n"/>
      <c r="M1560" s="256" t="n"/>
      <c r="N1560" s="256" t="n"/>
      <c r="O1560" s="256" t="n"/>
      <c r="P1560" s="256" t="n"/>
      <c r="Q1560" s="256" t="n"/>
    </row>
    <row r="1561">
      <c r="A1561">
        <f>IF(DAY(D1561)=DAY($L$1+1),A1560+1,A1560)</f>
        <v/>
      </c>
      <c r="B1561" s="46">
        <f>IF(DAY(D1561)=DAY($L$1+1),1,B1560+1)</f>
        <v/>
      </c>
      <c r="C1561" s="46">
        <f>IF(DAY(D1561)=DAY($L$1+1),1,C1560+1)</f>
        <v/>
      </c>
      <c r="D1561" s="2">
        <f>D1560+1</f>
        <v/>
      </c>
      <c r="E1561" s="8">
        <f>IF(DAY(D1561)=DAY($L$1+1),TRUNC((N1560),8),E1560)</f>
        <v/>
      </c>
      <c r="F1561" s="49">
        <f>TRUNC(((1+VLOOKUP(A1561,IPCA!$A$2:$C$140,3,0)))^(C1561/(EDATE(D1561-C1561,1)-(D1561-C1561))),8)</f>
        <v/>
      </c>
      <c r="G1561" s="49">
        <f>TRUNC((E1561*F1561),8)</f>
        <v/>
      </c>
      <c r="H1561" s="49">
        <f>ROUND(((1+$H$4)^(30/360))^(C1561/(EDATE(D1561-B1561,1)-(D1561-B1561))),9)</f>
        <v/>
      </c>
      <c r="I1561" s="49">
        <f>TRUNC((G1561*H1561-G1561),8)</f>
        <v/>
      </c>
      <c r="J1561" s="49">
        <f>G1561+I1561</f>
        <v/>
      </c>
      <c r="K1561" s="256" t="n"/>
      <c r="L1561" s="256" t="n"/>
      <c r="M1561" s="256" t="n"/>
      <c r="N1561" s="256" t="n"/>
      <c r="O1561" s="256" t="n"/>
      <c r="P1561" s="256" t="n"/>
      <c r="Q1561" s="256" t="n"/>
    </row>
    <row r="1562">
      <c r="A1562">
        <f>IF(DAY(D1562)=DAY($L$1+1),A1561+1,A1561)</f>
        <v/>
      </c>
      <c r="B1562" s="46">
        <f>IF(DAY(D1562)=DAY($L$1+1),1,B1561+1)</f>
        <v/>
      </c>
      <c r="C1562" s="46">
        <f>IF(DAY(D1562)=DAY($L$1+1),1,C1561+1)</f>
        <v/>
      </c>
      <c r="D1562" s="2">
        <f>D1561+1</f>
        <v/>
      </c>
      <c r="E1562" s="8">
        <f>IF(DAY(D1562)=DAY($L$1+1),TRUNC((N1561),8),E1561)</f>
        <v/>
      </c>
      <c r="F1562" s="49">
        <f>TRUNC(((1+VLOOKUP(A1562,IPCA!$A$2:$C$140,3,0)))^(C1562/(EDATE(D1562-C1562,1)-(D1562-C1562))),8)</f>
        <v/>
      </c>
      <c r="G1562" s="49">
        <f>TRUNC((E1562*F1562),8)</f>
        <v/>
      </c>
      <c r="H1562" s="49">
        <f>ROUND(((1+$H$4)^(30/360))^(C1562/(EDATE(D1562-B1562,1)-(D1562-B1562))),9)</f>
        <v/>
      </c>
      <c r="I1562" s="49">
        <f>TRUNC((G1562*H1562-G1562),8)</f>
        <v/>
      </c>
      <c r="J1562" s="49">
        <f>G1562+I1562</f>
        <v/>
      </c>
      <c r="K1562" s="256" t="n"/>
      <c r="L1562" s="256" t="n"/>
      <c r="M1562" s="256" t="n"/>
      <c r="N1562" s="256" t="n"/>
      <c r="O1562" s="256" t="n"/>
      <c r="P1562" s="256" t="n"/>
      <c r="Q1562" s="256" t="n"/>
    </row>
    <row r="1563">
      <c r="A1563">
        <f>IF(DAY(D1563)=DAY($L$1+1),A1562+1,A1562)</f>
        <v/>
      </c>
      <c r="B1563" s="46">
        <f>IF(DAY(D1563)=DAY($L$1+1),1,B1562+1)</f>
        <v/>
      </c>
      <c r="C1563" s="46">
        <f>IF(DAY(D1563)=DAY($L$1+1),1,C1562+1)</f>
        <v/>
      </c>
      <c r="D1563" s="2">
        <f>D1562+1</f>
        <v/>
      </c>
      <c r="E1563" s="8">
        <f>IF(DAY(D1563)=DAY($L$1+1),TRUNC((N1562),8),E1562)</f>
        <v/>
      </c>
      <c r="F1563" s="49">
        <f>TRUNC(((1+VLOOKUP(A1563,IPCA!$A$2:$C$140,3,0)))^(C1563/(EDATE(D1563-C1563,1)-(D1563-C1563))),8)</f>
        <v/>
      </c>
      <c r="G1563" s="49">
        <f>TRUNC((E1563*F1563),8)</f>
        <v/>
      </c>
      <c r="H1563" s="49">
        <f>ROUND(((1+$H$4)^(30/360))^(C1563/(EDATE(D1563-B1563,1)-(D1563-B1563))),9)</f>
        <v/>
      </c>
      <c r="I1563" s="49">
        <f>TRUNC((G1563*H1563-G1563),8)</f>
        <v/>
      </c>
      <c r="J1563" s="49">
        <f>G1563+I1563</f>
        <v/>
      </c>
      <c r="K1563" s="256" t="n"/>
      <c r="L1563" s="256" t="n"/>
      <c r="M1563" s="256" t="n"/>
      <c r="N1563" s="256" t="n"/>
      <c r="O1563" s="256" t="n"/>
      <c r="P1563" s="256" t="n"/>
      <c r="Q1563" s="256" t="n"/>
    </row>
    <row r="1564">
      <c r="A1564">
        <f>IF(DAY(D1564)=DAY($L$1+1),A1563+1,A1563)</f>
        <v/>
      </c>
      <c r="B1564" s="46">
        <f>IF(DAY(D1564)=DAY($L$1+1),1,B1563+1)</f>
        <v/>
      </c>
      <c r="C1564" s="46">
        <f>IF(DAY(D1564)=DAY($L$1+1),1,C1563+1)</f>
        <v/>
      </c>
      <c r="D1564" s="2">
        <f>D1563+1</f>
        <v/>
      </c>
      <c r="E1564" s="8">
        <f>IF(DAY(D1564)=DAY($L$1+1),TRUNC((N1563),8),E1563)</f>
        <v/>
      </c>
      <c r="F1564" s="49">
        <f>TRUNC(((1+VLOOKUP(A1564,IPCA!$A$2:$C$140,3,0)))^(C1564/(EDATE(D1564-C1564,1)-(D1564-C1564))),8)</f>
        <v/>
      </c>
      <c r="G1564" s="49">
        <f>TRUNC((E1564*F1564),8)</f>
        <v/>
      </c>
      <c r="H1564" s="49">
        <f>ROUND(((1+$H$4)^(30/360))^(C1564/(EDATE(D1564-B1564,1)-(D1564-B1564))),9)</f>
        <v/>
      </c>
      <c r="I1564" s="49">
        <f>TRUNC((G1564*H1564-G1564),8)</f>
        <v/>
      </c>
      <c r="J1564" s="49">
        <f>G1564+I1564</f>
        <v/>
      </c>
      <c r="K1564" s="256" t="n"/>
      <c r="L1564" s="256" t="n"/>
      <c r="M1564" s="256" t="n"/>
      <c r="N1564" s="256" t="n"/>
      <c r="O1564" s="256" t="n"/>
      <c r="P1564" s="256" t="n"/>
      <c r="Q1564" s="256" t="n"/>
    </row>
    <row r="1565">
      <c r="A1565">
        <f>IF(DAY(D1565)=DAY($L$1+1),A1564+1,A1564)</f>
        <v/>
      </c>
      <c r="B1565" s="46">
        <f>IF(DAY(D1565)=DAY($L$1+1),1,B1564+1)</f>
        <v/>
      </c>
      <c r="C1565" s="46">
        <f>IF(DAY(D1565)=DAY($L$1+1),1,C1564+1)</f>
        <v/>
      </c>
      <c r="D1565" s="2">
        <f>D1564+1</f>
        <v/>
      </c>
      <c r="E1565" s="8">
        <f>IF(DAY(D1565)=DAY($L$1+1),TRUNC((N1564),8),E1564)</f>
        <v/>
      </c>
      <c r="F1565" s="49">
        <f>TRUNC(((1+VLOOKUP(A1565,IPCA!$A$2:$C$140,3,0)))^(C1565/(EDATE(D1565-C1565,1)-(D1565-C1565))),8)</f>
        <v/>
      </c>
      <c r="G1565" s="49">
        <f>TRUNC((E1565*F1565),8)</f>
        <v/>
      </c>
      <c r="H1565" s="49">
        <f>ROUND(((1+$H$4)^(30/360))^(C1565/(EDATE(D1565-B1565,1)-(D1565-B1565))),9)</f>
        <v/>
      </c>
      <c r="I1565" s="49">
        <f>TRUNC((G1565*H1565-G1565),8)</f>
        <v/>
      </c>
      <c r="J1565" s="49">
        <f>G1565+I1565</f>
        <v/>
      </c>
      <c r="K1565" s="256" t="n"/>
      <c r="L1565" s="256" t="n"/>
      <c r="M1565" s="256" t="n"/>
      <c r="N1565" s="256" t="n"/>
      <c r="O1565" s="256" t="n"/>
      <c r="P1565" s="256" t="n"/>
      <c r="Q1565" s="256" t="n"/>
    </row>
    <row r="1566">
      <c r="A1566">
        <f>IF(DAY(D1566)=DAY($L$1+1),A1565+1,A1565)</f>
        <v/>
      </c>
      <c r="B1566" s="46">
        <f>IF(DAY(D1566)=DAY($L$1+1),1,B1565+1)</f>
        <v/>
      </c>
      <c r="C1566" s="46">
        <f>IF(DAY(D1566)=DAY($L$1+1),1,C1565+1)</f>
        <v/>
      </c>
      <c r="D1566" s="2">
        <f>D1565+1</f>
        <v/>
      </c>
      <c r="E1566" s="8">
        <f>IF(DAY(D1566)=DAY($L$1+1),TRUNC((N1565),8),E1565)</f>
        <v/>
      </c>
      <c r="F1566" s="49">
        <f>TRUNC(((1+VLOOKUP(A1566,IPCA!$A$2:$C$140,3,0)))^(C1566/(EDATE(D1566-C1566,1)-(D1566-C1566))),8)</f>
        <v/>
      </c>
      <c r="G1566" s="49">
        <f>TRUNC((E1566*F1566),8)</f>
        <v/>
      </c>
      <c r="H1566" s="49">
        <f>ROUND(((1+$H$4)^(30/360))^(C1566/(EDATE(D1566-B1566,1)-(D1566-B1566))),9)</f>
        <v/>
      </c>
      <c r="I1566" s="49">
        <f>TRUNC((G1566*H1566-G1566),8)</f>
        <v/>
      </c>
      <c r="J1566" s="49">
        <f>G1566+I1566</f>
        <v/>
      </c>
      <c r="K1566" s="256" t="n"/>
      <c r="L1566" s="256" t="n"/>
      <c r="M1566" s="256" t="n"/>
      <c r="N1566" s="256" t="n"/>
      <c r="O1566" s="256" t="n"/>
      <c r="P1566" s="256" t="n"/>
      <c r="Q1566" s="256" t="n"/>
    </row>
    <row r="1567">
      <c r="A1567">
        <f>IF(DAY(D1567)=DAY($L$1+1),A1566+1,A1566)</f>
        <v/>
      </c>
      <c r="B1567" s="46">
        <f>IF(DAY(D1567)=DAY($L$1+1),1,B1566+1)</f>
        <v/>
      </c>
      <c r="C1567" s="46">
        <f>IF(DAY(D1567)=DAY($L$1+1),1,C1566+1)</f>
        <v/>
      </c>
      <c r="D1567" s="2">
        <f>D1566+1</f>
        <v/>
      </c>
      <c r="E1567" s="8">
        <f>IF(DAY(D1567)=DAY($L$1+1),TRUNC((N1566),8),E1566)</f>
        <v/>
      </c>
      <c r="F1567" s="49">
        <f>TRUNC(((1+VLOOKUP(A1567,IPCA!$A$2:$C$140,3,0)))^(C1567/(EDATE(D1567-C1567,1)-(D1567-C1567))),8)</f>
        <v/>
      </c>
      <c r="G1567" s="49">
        <f>TRUNC((E1567*F1567),8)</f>
        <v/>
      </c>
      <c r="H1567" s="49">
        <f>ROUND(((1+$H$4)^(30/360))^(C1567/(EDATE(D1567-B1567,1)-(D1567-B1567))),9)</f>
        <v/>
      </c>
      <c r="I1567" s="49">
        <f>TRUNC((G1567*H1567-G1567),8)</f>
        <v/>
      </c>
      <c r="J1567" s="49">
        <f>G1567+I1567</f>
        <v/>
      </c>
      <c r="K1567" s="256" t="n"/>
      <c r="L1567" s="256" t="n"/>
      <c r="M1567" s="256" t="n"/>
      <c r="N1567" s="256" t="n"/>
      <c r="O1567" s="256" t="n"/>
      <c r="P1567" s="256" t="n"/>
      <c r="Q1567" s="256" t="n"/>
    </row>
    <row r="1568">
      <c r="A1568">
        <f>IF(DAY(D1568)=DAY($L$1+1),A1567+1,A1567)</f>
        <v/>
      </c>
      <c r="B1568" s="46">
        <f>IF(DAY(D1568)=DAY($L$1+1),1,B1567+1)</f>
        <v/>
      </c>
      <c r="C1568" s="46">
        <f>IF(DAY(D1568)=DAY($L$1+1),1,C1567+1)</f>
        <v/>
      </c>
      <c r="D1568" s="2">
        <f>D1567+1</f>
        <v/>
      </c>
      <c r="E1568" s="8">
        <f>IF(DAY(D1568)=DAY($L$1+1),TRUNC((N1567),8),E1567)</f>
        <v/>
      </c>
      <c r="F1568" s="49">
        <f>TRUNC(((1+VLOOKUP(A1568,IPCA!$A$2:$C$140,3,0)))^(C1568/(EDATE(D1568-C1568,1)-(D1568-C1568))),8)</f>
        <v/>
      </c>
      <c r="G1568" s="49">
        <f>TRUNC((E1568*F1568),8)</f>
        <v/>
      </c>
      <c r="H1568" s="49">
        <f>ROUND(((1+$H$4)^(30/360))^(C1568/(EDATE(D1568-B1568,1)-(D1568-B1568))),9)</f>
        <v/>
      </c>
      <c r="I1568" s="49">
        <f>TRUNC((G1568*H1568-G1568),8)</f>
        <v/>
      </c>
      <c r="J1568" s="49">
        <f>G1568+I1568</f>
        <v/>
      </c>
      <c r="K1568" s="256" t="n"/>
      <c r="L1568" s="256" t="n"/>
      <c r="M1568" s="256" t="n"/>
      <c r="N1568" s="256" t="n"/>
      <c r="O1568" s="256" t="n"/>
      <c r="P1568" s="256" t="n"/>
      <c r="Q1568" s="256" t="n"/>
    </row>
    <row r="1569">
      <c r="A1569">
        <f>IF(DAY(D1569)=DAY($L$1+1),A1568+1,A1568)</f>
        <v/>
      </c>
      <c r="B1569" s="46">
        <f>IF(DAY(D1569)=DAY($L$1+1),1,B1568+1)</f>
        <v/>
      </c>
      <c r="C1569" s="46">
        <f>IF(DAY(D1569)=DAY($L$1+1),1,C1568+1)</f>
        <v/>
      </c>
      <c r="D1569" s="2">
        <f>D1568+1</f>
        <v/>
      </c>
      <c r="E1569" s="8">
        <f>IF(DAY(D1569)=DAY($L$1+1),TRUNC((N1568),8),E1568)</f>
        <v/>
      </c>
      <c r="F1569" s="49">
        <f>TRUNC(((1+VLOOKUP(A1569,IPCA!$A$2:$C$140,3,0)))^(C1569/(EDATE(D1569-C1569,1)-(D1569-C1569))),8)</f>
        <v/>
      </c>
      <c r="G1569" s="49">
        <f>TRUNC((E1569*F1569),8)</f>
        <v/>
      </c>
      <c r="H1569" s="49">
        <f>ROUND(((1+$H$4)^(30/360))^(C1569/(EDATE(D1569-B1569,1)-(D1569-B1569))),9)</f>
        <v/>
      </c>
      <c r="I1569" s="49">
        <f>TRUNC((G1569*H1569-G1569),8)</f>
        <v/>
      </c>
      <c r="J1569" s="49">
        <f>G1569+I1569</f>
        <v/>
      </c>
      <c r="K1569" s="256" t="n"/>
      <c r="L1569" s="256" t="n"/>
      <c r="M1569" s="256" t="n"/>
      <c r="N1569" s="256" t="n"/>
      <c r="O1569" s="256" t="n"/>
      <c r="P1569" s="256" t="n"/>
      <c r="Q1569" s="256" t="n"/>
    </row>
    <row r="1570">
      <c r="A1570">
        <f>IF(DAY(D1570)=DAY($L$1+1),A1569+1,A1569)</f>
        <v/>
      </c>
      <c r="B1570" s="46">
        <f>IF(DAY(D1570)=DAY($L$1+1),1,B1569+1)</f>
        <v/>
      </c>
      <c r="C1570" s="46">
        <f>IF(DAY(D1570)=DAY($L$1+1),1,C1569+1)</f>
        <v/>
      </c>
      <c r="D1570" s="2">
        <f>D1569+1</f>
        <v/>
      </c>
      <c r="E1570" s="8">
        <f>IF(DAY(D1570)=DAY($L$1+1),TRUNC((N1569),8),E1569)</f>
        <v/>
      </c>
      <c r="F1570" s="49">
        <f>TRUNC(((1+VLOOKUP(A1570,IPCA!$A$2:$C$140,3,0)))^(C1570/(EDATE(D1570-C1570,1)-(D1570-C1570))),8)</f>
        <v/>
      </c>
      <c r="G1570" s="49">
        <f>TRUNC((E1570*F1570),8)</f>
        <v/>
      </c>
      <c r="H1570" s="49">
        <f>ROUND(((1+$H$4)^(30/360))^(C1570/(EDATE(D1570-B1570,1)-(D1570-B1570))),9)</f>
        <v/>
      </c>
      <c r="I1570" s="49">
        <f>TRUNC((G1570*H1570-G1570),8)</f>
        <v/>
      </c>
      <c r="J1570" s="49">
        <f>G1570+I1570</f>
        <v/>
      </c>
      <c r="K1570" s="256" t="inlineStr">
        <is>
          <t>Cri Integralizado</t>
        </is>
      </c>
      <c r="L1570" s="270">
        <f>L1540</f>
        <v/>
      </c>
      <c r="M1570" s="256" t="n"/>
      <c r="N1570" s="256" t="n"/>
      <c r="O1570" s="256" t="n"/>
      <c r="P1570" s="256" t="n"/>
      <c r="Q1570" s="256" t="n"/>
    </row>
    <row r="1571">
      <c r="A1571">
        <f>IF(DAY(D1571)=DAY($L$1+1),A1570+1,A1570)</f>
        <v/>
      </c>
      <c r="B1571" s="46">
        <f>IF(DAY(D1571)=DAY($L$1+1),1,B1570+1)</f>
        <v/>
      </c>
      <c r="C1571" s="46">
        <f>IF(DAY(D1571)=DAY($L$1+1),1,C1570+1)</f>
        <v/>
      </c>
      <c r="D1571" s="47">
        <f>D1570+1</f>
        <v/>
      </c>
      <c r="E1571" s="8">
        <f>IF(DAY(D1571)=DAY($L$1+1),TRUNC((N1570),8),E1570)</f>
        <v/>
      </c>
      <c r="F1571" s="49">
        <f>TRUNC(((1+VLOOKUP(A1571,IPCA!$A$2:$C$140,3,0)))^(C1571/(EDATE(D1571-C1571,1)-(D1571-C1571))),8)</f>
        <v/>
      </c>
      <c r="G1571" s="49">
        <f>TRUNC((E1571*F1571),8)</f>
        <v/>
      </c>
      <c r="H1571" s="49">
        <f>ROUND(((1+$H$4)^(30/360))^(C1571/(EDATE(D1571-B1571,1)-(D1571-B1571))),9)</f>
        <v/>
      </c>
      <c r="I1571" s="49">
        <f>TRUNC((G1571*H1571-G1571),8)</f>
        <v/>
      </c>
      <c r="J1571" s="49">
        <f>G1571+I1571</f>
        <v/>
      </c>
      <c r="K1571" s="118" t="inlineStr">
        <is>
          <t>JUROS</t>
        </is>
      </c>
      <c r="L1571" s="118" t="inlineStr">
        <is>
          <t>AMORTIZAÇÃO</t>
        </is>
      </c>
      <c r="M1571" s="118" t="inlineStr">
        <is>
          <t>AMEX</t>
        </is>
      </c>
      <c r="N1571" s="118" t="inlineStr">
        <is>
          <t>RESIDUAL</t>
        </is>
      </c>
      <c r="O1571" s="256" t="n"/>
      <c r="P1571" s="256" t="n"/>
      <c r="Q1571" s="256" t="n"/>
    </row>
    <row r="1572">
      <c r="A1572">
        <f>IF(DAY(D1572)=DAY($L$1+1),A1571+1,A1571)</f>
        <v/>
      </c>
      <c r="B1572" s="111">
        <f>IF(DAY(D1572)=DAY($L$1+1),1,B1571+1)</f>
        <v/>
      </c>
      <c r="C1572" s="111">
        <f>IF(DAY(D1572)=DAY($L$1+1),1,C1571+1)</f>
        <v/>
      </c>
      <c r="D1572" s="112">
        <f>D1571+1</f>
        <v/>
      </c>
      <c r="E1572" s="113">
        <f>IF(DAY(D1572)=DAY($L$1+1),TRUNC((N1571),8),E1571)</f>
        <v/>
      </c>
      <c r="F1572" s="114">
        <f>TRUNC(((1+VLOOKUP(A1572,IPCA!$A$2:$C$140,3,0)))^(C1572/(EDATE(D1572-C1572,1)-(D1572-C1572))),8)</f>
        <v/>
      </c>
      <c r="G1572" s="114">
        <f>TRUNC((E1572*F1572),8)</f>
        <v/>
      </c>
      <c r="H1572" s="114">
        <f>ROUND(((1+$H$4)^(30/360))^(C1572/(EDATE(D1572-B1572,1)-(D1572-B1572))),9)</f>
        <v/>
      </c>
      <c r="I1572" s="114">
        <f>TRUNC((G1572*H1572-G1572),8)</f>
        <v/>
      </c>
      <c r="J1572" s="114">
        <f>G1572+I1572</f>
        <v/>
      </c>
      <c r="K1572" s="119">
        <f>I1572</f>
        <v/>
      </c>
      <c r="L1572" s="120">
        <f>TRUNC(G1572*VLOOKUP(D1572,'Amort TS'!$G$3:$H$140,2,0),8)</f>
        <v/>
      </c>
      <c r="M1572" s="120" t="n">
        <v>0</v>
      </c>
      <c r="N1572" s="120">
        <f>J1572-K1572-L1572-M1572</f>
        <v/>
      </c>
      <c r="O1572" s="256" t="n"/>
      <c r="P1572" s="256" t="n"/>
      <c r="Q1572" s="256" t="n"/>
    </row>
    <row r="1573">
      <c r="A1573">
        <f>IF(DAY(D1573)=DAY($L$1+1),A1572+1,A1572)</f>
        <v/>
      </c>
      <c r="B1573" s="46">
        <f>IF(DAY(D1573)=DAY($L$1+1),1,B1572+1)</f>
        <v/>
      </c>
      <c r="C1573" s="46">
        <f>IF(DAY(D1573)=DAY($L$1+1),1,C1572+1)</f>
        <v/>
      </c>
      <c r="D1573" s="2">
        <f>D1572+1</f>
        <v/>
      </c>
      <c r="E1573" s="8">
        <f>IF(DAY(D1573)=DAY($L$1+1),TRUNC((N1572),8),E1572)</f>
        <v/>
      </c>
      <c r="F1573" s="49">
        <f>TRUNC(((1+VLOOKUP(A1573,IPCA!$A$2:$C$140,3,0)))^(C1573/(EDATE(D1573-C1573,1)-(D1573-C1573))),8)</f>
        <v/>
      </c>
      <c r="G1573" s="49">
        <f>TRUNC((E1573*F1573),8)</f>
        <v/>
      </c>
      <c r="H1573" s="49">
        <f>ROUND(((1+$H$4)^(30/360))^(C1573/(EDATE(D1573-B1573,1)-(D1573-B1573))),9)</f>
        <v/>
      </c>
      <c r="I1573" s="49">
        <f>TRUNC((G1573*H1573-G1573),8)</f>
        <v/>
      </c>
      <c r="J1573" s="49">
        <f>G1573+I1573</f>
        <v/>
      </c>
      <c r="K1573" s="121">
        <f>K1572*L1570</f>
        <v/>
      </c>
      <c r="L1573" s="121">
        <f>L1572*L1570</f>
        <v/>
      </c>
      <c r="M1573" s="121">
        <f>M1572*L1570</f>
        <v/>
      </c>
      <c r="N1573" s="121">
        <f>N1572*L1570</f>
        <v/>
      </c>
      <c r="O1573" s="256" t="n"/>
      <c r="P1573" s="256" t="n"/>
      <c r="Q1573" s="256" t="n"/>
    </row>
    <row r="1574">
      <c r="A1574">
        <f>IF(DAY(D1574)=DAY($L$1+1),A1573+1,A1573)</f>
        <v/>
      </c>
      <c r="B1574" s="46">
        <f>IF(DAY(D1574)=DAY($L$1+1),1,B1573+1)</f>
        <v/>
      </c>
      <c r="C1574" s="46">
        <f>IF(DAY(D1574)=DAY($L$1+1),1,C1573+1)</f>
        <v/>
      </c>
      <c r="D1574" s="47">
        <f>D1573+1</f>
        <v/>
      </c>
      <c r="E1574" s="8">
        <f>IF(DAY(D1574)=DAY($L$1+1),TRUNC((N1573),8),E1573)</f>
        <v/>
      </c>
      <c r="F1574" s="49">
        <f>TRUNC(((1+VLOOKUP(A1574,IPCA!$A$2:$C$140,3,0)))^(C1574/(EDATE(D1574-C1574,1)-(D1574-C1574))),8)</f>
        <v/>
      </c>
      <c r="G1574" s="49">
        <f>TRUNC((E1574*F1574),8)</f>
        <v/>
      </c>
      <c r="H1574" s="49">
        <f>ROUND(((1+$H$4)^(30/360))^(C1574/(EDATE(D1574-B1574,1)-(D1574-B1574))),9)</f>
        <v/>
      </c>
      <c r="I1574" s="49">
        <f>TRUNC((G1574*H1574-G1574),8)</f>
        <v/>
      </c>
      <c r="J1574" s="49">
        <f>G1574+I1574</f>
        <v/>
      </c>
      <c r="K1574" s="256" t="n"/>
      <c r="L1574" s="256" t="n"/>
      <c r="M1574" s="256" t="n"/>
      <c r="N1574" s="256" t="n"/>
      <c r="O1574" s="256" t="n"/>
      <c r="P1574" s="256" t="n"/>
      <c r="Q1574" s="256" t="n"/>
    </row>
    <row r="1575">
      <c r="A1575">
        <f>IF(DAY(D1575)=DAY($L$1+1),A1574+1,A1574)</f>
        <v/>
      </c>
      <c r="B1575" s="46">
        <f>IF(DAY(D1575)=DAY($L$1+1),1,B1574+1)</f>
        <v/>
      </c>
      <c r="C1575" s="46">
        <f>IF(DAY(D1575)=DAY($L$1+1),1,C1574+1)</f>
        <v/>
      </c>
      <c r="D1575" s="2">
        <f>D1574+1</f>
        <v/>
      </c>
      <c r="E1575" s="8">
        <f>IF(DAY(D1575)=DAY($L$1+1),TRUNC((#REF!),8),E1574)</f>
        <v/>
      </c>
      <c r="F1575" s="49">
        <f>TRUNC(((1+VLOOKUP(A1575,IPCA!$A$2:$C$140,3,0)))^(C1575/(EDATE(D1575-C1575,1)-(D1575-C1575))),8)</f>
        <v/>
      </c>
      <c r="G1575" s="49">
        <f>TRUNC((E1575*F1575),8)</f>
        <v/>
      </c>
      <c r="H1575" s="49">
        <f>ROUND(((1+$H$4)^(30/360))^(C1575/(EDATE(D1575-B1575,1)-(D1575-B1575))),9)</f>
        <v/>
      </c>
      <c r="I1575" s="49">
        <f>TRUNC((G1575*H1575-G1575),8)</f>
        <v/>
      </c>
      <c r="J1575" s="49">
        <f>G1575+I1575</f>
        <v/>
      </c>
      <c r="K1575" s="256" t="n"/>
      <c r="L1575" s="256" t="n"/>
      <c r="M1575" s="256" t="n"/>
      <c r="N1575" s="256" t="n"/>
      <c r="O1575" s="256" t="n"/>
      <c r="P1575" s="256" t="n"/>
      <c r="Q1575" s="256" t="n"/>
    </row>
    <row r="1576">
      <c r="A1576">
        <f>IF(DAY(D1576)=DAY($L$1+1),A1575+1,A1575)</f>
        <v/>
      </c>
      <c r="B1576" s="46">
        <f>IF(DAY(D1576)=DAY($L$1+1),1,B1575+1)</f>
        <v/>
      </c>
      <c r="C1576" s="46">
        <f>IF(DAY(D1576)=DAY($L$1+1),1,C1575+1)</f>
        <v/>
      </c>
      <c r="D1576" s="2">
        <f>D1575+1</f>
        <v/>
      </c>
      <c r="E1576" s="8">
        <f>IF(DAY(D1576)=DAY($L$1+1),TRUNC((#REF!),8),E1575)</f>
        <v/>
      </c>
      <c r="F1576" s="49">
        <f>TRUNC(((1+VLOOKUP(A1576,IPCA!$A$2:$C$140,3,0)))^(C1576/(EDATE(D1576-C1576,1)-(D1576-C1576))),8)</f>
        <v/>
      </c>
      <c r="G1576" s="49">
        <f>TRUNC((E1576*F1576),8)</f>
        <v/>
      </c>
      <c r="H1576" s="49">
        <f>ROUND(((1+$H$4)^(30/360))^(C1576/(EDATE(D1576-B1576,1)-(D1576-B1576))),9)</f>
        <v/>
      </c>
      <c r="I1576" s="49">
        <f>TRUNC((G1576*H1576-G1576),8)</f>
        <v/>
      </c>
      <c r="J1576" s="49">
        <f>G1576+I1576</f>
        <v/>
      </c>
      <c r="K1576" s="256" t="n"/>
      <c r="L1576" s="256" t="n"/>
      <c r="M1576" s="256" t="n"/>
      <c r="N1576" s="256" t="n"/>
      <c r="O1576" s="256" t="n"/>
      <c r="P1576" s="256" t="n"/>
      <c r="Q1576" s="256" t="n"/>
    </row>
    <row r="1577">
      <c r="A1577">
        <f>IF(DAY(D1577)=DAY($L$1+1),A1576+1,A1576)</f>
        <v/>
      </c>
      <c r="B1577" s="46">
        <f>IF(DAY(D1577)=DAY($L$1+1),1,B1576+1)</f>
        <v/>
      </c>
      <c r="C1577" s="46">
        <f>IF(DAY(D1577)=DAY($L$1+1),1,C1576+1)</f>
        <v/>
      </c>
      <c r="D1577" s="2">
        <f>D1576+1</f>
        <v/>
      </c>
      <c r="E1577" s="8">
        <f>IF(DAY(D1577)=DAY($L$1+1),TRUNC((#REF!),8),E1576)</f>
        <v/>
      </c>
      <c r="F1577" s="49">
        <f>TRUNC(((1+VLOOKUP(A1577,IPCA!$A$2:$C$140,3,0)))^(C1577/(EDATE(D1577-C1577,1)-(D1577-C1577))),8)</f>
        <v/>
      </c>
      <c r="G1577" s="49">
        <f>TRUNC((E1577*F1577),8)</f>
        <v/>
      </c>
      <c r="H1577" s="49">
        <f>ROUND(((1+$H$4)^(30/360))^(C1577/(EDATE(D1577-B1577,1)-(D1577-B1577))),9)</f>
        <v/>
      </c>
      <c r="I1577" s="49">
        <f>TRUNC((G1577*H1577-G1577),8)</f>
        <v/>
      </c>
      <c r="J1577" s="49">
        <f>G1577+I1577</f>
        <v/>
      </c>
      <c r="K1577" s="256" t="n"/>
      <c r="L1577" s="256" t="n"/>
      <c r="M1577" s="256" t="n"/>
      <c r="N1577" s="256" t="n"/>
      <c r="O1577" s="256" t="n"/>
      <c r="P1577" s="256" t="n"/>
      <c r="Q1577" s="256" t="n"/>
    </row>
    <row r="1578">
      <c r="A1578">
        <f>IF(DAY(D1578)=DAY($L$1+1),A1577+1,A1577)</f>
        <v/>
      </c>
      <c r="B1578" s="46">
        <f>IF(DAY(D1578)=DAY($L$1+1),1,B1577+1)</f>
        <v/>
      </c>
      <c r="C1578" s="46">
        <f>IF(DAY(D1578)=DAY($L$1+1),1,C1577+1)</f>
        <v/>
      </c>
      <c r="D1578" s="2">
        <f>D1577+1</f>
        <v/>
      </c>
      <c r="E1578" s="8">
        <f>IF(DAY(D1578)=DAY($L$1+1),TRUNC((#REF!),8),E1577)</f>
        <v/>
      </c>
      <c r="F1578" s="49">
        <f>TRUNC(((1+VLOOKUP(A1578,IPCA!$A$2:$C$140,3,0)))^(C1578/(EDATE(D1578-C1578,1)-(D1578-C1578))),8)</f>
        <v/>
      </c>
      <c r="G1578" s="49">
        <f>TRUNC((E1578*F1578),8)</f>
        <v/>
      </c>
      <c r="H1578" s="49">
        <f>ROUND(((1+$H$4)^(30/360))^(C1578/(EDATE(D1578-B1578,1)-(D1578-B1578))),9)</f>
        <v/>
      </c>
      <c r="I1578" s="49">
        <f>TRUNC((G1578*H1578-G1578),8)</f>
        <v/>
      </c>
      <c r="J1578" s="49">
        <f>G1578+I1578</f>
        <v/>
      </c>
      <c r="K1578" s="256" t="n"/>
      <c r="L1578" s="256" t="n"/>
      <c r="M1578" s="256" t="n"/>
      <c r="N1578" s="256" t="n"/>
      <c r="O1578" s="256" t="n"/>
      <c r="P1578" s="256" t="n"/>
      <c r="Q1578" s="256" t="n"/>
    </row>
    <row r="1579">
      <c r="A1579">
        <f>IF(DAY(D1579)=DAY($L$1+1),A1578+1,A1578)</f>
        <v/>
      </c>
      <c r="B1579" s="46">
        <f>IF(DAY(D1579)=DAY($L$1+1),1,B1578+1)</f>
        <v/>
      </c>
      <c r="C1579" s="46">
        <f>IF(DAY(D1579)=DAY($L$1+1),1,C1578+1)</f>
        <v/>
      </c>
      <c r="D1579" s="2">
        <f>D1578+1</f>
        <v/>
      </c>
      <c r="E1579" s="8">
        <f>IF(DAY(D1579)=DAY($L$1+1),TRUNC((#REF!),8),E1578)</f>
        <v/>
      </c>
      <c r="F1579" s="49">
        <f>TRUNC(((1+VLOOKUP(A1579,IPCA!$A$2:$C$140,3,0)))^(C1579/(EDATE(D1579-C1579,1)-(D1579-C1579))),8)</f>
        <v/>
      </c>
      <c r="G1579" s="49">
        <f>TRUNC((E1579*F1579),8)</f>
        <v/>
      </c>
      <c r="H1579" s="49">
        <f>ROUND(((1+$H$4)^(30/360))^(C1579/(EDATE(D1579-B1579,1)-(D1579-B1579))),9)</f>
        <v/>
      </c>
      <c r="I1579" s="49">
        <f>TRUNC((G1579*H1579-G1579),8)</f>
        <v/>
      </c>
      <c r="J1579" s="49">
        <f>G1579+I1579</f>
        <v/>
      </c>
      <c r="K1579" s="256" t="n"/>
      <c r="L1579" s="256" t="n"/>
      <c r="M1579" s="256" t="n"/>
      <c r="N1579" s="256" t="n"/>
      <c r="O1579" s="256" t="n"/>
      <c r="P1579" s="256" t="n"/>
      <c r="Q1579" s="256" t="n"/>
    </row>
    <row r="1580">
      <c r="A1580">
        <f>IF(DAY(D1580)=DAY($L$1+1),A1579+1,A1579)</f>
        <v/>
      </c>
      <c r="B1580" s="46">
        <f>IF(DAY(D1580)=DAY($L$1+1),1,B1579+1)</f>
        <v/>
      </c>
      <c r="C1580" s="46">
        <f>IF(DAY(D1580)=DAY($L$1+1),1,C1579+1)</f>
        <v/>
      </c>
      <c r="D1580" s="2">
        <f>D1579+1</f>
        <v/>
      </c>
      <c r="E1580" s="8">
        <f>IF(DAY(D1580)=DAY($L$1+1),TRUNC((#REF!),8),E1579)</f>
        <v/>
      </c>
      <c r="F1580" s="49">
        <f>TRUNC(((1+VLOOKUP(A1580,IPCA!$A$2:$C$140,3,0)))^(C1580/(EDATE(D1580-C1580,1)-(D1580-C1580))),8)</f>
        <v/>
      </c>
      <c r="G1580" s="49">
        <f>TRUNC((E1580*F1580),8)</f>
        <v/>
      </c>
      <c r="H1580" s="49">
        <f>ROUND(((1+$H$4)^(30/360))^(C1580/(EDATE(D1580-B1580,1)-(D1580-B1580))),9)</f>
        <v/>
      </c>
      <c r="I1580" s="49">
        <f>TRUNC((G1580*H1580-G1580),8)</f>
        <v/>
      </c>
      <c r="J1580" s="49">
        <f>G1580+I1580</f>
        <v/>
      </c>
      <c r="K1580" s="256" t="n"/>
      <c r="L1580" s="256" t="n"/>
      <c r="M1580" s="256" t="n"/>
      <c r="N1580" s="256" t="n"/>
      <c r="O1580" s="256" t="n"/>
      <c r="P1580" s="256" t="n"/>
      <c r="Q1580" s="256" t="n"/>
    </row>
    <row r="1581">
      <c r="A1581">
        <f>IF(DAY(D1581)=DAY($L$1+1),A1580+1,A1580)</f>
        <v/>
      </c>
      <c r="B1581" s="46">
        <f>IF(DAY(D1581)=DAY($L$1+1),1,B1580+1)</f>
        <v/>
      </c>
      <c r="C1581" s="46">
        <f>IF(DAY(D1581)=DAY($L$1+1),1,C1580+1)</f>
        <v/>
      </c>
      <c r="D1581" s="2">
        <f>D1580+1</f>
        <v/>
      </c>
      <c r="E1581" s="8">
        <f>IF(DAY(D1581)=DAY($L$1+1),TRUNC((#REF!),8),E1580)</f>
        <v/>
      </c>
      <c r="F1581" s="49">
        <f>TRUNC(((1+VLOOKUP(A1581,IPCA!$A$2:$C$140,3,0)))^(C1581/(EDATE(D1581-C1581,1)-(D1581-C1581))),8)</f>
        <v/>
      </c>
      <c r="G1581" s="49">
        <f>TRUNC((E1581*F1581),8)</f>
        <v/>
      </c>
      <c r="H1581" s="49">
        <f>ROUND(((1+$H$4)^(30/360))^(C1581/(EDATE(D1581-B1581,1)-(D1581-B1581))),9)</f>
        <v/>
      </c>
      <c r="I1581" s="49">
        <f>TRUNC((G1581*H1581-G1581),8)</f>
        <v/>
      </c>
      <c r="J1581" s="49">
        <f>G1581+I1581</f>
        <v/>
      </c>
      <c r="K1581" s="256" t="n"/>
      <c r="L1581" s="256" t="n"/>
      <c r="M1581" s="256" t="n"/>
      <c r="N1581" s="256" t="n"/>
      <c r="O1581" s="256" t="n"/>
      <c r="P1581" s="256" t="n"/>
      <c r="Q1581" s="256" t="n"/>
    </row>
    <row r="1582">
      <c r="A1582">
        <f>IF(DAY(D1582)=DAY($L$1+1),A1581+1,A1581)</f>
        <v/>
      </c>
      <c r="B1582" s="46">
        <f>IF(DAY(D1582)=DAY($L$1+1),1,B1581+1)</f>
        <v/>
      </c>
      <c r="C1582" s="46">
        <f>IF(DAY(D1582)=DAY($L$1+1),1,C1581+1)</f>
        <v/>
      </c>
      <c r="D1582" s="2">
        <f>D1581+1</f>
        <v/>
      </c>
      <c r="E1582" s="8">
        <f>IF(DAY(D1582)=DAY($L$1+1),TRUNC((N1581),8),E1581)</f>
        <v/>
      </c>
      <c r="F1582" s="49">
        <f>TRUNC(((1+VLOOKUP(A1582,IPCA!$A$2:$C$140,3,0)))^(C1582/(EDATE(D1582-C1582,1)-(D1582-C1582))),8)</f>
        <v/>
      </c>
      <c r="G1582" s="49">
        <f>TRUNC((E1582*F1582),8)</f>
        <v/>
      </c>
      <c r="H1582" s="49">
        <f>ROUND(((1+$H$4)^(30/360))^(C1582/(EDATE(D1582-B1582,1)-(D1582-B1582))),9)</f>
        <v/>
      </c>
      <c r="I1582" s="49">
        <f>TRUNC((G1582*H1582-G1582),8)</f>
        <v/>
      </c>
      <c r="J1582" s="49">
        <f>G1582+I1582</f>
        <v/>
      </c>
      <c r="K1582" s="256" t="n"/>
      <c r="L1582" s="256" t="n"/>
      <c r="M1582" s="256" t="n"/>
      <c r="N1582" s="256" t="n"/>
      <c r="O1582" s="256" t="n"/>
      <c r="P1582" s="256" t="n"/>
      <c r="Q1582" s="256" t="n"/>
    </row>
    <row r="1583">
      <c r="A1583">
        <f>IF(DAY(D1583)=DAY($L$1+1),A1582+1,A1582)</f>
        <v/>
      </c>
      <c r="B1583" s="46">
        <f>IF(DAY(D1583)=DAY($L$1+1),1,B1582+1)</f>
        <v/>
      </c>
      <c r="C1583" s="46">
        <f>IF(DAY(D1583)=DAY($L$1+1),1,C1582+1)</f>
        <v/>
      </c>
      <c r="D1583" s="2">
        <f>D1582+1</f>
        <v/>
      </c>
      <c r="E1583" s="8">
        <f>IF(DAY(D1583)=DAY($L$1+1),TRUNC((N1582),8),E1582)</f>
        <v/>
      </c>
      <c r="F1583" s="49">
        <f>TRUNC(((1+VLOOKUP(A1583,IPCA!$A$2:$C$140,3,0)))^(C1583/(EDATE(D1583-C1583,1)-(D1583-C1583))),8)</f>
        <v/>
      </c>
      <c r="G1583" s="49">
        <f>TRUNC((E1583*F1583),8)</f>
        <v/>
      </c>
      <c r="H1583" s="49">
        <f>ROUND(((1+$H$4)^(30/360))^(C1583/(EDATE(D1583-B1583,1)-(D1583-B1583))),9)</f>
        <v/>
      </c>
      <c r="I1583" s="49">
        <f>TRUNC((G1583*H1583-G1583),8)</f>
        <v/>
      </c>
      <c r="J1583" s="49">
        <f>G1583+I1583</f>
        <v/>
      </c>
      <c r="K1583" s="256" t="n"/>
      <c r="L1583" s="256" t="n"/>
      <c r="M1583" s="256" t="n"/>
      <c r="N1583" s="256" t="n"/>
      <c r="O1583" s="256" t="n"/>
      <c r="P1583" s="256" t="n"/>
      <c r="Q1583" s="256" t="n"/>
    </row>
    <row r="1584">
      <c r="A1584">
        <f>IF(DAY(D1584)=DAY($L$1+1),A1583+1,A1583)</f>
        <v/>
      </c>
      <c r="B1584" s="46">
        <f>IF(DAY(D1584)=DAY($L$1+1),1,B1583+1)</f>
        <v/>
      </c>
      <c r="C1584" s="46">
        <f>IF(DAY(D1584)=DAY($L$1+1),1,C1583+1)</f>
        <v/>
      </c>
      <c r="D1584" s="2">
        <f>D1583+1</f>
        <v/>
      </c>
      <c r="E1584" s="8">
        <f>IF(DAY(D1584)=DAY($L$1+1),TRUNC((N1583),8),E1583)</f>
        <v/>
      </c>
      <c r="F1584" s="49">
        <f>TRUNC(((1+VLOOKUP(A1584,IPCA!$A$2:$C$140,3,0)))^(C1584/(EDATE(D1584-C1584,1)-(D1584-C1584))),8)</f>
        <v/>
      </c>
      <c r="G1584" s="49">
        <f>TRUNC((E1584*F1584),8)</f>
        <v/>
      </c>
      <c r="H1584" s="49">
        <f>ROUND(((1+$H$4)^(30/360))^(C1584/(EDATE(D1584-B1584,1)-(D1584-B1584))),9)</f>
        <v/>
      </c>
      <c r="I1584" s="49">
        <f>TRUNC((G1584*H1584-G1584),8)</f>
        <v/>
      </c>
      <c r="J1584" s="49">
        <f>G1584+I1584</f>
        <v/>
      </c>
      <c r="K1584" s="256" t="n"/>
      <c r="L1584" s="256" t="n"/>
      <c r="M1584" s="256" t="n"/>
      <c r="N1584" s="256" t="n"/>
      <c r="O1584" s="256" t="n"/>
      <c r="P1584" s="256" t="n"/>
      <c r="Q1584" s="256" t="n"/>
    </row>
    <row r="1585">
      <c r="A1585">
        <f>IF(DAY(D1585)=DAY($L$1+1),A1584+1,A1584)</f>
        <v/>
      </c>
      <c r="B1585" s="46">
        <f>IF(DAY(D1585)=DAY($L$1+1),1,B1584+1)</f>
        <v/>
      </c>
      <c r="C1585" s="46">
        <f>IF(DAY(D1585)=DAY($L$1+1),1,C1584+1)</f>
        <v/>
      </c>
      <c r="D1585" s="2">
        <f>D1584+1</f>
        <v/>
      </c>
      <c r="E1585" s="8">
        <f>IF(DAY(D1585)=DAY($L$1+1),TRUNC((N1584),8),E1584)</f>
        <v/>
      </c>
      <c r="F1585" s="49">
        <f>TRUNC(((1+VLOOKUP(A1585,IPCA!$A$2:$C$140,3,0)))^(C1585/(EDATE(D1585-C1585,1)-(D1585-C1585))),8)</f>
        <v/>
      </c>
      <c r="G1585" s="49">
        <f>TRUNC((E1585*F1585),8)</f>
        <v/>
      </c>
      <c r="H1585" s="49">
        <f>ROUND(((1+$H$4)^(30/360))^(C1585/(EDATE(D1585-B1585,1)-(D1585-B1585))),9)</f>
        <v/>
      </c>
      <c r="I1585" s="49">
        <f>TRUNC((G1585*H1585-G1585),8)</f>
        <v/>
      </c>
      <c r="J1585" s="49">
        <f>G1585+I1585</f>
        <v/>
      </c>
      <c r="K1585" s="256" t="n"/>
      <c r="L1585" s="256" t="n"/>
      <c r="M1585" s="256" t="n"/>
      <c r="N1585" s="256" t="n"/>
      <c r="O1585" s="256" t="n"/>
      <c r="P1585" s="256" t="n"/>
      <c r="Q1585" s="256" t="n"/>
    </row>
    <row r="1586">
      <c r="A1586">
        <f>IF(DAY(D1586)=DAY($L$1+1),A1585+1,A1585)</f>
        <v/>
      </c>
      <c r="B1586" s="46">
        <f>IF(DAY(D1586)=DAY($L$1+1),1,B1585+1)</f>
        <v/>
      </c>
      <c r="C1586" s="46">
        <f>IF(DAY(D1586)=DAY($L$1+1),1,C1585+1)</f>
        <v/>
      </c>
      <c r="D1586" s="2">
        <f>D1585+1</f>
        <v/>
      </c>
      <c r="E1586" s="8">
        <f>IF(DAY(D1586)=DAY($L$1+1),TRUNC((N1585),8),E1585)</f>
        <v/>
      </c>
      <c r="F1586" s="49">
        <f>TRUNC(((1+VLOOKUP(A1586,IPCA!$A$2:$C$140,3,0)))^(C1586/(EDATE(D1586-C1586,1)-(D1586-C1586))),8)</f>
        <v/>
      </c>
      <c r="G1586" s="49">
        <f>TRUNC((E1586*F1586),8)</f>
        <v/>
      </c>
      <c r="H1586" s="49">
        <f>ROUND(((1+$H$4)^(30/360))^(C1586/(EDATE(D1586-B1586,1)-(D1586-B1586))),9)</f>
        <v/>
      </c>
      <c r="I1586" s="49">
        <f>TRUNC((G1586*H1586-G1586),8)</f>
        <v/>
      </c>
      <c r="J1586" s="49">
        <f>G1586+I1586</f>
        <v/>
      </c>
      <c r="K1586" s="256" t="n"/>
      <c r="L1586" s="256" t="n"/>
      <c r="M1586" s="256" t="n"/>
      <c r="N1586" s="256" t="n"/>
      <c r="O1586" s="256" t="n"/>
      <c r="P1586" s="256" t="n"/>
      <c r="Q1586" s="256" t="n"/>
    </row>
    <row r="1587">
      <c r="A1587">
        <f>IF(DAY(D1587)=DAY($L$1+1),A1586+1,A1586)</f>
        <v/>
      </c>
      <c r="B1587" s="46">
        <f>IF(DAY(D1587)=DAY($L$1+1),1,B1586+1)</f>
        <v/>
      </c>
      <c r="C1587" s="46">
        <f>IF(DAY(D1587)=DAY($L$1+1),1,C1586+1)</f>
        <v/>
      </c>
      <c r="D1587" s="2">
        <f>D1586+1</f>
        <v/>
      </c>
      <c r="E1587" s="8">
        <f>IF(DAY(D1587)=DAY($L$1+1),TRUNC((N1586),8),E1586)</f>
        <v/>
      </c>
      <c r="F1587" s="49">
        <f>TRUNC(((1+VLOOKUP(A1587,IPCA!$A$2:$C$140,3,0)))^(C1587/(EDATE(D1587-C1587,1)-(D1587-C1587))),8)</f>
        <v/>
      </c>
      <c r="G1587" s="49">
        <f>TRUNC((E1587*F1587),8)</f>
        <v/>
      </c>
      <c r="H1587" s="49">
        <f>ROUND(((1+$H$4)^(30/360))^(C1587/(EDATE(D1587-B1587,1)-(D1587-B1587))),9)</f>
        <v/>
      </c>
      <c r="I1587" s="49">
        <f>TRUNC((G1587*H1587-G1587),8)</f>
        <v/>
      </c>
      <c r="J1587" s="49">
        <f>G1587+I1587</f>
        <v/>
      </c>
      <c r="K1587" s="256" t="n"/>
      <c r="L1587" s="256" t="n"/>
      <c r="M1587" s="256" t="n"/>
      <c r="N1587" s="256" t="n"/>
      <c r="O1587" s="256" t="n"/>
      <c r="P1587" s="256" t="n"/>
      <c r="Q1587" s="256" t="n"/>
    </row>
    <row r="1588">
      <c r="A1588">
        <f>IF(DAY(D1588)=DAY($L$1+1),A1587+1,A1587)</f>
        <v/>
      </c>
      <c r="B1588" s="46">
        <f>IF(DAY(D1588)=DAY($L$1+1),1,B1587+1)</f>
        <v/>
      </c>
      <c r="C1588" s="46">
        <f>IF(DAY(D1588)=DAY($L$1+1),1,C1587+1)</f>
        <v/>
      </c>
      <c r="D1588" s="2">
        <f>D1587+1</f>
        <v/>
      </c>
      <c r="E1588" s="8">
        <f>IF(DAY(D1588)=DAY($L$1+1),TRUNC((N1587),8),E1587)</f>
        <v/>
      </c>
      <c r="F1588" s="49">
        <f>TRUNC(((1+VLOOKUP(A1588,IPCA!$A$2:$C$140,3,0)))^(C1588/(EDATE(D1588-C1588,1)-(D1588-C1588))),8)</f>
        <v/>
      </c>
      <c r="G1588" s="49">
        <f>TRUNC((E1588*F1588),8)</f>
        <v/>
      </c>
      <c r="H1588" s="49">
        <f>ROUND(((1+$H$4)^(30/360))^(C1588/(EDATE(D1588-B1588,1)-(D1588-B1588))),9)</f>
        <v/>
      </c>
      <c r="I1588" s="49">
        <f>TRUNC((G1588*H1588-G1588),8)</f>
        <v/>
      </c>
      <c r="J1588" s="49">
        <f>G1588+I1588</f>
        <v/>
      </c>
      <c r="K1588" s="123" t="n"/>
      <c r="L1588" s="271" t="n"/>
      <c r="M1588" s="256" t="n"/>
      <c r="N1588" s="256" t="n"/>
      <c r="O1588" s="256" t="n"/>
      <c r="P1588" s="256" t="n"/>
      <c r="Q1588" s="256" t="n"/>
    </row>
    <row r="1589">
      <c r="A1589">
        <f>IF(DAY(D1589)=DAY($L$1+1),A1588+1,A1588)</f>
        <v/>
      </c>
      <c r="B1589" s="46">
        <f>IF(DAY(D1589)=DAY($L$1+1),1,B1588+1)</f>
        <v/>
      </c>
      <c r="C1589" s="46">
        <f>IF(DAY(D1589)=DAY($L$1+1),1,C1588+1)</f>
        <v/>
      </c>
      <c r="D1589" s="2">
        <f>D1588+1</f>
        <v/>
      </c>
      <c r="E1589" s="8">
        <f>IF(DAY(D1589)=DAY($L$1+1),TRUNC((N1588),8),E1588)</f>
        <v/>
      </c>
      <c r="F1589" s="49">
        <f>TRUNC(((1+VLOOKUP(A1589,IPCA!$A$2:$C$140,3,0)))^(C1589/(EDATE(D1589-C1589,1)-(D1589-C1589))),8)</f>
        <v/>
      </c>
      <c r="G1589" s="49">
        <f>TRUNC((E1589*F1589),8)</f>
        <v/>
      </c>
      <c r="H1589" s="49">
        <f>ROUND(((1+$H$4)^(30/360))^(C1589/(EDATE(D1589-B1589,1)-(D1589-B1589))),9)</f>
        <v/>
      </c>
      <c r="I1589" s="49">
        <f>TRUNC((G1589*H1589-G1589),8)</f>
        <v/>
      </c>
      <c r="J1589" s="49">
        <f>G1589+I1589</f>
        <v/>
      </c>
      <c r="K1589" s="256" t="n"/>
      <c r="L1589" s="256" t="n"/>
      <c r="M1589" s="256" t="n"/>
      <c r="N1589" s="256" t="n"/>
      <c r="O1589" s="256" t="n"/>
      <c r="P1589" s="256" t="n"/>
      <c r="Q1589" s="256" t="n"/>
    </row>
    <row r="1590">
      <c r="A1590">
        <f>IF(DAY(D1590)=DAY($L$1+1),A1589+1,A1589)</f>
        <v/>
      </c>
      <c r="B1590" s="46">
        <f>IF(DAY(D1590)=DAY($L$1+1),1,B1589+1)</f>
        <v/>
      </c>
      <c r="C1590" s="46">
        <f>IF(DAY(D1590)=DAY($L$1+1),1,C1589+1)</f>
        <v/>
      </c>
      <c r="D1590" s="2">
        <f>D1589+1</f>
        <v/>
      </c>
      <c r="E1590" s="8">
        <f>IF(DAY(D1590)=DAY($L$1+1),TRUNC((N1589),8),E1589)</f>
        <v/>
      </c>
      <c r="F1590" s="49">
        <f>TRUNC(((1+VLOOKUP(A1590,IPCA!$A$2:$C$140,3,0)))^(C1590/(EDATE(D1590-C1590,1)-(D1590-C1590))),8)</f>
        <v/>
      </c>
      <c r="G1590" s="49">
        <f>TRUNC((E1590*F1590),8)</f>
        <v/>
      </c>
      <c r="H1590" s="49">
        <f>ROUND(((1+$H$4)^(30/360))^(C1590/(EDATE(D1590-B1590,1)-(D1590-B1590))),9)</f>
        <v/>
      </c>
      <c r="I1590" s="49">
        <f>TRUNC((G1590*H1590-G1590),8)</f>
        <v/>
      </c>
      <c r="J1590" s="49">
        <f>G1590+I1590</f>
        <v/>
      </c>
      <c r="K1590" s="256" t="n"/>
      <c r="L1590" s="256" t="n"/>
      <c r="M1590" s="256" t="n"/>
      <c r="N1590" s="256" t="n"/>
      <c r="O1590" s="256" t="n"/>
      <c r="P1590" s="256" t="n"/>
      <c r="Q1590" s="256" t="n"/>
    </row>
    <row r="1591">
      <c r="A1591">
        <f>IF(DAY(D1591)=DAY($L$1+1),A1590+1,A1590)</f>
        <v/>
      </c>
      <c r="B1591" s="46">
        <f>IF(DAY(D1591)=DAY($L$1+1),1,B1590+1)</f>
        <v/>
      </c>
      <c r="C1591" s="46">
        <f>IF(DAY(D1591)=DAY($L$1+1),1,C1590+1)</f>
        <v/>
      </c>
      <c r="D1591" s="2">
        <f>D1590+1</f>
        <v/>
      </c>
      <c r="E1591" s="8">
        <f>IF(DAY(D1591)=DAY($L$1+1),TRUNC((N1590),8),E1590)</f>
        <v/>
      </c>
      <c r="F1591" s="49">
        <f>TRUNC(((1+VLOOKUP(A1591,IPCA!$A$2:$C$140,3,0)))^(C1591/(EDATE(D1591-C1591,1)-(D1591-C1591))),8)</f>
        <v/>
      </c>
      <c r="G1591" s="49">
        <f>TRUNC((E1591*F1591),8)</f>
        <v/>
      </c>
      <c r="H1591" s="49">
        <f>ROUND(((1+$H$4)^(30/360))^(C1591/(EDATE(D1591-B1591,1)-(D1591-B1591))),9)</f>
        <v/>
      </c>
      <c r="I1591" s="49">
        <f>TRUNC((G1591*H1591-G1591),8)</f>
        <v/>
      </c>
      <c r="J1591" s="49">
        <f>G1591+I1591</f>
        <v/>
      </c>
      <c r="K1591" s="256" t="n"/>
      <c r="L1591" s="256" t="n"/>
      <c r="M1591" s="256" t="n"/>
      <c r="N1591" s="256" t="n"/>
      <c r="O1591" s="256" t="n"/>
      <c r="P1591" s="256" t="n"/>
      <c r="Q1591" s="256" t="n"/>
    </row>
    <row r="1592">
      <c r="A1592">
        <f>IF(DAY(D1592)=DAY($L$1+1),A1591+1,A1591)</f>
        <v/>
      </c>
      <c r="B1592" s="46">
        <f>IF(DAY(D1592)=DAY($L$1+1),1,B1591+1)</f>
        <v/>
      </c>
      <c r="C1592" s="46">
        <f>IF(DAY(D1592)=DAY($L$1+1),1,C1591+1)</f>
        <v/>
      </c>
      <c r="D1592" s="2">
        <f>D1591+1</f>
        <v/>
      </c>
      <c r="E1592" s="8">
        <f>IF(DAY(D1592)=DAY($L$1+1),TRUNC((N1591),8),E1591)</f>
        <v/>
      </c>
      <c r="F1592" s="49">
        <f>TRUNC(((1+VLOOKUP(A1592,IPCA!$A$2:$C$140,3,0)))^(C1592/(EDATE(D1592-C1592,1)-(D1592-C1592))),8)</f>
        <v/>
      </c>
      <c r="G1592" s="49">
        <f>TRUNC((E1592*F1592),8)</f>
        <v/>
      </c>
      <c r="H1592" s="49">
        <f>ROUND(((1+$H$4)^(30/360))^(C1592/(EDATE(D1592-B1592,1)-(D1592-B1592))),9)</f>
        <v/>
      </c>
      <c r="I1592" s="49">
        <f>TRUNC((G1592*H1592-G1592),8)</f>
        <v/>
      </c>
      <c r="J1592" s="49">
        <f>G1592+I1592</f>
        <v/>
      </c>
      <c r="K1592" s="256" t="n"/>
      <c r="L1592" s="256" t="n"/>
      <c r="M1592" s="256" t="n"/>
      <c r="N1592" s="256" t="n"/>
      <c r="O1592" s="256" t="n"/>
      <c r="P1592" s="256" t="n"/>
      <c r="Q1592" s="256" t="n"/>
    </row>
    <row r="1593">
      <c r="A1593">
        <f>IF(DAY(D1593)=DAY($L$1+1),A1592+1,A1592)</f>
        <v/>
      </c>
      <c r="B1593" s="46">
        <f>IF(DAY(D1593)=DAY($L$1+1),1,B1592+1)</f>
        <v/>
      </c>
      <c r="C1593" s="46">
        <f>IF(DAY(D1593)=DAY($L$1+1),1,C1592+1)</f>
        <v/>
      </c>
      <c r="D1593" s="2">
        <f>D1592+1</f>
        <v/>
      </c>
      <c r="E1593" s="8">
        <f>IF(DAY(D1593)=DAY($L$1+1),TRUNC((N1592),8),E1592)</f>
        <v/>
      </c>
      <c r="F1593" s="49">
        <f>TRUNC(((1+VLOOKUP(A1593,IPCA!$A$2:$C$140,3,0)))^(C1593/(EDATE(D1593-C1593,1)-(D1593-C1593))),8)</f>
        <v/>
      </c>
      <c r="G1593" s="49">
        <f>TRUNC((E1593*F1593),8)</f>
        <v/>
      </c>
      <c r="H1593" s="49">
        <f>ROUND(((1+$H$4)^(30/360))^(C1593/(EDATE(D1593-B1593,1)-(D1593-B1593))),9)</f>
        <v/>
      </c>
      <c r="I1593" s="49">
        <f>TRUNC((G1593*H1593-G1593),8)</f>
        <v/>
      </c>
      <c r="J1593" s="49">
        <f>G1593+I1593</f>
        <v/>
      </c>
      <c r="K1593" s="256" t="n"/>
      <c r="L1593" s="256" t="n"/>
      <c r="M1593" s="256" t="n"/>
      <c r="N1593" s="256" t="n"/>
      <c r="O1593" s="256" t="n"/>
      <c r="P1593" s="256" t="n"/>
      <c r="Q1593" s="256" t="n"/>
    </row>
    <row r="1594">
      <c r="A1594">
        <f>IF(DAY(D1594)=DAY($L$1+1),A1593+1,A1593)</f>
        <v/>
      </c>
      <c r="B1594" s="46">
        <f>IF(DAY(D1594)=DAY($L$1+1),1,B1593+1)</f>
        <v/>
      </c>
      <c r="C1594" s="46">
        <f>IF(DAY(D1594)=DAY($L$1+1),1,C1593+1)</f>
        <v/>
      </c>
      <c r="D1594" s="2">
        <f>D1593+1</f>
        <v/>
      </c>
      <c r="E1594" s="8">
        <f>IF(DAY(D1594)=DAY($L$1+1),TRUNC((N1593),8),E1593)</f>
        <v/>
      </c>
      <c r="F1594" s="49">
        <f>TRUNC(((1+VLOOKUP(A1594,IPCA!$A$2:$C$140,3,0)))^(C1594/(EDATE(D1594-C1594,1)-(D1594-C1594))),8)</f>
        <v/>
      </c>
      <c r="G1594" s="49">
        <f>TRUNC((E1594*F1594),8)</f>
        <v/>
      </c>
      <c r="H1594" s="49">
        <f>ROUND(((1+$H$4)^(30/360))^(C1594/(EDATE(D1594-B1594,1)-(D1594-B1594))),9)</f>
        <v/>
      </c>
      <c r="I1594" s="49">
        <f>TRUNC((G1594*H1594-G1594),8)</f>
        <v/>
      </c>
      <c r="J1594" s="49">
        <f>G1594+I1594</f>
        <v/>
      </c>
      <c r="K1594" s="256" t="n"/>
      <c r="L1594" s="256" t="n"/>
      <c r="M1594" s="256" t="n"/>
      <c r="N1594" s="256" t="n"/>
      <c r="O1594" s="256" t="n"/>
      <c r="P1594" s="256" t="n"/>
      <c r="Q1594" s="256" t="n"/>
    </row>
    <row r="1595">
      <c r="A1595">
        <f>IF(DAY(D1595)=DAY($L$1+1),A1594+1,A1594)</f>
        <v/>
      </c>
      <c r="B1595" s="46">
        <f>IF(DAY(D1595)=DAY($L$1+1),1,B1594+1)</f>
        <v/>
      </c>
      <c r="C1595" s="46">
        <f>IF(DAY(D1595)=DAY($L$1+1),1,C1594+1)</f>
        <v/>
      </c>
      <c r="D1595" s="2">
        <f>D1594+1</f>
        <v/>
      </c>
      <c r="E1595" s="8">
        <f>IF(DAY(D1595)=DAY($L$1+1),TRUNC((N1594),8),E1594)</f>
        <v/>
      </c>
      <c r="F1595" s="49">
        <f>TRUNC(((1+VLOOKUP(A1595,IPCA!$A$2:$C$140,3,0)))^(C1595/(EDATE(D1595-C1595,1)-(D1595-C1595))),8)</f>
        <v/>
      </c>
      <c r="G1595" s="49">
        <f>TRUNC((E1595*F1595),8)</f>
        <v/>
      </c>
      <c r="H1595" s="49">
        <f>ROUND(((1+$H$4)^(30/360))^(C1595/(EDATE(D1595-B1595,1)-(D1595-B1595))),9)</f>
        <v/>
      </c>
      <c r="I1595" s="49">
        <f>TRUNC((G1595*H1595-G1595),8)</f>
        <v/>
      </c>
      <c r="J1595" s="49">
        <f>G1595+I1595</f>
        <v/>
      </c>
      <c r="K1595" s="256" t="n"/>
      <c r="L1595" s="256" t="n"/>
      <c r="M1595" s="256" t="n"/>
      <c r="N1595" s="256" t="n"/>
      <c r="O1595" s="256" t="n"/>
      <c r="P1595" s="256" t="n"/>
      <c r="Q1595" s="256" t="n"/>
    </row>
    <row r="1596">
      <c r="A1596">
        <f>IF(DAY(D1596)=DAY($L$1+1),A1595+1,A1595)</f>
        <v/>
      </c>
      <c r="B1596" s="46">
        <f>IF(DAY(D1596)=DAY($L$1+1),1,B1595+1)</f>
        <v/>
      </c>
      <c r="C1596" s="46">
        <f>IF(DAY(D1596)=DAY($L$1+1),1,C1595+1)</f>
        <v/>
      </c>
      <c r="D1596" s="2">
        <f>D1595+1</f>
        <v/>
      </c>
      <c r="E1596" s="8">
        <f>IF(DAY(D1596)=DAY($L$1+1),TRUNC((N1595),8),E1595)</f>
        <v/>
      </c>
      <c r="F1596" s="49">
        <f>TRUNC(((1+VLOOKUP(A1596,IPCA!$A$2:$C$140,3,0)))^(C1596/(EDATE(D1596-C1596,1)-(D1596-C1596))),8)</f>
        <v/>
      </c>
      <c r="G1596" s="49">
        <f>TRUNC((E1596*F1596),8)</f>
        <v/>
      </c>
      <c r="H1596" s="49">
        <f>ROUND(((1+$H$4)^(30/360))^(C1596/(EDATE(D1596-B1596,1)-(D1596-B1596))),9)</f>
        <v/>
      </c>
      <c r="I1596" s="49">
        <f>TRUNC((G1596*H1596-G1596),8)</f>
        <v/>
      </c>
      <c r="J1596" s="49">
        <f>G1596+I1596</f>
        <v/>
      </c>
      <c r="K1596" s="256" t="n"/>
      <c r="L1596" s="256" t="n"/>
      <c r="M1596" s="256" t="n"/>
      <c r="N1596" s="256" t="n"/>
      <c r="O1596" s="256" t="n"/>
      <c r="P1596" s="256" t="n"/>
      <c r="Q1596" s="256" t="n"/>
    </row>
    <row r="1597">
      <c r="A1597">
        <f>IF(DAY(D1597)=DAY($L$1+1),A1596+1,A1596)</f>
        <v/>
      </c>
      <c r="B1597" s="46">
        <f>IF(DAY(D1597)=DAY($L$1+1),1,B1596+1)</f>
        <v/>
      </c>
      <c r="C1597" s="46">
        <f>IF(DAY(D1597)=DAY($L$1+1),1,C1596+1)</f>
        <v/>
      </c>
      <c r="D1597" s="2">
        <f>D1596+1</f>
        <v/>
      </c>
      <c r="E1597" s="8">
        <f>IF(DAY(D1597)=DAY($L$1+1),TRUNC((N1596),8),E1596)</f>
        <v/>
      </c>
      <c r="F1597" s="49">
        <f>TRUNC(((1+VLOOKUP(A1597,IPCA!$A$2:$C$140,3,0)))^(C1597/(EDATE(D1597-C1597,1)-(D1597-C1597))),8)</f>
        <v/>
      </c>
      <c r="G1597" s="49">
        <f>TRUNC((E1597*F1597),8)</f>
        <v/>
      </c>
      <c r="H1597" s="49">
        <f>ROUND(((1+$H$4)^(30/360))^(C1597/(EDATE(D1597-B1597,1)-(D1597-B1597))),9)</f>
        <v/>
      </c>
      <c r="I1597" s="49">
        <f>TRUNC((G1597*H1597-G1597),8)</f>
        <v/>
      </c>
      <c r="J1597" s="49">
        <f>G1597+I1597</f>
        <v/>
      </c>
      <c r="K1597" s="256" t="n"/>
      <c r="L1597" s="256" t="n"/>
      <c r="M1597" s="256" t="n"/>
      <c r="N1597" s="256" t="n"/>
      <c r="O1597" s="256" t="n"/>
      <c r="P1597" s="256" t="n"/>
      <c r="Q1597" s="256" t="n"/>
    </row>
    <row r="1598">
      <c r="A1598">
        <f>IF(DAY(D1598)=DAY($L$1+1),A1597+1,A1597)</f>
        <v/>
      </c>
      <c r="B1598" s="46">
        <f>IF(DAY(D1598)=DAY($L$1+1),1,B1597+1)</f>
        <v/>
      </c>
      <c r="C1598" s="46">
        <f>IF(DAY(D1598)=DAY($L$1+1),1,C1597+1)</f>
        <v/>
      </c>
      <c r="D1598" s="2">
        <f>D1597+1</f>
        <v/>
      </c>
      <c r="E1598" s="8">
        <f>IF(DAY(D1598)=DAY($L$1+1),TRUNC((N1597),8),E1597)</f>
        <v/>
      </c>
      <c r="F1598" s="49">
        <f>TRUNC(((1+VLOOKUP(A1598,IPCA!$A$2:$C$140,3,0)))^(C1598/(EDATE(D1598-C1598,1)-(D1598-C1598))),8)</f>
        <v/>
      </c>
      <c r="G1598" s="49">
        <f>TRUNC((E1598*F1598),8)</f>
        <v/>
      </c>
      <c r="H1598" s="49">
        <f>ROUND(((1+$H$4)^(30/360))^(C1598/(EDATE(D1598-B1598,1)-(D1598-B1598))),9)</f>
        <v/>
      </c>
      <c r="I1598" s="49">
        <f>TRUNC((G1598*H1598-G1598),8)</f>
        <v/>
      </c>
      <c r="J1598" s="49">
        <f>G1598+I1598</f>
        <v/>
      </c>
      <c r="K1598" s="256" t="n"/>
      <c r="L1598" s="256" t="n"/>
      <c r="M1598" s="256" t="n"/>
      <c r="N1598" s="256" t="n"/>
      <c r="O1598" s="256" t="n"/>
      <c r="P1598" s="256" t="n"/>
      <c r="Q1598" s="256" t="n"/>
    </row>
    <row r="1599">
      <c r="A1599">
        <f>IF(DAY(D1599)=DAY($L$1+1),A1598+1,A1598)</f>
        <v/>
      </c>
      <c r="B1599" s="46">
        <f>IF(DAY(D1599)=DAY($L$1+1),1,B1598+1)</f>
        <v/>
      </c>
      <c r="C1599" s="46">
        <f>IF(DAY(D1599)=DAY($L$1+1),1,C1598+1)</f>
        <v/>
      </c>
      <c r="D1599" s="2">
        <f>D1598+1</f>
        <v/>
      </c>
      <c r="E1599" s="8">
        <f>IF(DAY(D1599)=DAY($L$1+1),TRUNC((N1598),8),E1598)</f>
        <v/>
      </c>
      <c r="F1599" s="49">
        <f>TRUNC(((1+VLOOKUP(A1599,IPCA!$A$2:$C$140,3,0)))^(C1599/(EDATE(D1599-C1599,1)-(D1599-C1599))),8)</f>
        <v/>
      </c>
      <c r="G1599" s="49">
        <f>TRUNC((E1599*F1599),8)</f>
        <v/>
      </c>
      <c r="H1599" s="49">
        <f>ROUND(((1+$H$4)^(30/360))^(C1599/(EDATE(D1599-B1599,1)-(D1599-B1599))),9)</f>
        <v/>
      </c>
      <c r="I1599" s="49">
        <f>TRUNC((G1599*H1599-G1599),8)</f>
        <v/>
      </c>
      <c r="J1599" s="49">
        <f>G1599+I1599</f>
        <v/>
      </c>
      <c r="K1599" s="256" t="n"/>
      <c r="L1599" s="256" t="n"/>
      <c r="M1599" s="256" t="n"/>
      <c r="N1599" s="256" t="n"/>
      <c r="O1599" s="256" t="n"/>
      <c r="P1599" s="256" t="n"/>
      <c r="Q1599" s="256" t="n"/>
    </row>
    <row r="1600">
      <c r="A1600">
        <f>IF(DAY(D1600)=DAY($L$1+1),A1599+1,A1599)</f>
        <v/>
      </c>
      <c r="B1600" s="46">
        <f>IF(DAY(D1600)=DAY($L$1+1),1,B1599+1)</f>
        <v/>
      </c>
      <c r="C1600" s="46">
        <f>IF(DAY(D1600)=DAY($L$1+1),1,C1599+1)</f>
        <v/>
      </c>
      <c r="D1600" s="2">
        <f>D1599+1</f>
        <v/>
      </c>
      <c r="E1600" s="8">
        <f>IF(DAY(D1600)=DAY($L$1+1),TRUNC((N1599),8),E1599)</f>
        <v/>
      </c>
      <c r="F1600" s="49">
        <f>TRUNC(((1+VLOOKUP(A1600,IPCA!$A$2:$C$140,3,0)))^(C1600/(EDATE(D1600-C1600,1)-(D1600-C1600))),8)</f>
        <v/>
      </c>
      <c r="G1600" s="49">
        <f>TRUNC((E1600*F1600),8)</f>
        <v/>
      </c>
      <c r="H1600" s="49">
        <f>ROUND(((1+$H$4)^(30/360))^(C1600/(EDATE(D1600-B1600,1)-(D1600-B1600))),9)</f>
        <v/>
      </c>
      <c r="I1600" s="49">
        <f>TRUNC((G1600*H1600-G1600),8)</f>
        <v/>
      </c>
      <c r="J1600" s="49">
        <f>G1600+I1600</f>
        <v/>
      </c>
      <c r="K1600" s="256" t="n"/>
      <c r="L1600" s="256" t="n"/>
      <c r="M1600" s="256" t="n"/>
      <c r="N1600" s="256" t="n"/>
      <c r="O1600" s="256" t="n"/>
      <c r="P1600" s="256" t="n"/>
      <c r="Q1600" s="256" t="n"/>
    </row>
    <row r="1601">
      <c r="A1601">
        <f>IF(DAY(D1601)=DAY($L$1+1),A1600+1,A1600)</f>
        <v/>
      </c>
      <c r="B1601" s="46">
        <f>IF(DAY(D1601)=DAY($L$1+1),1,B1600+1)</f>
        <v/>
      </c>
      <c r="C1601" s="46">
        <f>IF(DAY(D1601)=DAY($L$1+1),1,C1600+1)</f>
        <v/>
      </c>
      <c r="D1601" s="2">
        <f>D1600+1</f>
        <v/>
      </c>
      <c r="E1601" s="8">
        <f>IF(DAY(D1601)=DAY($L$1+1),TRUNC((N1600),8),E1600)</f>
        <v/>
      </c>
      <c r="F1601" s="49">
        <f>TRUNC(((1+VLOOKUP(A1601,IPCA!$A$2:$C$140,3,0)))^(C1601/(EDATE(D1601-C1601,1)-(D1601-C1601))),8)</f>
        <v/>
      </c>
      <c r="G1601" s="49">
        <f>TRUNC((E1601*F1601),8)</f>
        <v/>
      </c>
      <c r="H1601" s="49">
        <f>ROUND(((1+$H$4)^(30/360))^(C1601/(EDATE(D1601-B1601,1)-(D1601-B1601))),9)</f>
        <v/>
      </c>
      <c r="I1601" s="49">
        <f>TRUNC((G1601*H1601-G1601),8)</f>
        <v/>
      </c>
      <c r="J1601" s="49">
        <f>G1601+I1601</f>
        <v/>
      </c>
      <c r="K1601" s="256" t="inlineStr">
        <is>
          <t>Cri Integralizado</t>
        </is>
      </c>
      <c r="L1601" s="270">
        <f>L1570</f>
        <v/>
      </c>
      <c r="M1601" s="256" t="n"/>
      <c r="N1601" s="256" t="n"/>
      <c r="O1601" s="256" t="n"/>
      <c r="P1601" s="256" t="n"/>
      <c r="Q1601" s="256" t="n"/>
    </row>
    <row r="1602">
      <c r="A1602">
        <f>IF(DAY(D1602)=DAY($L$1+1),A1601+1,A1601)</f>
        <v/>
      </c>
      <c r="B1602" s="46">
        <f>IF(DAY(D1602)=DAY($L$1+1),1,B1601+1)</f>
        <v/>
      </c>
      <c r="C1602" s="46">
        <f>IF(DAY(D1602)=DAY($L$1+1),1,C1601+1)</f>
        <v/>
      </c>
      <c r="D1602" s="47">
        <f>D1601+1</f>
        <v/>
      </c>
      <c r="E1602" s="8">
        <f>IF(DAY(D1602)=DAY($L$1+1),TRUNC((N1601),8),E1601)</f>
        <v/>
      </c>
      <c r="F1602" s="49">
        <f>TRUNC(((1+VLOOKUP(A1602,IPCA!$A$2:$C$140,3,0)))^(C1602/(EDATE(D1602-C1602,1)-(D1602-C1602))),8)</f>
        <v/>
      </c>
      <c r="G1602" s="49">
        <f>TRUNC((E1602*F1602),8)</f>
        <v/>
      </c>
      <c r="H1602" s="49">
        <f>ROUND(((1+$H$4)^(30/360))^(C1602/(EDATE(D1602-B1602,1)-(D1602-B1602))),9)</f>
        <v/>
      </c>
      <c r="I1602" s="49">
        <f>TRUNC((G1602*H1602-G1602),8)</f>
        <v/>
      </c>
      <c r="J1602" s="49">
        <f>G1602+I1602</f>
        <v/>
      </c>
      <c r="K1602" s="118" t="inlineStr">
        <is>
          <t>JUROS</t>
        </is>
      </c>
      <c r="L1602" s="118" t="inlineStr">
        <is>
          <t>AMORTIZAÇÃO</t>
        </is>
      </c>
      <c r="M1602" s="118" t="inlineStr">
        <is>
          <t>AMEX</t>
        </is>
      </c>
      <c r="N1602" s="118" t="inlineStr">
        <is>
          <t>RESIDUAL</t>
        </is>
      </c>
      <c r="O1602" s="256" t="n"/>
      <c r="P1602" s="256" t="n"/>
      <c r="Q1602" s="256" t="n"/>
    </row>
    <row r="1603">
      <c r="A1603">
        <f>IF(DAY(D1603)=DAY($L$1+1),A1602+1,A1602)</f>
        <v/>
      </c>
      <c r="B1603" s="111">
        <f>IF(DAY(D1603)=DAY($L$1+1),1,B1602+1)</f>
        <v/>
      </c>
      <c r="C1603" s="111">
        <f>IF(DAY(D1603)=DAY($L$1+1),1,C1602+1)</f>
        <v/>
      </c>
      <c r="D1603" s="112">
        <f>D1602+1</f>
        <v/>
      </c>
      <c r="E1603" s="113">
        <f>IF(DAY(D1603)=DAY($L$1+1),TRUNC((N1602),8),E1602)</f>
        <v/>
      </c>
      <c r="F1603" s="114">
        <f>TRUNC(((1+VLOOKUP(A1603,IPCA!$A$2:$C$140,3,0)))^(C1603/(EDATE(D1603-C1603,1)-(D1603-C1603))),8)</f>
        <v/>
      </c>
      <c r="G1603" s="114">
        <f>TRUNC((E1603*F1603),8)</f>
        <v/>
      </c>
      <c r="H1603" s="114">
        <f>ROUND(((1+$H$4)^(30/360))^(C1603/(EDATE(D1603-B1603,1)-(D1603-B1603))),9)</f>
        <v/>
      </c>
      <c r="I1603" s="114">
        <f>TRUNC((G1603*H1603-G1603),8)</f>
        <v/>
      </c>
      <c r="J1603" s="114">
        <f>G1603+I1603</f>
        <v/>
      </c>
      <c r="K1603" s="119">
        <f>I1603</f>
        <v/>
      </c>
      <c r="L1603" s="120">
        <f>TRUNC(G1603*VLOOKUP(D1603,'Amort TS'!$G$3:$H$140,2,0),8)</f>
        <v/>
      </c>
      <c r="M1603" s="120" t="n">
        <v>0</v>
      </c>
      <c r="N1603" s="120">
        <f>J1603-K1603-L1603-M1603</f>
        <v/>
      </c>
      <c r="O1603" s="256" t="n"/>
      <c r="P1603" s="256" t="n"/>
      <c r="Q1603" s="256" t="n"/>
    </row>
    <row r="1604">
      <c r="A1604">
        <f>IF(DAY(D1604)=DAY($L$1+1),A1603+1,A1603)</f>
        <v/>
      </c>
      <c r="B1604" s="46">
        <f>IF(DAY(D1604)=DAY($L$1+1),1,B1603+1)</f>
        <v/>
      </c>
      <c r="C1604" s="46">
        <f>IF(DAY(D1604)=DAY($L$1+1),1,C1603+1)</f>
        <v/>
      </c>
      <c r="D1604" s="2">
        <f>D1603+1</f>
        <v/>
      </c>
      <c r="E1604" s="8">
        <f>IF(DAY(D1604)=DAY($L$1+1),TRUNC((N1603),8),E1603)</f>
        <v/>
      </c>
      <c r="F1604" s="49">
        <f>TRUNC(((1+VLOOKUP(A1604,IPCA!$A$2:$C$140,3,0)))^(C1604/(EDATE(D1604-C1604,1)-(D1604-C1604))),8)</f>
        <v/>
      </c>
      <c r="G1604" s="49">
        <f>TRUNC((E1604*F1604),8)</f>
        <v/>
      </c>
      <c r="H1604" s="49">
        <f>ROUND(((1+$H$4)^(30/360))^(C1604/(EDATE(D1604-B1604,1)-(D1604-B1604))),9)</f>
        <v/>
      </c>
      <c r="I1604" s="49">
        <f>TRUNC((G1604*H1604-G1604),8)</f>
        <v/>
      </c>
      <c r="J1604" s="49">
        <f>G1604+I1604</f>
        <v/>
      </c>
      <c r="K1604" s="121">
        <f>K1603*L1601</f>
        <v/>
      </c>
      <c r="L1604" s="121">
        <f>L1603*L1601</f>
        <v/>
      </c>
      <c r="M1604" s="121">
        <f>M1603*L1601</f>
        <v/>
      </c>
      <c r="N1604" s="121">
        <f>N1603*L1601</f>
        <v/>
      </c>
      <c r="O1604" s="256" t="n"/>
      <c r="P1604" s="256" t="n"/>
      <c r="Q1604" s="256" t="n"/>
    </row>
    <row r="1605">
      <c r="A1605">
        <f>IF(DAY(D1605)=DAY($L$1+1),A1604+1,A1604)</f>
        <v/>
      </c>
      <c r="B1605" s="46">
        <f>IF(DAY(D1605)=DAY($L$1+1),1,B1604+1)</f>
        <v/>
      </c>
      <c r="C1605" s="46">
        <f>IF(DAY(D1605)=DAY($L$1+1),1,C1604+1)</f>
        <v/>
      </c>
      <c r="D1605" s="47">
        <f>D1604+1</f>
        <v/>
      </c>
      <c r="E1605" s="8">
        <f>IF(DAY(D1605)=DAY($L$1+1),TRUNC((N1604),8),E1604)</f>
        <v/>
      </c>
      <c r="F1605" s="49">
        <f>TRUNC(((1+VLOOKUP(A1605,IPCA!$A$2:$C$140,3,0)))^(C1605/(EDATE(D1605-C1605,1)-(D1605-C1605))),8)</f>
        <v/>
      </c>
      <c r="G1605" s="49">
        <f>TRUNC((E1605*F1605),8)</f>
        <v/>
      </c>
      <c r="H1605" s="49">
        <f>ROUND(((1+$H$4)^(30/360))^(C1605/(EDATE(D1605-B1605,1)-(D1605-B1605))),9)</f>
        <v/>
      </c>
      <c r="I1605" s="49">
        <f>TRUNC((G1605*H1605-G1605),8)</f>
        <v/>
      </c>
      <c r="J1605" s="49">
        <f>G1605+I1605</f>
        <v/>
      </c>
      <c r="K1605" s="256" t="n"/>
      <c r="L1605" s="256" t="n"/>
      <c r="M1605" s="256" t="n"/>
      <c r="N1605" s="256" t="n"/>
      <c r="O1605" s="256" t="n"/>
      <c r="P1605" s="256" t="n"/>
      <c r="Q1605" s="256" t="n"/>
    </row>
    <row r="1606">
      <c r="A1606">
        <f>IF(DAY(D1606)=DAY($L$1+1),A1605+1,A1605)</f>
        <v/>
      </c>
      <c r="B1606" s="46">
        <f>IF(DAY(D1606)=DAY($L$1+1),1,B1605+1)</f>
        <v/>
      </c>
      <c r="C1606" s="46">
        <f>IF(DAY(D1606)=DAY($L$1+1),1,C1605+1)</f>
        <v/>
      </c>
      <c r="D1606" s="2">
        <f>D1605+1</f>
        <v/>
      </c>
      <c r="E1606" s="8">
        <f>IF(DAY(D1606)=DAY($L$1+1),TRUNC((#REF!),8),E1605)</f>
        <v/>
      </c>
      <c r="F1606" s="49">
        <f>TRUNC(((1+VLOOKUP(A1606,IPCA!$A$2:$C$140,3,0)))^(C1606/(EDATE(D1606-C1606,1)-(D1606-C1606))),8)</f>
        <v/>
      </c>
      <c r="G1606" s="49">
        <f>TRUNC((E1606*F1606),8)</f>
        <v/>
      </c>
      <c r="H1606" s="49">
        <f>ROUND(((1+$H$4)^(30/360))^(C1606/(EDATE(D1606-B1606,1)-(D1606-B1606))),9)</f>
        <v/>
      </c>
      <c r="I1606" s="49">
        <f>TRUNC((G1606*H1606-G1606),8)</f>
        <v/>
      </c>
      <c r="J1606" s="49">
        <f>G1606+I1606</f>
        <v/>
      </c>
      <c r="K1606" s="256" t="n"/>
      <c r="L1606" s="256" t="n"/>
      <c r="M1606" s="256" t="n"/>
      <c r="N1606" s="256" t="n"/>
      <c r="O1606" s="256" t="n"/>
      <c r="P1606" s="256" t="n"/>
      <c r="Q1606" s="256" t="n"/>
    </row>
    <row r="1607">
      <c r="A1607">
        <f>IF(DAY(D1607)=DAY($L$1+1),A1606+1,A1606)</f>
        <v/>
      </c>
      <c r="B1607" s="46">
        <f>IF(DAY(D1607)=DAY($L$1+1),1,B1606+1)</f>
        <v/>
      </c>
      <c r="C1607" s="46">
        <f>IF(DAY(D1607)=DAY($L$1+1),1,C1606+1)</f>
        <v/>
      </c>
      <c r="D1607" s="2">
        <f>D1606+1</f>
        <v/>
      </c>
      <c r="E1607" s="8">
        <f>IF(DAY(D1607)=DAY($L$1+1),TRUNC((#REF!),8),E1606)</f>
        <v/>
      </c>
      <c r="F1607" s="49">
        <f>TRUNC(((1+VLOOKUP(A1607,IPCA!$A$2:$C$140,3,0)))^(C1607/(EDATE(D1607-C1607,1)-(D1607-C1607))),8)</f>
        <v/>
      </c>
      <c r="G1607" s="49">
        <f>TRUNC((E1607*F1607),8)</f>
        <v/>
      </c>
      <c r="H1607" s="49">
        <f>ROUND(((1+$H$4)^(30/360))^(C1607/(EDATE(D1607-B1607,1)-(D1607-B1607))),9)</f>
        <v/>
      </c>
      <c r="I1607" s="49">
        <f>TRUNC((G1607*H1607-G1607),8)</f>
        <v/>
      </c>
      <c r="J1607" s="49">
        <f>G1607+I1607</f>
        <v/>
      </c>
      <c r="K1607" s="256" t="n"/>
      <c r="L1607" s="256" t="n"/>
      <c r="M1607" s="256" t="n"/>
      <c r="N1607" s="256" t="n"/>
      <c r="O1607" s="256" t="n"/>
      <c r="P1607" s="256" t="n"/>
      <c r="Q1607" s="256" t="n"/>
    </row>
    <row r="1608">
      <c r="A1608">
        <f>IF(DAY(D1608)=DAY($L$1+1),A1607+1,A1607)</f>
        <v/>
      </c>
      <c r="B1608" s="46">
        <f>IF(DAY(D1608)=DAY($L$1+1),1,B1607+1)</f>
        <v/>
      </c>
      <c r="C1608" s="46">
        <f>IF(DAY(D1608)=DAY($L$1+1),1,C1607+1)</f>
        <v/>
      </c>
      <c r="D1608" s="2">
        <f>D1607+1</f>
        <v/>
      </c>
      <c r="E1608" s="8">
        <f>IF(DAY(D1608)=DAY($L$1+1),TRUNC((#REF!),8),E1607)</f>
        <v/>
      </c>
      <c r="F1608" s="49">
        <f>TRUNC(((1+VLOOKUP(A1608,IPCA!$A$2:$C$140,3,0)))^(C1608/(EDATE(D1608-C1608,1)-(D1608-C1608))),8)</f>
        <v/>
      </c>
      <c r="G1608" s="49">
        <f>TRUNC((E1608*F1608),8)</f>
        <v/>
      </c>
      <c r="H1608" s="49">
        <f>ROUND(((1+$H$4)^(30/360))^(C1608/(EDATE(D1608-B1608,1)-(D1608-B1608))),9)</f>
        <v/>
      </c>
      <c r="I1608" s="49">
        <f>TRUNC((G1608*H1608-G1608),8)</f>
        <v/>
      </c>
      <c r="J1608" s="49">
        <f>G1608+I1608</f>
        <v/>
      </c>
      <c r="K1608" s="256" t="n"/>
      <c r="L1608" s="256" t="n"/>
      <c r="M1608" s="256" t="n"/>
      <c r="N1608" s="256" t="n"/>
      <c r="O1608" s="256" t="n"/>
      <c r="P1608" s="256" t="n"/>
      <c r="Q1608" s="256" t="n"/>
    </row>
    <row r="1609">
      <c r="A1609">
        <f>IF(DAY(D1609)=DAY($L$1+1),A1608+1,A1608)</f>
        <v/>
      </c>
      <c r="B1609" s="46">
        <f>IF(DAY(D1609)=DAY($L$1+1),1,B1608+1)</f>
        <v/>
      </c>
      <c r="C1609" s="46">
        <f>IF(DAY(D1609)=DAY($L$1+1),1,C1608+1)</f>
        <v/>
      </c>
      <c r="D1609" s="2">
        <f>D1608+1</f>
        <v/>
      </c>
      <c r="E1609" s="8">
        <f>IF(DAY(D1609)=DAY($L$1+1),TRUNC((#REF!),8),E1608)</f>
        <v/>
      </c>
      <c r="F1609" s="49">
        <f>TRUNC(((1+VLOOKUP(A1609,IPCA!$A$2:$C$140,3,0)))^(C1609/(EDATE(D1609-C1609,1)-(D1609-C1609))),8)</f>
        <v/>
      </c>
      <c r="G1609" s="49">
        <f>TRUNC((E1609*F1609),8)</f>
        <v/>
      </c>
      <c r="H1609" s="49">
        <f>ROUND(((1+$H$4)^(30/360))^(C1609/(EDATE(D1609-B1609,1)-(D1609-B1609))),9)</f>
        <v/>
      </c>
      <c r="I1609" s="49">
        <f>TRUNC((G1609*H1609-G1609),8)</f>
        <v/>
      </c>
      <c r="J1609" s="49">
        <f>G1609+I1609</f>
        <v/>
      </c>
      <c r="K1609" s="256" t="n"/>
      <c r="L1609" s="256" t="n"/>
      <c r="M1609" s="256" t="n"/>
      <c r="N1609" s="256" t="n"/>
      <c r="O1609" s="256" t="n"/>
      <c r="P1609" s="256" t="n"/>
      <c r="Q1609" s="256" t="n"/>
    </row>
    <row r="1610">
      <c r="A1610">
        <f>IF(DAY(D1610)=DAY($L$1+1),A1609+1,A1609)</f>
        <v/>
      </c>
      <c r="B1610" s="46">
        <f>IF(DAY(D1610)=DAY($L$1+1),1,B1609+1)</f>
        <v/>
      </c>
      <c r="C1610" s="46">
        <f>IF(DAY(D1610)=DAY($L$1+1),1,C1609+1)</f>
        <v/>
      </c>
      <c r="D1610" s="2">
        <f>D1609+1</f>
        <v/>
      </c>
      <c r="E1610" s="8">
        <f>IF(DAY(D1610)=DAY($L$1+1),TRUNC((#REF!),8),E1609)</f>
        <v/>
      </c>
      <c r="F1610" s="49">
        <f>TRUNC(((1+VLOOKUP(A1610,IPCA!$A$2:$C$140,3,0)))^(C1610/(EDATE(D1610-C1610,1)-(D1610-C1610))),8)</f>
        <v/>
      </c>
      <c r="G1610" s="49">
        <f>TRUNC((E1610*F1610),8)</f>
        <v/>
      </c>
      <c r="H1610" s="49">
        <f>ROUND(((1+$H$4)^(30/360))^(C1610/(EDATE(D1610-B1610,1)-(D1610-B1610))),9)</f>
        <v/>
      </c>
      <c r="I1610" s="49">
        <f>TRUNC((G1610*H1610-G1610),8)</f>
        <v/>
      </c>
      <c r="J1610" s="49">
        <f>G1610+I1610</f>
        <v/>
      </c>
      <c r="K1610" s="256" t="n"/>
      <c r="L1610" s="256" t="n"/>
      <c r="M1610" s="256" t="n"/>
      <c r="N1610" s="256" t="n"/>
      <c r="O1610" s="256" t="n"/>
      <c r="P1610" s="256" t="n"/>
      <c r="Q1610" s="256" t="n"/>
    </row>
    <row r="1611">
      <c r="A1611">
        <f>IF(DAY(D1611)=DAY($L$1+1),A1610+1,A1610)</f>
        <v/>
      </c>
      <c r="B1611" s="46">
        <f>IF(DAY(D1611)=DAY($L$1+1),1,B1610+1)</f>
        <v/>
      </c>
      <c r="C1611" s="46">
        <f>IF(DAY(D1611)=DAY($L$1+1),1,C1610+1)</f>
        <v/>
      </c>
      <c r="D1611" s="2">
        <f>D1610+1</f>
        <v/>
      </c>
      <c r="E1611" s="8">
        <f>IF(DAY(D1611)=DAY($L$1+1),TRUNC((#REF!),8),E1610)</f>
        <v/>
      </c>
      <c r="F1611" s="49">
        <f>TRUNC(((1+VLOOKUP(A1611,IPCA!$A$2:$C$140,3,0)))^(C1611/(EDATE(D1611-C1611,1)-(D1611-C1611))),8)</f>
        <v/>
      </c>
      <c r="G1611" s="49">
        <f>TRUNC((E1611*F1611),8)</f>
        <v/>
      </c>
      <c r="H1611" s="49">
        <f>ROUND(((1+$H$4)^(30/360))^(C1611/(EDATE(D1611-B1611,1)-(D1611-B1611))),9)</f>
        <v/>
      </c>
      <c r="I1611" s="49">
        <f>TRUNC((G1611*H1611-G1611),8)</f>
        <v/>
      </c>
      <c r="J1611" s="49">
        <f>G1611+I1611</f>
        <v/>
      </c>
      <c r="K1611" s="256" t="n"/>
      <c r="L1611" s="256" t="n"/>
      <c r="M1611" s="256" t="n"/>
      <c r="N1611" s="256" t="n"/>
      <c r="O1611" s="256" t="n"/>
      <c r="P1611" s="256" t="n"/>
      <c r="Q1611" s="256" t="n"/>
    </row>
    <row r="1612">
      <c r="A1612">
        <f>IF(DAY(D1612)=DAY($L$1+1),A1611+1,A1611)</f>
        <v/>
      </c>
      <c r="B1612" s="46">
        <f>IF(DAY(D1612)=DAY($L$1+1),1,B1611+1)</f>
        <v/>
      </c>
      <c r="C1612" s="46">
        <f>IF(DAY(D1612)=DAY($L$1+1),1,C1611+1)</f>
        <v/>
      </c>
      <c r="D1612" s="2">
        <f>D1611+1</f>
        <v/>
      </c>
      <c r="E1612" s="8">
        <f>IF(DAY(D1612)=DAY($L$1+1),TRUNC((#REF!),8),E1611)</f>
        <v/>
      </c>
      <c r="F1612" s="49">
        <f>TRUNC(((1+VLOOKUP(A1612,IPCA!$A$2:$C$140,3,0)))^(C1612/(EDATE(D1612-C1612,1)-(D1612-C1612))),8)</f>
        <v/>
      </c>
      <c r="G1612" s="49">
        <f>TRUNC((E1612*F1612),8)</f>
        <v/>
      </c>
      <c r="H1612" s="49">
        <f>ROUND(((1+$H$4)^(30/360))^(C1612/(EDATE(D1612-B1612,1)-(D1612-B1612))),9)</f>
        <v/>
      </c>
      <c r="I1612" s="49">
        <f>TRUNC((G1612*H1612-G1612),8)</f>
        <v/>
      </c>
      <c r="J1612" s="49">
        <f>G1612+I1612</f>
        <v/>
      </c>
      <c r="K1612" s="256" t="n"/>
      <c r="L1612" s="256" t="n"/>
      <c r="M1612" s="256" t="n"/>
      <c r="N1612" s="256" t="n"/>
      <c r="O1612" s="256" t="n"/>
      <c r="P1612" s="256" t="n"/>
      <c r="Q1612" s="256" t="n"/>
    </row>
    <row r="1613">
      <c r="A1613">
        <f>IF(DAY(D1613)=DAY($L$1+1),A1612+1,A1612)</f>
        <v/>
      </c>
      <c r="B1613" s="46">
        <f>IF(DAY(D1613)=DAY($L$1+1),1,B1612+1)</f>
        <v/>
      </c>
      <c r="C1613" s="46">
        <f>IF(DAY(D1613)=DAY($L$1+1),1,C1612+1)</f>
        <v/>
      </c>
      <c r="D1613" s="2">
        <f>D1612+1</f>
        <v/>
      </c>
      <c r="E1613" s="8">
        <f>IF(DAY(D1613)=DAY($L$1+1),TRUNC((#REF!),8),E1612)</f>
        <v/>
      </c>
      <c r="F1613" s="49">
        <f>TRUNC(((1+VLOOKUP(A1613,IPCA!$A$2:$C$140,3,0)))^(C1613/(EDATE(D1613-C1613,1)-(D1613-C1613))),8)</f>
        <v/>
      </c>
      <c r="G1613" s="49">
        <f>TRUNC((E1613*F1613),8)</f>
        <v/>
      </c>
      <c r="H1613" s="49">
        <f>ROUND(((1+$H$4)^(30/360))^(C1613/(EDATE(D1613-B1613,1)-(D1613-B1613))),9)</f>
        <v/>
      </c>
      <c r="I1613" s="49">
        <f>TRUNC((G1613*H1613-G1613),8)</f>
        <v/>
      </c>
      <c r="J1613" s="49">
        <f>G1613+I1613</f>
        <v/>
      </c>
      <c r="K1613" s="256" t="n"/>
      <c r="L1613" s="256" t="n"/>
      <c r="M1613" s="256" t="n"/>
      <c r="N1613" s="256" t="n"/>
      <c r="O1613" s="256" t="n"/>
      <c r="P1613" s="256" t="n"/>
      <c r="Q1613" s="256" t="n"/>
    </row>
    <row r="1614">
      <c r="A1614">
        <f>IF(DAY(D1614)=DAY($L$1+1),A1613+1,A1613)</f>
        <v/>
      </c>
      <c r="B1614" s="46">
        <f>IF(DAY(D1614)=DAY($L$1+1),1,B1613+1)</f>
        <v/>
      </c>
      <c r="C1614" s="46">
        <f>IF(DAY(D1614)=DAY($L$1+1),1,C1613+1)</f>
        <v/>
      </c>
      <c r="D1614" s="2">
        <f>D1613+1</f>
        <v/>
      </c>
      <c r="E1614" s="8">
        <f>IF(DAY(D1614)=DAY($L$1+1),TRUNC((#REF!),8),E1613)</f>
        <v/>
      </c>
      <c r="F1614" s="49">
        <f>TRUNC(((1+VLOOKUP(A1614,IPCA!$A$2:$C$140,3,0)))^(C1614/(EDATE(D1614-C1614,1)-(D1614-C1614))),8)</f>
        <v/>
      </c>
      <c r="G1614" s="49">
        <f>TRUNC((E1614*F1614),8)</f>
        <v/>
      </c>
      <c r="H1614" s="49">
        <f>ROUND(((1+$H$4)^(30/360))^(C1614/(EDATE(D1614-B1614,1)-(D1614-B1614))),9)</f>
        <v/>
      </c>
      <c r="I1614" s="49">
        <f>TRUNC((G1614*H1614-G1614),8)</f>
        <v/>
      </c>
      <c r="J1614" s="49">
        <f>G1614+I1614</f>
        <v/>
      </c>
      <c r="K1614" s="256" t="n"/>
      <c r="L1614" s="256" t="n"/>
      <c r="M1614" s="256" t="n"/>
      <c r="N1614" s="256" t="n"/>
      <c r="O1614" s="256" t="n"/>
      <c r="P1614" s="256" t="n"/>
      <c r="Q1614" s="256" t="n"/>
    </row>
    <row r="1615">
      <c r="A1615">
        <f>IF(DAY(D1615)=DAY($L$1+1),A1614+1,A1614)</f>
        <v/>
      </c>
      <c r="B1615" s="46">
        <f>IF(DAY(D1615)=DAY($L$1+1),1,B1614+1)</f>
        <v/>
      </c>
      <c r="C1615" s="46">
        <f>IF(DAY(D1615)=DAY($L$1+1),1,C1614+1)</f>
        <v/>
      </c>
      <c r="D1615" s="2">
        <f>D1614+1</f>
        <v/>
      </c>
      <c r="E1615" s="8">
        <f>IF(DAY(D1615)=DAY($L$1+1),TRUNC((#REF!),8),E1614)</f>
        <v/>
      </c>
      <c r="F1615" s="49">
        <f>TRUNC(((1+VLOOKUP(A1615,IPCA!$A$2:$C$140,3,0)))^(C1615/(EDATE(D1615-C1615,1)-(D1615-C1615))),8)</f>
        <v/>
      </c>
      <c r="G1615" s="49">
        <f>TRUNC((E1615*F1615),8)</f>
        <v/>
      </c>
      <c r="H1615" s="49">
        <f>ROUND(((1+$H$4)^(30/360))^(C1615/(EDATE(D1615-B1615,1)-(D1615-B1615))),9)</f>
        <v/>
      </c>
      <c r="I1615" s="49">
        <f>TRUNC((G1615*H1615-G1615),8)</f>
        <v/>
      </c>
      <c r="J1615" s="49">
        <f>G1615+I1615</f>
        <v/>
      </c>
      <c r="K1615" s="256" t="n"/>
      <c r="L1615" s="256" t="n"/>
      <c r="M1615" s="256" t="n"/>
      <c r="N1615" s="256" t="n"/>
      <c r="O1615" s="256" t="n"/>
      <c r="P1615" s="256" t="n"/>
      <c r="Q1615" s="256" t="n"/>
    </row>
    <row r="1616">
      <c r="A1616">
        <f>IF(DAY(D1616)=DAY($L$1+1),A1615+1,A1615)</f>
        <v/>
      </c>
      <c r="B1616" s="46">
        <f>IF(DAY(D1616)=DAY($L$1+1),1,B1615+1)</f>
        <v/>
      </c>
      <c r="C1616" s="46">
        <f>IF(DAY(D1616)=DAY($L$1+1),1,C1615+1)</f>
        <v/>
      </c>
      <c r="D1616" s="2">
        <f>D1615+1</f>
        <v/>
      </c>
      <c r="E1616" s="8">
        <f>IF(DAY(D1616)=DAY($L$1+1),TRUNC((#REF!),8),E1615)</f>
        <v/>
      </c>
      <c r="F1616" s="49">
        <f>TRUNC(((1+VLOOKUP(A1616,IPCA!$A$2:$C$140,3,0)))^(C1616/(EDATE(D1616-C1616,1)-(D1616-C1616))),8)</f>
        <v/>
      </c>
      <c r="G1616" s="49">
        <f>TRUNC((E1616*F1616),8)</f>
        <v/>
      </c>
      <c r="H1616" s="49">
        <f>ROUND(((1+$H$4)^(30/360))^(C1616/(EDATE(D1616-B1616,1)-(D1616-B1616))),9)</f>
        <v/>
      </c>
      <c r="I1616" s="49">
        <f>TRUNC((G1616*H1616-G1616),8)</f>
        <v/>
      </c>
      <c r="J1616" s="49">
        <f>G1616+I1616</f>
        <v/>
      </c>
      <c r="K1616" s="256" t="n"/>
      <c r="L1616" s="256" t="n"/>
      <c r="M1616" s="256" t="n"/>
      <c r="N1616" s="256" t="n"/>
      <c r="O1616" s="256" t="n"/>
      <c r="P1616" s="256" t="n"/>
      <c r="Q1616" s="256" t="n"/>
    </row>
    <row r="1617">
      <c r="A1617">
        <f>IF(DAY(D1617)=DAY($L$1+1),A1616+1,A1616)</f>
        <v/>
      </c>
      <c r="B1617" s="46">
        <f>IF(DAY(D1617)=DAY($L$1+1),1,B1616+1)</f>
        <v/>
      </c>
      <c r="C1617" s="46">
        <f>IF(DAY(D1617)=DAY($L$1+1),1,C1616+1)</f>
        <v/>
      </c>
      <c r="D1617" s="2">
        <f>D1616+1</f>
        <v/>
      </c>
      <c r="E1617" s="8">
        <f>IF(DAY(D1617)=DAY($L$1+1),TRUNC((#REF!),8),E1616)</f>
        <v/>
      </c>
      <c r="F1617" s="49">
        <f>TRUNC(((1+VLOOKUP(A1617,IPCA!$A$2:$C$140,3,0)))^(C1617/(EDATE(D1617-C1617,1)-(D1617-C1617))),8)</f>
        <v/>
      </c>
      <c r="G1617" s="49">
        <f>TRUNC((E1617*F1617),8)</f>
        <v/>
      </c>
      <c r="H1617" s="49">
        <f>ROUND(((1+$H$4)^(30/360))^(C1617/(EDATE(D1617-B1617,1)-(D1617-B1617))),9)</f>
        <v/>
      </c>
      <c r="I1617" s="49">
        <f>TRUNC((G1617*H1617-G1617),8)</f>
        <v/>
      </c>
      <c r="J1617" s="49">
        <f>G1617+I1617</f>
        <v/>
      </c>
      <c r="K1617" s="256" t="n"/>
      <c r="L1617" s="256" t="n"/>
      <c r="M1617" s="256" t="n"/>
      <c r="N1617" s="256" t="n"/>
      <c r="O1617" s="256" t="n"/>
      <c r="P1617" s="256" t="n"/>
      <c r="Q1617" s="256" t="n"/>
    </row>
    <row r="1618">
      <c r="A1618">
        <f>IF(DAY(D1618)=DAY($L$1+1),A1617+1,A1617)</f>
        <v/>
      </c>
      <c r="B1618" s="46">
        <f>IF(DAY(D1618)=DAY($L$1+1),1,B1617+1)</f>
        <v/>
      </c>
      <c r="C1618" s="46">
        <f>IF(DAY(D1618)=DAY($L$1+1),1,C1617+1)</f>
        <v/>
      </c>
      <c r="D1618" s="2">
        <f>D1617+1</f>
        <v/>
      </c>
      <c r="E1618" s="8">
        <f>IF(DAY(D1618)=DAY($L$1+1),TRUNC((#REF!),8),E1617)</f>
        <v/>
      </c>
      <c r="F1618" s="49">
        <f>TRUNC(((1+VLOOKUP(A1618,IPCA!$A$2:$C$140,3,0)))^(C1618/(EDATE(D1618-C1618,1)-(D1618-C1618))),8)</f>
        <v/>
      </c>
      <c r="G1618" s="49">
        <f>TRUNC((E1618*F1618),8)</f>
        <v/>
      </c>
      <c r="H1618" s="49">
        <f>ROUND(((1+$H$4)^(30/360))^(C1618/(EDATE(D1618-B1618,1)-(D1618-B1618))),9)</f>
        <v/>
      </c>
      <c r="I1618" s="49">
        <f>TRUNC((G1618*H1618-G1618),8)</f>
        <v/>
      </c>
      <c r="J1618" s="49">
        <f>G1618+I1618</f>
        <v/>
      </c>
      <c r="K1618" s="123" t="n"/>
      <c r="L1618" s="271" t="n"/>
      <c r="M1618" s="256" t="n"/>
      <c r="N1618" s="256" t="n"/>
      <c r="O1618" s="256" t="n"/>
      <c r="P1618" s="256" t="n"/>
      <c r="Q1618" s="256" t="n"/>
    </row>
    <row r="1619">
      <c r="A1619">
        <f>IF(DAY(D1619)=DAY($L$1+1),A1618+1,A1618)</f>
        <v/>
      </c>
      <c r="B1619" s="46">
        <f>IF(DAY(D1619)=DAY($L$1+1),1,B1618+1)</f>
        <v/>
      </c>
      <c r="C1619" s="46">
        <f>IF(DAY(D1619)=DAY($L$1+1),1,C1618+1)</f>
        <v/>
      </c>
      <c r="D1619" s="2">
        <f>D1618+1</f>
        <v/>
      </c>
      <c r="E1619" s="8">
        <f>IF(DAY(D1619)=DAY($L$1+1),TRUNC((N1618),8),E1618)</f>
        <v/>
      </c>
      <c r="F1619" s="49">
        <f>TRUNC(((1+VLOOKUP(A1619,IPCA!$A$2:$C$140,3,0)))^(C1619/(EDATE(D1619-C1619,1)-(D1619-C1619))),8)</f>
        <v/>
      </c>
      <c r="G1619" s="49">
        <f>TRUNC((E1619*F1619),8)</f>
        <v/>
      </c>
      <c r="H1619" s="49">
        <f>ROUND(((1+$H$4)^(30/360))^(C1619/(EDATE(D1619-B1619,1)-(D1619-B1619))),9)</f>
        <v/>
      </c>
      <c r="I1619" s="49">
        <f>TRUNC((G1619*H1619-G1619),8)</f>
        <v/>
      </c>
      <c r="J1619" s="49">
        <f>G1619+I1619</f>
        <v/>
      </c>
      <c r="K1619" s="256" t="n"/>
      <c r="L1619" s="256" t="n"/>
      <c r="M1619" s="256" t="n"/>
      <c r="N1619" s="256" t="n"/>
      <c r="O1619" s="256" t="n"/>
      <c r="P1619" s="256" t="n"/>
      <c r="Q1619" s="256" t="n"/>
    </row>
    <row r="1620">
      <c r="A1620">
        <f>IF(DAY(D1620)=DAY($L$1+1),A1619+1,A1619)</f>
        <v/>
      </c>
      <c r="B1620" s="46">
        <f>IF(DAY(D1620)=DAY($L$1+1),1,B1619+1)</f>
        <v/>
      </c>
      <c r="C1620" s="46">
        <f>IF(DAY(D1620)=DAY($L$1+1),1,C1619+1)</f>
        <v/>
      </c>
      <c r="D1620" s="2">
        <f>D1619+1</f>
        <v/>
      </c>
      <c r="E1620" s="8">
        <f>IF(DAY(D1620)=DAY($L$1+1),TRUNC((N1619),8),E1619)</f>
        <v/>
      </c>
      <c r="F1620" s="49">
        <f>TRUNC(((1+VLOOKUP(A1620,IPCA!$A$2:$C$140,3,0)))^(C1620/(EDATE(D1620-C1620,1)-(D1620-C1620))),8)</f>
        <v/>
      </c>
      <c r="G1620" s="49">
        <f>TRUNC((E1620*F1620),8)</f>
        <v/>
      </c>
      <c r="H1620" s="49">
        <f>ROUND(((1+$H$4)^(30/360))^(C1620/(EDATE(D1620-B1620,1)-(D1620-B1620))),9)</f>
        <v/>
      </c>
      <c r="I1620" s="49">
        <f>TRUNC((G1620*H1620-G1620),8)</f>
        <v/>
      </c>
      <c r="J1620" s="49">
        <f>G1620+I1620</f>
        <v/>
      </c>
      <c r="K1620" s="256" t="n"/>
      <c r="L1620" s="256" t="n"/>
      <c r="M1620" s="256" t="n"/>
      <c r="N1620" s="256" t="n"/>
      <c r="O1620" s="256" t="n"/>
      <c r="P1620" s="256" t="n"/>
      <c r="Q1620" s="256" t="n"/>
    </row>
    <row r="1621">
      <c r="A1621">
        <f>IF(DAY(D1621)=DAY($L$1+1),A1620+1,A1620)</f>
        <v/>
      </c>
      <c r="B1621" s="46">
        <f>IF(DAY(D1621)=DAY($L$1+1),1,B1620+1)</f>
        <v/>
      </c>
      <c r="C1621" s="46">
        <f>IF(DAY(D1621)=DAY($L$1+1),1,C1620+1)</f>
        <v/>
      </c>
      <c r="D1621" s="2">
        <f>D1620+1</f>
        <v/>
      </c>
      <c r="E1621" s="8">
        <f>IF(DAY(D1621)=DAY($L$1+1),TRUNC((N1620),8),E1620)</f>
        <v/>
      </c>
      <c r="F1621" s="49">
        <f>TRUNC(((1+VLOOKUP(A1621,IPCA!$A$2:$C$140,3,0)))^(C1621/(EDATE(D1621-C1621,1)-(D1621-C1621))),8)</f>
        <v/>
      </c>
      <c r="G1621" s="49">
        <f>TRUNC((E1621*F1621),8)</f>
        <v/>
      </c>
      <c r="H1621" s="49">
        <f>ROUND(((1+$H$4)^(30/360))^(C1621/(EDATE(D1621-B1621,1)-(D1621-B1621))),9)</f>
        <v/>
      </c>
      <c r="I1621" s="49">
        <f>TRUNC((G1621*H1621-G1621),8)</f>
        <v/>
      </c>
      <c r="J1621" s="49">
        <f>G1621+I1621</f>
        <v/>
      </c>
      <c r="K1621" s="256" t="n"/>
      <c r="L1621" s="256" t="n"/>
      <c r="M1621" s="256" t="n"/>
      <c r="N1621" s="256" t="n"/>
      <c r="O1621" s="256" t="n"/>
      <c r="P1621" s="256" t="n"/>
      <c r="Q1621" s="256" t="n"/>
    </row>
    <row r="1622">
      <c r="A1622">
        <f>IF(DAY(D1622)=DAY($L$1+1),A1621+1,A1621)</f>
        <v/>
      </c>
      <c r="B1622" s="46">
        <f>IF(DAY(D1622)=DAY($L$1+1),1,B1621+1)</f>
        <v/>
      </c>
      <c r="C1622" s="46">
        <f>IF(DAY(D1622)=DAY($L$1+1),1,C1621+1)</f>
        <v/>
      </c>
      <c r="D1622" s="2">
        <f>D1621+1</f>
        <v/>
      </c>
      <c r="E1622" s="8">
        <f>IF(DAY(D1622)=DAY($L$1+1),TRUNC((N1621),8),E1621)</f>
        <v/>
      </c>
      <c r="F1622" s="49">
        <f>TRUNC(((1+VLOOKUP(A1622,IPCA!$A$2:$C$140,3,0)))^(C1622/(EDATE(D1622-C1622,1)-(D1622-C1622))),8)</f>
        <v/>
      </c>
      <c r="G1622" s="49">
        <f>TRUNC((E1622*F1622),8)</f>
        <v/>
      </c>
      <c r="H1622" s="49">
        <f>ROUND(((1+$H$4)^(30/360))^(C1622/(EDATE(D1622-B1622,1)-(D1622-B1622))),9)</f>
        <v/>
      </c>
      <c r="I1622" s="49">
        <f>TRUNC((G1622*H1622-G1622),8)</f>
        <v/>
      </c>
      <c r="J1622" s="49">
        <f>G1622+I1622</f>
        <v/>
      </c>
      <c r="K1622" s="256" t="n"/>
      <c r="L1622" s="256" t="n"/>
      <c r="M1622" s="256" t="n"/>
      <c r="N1622" s="256" t="n"/>
      <c r="O1622" s="256" t="n"/>
      <c r="P1622" s="256" t="n"/>
      <c r="Q1622" s="256" t="n"/>
    </row>
    <row r="1623">
      <c r="A1623">
        <f>IF(DAY(D1623)=DAY($L$1+1),A1622+1,A1622)</f>
        <v/>
      </c>
      <c r="B1623" s="46">
        <f>IF(DAY(D1623)=DAY($L$1+1),1,B1622+1)</f>
        <v/>
      </c>
      <c r="C1623" s="46">
        <f>IF(DAY(D1623)=DAY($L$1+1),1,C1622+1)</f>
        <v/>
      </c>
      <c r="D1623" s="2">
        <f>D1622+1</f>
        <v/>
      </c>
      <c r="E1623" s="8">
        <f>IF(DAY(D1623)=DAY($L$1+1),TRUNC((N1622),8),E1622)</f>
        <v/>
      </c>
      <c r="F1623" s="49">
        <f>TRUNC(((1+VLOOKUP(A1623,IPCA!$A$2:$C$140,3,0)))^(C1623/(EDATE(D1623-C1623,1)-(D1623-C1623))),8)</f>
        <v/>
      </c>
      <c r="G1623" s="49">
        <f>TRUNC((E1623*F1623),8)</f>
        <v/>
      </c>
      <c r="H1623" s="49">
        <f>ROUND(((1+$H$4)^(30/360))^(C1623/(EDATE(D1623-B1623,1)-(D1623-B1623))),9)</f>
        <v/>
      </c>
      <c r="I1623" s="49">
        <f>TRUNC((G1623*H1623-G1623),8)</f>
        <v/>
      </c>
      <c r="J1623" s="49">
        <f>G1623+I1623</f>
        <v/>
      </c>
      <c r="K1623" s="256" t="n"/>
      <c r="L1623" s="256" t="n"/>
      <c r="M1623" s="256" t="n"/>
      <c r="N1623" s="256" t="n"/>
      <c r="O1623" s="256" t="n"/>
      <c r="P1623" s="256" t="n"/>
      <c r="Q1623" s="256" t="n"/>
    </row>
    <row r="1624">
      <c r="A1624">
        <f>IF(DAY(D1624)=DAY($L$1+1),A1623+1,A1623)</f>
        <v/>
      </c>
      <c r="B1624" s="46">
        <f>IF(DAY(D1624)=DAY($L$1+1),1,B1623+1)</f>
        <v/>
      </c>
      <c r="C1624" s="46">
        <f>IF(DAY(D1624)=DAY($L$1+1),1,C1623+1)</f>
        <v/>
      </c>
      <c r="D1624" s="2">
        <f>D1623+1</f>
        <v/>
      </c>
      <c r="E1624" s="8">
        <f>IF(DAY(D1624)=DAY($L$1+1),TRUNC((N1623),8),E1623)</f>
        <v/>
      </c>
      <c r="F1624" s="49">
        <f>TRUNC(((1+VLOOKUP(A1624,IPCA!$A$2:$C$140,3,0)))^(C1624/(EDATE(D1624-C1624,1)-(D1624-C1624))),8)</f>
        <v/>
      </c>
      <c r="G1624" s="49">
        <f>TRUNC((E1624*F1624),8)</f>
        <v/>
      </c>
      <c r="H1624" s="49">
        <f>ROUND(((1+$H$4)^(30/360))^(C1624/(EDATE(D1624-B1624,1)-(D1624-B1624))),9)</f>
        <v/>
      </c>
      <c r="I1624" s="49">
        <f>TRUNC((G1624*H1624-G1624),8)</f>
        <v/>
      </c>
      <c r="J1624" s="49">
        <f>G1624+I1624</f>
        <v/>
      </c>
      <c r="K1624" s="256" t="n"/>
      <c r="L1624" s="256" t="n"/>
      <c r="M1624" s="256" t="n"/>
      <c r="N1624" s="256" t="n"/>
      <c r="O1624" s="256" t="n"/>
      <c r="P1624" s="256" t="n"/>
      <c r="Q1624" s="256" t="n"/>
    </row>
    <row r="1625">
      <c r="A1625">
        <f>IF(DAY(D1625)=DAY($L$1+1),A1624+1,A1624)</f>
        <v/>
      </c>
      <c r="B1625" s="46">
        <f>IF(DAY(D1625)=DAY($L$1+1),1,B1624+1)</f>
        <v/>
      </c>
      <c r="C1625" s="46">
        <f>IF(DAY(D1625)=DAY($L$1+1),1,C1624+1)</f>
        <v/>
      </c>
      <c r="D1625" s="2">
        <f>D1624+1</f>
        <v/>
      </c>
      <c r="E1625" s="8">
        <f>IF(DAY(D1625)=DAY($L$1+1),TRUNC((N1624),8),E1624)</f>
        <v/>
      </c>
      <c r="F1625" s="49">
        <f>TRUNC(((1+VLOOKUP(A1625,IPCA!$A$2:$C$140,3,0)))^(C1625/(EDATE(D1625-C1625,1)-(D1625-C1625))),8)</f>
        <v/>
      </c>
      <c r="G1625" s="49">
        <f>TRUNC((E1625*F1625),8)</f>
        <v/>
      </c>
      <c r="H1625" s="49">
        <f>ROUND(((1+$H$4)^(30/360))^(C1625/(EDATE(D1625-B1625,1)-(D1625-B1625))),9)</f>
        <v/>
      </c>
      <c r="I1625" s="49">
        <f>TRUNC((G1625*H1625-G1625),8)</f>
        <v/>
      </c>
      <c r="J1625" s="49">
        <f>G1625+I1625</f>
        <v/>
      </c>
      <c r="K1625" s="256" t="n"/>
      <c r="L1625" s="256" t="n"/>
      <c r="M1625" s="256" t="n"/>
      <c r="N1625" s="256" t="n"/>
      <c r="O1625" s="256" t="n"/>
      <c r="P1625" s="256" t="n"/>
      <c r="Q1625" s="256" t="n"/>
    </row>
    <row r="1626">
      <c r="A1626">
        <f>IF(DAY(D1626)=DAY($L$1+1),A1625+1,A1625)</f>
        <v/>
      </c>
      <c r="B1626" s="46">
        <f>IF(DAY(D1626)=DAY($L$1+1),1,B1625+1)</f>
        <v/>
      </c>
      <c r="C1626" s="46">
        <f>IF(DAY(D1626)=DAY($L$1+1),1,C1625+1)</f>
        <v/>
      </c>
      <c r="D1626" s="2">
        <f>D1625+1</f>
        <v/>
      </c>
      <c r="E1626" s="8">
        <f>IF(DAY(D1626)=DAY($L$1+1),TRUNC((N1625),8),E1625)</f>
        <v/>
      </c>
      <c r="F1626" s="49">
        <f>TRUNC(((1+VLOOKUP(A1626,IPCA!$A$2:$C$140,3,0)))^(C1626/(EDATE(D1626-C1626,1)-(D1626-C1626))),8)</f>
        <v/>
      </c>
      <c r="G1626" s="49">
        <f>TRUNC((E1626*F1626),8)</f>
        <v/>
      </c>
      <c r="H1626" s="49">
        <f>ROUND(((1+$H$4)^(30/360))^(C1626/(EDATE(D1626-B1626,1)-(D1626-B1626))),9)</f>
        <v/>
      </c>
      <c r="I1626" s="49">
        <f>TRUNC((G1626*H1626-G1626),8)</f>
        <v/>
      </c>
      <c r="J1626" s="49">
        <f>G1626+I1626</f>
        <v/>
      </c>
      <c r="K1626" s="256" t="n"/>
      <c r="L1626" s="256" t="n"/>
      <c r="M1626" s="256" t="n"/>
      <c r="N1626" s="256" t="n"/>
      <c r="O1626" s="256" t="n"/>
      <c r="P1626" s="256" t="n"/>
      <c r="Q1626" s="256" t="n"/>
    </row>
    <row r="1627">
      <c r="A1627">
        <f>IF(DAY(D1627)=DAY($L$1+1),A1626+1,A1626)</f>
        <v/>
      </c>
      <c r="B1627" s="46">
        <f>IF(DAY(D1627)=DAY($L$1+1),1,B1626+1)</f>
        <v/>
      </c>
      <c r="C1627" s="46">
        <f>IF(DAY(D1627)=DAY($L$1+1),1,C1626+1)</f>
        <v/>
      </c>
      <c r="D1627" s="2">
        <f>D1626+1</f>
        <v/>
      </c>
      <c r="E1627" s="8">
        <f>IF(DAY(D1627)=DAY($L$1+1),TRUNC((N1626),8),E1626)</f>
        <v/>
      </c>
      <c r="F1627" s="49">
        <f>TRUNC(((1+VLOOKUP(A1627,IPCA!$A$2:$C$140,3,0)))^(C1627/(EDATE(D1627-C1627,1)-(D1627-C1627))),8)</f>
        <v/>
      </c>
      <c r="G1627" s="49">
        <f>TRUNC((E1627*F1627),8)</f>
        <v/>
      </c>
      <c r="H1627" s="49">
        <f>ROUND(((1+$H$4)^(30/360))^(C1627/(EDATE(D1627-B1627,1)-(D1627-B1627))),9)</f>
        <v/>
      </c>
      <c r="I1627" s="49">
        <f>TRUNC((G1627*H1627-G1627),8)</f>
        <v/>
      </c>
      <c r="J1627" s="49">
        <f>G1627+I1627</f>
        <v/>
      </c>
      <c r="K1627" s="256" t="n"/>
      <c r="L1627" s="256" t="n"/>
      <c r="M1627" s="256" t="n"/>
      <c r="N1627" s="256" t="n"/>
      <c r="O1627" s="256" t="n"/>
      <c r="P1627" s="256" t="n"/>
      <c r="Q1627" s="256" t="n"/>
    </row>
    <row r="1628">
      <c r="A1628">
        <f>IF(DAY(D1628)=DAY($L$1+1),A1627+1,A1627)</f>
        <v/>
      </c>
      <c r="B1628" s="46">
        <f>IF(DAY(D1628)=DAY($L$1+1),1,B1627+1)</f>
        <v/>
      </c>
      <c r="C1628" s="46">
        <f>IF(DAY(D1628)=DAY($L$1+1),1,C1627+1)</f>
        <v/>
      </c>
      <c r="D1628" s="2">
        <f>D1627+1</f>
        <v/>
      </c>
      <c r="E1628" s="8">
        <f>IF(DAY(D1628)=DAY($L$1+1),TRUNC((N1627),8),E1627)</f>
        <v/>
      </c>
      <c r="F1628" s="49">
        <f>TRUNC(((1+VLOOKUP(A1628,IPCA!$A$2:$C$140,3,0)))^(C1628/(EDATE(D1628-C1628,1)-(D1628-C1628))),8)</f>
        <v/>
      </c>
      <c r="G1628" s="49">
        <f>TRUNC((E1628*F1628),8)</f>
        <v/>
      </c>
      <c r="H1628" s="49">
        <f>ROUND(((1+$H$4)^(30/360))^(C1628/(EDATE(D1628-B1628,1)-(D1628-B1628))),9)</f>
        <v/>
      </c>
      <c r="I1628" s="49">
        <f>TRUNC((G1628*H1628-G1628),8)</f>
        <v/>
      </c>
      <c r="J1628" s="49">
        <f>G1628+I1628</f>
        <v/>
      </c>
      <c r="K1628" s="256" t="n"/>
      <c r="L1628" s="256" t="n"/>
      <c r="M1628" s="256" t="n"/>
      <c r="N1628" s="256" t="n"/>
      <c r="O1628" s="256" t="n"/>
      <c r="P1628" s="256" t="n"/>
      <c r="Q1628" s="256" t="n"/>
    </row>
    <row r="1629">
      <c r="A1629">
        <f>IF(DAY(D1629)=DAY($L$1+1),A1628+1,A1628)</f>
        <v/>
      </c>
      <c r="B1629" s="46">
        <f>IF(DAY(D1629)=DAY($L$1+1),1,B1628+1)</f>
        <v/>
      </c>
      <c r="C1629" s="46">
        <f>IF(DAY(D1629)=DAY($L$1+1),1,C1628+1)</f>
        <v/>
      </c>
      <c r="D1629" s="2">
        <f>D1628+1</f>
        <v/>
      </c>
      <c r="E1629" s="8">
        <f>IF(DAY(D1629)=DAY($L$1+1),TRUNC((N1628),8),E1628)</f>
        <v/>
      </c>
      <c r="F1629" s="49">
        <f>TRUNC(((1+VLOOKUP(A1629,IPCA!$A$2:$C$140,3,0)))^(C1629/(EDATE(D1629-C1629,1)-(D1629-C1629))),8)</f>
        <v/>
      </c>
      <c r="G1629" s="49">
        <f>TRUNC((E1629*F1629),8)</f>
        <v/>
      </c>
      <c r="H1629" s="49">
        <f>ROUND(((1+$H$4)^(30/360))^(C1629/(EDATE(D1629-B1629,1)-(D1629-B1629))),9)</f>
        <v/>
      </c>
      <c r="I1629" s="49">
        <f>TRUNC((G1629*H1629-G1629),8)</f>
        <v/>
      </c>
      <c r="J1629" s="49">
        <f>G1629+I1629</f>
        <v/>
      </c>
      <c r="K1629" s="256" t="n"/>
      <c r="L1629" s="256" t="n"/>
      <c r="M1629" s="256" t="n"/>
      <c r="N1629" s="256" t="n"/>
      <c r="O1629" s="256" t="n"/>
      <c r="P1629" s="256" t="n"/>
      <c r="Q1629" s="256" t="n"/>
    </row>
    <row r="1630">
      <c r="A1630">
        <f>IF(DAY(D1630)=DAY($L$1+1),A1629+1,A1629)</f>
        <v/>
      </c>
      <c r="B1630" s="46">
        <f>IF(DAY(D1630)=DAY($L$1+1),1,B1629+1)</f>
        <v/>
      </c>
      <c r="C1630" s="46">
        <f>IF(DAY(D1630)=DAY($L$1+1),1,C1629+1)</f>
        <v/>
      </c>
      <c r="D1630" s="2">
        <f>D1629+1</f>
        <v/>
      </c>
      <c r="E1630" s="8">
        <f>IF(DAY(D1630)=DAY($L$1+1),TRUNC((N1629),8),E1629)</f>
        <v/>
      </c>
      <c r="F1630" s="49">
        <f>TRUNC(((1+VLOOKUP(A1630,IPCA!$A$2:$C$140,3,0)))^(C1630/(EDATE(D1630-C1630,1)-(D1630-C1630))),8)</f>
        <v/>
      </c>
      <c r="G1630" s="49">
        <f>TRUNC((E1630*F1630),8)</f>
        <v/>
      </c>
      <c r="H1630" s="49">
        <f>ROUND(((1+$H$4)^(30/360))^(C1630/(EDATE(D1630-B1630,1)-(D1630-B1630))),9)</f>
        <v/>
      </c>
      <c r="I1630" s="49">
        <f>TRUNC((G1630*H1630-G1630),8)</f>
        <v/>
      </c>
      <c r="J1630" s="49">
        <f>G1630+I1630</f>
        <v/>
      </c>
      <c r="K1630" s="256" t="n"/>
      <c r="L1630" s="256" t="n"/>
      <c r="M1630" s="256" t="n"/>
      <c r="N1630" s="256" t="n"/>
      <c r="O1630" s="256" t="n"/>
      <c r="P1630" s="256" t="n"/>
      <c r="Q1630" s="256" t="n"/>
    </row>
    <row r="1631">
      <c r="A1631">
        <f>IF(DAY(D1631)=DAY($L$1+1),A1630+1,A1630)</f>
        <v/>
      </c>
      <c r="B1631" s="46">
        <f>IF(DAY(D1631)=DAY($L$1+1),1,B1630+1)</f>
        <v/>
      </c>
      <c r="C1631" s="46">
        <f>IF(DAY(D1631)=DAY($L$1+1),1,C1630+1)</f>
        <v/>
      </c>
      <c r="D1631" s="2">
        <f>D1630+1</f>
        <v/>
      </c>
      <c r="E1631" s="8">
        <f>IF(DAY(D1631)=DAY($L$1+1),TRUNC((N1630),8),E1630)</f>
        <v/>
      </c>
      <c r="F1631" s="49">
        <f>TRUNC(((1+VLOOKUP(A1631,IPCA!$A$2:$C$140,3,0)))^(C1631/(EDATE(D1631-C1631,1)-(D1631-C1631))),8)</f>
        <v/>
      </c>
      <c r="G1631" s="49">
        <f>TRUNC((E1631*F1631),8)</f>
        <v/>
      </c>
      <c r="H1631" s="49">
        <f>ROUND(((1+$H$4)^(30/360))^(C1631/(EDATE(D1631-B1631,1)-(D1631-B1631))),9)</f>
        <v/>
      </c>
      <c r="I1631" s="49">
        <f>TRUNC((G1631*H1631-G1631),8)</f>
        <v/>
      </c>
      <c r="J1631" s="49">
        <f>G1631+I1631</f>
        <v/>
      </c>
      <c r="K1631" s="256" t="inlineStr">
        <is>
          <t>Cri Integralizado</t>
        </is>
      </c>
      <c r="L1631" s="270">
        <f>L1601</f>
        <v/>
      </c>
      <c r="M1631" s="256" t="n"/>
      <c r="N1631" s="256" t="n"/>
      <c r="O1631" s="256" t="n"/>
      <c r="P1631" s="256" t="n"/>
      <c r="Q1631" s="256" t="n"/>
    </row>
    <row r="1632">
      <c r="A1632">
        <f>IF(DAY(D1632)=DAY($L$1+1),A1631+1,A1631)</f>
        <v/>
      </c>
      <c r="B1632" s="46">
        <f>IF(DAY(D1632)=DAY($L$1+1),1,B1631+1)</f>
        <v/>
      </c>
      <c r="C1632" s="46">
        <f>IF(DAY(D1632)=DAY($L$1+1),1,C1631+1)</f>
        <v/>
      </c>
      <c r="D1632" s="47">
        <f>D1631+1</f>
        <v/>
      </c>
      <c r="E1632" s="8">
        <f>IF(DAY(D1632)=DAY($L$1+1),TRUNC((N1631),8),E1631)</f>
        <v/>
      </c>
      <c r="F1632" s="49">
        <f>TRUNC(((1+VLOOKUP(A1632,IPCA!$A$2:$C$140,3,0)))^(C1632/(EDATE(D1632-C1632,1)-(D1632-C1632))),8)</f>
        <v/>
      </c>
      <c r="G1632" s="49">
        <f>TRUNC((E1632*F1632),8)</f>
        <v/>
      </c>
      <c r="H1632" s="49">
        <f>ROUND(((1+$H$4)^(30/360))^(C1632/(EDATE(D1632-B1632,1)-(D1632-B1632))),9)</f>
        <v/>
      </c>
      <c r="I1632" s="49">
        <f>TRUNC((G1632*H1632-G1632),8)</f>
        <v/>
      </c>
      <c r="J1632" s="49">
        <f>G1632+I1632</f>
        <v/>
      </c>
      <c r="K1632" s="118" t="inlineStr">
        <is>
          <t>JUROS</t>
        </is>
      </c>
      <c r="L1632" s="118" t="inlineStr">
        <is>
          <t>AMORTIZAÇÃO</t>
        </is>
      </c>
      <c r="M1632" s="118" t="inlineStr">
        <is>
          <t>AMEX</t>
        </is>
      </c>
      <c r="N1632" s="118" t="inlineStr">
        <is>
          <t>RESIDUAL</t>
        </is>
      </c>
      <c r="O1632" s="256" t="n"/>
      <c r="P1632" s="256" t="n"/>
      <c r="Q1632" s="256" t="n"/>
    </row>
    <row r="1633">
      <c r="A1633">
        <f>IF(DAY(D1633)=DAY($L$1+1),A1632+1,A1632)</f>
        <v/>
      </c>
      <c r="B1633" s="111">
        <f>IF(DAY(D1633)=DAY($L$1+1),1,B1632+1)</f>
        <v/>
      </c>
      <c r="C1633" s="111">
        <f>IF(DAY(D1633)=DAY($L$1+1),1,C1632+1)</f>
        <v/>
      </c>
      <c r="D1633" s="112">
        <f>D1632+1</f>
        <v/>
      </c>
      <c r="E1633" s="113">
        <f>IF(DAY(D1633)=DAY($L$1+1),TRUNC((N1632),8),E1632)</f>
        <v/>
      </c>
      <c r="F1633" s="114">
        <f>TRUNC(((1+VLOOKUP(A1633,IPCA!$A$2:$C$140,3,0)))^(C1633/(EDATE(D1633-C1633,1)-(D1633-C1633))),8)</f>
        <v/>
      </c>
      <c r="G1633" s="114">
        <f>TRUNC((E1633*F1633),8)</f>
        <v/>
      </c>
      <c r="H1633" s="114">
        <f>ROUND(((1+$H$4)^(30/360))^(C1633/(EDATE(D1633-B1633,1)-(D1633-B1633))),9)</f>
        <v/>
      </c>
      <c r="I1633" s="114">
        <f>TRUNC((G1633*H1633-G1633),8)</f>
        <v/>
      </c>
      <c r="J1633" s="114">
        <f>G1633+I1633</f>
        <v/>
      </c>
      <c r="K1633" s="119">
        <f>I1633</f>
        <v/>
      </c>
      <c r="L1633" s="120">
        <f>TRUNC(G1633*VLOOKUP(D1633,'Amort TS'!$G$3:$H$140,2,0),8)</f>
        <v/>
      </c>
      <c r="M1633" s="120" t="n">
        <v>0</v>
      </c>
      <c r="N1633" s="120">
        <f>J1633-K1633-L1633-M1633</f>
        <v/>
      </c>
      <c r="O1633" s="256" t="n"/>
      <c r="P1633" s="256" t="n"/>
      <c r="Q1633" s="256" t="n"/>
    </row>
    <row r="1634">
      <c r="A1634">
        <f>IF(DAY(D1634)=DAY($L$1+1),A1633+1,A1633)</f>
        <v/>
      </c>
      <c r="B1634" s="46">
        <f>IF(DAY(D1634)=DAY($L$1+1),1,B1633+1)</f>
        <v/>
      </c>
      <c r="C1634" s="46">
        <f>IF(DAY(D1634)=DAY($L$1+1),1,C1633+1)</f>
        <v/>
      </c>
      <c r="D1634" s="2">
        <f>D1633+1</f>
        <v/>
      </c>
      <c r="E1634" s="8">
        <f>IF(DAY(D1634)=DAY($L$1+1),TRUNC((N1633),8),E1633)</f>
        <v/>
      </c>
      <c r="F1634" s="49">
        <f>TRUNC(((1+VLOOKUP(A1634,IPCA!$A$2:$C$140,3,0)))^(C1634/(EDATE(D1634-C1634,1)-(D1634-C1634))),8)</f>
        <v/>
      </c>
      <c r="G1634" s="49">
        <f>TRUNC((E1634*F1634),8)</f>
        <v/>
      </c>
      <c r="H1634" s="49">
        <f>ROUND(((1+$H$4)^(30/360))^(C1634/(EDATE(D1634-B1634,1)-(D1634-B1634))),9)</f>
        <v/>
      </c>
      <c r="I1634" s="49">
        <f>TRUNC((G1634*H1634-G1634),8)</f>
        <v/>
      </c>
      <c r="J1634" s="49">
        <f>G1634+I1634</f>
        <v/>
      </c>
      <c r="K1634" s="121">
        <f>K1633*L1631</f>
        <v/>
      </c>
      <c r="L1634" s="121">
        <f>L1633*L1631</f>
        <v/>
      </c>
      <c r="M1634" s="121">
        <f>M1633*L1631</f>
        <v/>
      </c>
      <c r="N1634" s="121">
        <f>N1633*L1631</f>
        <v/>
      </c>
      <c r="O1634" s="256" t="n"/>
      <c r="P1634" s="256" t="n"/>
      <c r="Q1634" s="256" t="n"/>
    </row>
    <row r="1635">
      <c r="A1635">
        <f>IF(DAY(D1635)=DAY($L$1+1),A1634+1,A1634)</f>
        <v/>
      </c>
      <c r="B1635" s="46">
        <f>IF(DAY(D1635)=DAY($L$1+1),1,B1634+1)</f>
        <v/>
      </c>
      <c r="C1635" s="46">
        <f>IF(DAY(D1635)=DAY($L$1+1),1,C1634+1)</f>
        <v/>
      </c>
      <c r="D1635" s="47">
        <f>D1634+1</f>
        <v/>
      </c>
      <c r="E1635" s="8">
        <f>IF(DAY(D1635)=DAY($L$1+1),TRUNC((N1634),8),E1634)</f>
        <v/>
      </c>
      <c r="F1635" s="49">
        <f>TRUNC(((1+VLOOKUP(A1635,IPCA!$A$2:$C$140,3,0)))^(C1635/(EDATE(D1635-C1635,1)-(D1635-C1635))),8)</f>
        <v/>
      </c>
      <c r="G1635" s="49">
        <f>TRUNC((E1635*F1635),8)</f>
        <v/>
      </c>
      <c r="H1635" s="49">
        <f>ROUND(((1+$H$4)^(30/360))^(C1635/(EDATE(D1635-B1635,1)-(D1635-B1635))),9)</f>
        <v/>
      </c>
      <c r="I1635" s="49">
        <f>TRUNC((G1635*H1635-G1635),8)</f>
        <v/>
      </c>
      <c r="J1635" s="49">
        <f>G1635+I1635</f>
        <v/>
      </c>
      <c r="K1635" s="256" t="n"/>
      <c r="L1635" s="256" t="n"/>
      <c r="M1635" s="256" t="n"/>
      <c r="N1635" s="256" t="n"/>
      <c r="O1635" s="256" t="n"/>
      <c r="P1635" s="256" t="n"/>
      <c r="Q1635" s="256" t="n"/>
    </row>
    <row r="1636">
      <c r="A1636">
        <f>IF(DAY(D1636)=DAY($L$1+1),A1635+1,A1635)</f>
        <v/>
      </c>
      <c r="B1636" s="46">
        <f>IF(DAY(D1636)=DAY($L$1+1),1,B1635+1)</f>
        <v/>
      </c>
      <c r="C1636" s="46">
        <f>IF(DAY(D1636)=DAY($L$1+1),1,C1635+1)</f>
        <v/>
      </c>
      <c r="D1636" s="2">
        <f>D1635+1</f>
        <v/>
      </c>
      <c r="E1636" s="8">
        <f>IF(DAY(D1636)=DAY($L$1+1),TRUNC((#REF!),8),E1635)</f>
        <v/>
      </c>
      <c r="F1636" s="49">
        <f>TRUNC(((1+VLOOKUP(A1636,IPCA!$A$2:$C$140,3,0)))^(C1636/(EDATE(D1636-C1636,1)-(D1636-C1636))),8)</f>
        <v/>
      </c>
      <c r="G1636" s="49">
        <f>TRUNC((E1636*F1636),8)</f>
        <v/>
      </c>
      <c r="H1636" s="49">
        <f>ROUND(((1+$H$4)^(30/360))^(C1636/(EDATE(D1636-B1636,1)-(D1636-B1636))),9)</f>
        <v/>
      </c>
      <c r="I1636" s="49">
        <f>TRUNC((G1636*H1636-G1636),8)</f>
        <v/>
      </c>
      <c r="J1636" s="49">
        <f>G1636+I1636</f>
        <v/>
      </c>
      <c r="K1636" s="256" t="n"/>
      <c r="L1636" s="256" t="n"/>
      <c r="M1636" s="256" t="n"/>
      <c r="N1636" s="256" t="n"/>
      <c r="O1636" s="256" t="n"/>
      <c r="P1636" s="256" t="n"/>
      <c r="Q1636" s="256" t="n"/>
    </row>
    <row r="1637">
      <c r="A1637">
        <f>IF(DAY(D1637)=DAY($L$1+1),A1636+1,A1636)</f>
        <v/>
      </c>
      <c r="B1637" s="46">
        <f>IF(DAY(D1637)=DAY($L$1+1),1,B1636+1)</f>
        <v/>
      </c>
      <c r="C1637" s="46">
        <f>IF(DAY(D1637)=DAY($L$1+1),1,C1636+1)</f>
        <v/>
      </c>
      <c r="D1637" s="2">
        <f>D1636+1</f>
        <v/>
      </c>
      <c r="E1637" s="8">
        <f>IF(DAY(D1637)=DAY($L$1+1),TRUNC((#REF!),8),E1636)</f>
        <v/>
      </c>
      <c r="F1637" s="49">
        <f>TRUNC(((1+VLOOKUP(A1637,IPCA!$A$2:$C$140,3,0)))^(C1637/(EDATE(D1637-C1637,1)-(D1637-C1637))),8)</f>
        <v/>
      </c>
      <c r="G1637" s="49">
        <f>TRUNC((E1637*F1637),8)</f>
        <v/>
      </c>
      <c r="H1637" s="49">
        <f>ROUND(((1+$H$4)^(30/360))^(C1637/(EDATE(D1637-B1637,1)-(D1637-B1637))),9)</f>
        <v/>
      </c>
      <c r="I1637" s="49">
        <f>TRUNC((G1637*H1637-G1637),8)</f>
        <v/>
      </c>
      <c r="J1637" s="49">
        <f>G1637+I1637</f>
        <v/>
      </c>
      <c r="K1637" s="256" t="n"/>
      <c r="L1637" s="256" t="n"/>
      <c r="M1637" s="256" t="n"/>
      <c r="N1637" s="256" t="n"/>
      <c r="O1637" s="256" t="n"/>
      <c r="P1637" s="256" t="n"/>
      <c r="Q1637" s="256" t="n"/>
    </row>
    <row r="1638">
      <c r="A1638">
        <f>IF(DAY(D1638)=DAY($L$1+1),A1637+1,A1637)</f>
        <v/>
      </c>
      <c r="B1638" s="46">
        <f>IF(DAY(D1638)=DAY($L$1+1),1,B1637+1)</f>
        <v/>
      </c>
      <c r="C1638" s="46">
        <f>IF(DAY(D1638)=DAY($L$1+1),1,C1637+1)</f>
        <v/>
      </c>
      <c r="D1638" s="2">
        <f>D1637+1</f>
        <v/>
      </c>
      <c r="E1638" s="8">
        <f>IF(DAY(D1638)=DAY($L$1+1),TRUNC((#REF!),8),E1637)</f>
        <v/>
      </c>
      <c r="F1638" s="49">
        <f>TRUNC(((1+VLOOKUP(A1638,IPCA!$A$2:$C$140,3,0)))^(C1638/(EDATE(D1638-C1638,1)-(D1638-C1638))),8)</f>
        <v/>
      </c>
      <c r="G1638" s="49">
        <f>TRUNC((E1638*F1638),8)</f>
        <v/>
      </c>
      <c r="H1638" s="49">
        <f>ROUND(((1+$H$4)^(30/360))^(C1638/(EDATE(D1638-B1638,1)-(D1638-B1638))),9)</f>
        <v/>
      </c>
      <c r="I1638" s="49">
        <f>TRUNC((G1638*H1638-G1638),8)</f>
        <v/>
      </c>
      <c r="J1638" s="49">
        <f>G1638+I1638</f>
        <v/>
      </c>
      <c r="K1638" s="256" t="n"/>
      <c r="L1638" s="256" t="n"/>
      <c r="M1638" s="256" t="n"/>
      <c r="N1638" s="256" t="n"/>
      <c r="O1638" s="256" t="n"/>
      <c r="P1638" s="256" t="n"/>
      <c r="Q1638" s="256" t="n"/>
    </row>
    <row r="1639">
      <c r="A1639">
        <f>IF(DAY(D1639)=DAY($L$1+1),A1638+1,A1638)</f>
        <v/>
      </c>
      <c r="B1639" s="46">
        <f>IF(DAY(D1639)=DAY($L$1+1),1,B1638+1)</f>
        <v/>
      </c>
      <c r="C1639" s="46">
        <f>IF(DAY(D1639)=DAY($L$1+1),1,C1638+1)</f>
        <v/>
      </c>
      <c r="D1639" s="2">
        <f>D1638+1</f>
        <v/>
      </c>
      <c r="E1639" s="8">
        <f>IF(DAY(D1639)=DAY($L$1+1),TRUNC((#REF!),8),E1638)</f>
        <v/>
      </c>
      <c r="F1639" s="49">
        <f>TRUNC(((1+VLOOKUP(A1639,IPCA!$A$2:$C$140,3,0)))^(C1639/(EDATE(D1639-C1639,1)-(D1639-C1639))),8)</f>
        <v/>
      </c>
      <c r="G1639" s="49">
        <f>TRUNC((E1639*F1639),8)</f>
        <v/>
      </c>
      <c r="H1639" s="49">
        <f>ROUND(((1+$H$4)^(30/360))^(C1639/(EDATE(D1639-B1639,1)-(D1639-B1639))),9)</f>
        <v/>
      </c>
      <c r="I1639" s="49">
        <f>TRUNC((G1639*H1639-G1639),8)</f>
        <v/>
      </c>
      <c r="J1639" s="49">
        <f>G1639+I1639</f>
        <v/>
      </c>
      <c r="K1639" s="256" t="n"/>
      <c r="L1639" s="256" t="n"/>
      <c r="M1639" s="256" t="n"/>
      <c r="N1639" s="256" t="n"/>
      <c r="O1639" s="256" t="n"/>
      <c r="P1639" s="256" t="n"/>
      <c r="Q1639" s="256" t="n"/>
    </row>
    <row r="1640">
      <c r="A1640">
        <f>IF(DAY(D1640)=DAY($L$1+1),A1639+1,A1639)</f>
        <v/>
      </c>
      <c r="B1640" s="46">
        <f>IF(DAY(D1640)=DAY($L$1+1),1,B1639+1)</f>
        <v/>
      </c>
      <c r="C1640" s="46">
        <f>IF(DAY(D1640)=DAY($L$1+1),1,C1639+1)</f>
        <v/>
      </c>
      <c r="D1640" s="2">
        <f>D1639+1</f>
        <v/>
      </c>
      <c r="E1640" s="8">
        <f>IF(DAY(D1640)=DAY($L$1+1),TRUNC((#REF!),8),E1639)</f>
        <v/>
      </c>
      <c r="F1640" s="49">
        <f>TRUNC(((1+VLOOKUP(A1640,IPCA!$A$2:$C$140,3,0)))^(C1640/(EDATE(D1640-C1640,1)-(D1640-C1640))),8)</f>
        <v/>
      </c>
      <c r="G1640" s="49">
        <f>TRUNC((E1640*F1640),8)</f>
        <v/>
      </c>
      <c r="H1640" s="49">
        <f>ROUND(((1+$H$4)^(30/360))^(C1640/(EDATE(D1640-B1640,1)-(D1640-B1640))),9)</f>
        <v/>
      </c>
      <c r="I1640" s="49">
        <f>TRUNC((G1640*H1640-G1640),8)</f>
        <v/>
      </c>
      <c r="J1640" s="49">
        <f>G1640+I1640</f>
        <v/>
      </c>
      <c r="K1640" s="256" t="n"/>
      <c r="L1640" s="256" t="n"/>
      <c r="M1640" s="256" t="n"/>
      <c r="N1640" s="256" t="n"/>
      <c r="O1640" s="256" t="n"/>
      <c r="P1640" s="256" t="n"/>
      <c r="Q1640" s="256" t="n"/>
    </row>
    <row r="1641">
      <c r="A1641">
        <f>IF(DAY(D1641)=DAY($L$1+1),A1640+1,A1640)</f>
        <v/>
      </c>
      <c r="B1641" s="46">
        <f>IF(DAY(D1641)=DAY($L$1+1),1,B1640+1)</f>
        <v/>
      </c>
      <c r="C1641" s="46">
        <f>IF(DAY(D1641)=DAY($L$1+1),1,C1640+1)</f>
        <v/>
      </c>
      <c r="D1641" s="2">
        <f>D1640+1</f>
        <v/>
      </c>
      <c r="E1641" s="8">
        <f>IF(DAY(D1641)=DAY($L$1+1),TRUNC((#REF!),8),E1640)</f>
        <v/>
      </c>
      <c r="F1641" s="49">
        <f>TRUNC(((1+VLOOKUP(A1641,IPCA!$A$2:$C$140,3,0)))^(C1641/(EDATE(D1641-C1641,1)-(D1641-C1641))),8)</f>
        <v/>
      </c>
      <c r="G1641" s="49">
        <f>TRUNC((E1641*F1641),8)</f>
        <v/>
      </c>
      <c r="H1641" s="49">
        <f>ROUND(((1+$H$4)^(30/360))^(C1641/(EDATE(D1641-B1641,1)-(D1641-B1641))),9)</f>
        <v/>
      </c>
      <c r="I1641" s="49">
        <f>TRUNC((G1641*H1641-G1641),8)</f>
        <v/>
      </c>
      <c r="J1641" s="49">
        <f>G1641+I1641</f>
        <v/>
      </c>
      <c r="K1641" s="256" t="n"/>
      <c r="L1641" s="256" t="n"/>
      <c r="M1641" s="256" t="n"/>
      <c r="N1641" s="256" t="n"/>
      <c r="O1641" s="256" t="n"/>
      <c r="P1641" s="256" t="n"/>
      <c r="Q1641" s="256" t="n"/>
    </row>
    <row r="1642">
      <c r="A1642">
        <f>IF(DAY(D1642)=DAY($L$1+1),A1641+1,A1641)</f>
        <v/>
      </c>
      <c r="B1642" s="46">
        <f>IF(DAY(D1642)=DAY($L$1+1),1,B1641+1)</f>
        <v/>
      </c>
      <c r="C1642" s="46">
        <f>IF(DAY(D1642)=DAY($L$1+1),1,C1641+1)</f>
        <v/>
      </c>
      <c r="D1642" s="2">
        <f>D1641+1</f>
        <v/>
      </c>
      <c r="E1642" s="8">
        <f>IF(DAY(D1642)=DAY($L$1+1),TRUNC((#REF!),8),E1641)</f>
        <v/>
      </c>
      <c r="F1642" s="49">
        <f>TRUNC(((1+VLOOKUP(A1642,IPCA!$A$2:$C$140,3,0)))^(C1642/(EDATE(D1642-C1642,1)-(D1642-C1642))),8)</f>
        <v/>
      </c>
      <c r="G1642" s="49">
        <f>TRUNC((E1642*F1642),8)</f>
        <v/>
      </c>
      <c r="H1642" s="49">
        <f>ROUND(((1+$H$4)^(30/360))^(C1642/(EDATE(D1642-B1642,1)-(D1642-B1642))),9)</f>
        <v/>
      </c>
      <c r="I1642" s="49">
        <f>TRUNC((G1642*H1642-G1642),8)</f>
        <v/>
      </c>
      <c r="J1642" s="49">
        <f>G1642+I1642</f>
        <v/>
      </c>
      <c r="K1642" s="256" t="n"/>
      <c r="L1642" s="256" t="n"/>
      <c r="M1642" s="256" t="n"/>
      <c r="N1642" s="256" t="n"/>
      <c r="O1642" s="256" t="n"/>
      <c r="P1642" s="256" t="n"/>
      <c r="Q1642" s="256" t="n"/>
    </row>
    <row r="1643">
      <c r="A1643">
        <f>IF(DAY(D1643)=DAY($L$1+1),A1642+1,A1642)</f>
        <v/>
      </c>
      <c r="B1643" s="46">
        <f>IF(DAY(D1643)=DAY($L$1+1),1,B1642+1)</f>
        <v/>
      </c>
      <c r="C1643" s="46">
        <f>IF(DAY(D1643)=DAY($L$1+1),1,C1642+1)</f>
        <v/>
      </c>
      <c r="D1643" s="2">
        <f>D1642+1</f>
        <v/>
      </c>
      <c r="E1643" s="8">
        <f>IF(DAY(D1643)=DAY($L$1+1),TRUNC((#REF!),8),E1642)</f>
        <v/>
      </c>
      <c r="F1643" s="49">
        <f>TRUNC(((1+VLOOKUP(A1643,IPCA!$A$2:$C$140,3,0)))^(C1643/(EDATE(D1643-C1643,1)-(D1643-C1643))),8)</f>
        <v/>
      </c>
      <c r="G1643" s="49">
        <f>TRUNC((E1643*F1643),8)</f>
        <v/>
      </c>
      <c r="H1643" s="49">
        <f>ROUND(((1+$H$4)^(30/360))^(C1643/(EDATE(D1643-B1643,1)-(D1643-B1643))),9)</f>
        <v/>
      </c>
      <c r="I1643" s="49">
        <f>TRUNC((G1643*H1643-G1643),8)</f>
        <v/>
      </c>
      <c r="J1643" s="49">
        <f>G1643+I1643</f>
        <v/>
      </c>
      <c r="K1643" s="256" t="n"/>
      <c r="L1643" s="256" t="n"/>
      <c r="M1643" s="256" t="n"/>
      <c r="N1643" s="256" t="n"/>
      <c r="O1643" s="256" t="n"/>
      <c r="P1643" s="256" t="n"/>
      <c r="Q1643" s="256" t="n"/>
    </row>
    <row r="1644">
      <c r="A1644">
        <f>IF(DAY(D1644)=DAY($L$1+1),A1643+1,A1643)</f>
        <v/>
      </c>
      <c r="B1644" s="46">
        <f>IF(DAY(D1644)=DAY($L$1+1),1,B1643+1)</f>
        <v/>
      </c>
      <c r="C1644" s="46">
        <f>IF(DAY(D1644)=DAY($L$1+1),1,C1643+1)</f>
        <v/>
      </c>
      <c r="D1644" s="2">
        <f>D1643+1</f>
        <v/>
      </c>
      <c r="E1644" s="8">
        <f>IF(DAY(D1644)=DAY($L$1+1),TRUNC((#REF!),8),E1643)</f>
        <v/>
      </c>
      <c r="F1644" s="49">
        <f>TRUNC(((1+VLOOKUP(A1644,IPCA!$A$2:$C$140,3,0)))^(C1644/(EDATE(D1644-C1644,1)-(D1644-C1644))),8)</f>
        <v/>
      </c>
      <c r="G1644" s="49">
        <f>TRUNC((E1644*F1644),8)</f>
        <v/>
      </c>
      <c r="H1644" s="49">
        <f>ROUND(((1+$H$4)^(30/360))^(C1644/(EDATE(D1644-B1644,1)-(D1644-B1644))),9)</f>
        <v/>
      </c>
      <c r="I1644" s="49">
        <f>TRUNC((G1644*H1644-G1644),8)</f>
        <v/>
      </c>
      <c r="J1644" s="49">
        <f>G1644+I1644</f>
        <v/>
      </c>
      <c r="K1644" s="256" t="n"/>
      <c r="L1644" s="256" t="n"/>
      <c r="M1644" s="256" t="n"/>
      <c r="N1644" s="256" t="n"/>
      <c r="O1644" s="256" t="n"/>
      <c r="P1644" s="256" t="n"/>
      <c r="Q1644" s="256" t="n"/>
    </row>
    <row r="1645">
      <c r="A1645">
        <f>IF(DAY(D1645)=DAY($L$1+1),A1644+1,A1644)</f>
        <v/>
      </c>
      <c r="B1645" s="46">
        <f>IF(DAY(D1645)=DAY($L$1+1),1,B1644+1)</f>
        <v/>
      </c>
      <c r="C1645" s="46">
        <f>IF(DAY(D1645)=DAY($L$1+1),1,C1644+1)</f>
        <v/>
      </c>
      <c r="D1645" s="2">
        <f>D1644+1</f>
        <v/>
      </c>
      <c r="E1645" s="8">
        <f>IF(DAY(D1645)=DAY($L$1+1),TRUNC((#REF!),8),E1644)</f>
        <v/>
      </c>
      <c r="F1645" s="49">
        <f>TRUNC(((1+VLOOKUP(A1645,IPCA!$A$2:$C$140,3,0)))^(C1645/(EDATE(D1645-C1645,1)-(D1645-C1645))),8)</f>
        <v/>
      </c>
      <c r="G1645" s="49">
        <f>TRUNC((E1645*F1645),8)</f>
        <v/>
      </c>
      <c r="H1645" s="49">
        <f>ROUND(((1+$H$4)^(30/360))^(C1645/(EDATE(D1645-B1645,1)-(D1645-B1645))),9)</f>
        <v/>
      </c>
      <c r="I1645" s="49">
        <f>TRUNC((G1645*H1645-G1645),8)</f>
        <v/>
      </c>
      <c r="J1645" s="49">
        <f>G1645+I1645</f>
        <v/>
      </c>
      <c r="K1645" s="256" t="n"/>
      <c r="L1645" s="256" t="n"/>
      <c r="M1645" s="256" t="n"/>
      <c r="N1645" s="256" t="n"/>
      <c r="O1645" s="256" t="n"/>
      <c r="P1645" s="256" t="n"/>
      <c r="Q1645" s="256" t="n"/>
    </row>
    <row r="1646">
      <c r="A1646">
        <f>IF(DAY(D1646)=DAY($L$1+1),A1645+1,A1645)</f>
        <v/>
      </c>
      <c r="B1646" s="46">
        <f>IF(DAY(D1646)=DAY($L$1+1),1,B1645+1)</f>
        <v/>
      </c>
      <c r="C1646" s="46">
        <f>IF(DAY(D1646)=DAY($L$1+1),1,C1645+1)</f>
        <v/>
      </c>
      <c r="D1646" s="2">
        <f>D1645+1</f>
        <v/>
      </c>
      <c r="E1646" s="8">
        <f>IF(DAY(D1646)=DAY($L$1+1),TRUNC((#REF!),8),E1645)</f>
        <v/>
      </c>
      <c r="F1646" s="49">
        <f>TRUNC(((1+VLOOKUP(A1646,IPCA!$A$2:$C$140,3,0)))^(C1646/(EDATE(D1646-C1646,1)-(D1646-C1646))),8)</f>
        <v/>
      </c>
      <c r="G1646" s="49">
        <f>TRUNC((E1646*F1646),8)</f>
        <v/>
      </c>
      <c r="H1646" s="49">
        <f>ROUND(((1+$H$4)^(30/360))^(C1646/(EDATE(D1646-B1646,1)-(D1646-B1646))),9)</f>
        <v/>
      </c>
      <c r="I1646" s="49">
        <f>TRUNC((G1646*H1646-G1646),8)</f>
        <v/>
      </c>
      <c r="J1646" s="49">
        <f>G1646+I1646</f>
        <v/>
      </c>
      <c r="K1646" s="256" t="n"/>
      <c r="L1646" s="256" t="n"/>
      <c r="M1646" s="256" t="n"/>
      <c r="N1646" s="256" t="n"/>
      <c r="O1646" s="256" t="n"/>
      <c r="P1646" s="256" t="n"/>
      <c r="Q1646" s="256" t="n"/>
    </row>
    <row r="1647">
      <c r="A1647">
        <f>IF(DAY(D1647)=DAY($L$1+1),A1646+1,A1646)</f>
        <v/>
      </c>
      <c r="B1647" s="46">
        <f>IF(DAY(D1647)=DAY($L$1+1),1,B1646+1)</f>
        <v/>
      </c>
      <c r="C1647" s="46">
        <f>IF(DAY(D1647)=DAY($L$1+1),1,C1646+1)</f>
        <v/>
      </c>
      <c r="D1647" s="2">
        <f>D1646+1</f>
        <v/>
      </c>
      <c r="E1647" s="8">
        <f>IF(DAY(D1647)=DAY($L$1+1),TRUNC((#REF!),8),E1646)</f>
        <v/>
      </c>
      <c r="F1647" s="49">
        <f>TRUNC(((1+VLOOKUP(A1647,IPCA!$A$2:$C$140,3,0)))^(C1647/(EDATE(D1647-C1647,1)-(D1647-C1647))),8)</f>
        <v/>
      </c>
      <c r="G1647" s="49">
        <f>TRUNC((E1647*F1647),8)</f>
        <v/>
      </c>
      <c r="H1647" s="49">
        <f>ROUND(((1+$H$4)^(30/360))^(C1647/(EDATE(D1647-B1647,1)-(D1647-B1647))),9)</f>
        <v/>
      </c>
      <c r="I1647" s="49">
        <f>TRUNC((G1647*H1647-G1647),8)</f>
        <v/>
      </c>
      <c r="J1647" s="49">
        <f>G1647+I1647</f>
        <v/>
      </c>
      <c r="K1647" s="256" t="n"/>
      <c r="L1647" s="256" t="n"/>
      <c r="M1647" s="256" t="n"/>
      <c r="N1647" s="256" t="n"/>
      <c r="O1647" s="256" t="n"/>
      <c r="P1647" s="256" t="n"/>
      <c r="Q1647" s="256" t="n"/>
    </row>
    <row r="1648">
      <c r="A1648">
        <f>IF(DAY(D1648)=DAY($L$1+1),A1647+1,A1647)</f>
        <v/>
      </c>
      <c r="B1648" s="46">
        <f>IF(DAY(D1648)=DAY($L$1+1),1,B1647+1)</f>
        <v/>
      </c>
      <c r="C1648" s="46">
        <f>IF(DAY(D1648)=DAY($L$1+1),1,C1647+1)</f>
        <v/>
      </c>
      <c r="D1648" s="2">
        <f>D1647+1</f>
        <v/>
      </c>
      <c r="E1648" s="8">
        <f>IF(DAY(D1648)=DAY($L$1+1),TRUNC((#REF!),8),E1647)</f>
        <v/>
      </c>
      <c r="F1648" s="49">
        <f>TRUNC(((1+VLOOKUP(A1648,IPCA!$A$2:$C$140,3,0)))^(C1648/(EDATE(D1648-C1648,1)-(D1648-C1648))),8)</f>
        <v/>
      </c>
      <c r="G1648" s="49">
        <f>TRUNC((E1648*F1648),8)</f>
        <v/>
      </c>
      <c r="H1648" s="49">
        <f>ROUND(((1+$H$4)^(30/360))^(C1648/(EDATE(D1648-B1648,1)-(D1648-B1648))),9)</f>
        <v/>
      </c>
      <c r="I1648" s="49">
        <f>TRUNC((G1648*H1648-G1648),8)</f>
        <v/>
      </c>
      <c r="J1648" s="49">
        <f>G1648+I1648</f>
        <v/>
      </c>
      <c r="K1648" s="256" t="n"/>
      <c r="L1648" s="256" t="n"/>
      <c r="M1648" s="256" t="n"/>
      <c r="N1648" s="256" t="n"/>
      <c r="O1648" s="256" t="n"/>
      <c r="P1648" s="256" t="n"/>
      <c r="Q1648" s="256" t="n"/>
    </row>
    <row r="1649">
      <c r="A1649">
        <f>IF(DAY(D1649)=DAY($L$1+1),A1648+1,A1648)</f>
        <v/>
      </c>
      <c r="B1649" s="46">
        <f>IF(DAY(D1649)=DAY($L$1+1),1,B1648+1)</f>
        <v/>
      </c>
      <c r="C1649" s="46">
        <f>IF(DAY(D1649)=DAY($L$1+1),1,C1648+1)</f>
        <v/>
      </c>
      <c r="D1649" s="2">
        <f>D1648+1</f>
        <v/>
      </c>
      <c r="E1649" s="8">
        <f>IF(DAY(D1649)=DAY($L$1+1),TRUNC((N1648),8),E1648)</f>
        <v/>
      </c>
      <c r="F1649" s="49">
        <f>TRUNC(((1+VLOOKUP(A1649,IPCA!$A$2:$C$140,3,0)))^(C1649/(EDATE(D1649-C1649,1)-(D1649-C1649))),8)</f>
        <v/>
      </c>
      <c r="G1649" s="49">
        <f>TRUNC((E1649*F1649),8)</f>
        <v/>
      </c>
      <c r="H1649" s="49">
        <f>ROUND(((1+$H$4)^(30/360))^(C1649/(EDATE(D1649-B1649,1)-(D1649-B1649))),9)</f>
        <v/>
      </c>
      <c r="I1649" s="49">
        <f>TRUNC((G1649*H1649-G1649),8)</f>
        <v/>
      </c>
      <c r="J1649" s="49">
        <f>G1649+I1649</f>
        <v/>
      </c>
      <c r="K1649" s="123" t="n"/>
      <c r="L1649" s="271" t="n"/>
      <c r="M1649" s="256" t="n"/>
      <c r="N1649" s="256" t="n"/>
      <c r="O1649" s="256" t="n"/>
      <c r="P1649" s="256" t="n"/>
      <c r="Q1649" s="256" t="n"/>
    </row>
    <row r="1650" ht="11.25" customHeight="1" s="260">
      <c r="A1650">
        <f>IF(DAY(D1650)=DAY($L$1+1),A1649+1,A1649)</f>
        <v/>
      </c>
      <c r="B1650" s="46">
        <f>IF(DAY(D1650)=DAY($L$1+1),1,B1649+1)</f>
        <v/>
      </c>
      <c r="C1650" s="46">
        <f>IF(DAY(D1650)=DAY($L$1+1),1,C1649+1)</f>
        <v/>
      </c>
      <c r="D1650" s="2">
        <f>D1649+1</f>
        <v/>
      </c>
      <c r="E1650" s="8">
        <f>IF(DAY(D1650)=DAY($L$1+1),TRUNC((N1649),8),E1649)</f>
        <v/>
      </c>
      <c r="F1650" s="49">
        <f>TRUNC(((1+VLOOKUP(A1650,IPCA!$A$2:$C$140,3,0)))^(C1650/(EDATE(D1650-C1650,1)-(D1650-C1650))),8)</f>
        <v/>
      </c>
      <c r="G1650" s="49">
        <f>TRUNC((E1650*F1650),8)</f>
        <v/>
      </c>
      <c r="H1650" s="49">
        <f>ROUND(((1+$H$4)^(30/360))^(C1650/(EDATE(D1650-B1650,1)-(D1650-B1650))),9)</f>
        <v/>
      </c>
      <c r="I1650" s="49">
        <f>TRUNC((G1650*H1650-G1650),8)</f>
        <v/>
      </c>
      <c r="J1650" s="49">
        <f>G1650+I1650</f>
        <v/>
      </c>
      <c r="K1650" s="256" t="n"/>
      <c r="L1650" s="256" t="n"/>
      <c r="M1650" s="256" t="n"/>
      <c r="N1650" s="256" t="n"/>
      <c r="O1650" s="256" t="n"/>
      <c r="P1650" s="256" t="n"/>
      <c r="Q1650" s="256" t="n"/>
    </row>
    <row r="1651">
      <c r="A1651">
        <f>IF(DAY(D1651)=DAY($L$1+1),A1650+1,A1650)</f>
        <v/>
      </c>
      <c r="B1651" s="46">
        <f>IF(DAY(D1651)=DAY($L$1+1),1,B1650+1)</f>
        <v/>
      </c>
      <c r="C1651" s="46">
        <f>IF(DAY(D1651)=DAY($L$1+1),1,C1650+1)</f>
        <v/>
      </c>
      <c r="D1651" s="2">
        <f>D1650+1</f>
        <v/>
      </c>
      <c r="E1651" s="8">
        <f>IF(DAY(D1651)=DAY($L$1+1),TRUNC((N1650),8),E1650)</f>
        <v/>
      </c>
      <c r="F1651" s="49">
        <f>TRUNC(((1+VLOOKUP(A1651,IPCA!$A$2:$C$140,3,0)))^(C1651/(EDATE(D1651-C1651,1)-(D1651-C1651))),8)</f>
        <v/>
      </c>
      <c r="G1651" s="49">
        <f>TRUNC((E1651*F1651),8)</f>
        <v/>
      </c>
      <c r="H1651" s="49">
        <f>ROUND(((1+$H$4)^(30/360))^(C1651/(EDATE(D1651-B1651,1)-(D1651-B1651))),9)</f>
        <v/>
      </c>
      <c r="I1651" s="49">
        <f>TRUNC((G1651*H1651-G1651),8)</f>
        <v/>
      </c>
      <c r="J1651" s="49">
        <f>G1651+I1651</f>
        <v/>
      </c>
      <c r="K1651" s="256" t="n"/>
      <c r="L1651" s="256" t="n"/>
      <c r="M1651" s="256" t="n"/>
      <c r="N1651" s="256" t="n"/>
      <c r="O1651" s="256" t="n"/>
      <c r="P1651" s="256" t="n"/>
      <c r="Q1651" s="256" t="n"/>
    </row>
    <row r="1652">
      <c r="A1652">
        <f>IF(DAY(D1652)=DAY($L$1+1),A1651+1,A1651)</f>
        <v/>
      </c>
      <c r="B1652" s="46">
        <f>IF(DAY(D1652)=DAY($L$1+1),1,B1651+1)</f>
        <v/>
      </c>
      <c r="C1652" s="46">
        <f>IF(DAY(D1652)=DAY($L$1+1),1,C1651+1)</f>
        <v/>
      </c>
      <c r="D1652" s="2">
        <f>D1651+1</f>
        <v/>
      </c>
      <c r="E1652" s="8">
        <f>IF(DAY(D1652)=DAY($L$1+1),TRUNC((N1651),8),E1651)</f>
        <v/>
      </c>
      <c r="F1652" s="49">
        <f>TRUNC(((1+VLOOKUP(A1652,IPCA!$A$2:$C$140,3,0)))^(C1652/(EDATE(D1652-C1652,1)-(D1652-C1652))),8)</f>
        <v/>
      </c>
      <c r="G1652" s="49">
        <f>TRUNC((E1652*F1652),8)</f>
        <v/>
      </c>
      <c r="H1652" s="49">
        <f>ROUND(((1+$H$4)^(30/360))^(C1652/(EDATE(D1652-B1652,1)-(D1652-B1652))),9)</f>
        <v/>
      </c>
      <c r="I1652" s="49">
        <f>TRUNC((G1652*H1652-G1652),8)</f>
        <v/>
      </c>
      <c r="J1652" s="49">
        <f>G1652+I1652</f>
        <v/>
      </c>
      <c r="K1652" s="256" t="n"/>
      <c r="L1652" s="256" t="n"/>
      <c r="M1652" s="256" t="n"/>
      <c r="N1652" s="256" t="n"/>
      <c r="O1652" s="256" t="n"/>
      <c r="P1652" s="256" t="n"/>
      <c r="Q1652" s="256" t="n"/>
    </row>
    <row r="1653">
      <c r="A1653">
        <f>IF(DAY(D1653)=DAY($L$1+1),A1652+1,A1652)</f>
        <v/>
      </c>
      <c r="B1653" s="46">
        <f>IF(DAY(D1653)=DAY($L$1+1),1,B1652+1)</f>
        <v/>
      </c>
      <c r="C1653" s="46">
        <f>IF(DAY(D1653)=DAY($L$1+1),1,C1652+1)</f>
        <v/>
      </c>
      <c r="D1653" s="2">
        <f>D1652+1</f>
        <v/>
      </c>
      <c r="E1653" s="8">
        <f>IF(DAY(D1653)=DAY($L$1+1),TRUNC((N1652),8),E1652)</f>
        <v/>
      </c>
      <c r="F1653" s="49">
        <f>TRUNC(((1+VLOOKUP(A1653,IPCA!$A$2:$C$140,3,0)))^(C1653/(EDATE(D1653-C1653,1)-(D1653-C1653))),8)</f>
        <v/>
      </c>
      <c r="G1653" s="49">
        <f>TRUNC((E1653*F1653),8)</f>
        <v/>
      </c>
      <c r="H1653" s="49">
        <f>ROUND(((1+$H$4)^(30/360))^(C1653/(EDATE(D1653-B1653,1)-(D1653-B1653))),9)</f>
        <v/>
      </c>
      <c r="I1653" s="49">
        <f>TRUNC((G1653*H1653-G1653),8)</f>
        <v/>
      </c>
      <c r="J1653" s="49">
        <f>G1653+I1653</f>
        <v/>
      </c>
      <c r="K1653" s="256" t="n"/>
      <c r="L1653" s="256" t="n"/>
      <c r="M1653" s="256" t="n"/>
      <c r="N1653" s="256" t="n"/>
      <c r="O1653" s="256" t="n"/>
      <c r="P1653" s="256" t="n"/>
      <c r="Q1653" s="256" t="n"/>
    </row>
    <row r="1654">
      <c r="A1654">
        <f>IF(DAY(D1654)=DAY($L$1+1),A1653+1,A1653)</f>
        <v/>
      </c>
      <c r="B1654" s="46">
        <f>IF(DAY(D1654)=DAY($L$1+1),1,B1653+1)</f>
        <v/>
      </c>
      <c r="C1654" s="46">
        <f>IF(DAY(D1654)=DAY($L$1+1),1,C1653+1)</f>
        <v/>
      </c>
      <c r="D1654" s="2">
        <f>D1653+1</f>
        <v/>
      </c>
      <c r="E1654" s="8">
        <f>IF(DAY(D1654)=DAY($L$1+1),TRUNC((N1653),8),E1653)</f>
        <v/>
      </c>
      <c r="F1654" s="49">
        <f>TRUNC(((1+VLOOKUP(A1654,IPCA!$A$2:$C$140,3,0)))^(C1654/(EDATE(D1654-C1654,1)-(D1654-C1654))),8)</f>
        <v/>
      </c>
      <c r="G1654" s="49">
        <f>TRUNC((E1654*F1654),8)</f>
        <v/>
      </c>
      <c r="H1654" s="49">
        <f>ROUND(((1+$H$4)^(30/360))^(C1654/(EDATE(D1654-B1654,1)-(D1654-B1654))),9)</f>
        <v/>
      </c>
      <c r="I1654" s="49">
        <f>TRUNC((G1654*H1654-G1654),8)</f>
        <v/>
      </c>
      <c r="J1654" s="49">
        <f>G1654+I1654</f>
        <v/>
      </c>
      <c r="K1654" s="256" t="n"/>
      <c r="L1654" s="256" t="n"/>
      <c r="M1654" s="256" t="n"/>
      <c r="N1654" s="256" t="n"/>
      <c r="O1654" s="256" t="n"/>
      <c r="P1654" s="256" t="n"/>
      <c r="Q1654" s="256" t="n"/>
    </row>
    <row r="1655">
      <c r="A1655">
        <f>IF(DAY(D1655)=DAY($L$1+1),A1654+1,A1654)</f>
        <v/>
      </c>
      <c r="B1655" s="46">
        <f>IF(DAY(D1655)=DAY($L$1+1),1,B1654+1)</f>
        <v/>
      </c>
      <c r="C1655" s="46">
        <f>IF(DAY(D1655)=DAY($L$1+1),1,C1654+1)</f>
        <v/>
      </c>
      <c r="D1655" s="2">
        <f>D1654+1</f>
        <v/>
      </c>
      <c r="E1655" s="8">
        <f>IF(DAY(D1655)=DAY($L$1+1),TRUNC((N1654),8),E1654)</f>
        <v/>
      </c>
      <c r="F1655" s="49">
        <f>TRUNC(((1+VLOOKUP(A1655,IPCA!$A$2:$C$140,3,0)))^(C1655/(EDATE(D1655-C1655,1)-(D1655-C1655))),8)</f>
        <v/>
      </c>
      <c r="G1655" s="49">
        <f>TRUNC((E1655*F1655),8)</f>
        <v/>
      </c>
      <c r="H1655" s="49">
        <f>ROUND(((1+$H$4)^(30/360))^(C1655/(EDATE(D1655-B1655,1)-(D1655-B1655))),9)</f>
        <v/>
      </c>
      <c r="I1655" s="49">
        <f>TRUNC((G1655*H1655-G1655),8)</f>
        <v/>
      </c>
      <c r="J1655" s="49">
        <f>G1655+I1655</f>
        <v/>
      </c>
      <c r="K1655" s="256" t="n"/>
      <c r="L1655" s="256" t="n"/>
      <c r="M1655" s="256" t="n"/>
      <c r="N1655" s="256" t="n"/>
      <c r="O1655" s="256" t="n"/>
      <c r="P1655" s="256" t="n"/>
      <c r="Q1655" s="256" t="n"/>
    </row>
    <row r="1656">
      <c r="A1656">
        <f>IF(DAY(D1656)=DAY($L$1+1),A1655+1,A1655)</f>
        <v/>
      </c>
      <c r="B1656" s="46">
        <f>IF(DAY(D1656)=DAY($L$1+1),1,B1655+1)</f>
        <v/>
      </c>
      <c r="C1656" s="46">
        <f>IF(DAY(D1656)=DAY($L$1+1),1,C1655+1)</f>
        <v/>
      </c>
      <c r="D1656" s="2">
        <f>D1655+1</f>
        <v/>
      </c>
      <c r="E1656" s="8">
        <f>IF(DAY(D1656)=DAY($L$1+1),TRUNC((N1655),8),E1655)</f>
        <v/>
      </c>
      <c r="F1656" s="49">
        <f>TRUNC(((1+VLOOKUP(A1656,IPCA!$A$2:$C$140,3,0)))^(C1656/(EDATE(D1656-C1656,1)-(D1656-C1656))),8)</f>
        <v/>
      </c>
      <c r="G1656" s="49">
        <f>TRUNC((E1656*F1656),8)</f>
        <v/>
      </c>
      <c r="H1656" s="49">
        <f>ROUND(((1+$H$4)^(30/360))^(C1656/(EDATE(D1656-B1656,1)-(D1656-B1656))),9)</f>
        <v/>
      </c>
      <c r="I1656" s="49">
        <f>TRUNC((G1656*H1656-G1656),8)</f>
        <v/>
      </c>
      <c r="J1656" s="49">
        <f>G1656+I1656</f>
        <v/>
      </c>
      <c r="K1656" s="256" t="n"/>
      <c r="L1656" s="256" t="n"/>
      <c r="M1656" s="256" t="n"/>
      <c r="N1656" s="256" t="n"/>
      <c r="O1656" s="256" t="n"/>
      <c r="P1656" s="256" t="n"/>
      <c r="Q1656" s="256" t="n"/>
    </row>
    <row r="1657">
      <c r="A1657">
        <f>IF(DAY(D1657)=DAY($L$1+1),A1656+1,A1656)</f>
        <v/>
      </c>
      <c r="B1657" s="46">
        <f>IF(DAY(D1657)=DAY($L$1+1),1,B1656+1)</f>
        <v/>
      </c>
      <c r="C1657" s="46">
        <f>IF(DAY(D1657)=DAY($L$1+1),1,C1656+1)</f>
        <v/>
      </c>
      <c r="D1657" s="2">
        <f>D1656+1</f>
        <v/>
      </c>
      <c r="E1657" s="8">
        <f>IF(DAY(D1657)=DAY($L$1+1),TRUNC((N1656),8),E1656)</f>
        <v/>
      </c>
      <c r="F1657" s="49">
        <f>TRUNC(((1+VLOOKUP(A1657,IPCA!$A$2:$C$140,3,0)))^(C1657/(EDATE(D1657-C1657,1)-(D1657-C1657))),8)</f>
        <v/>
      </c>
      <c r="G1657" s="49">
        <f>TRUNC((E1657*F1657),8)</f>
        <v/>
      </c>
      <c r="H1657" s="49">
        <f>ROUND(((1+$H$4)^(30/360))^(C1657/(EDATE(D1657-B1657,1)-(D1657-B1657))),9)</f>
        <v/>
      </c>
      <c r="I1657" s="49">
        <f>TRUNC((G1657*H1657-G1657),8)</f>
        <v/>
      </c>
      <c r="J1657" s="49">
        <f>G1657+I1657</f>
        <v/>
      </c>
      <c r="K1657" s="256" t="n"/>
      <c r="L1657" s="256" t="n"/>
      <c r="M1657" s="256" t="n"/>
      <c r="N1657" s="256" t="n"/>
      <c r="O1657" s="256" t="n"/>
      <c r="P1657" s="256" t="n"/>
      <c r="Q1657" s="256" t="n"/>
    </row>
    <row r="1658">
      <c r="A1658">
        <f>IF(DAY(D1658)=DAY($L$1+1),A1657+1,A1657)</f>
        <v/>
      </c>
      <c r="B1658" s="46">
        <f>IF(DAY(D1658)=DAY($L$1+1),1,B1657+1)</f>
        <v/>
      </c>
      <c r="C1658" s="46">
        <f>IF(DAY(D1658)=DAY($L$1+1),1,C1657+1)</f>
        <v/>
      </c>
      <c r="D1658" s="2">
        <f>D1657+1</f>
        <v/>
      </c>
      <c r="E1658" s="8">
        <f>IF(DAY(D1658)=DAY($L$1+1),TRUNC((N1657),8),E1657)</f>
        <v/>
      </c>
      <c r="F1658" s="49">
        <f>TRUNC(((1+VLOOKUP(A1658,IPCA!$A$2:$C$140,3,0)))^(C1658/(EDATE(D1658-C1658,1)-(D1658-C1658))),8)</f>
        <v/>
      </c>
      <c r="G1658" s="49">
        <f>TRUNC((E1658*F1658),8)</f>
        <v/>
      </c>
      <c r="H1658" s="49">
        <f>ROUND(((1+$H$4)^(30/360))^(C1658/(EDATE(D1658-B1658,1)-(D1658-B1658))),9)</f>
        <v/>
      </c>
      <c r="I1658" s="49">
        <f>TRUNC((G1658*H1658-G1658),8)</f>
        <v/>
      </c>
      <c r="J1658" s="49">
        <f>G1658+I1658</f>
        <v/>
      </c>
      <c r="K1658" s="256" t="n"/>
      <c r="L1658" s="256" t="n"/>
      <c r="M1658" s="256" t="n"/>
      <c r="N1658" s="256" t="n"/>
      <c r="O1658" s="256" t="n"/>
      <c r="P1658" s="256" t="n"/>
      <c r="Q1658" s="256" t="n"/>
    </row>
    <row r="1659">
      <c r="A1659">
        <f>IF(DAY(D1659)=DAY($L$1+1),A1658+1,A1658)</f>
        <v/>
      </c>
      <c r="B1659" s="46">
        <f>IF(DAY(D1659)=DAY($L$1+1),1,B1658+1)</f>
        <v/>
      </c>
      <c r="C1659" s="46">
        <f>IF(DAY(D1659)=DAY($L$1+1),1,C1658+1)</f>
        <v/>
      </c>
      <c r="D1659" s="2">
        <f>D1658+1</f>
        <v/>
      </c>
      <c r="E1659" s="8">
        <f>IF(DAY(D1659)=DAY($L$1+1),TRUNC((N1658),8),E1658)</f>
        <v/>
      </c>
      <c r="F1659" s="49">
        <f>TRUNC(((1+VLOOKUP(A1659,IPCA!$A$2:$C$140,3,0)))^(C1659/(EDATE(D1659-C1659,1)-(D1659-C1659))),8)</f>
        <v/>
      </c>
      <c r="G1659" s="49">
        <f>TRUNC((E1659*F1659),8)</f>
        <v/>
      </c>
      <c r="H1659" s="49">
        <f>ROUND(((1+$H$4)^(30/360))^(C1659/(EDATE(D1659-B1659,1)-(D1659-B1659))),9)</f>
        <v/>
      </c>
      <c r="I1659" s="49">
        <f>TRUNC((G1659*H1659-G1659),8)</f>
        <v/>
      </c>
      <c r="J1659" s="49">
        <f>G1659+I1659</f>
        <v/>
      </c>
      <c r="K1659" s="256" t="n"/>
      <c r="L1659" s="256" t="n"/>
      <c r="M1659" s="256" t="n"/>
      <c r="N1659" s="256" t="n"/>
      <c r="O1659" s="256" t="n"/>
      <c r="P1659" s="256" t="n"/>
      <c r="Q1659" s="256" t="n"/>
    </row>
    <row r="1660">
      <c r="A1660">
        <f>IF(DAY(D1660)=DAY($L$1+1),A1659+1,A1659)</f>
        <v/>
      </c>
      <c r="B1660" s="46">
        <f>IF(DAY(D1660)=DAY($L$1+1),1,B1659+1)</f>
        <v/>
      </c>
      <c r="C1660" s="46">
        <f>IF(DAY(D1660)=DAY($L$1+1),1,C1659+1)</f>
        <v/>
      </c>
      <c r="D1660" s="2">
        <f>D1659+1</f>
        <v/>
      </c>
      <c r="E1660" s="8">
        <f>IF(DAY(D1660)=DAY($L$1+1),TRUNC((N1659),8),E1659)</f>
        <v/>
      </c>
      <c r="F1660" s="49">
        <f>TRUNC(((1+VLOOKUP(A1660,IPCA!$A$2:$C$140,3,0)))^(C1660/(EDATE(D1660-C1660,1)-(D1660-C1660))),8)</f>
        <v/>
      </c>
      <c r="G1660" s="49">
        <f>TRUNC((E1660*F1660),8)</f>
        <v/>
      </c>
      <c r="H1660" s="49">
        <f>ROUND(((1+$H$4)^(30/360))^(C1660/(EDATE(D1660-B1660,1)-(D1660-B1660))),9)</f>
        <v/>
      </c>
      <c r="I1660" s="49">
        <f>TRUNC((G1660*H1660-G1660),8)</f>
        <v/>
      </c>
      <c r="J1660" s="49">
        <f>G1660+I1660</f>
        <v/>
      </c>
      <c r="K1660" s="256" t="n"/>
      <c r="L1660" s="256" t="n"/>
      <c r="M1660" s="256" t="n"/>
      <c r="N1660" s="256" t="n"/>
      <c r="O1660" s="256" t="n"/>
      <c r="P1660" s="256" t="n"/>
      <c r="Q1660" s="256" t="n"/>
    </row>
    <row r="1661">
      <c r="A1661">
        <f>IF(DAY(D1661)=DAY($L$1+1),A1660+1,A1660)</f>
        <v/>
      </c>
      <c r="B1661" s="46">
        <f>IF(DAY(D1661)=DAY($L$1+1),1,B1660+1)</f>
        <v/>
      </c>
      <c r="C1661" s="46">
        <f>IF(DAY(D1661)=DAY($L$1+1),1,C1660+1)</f>
        <v/>
      </c>
      <c r="D1661" s="2">
        <f>D1660+1</f>
        <v/>
      </c>
      <c r="E1661" s="8">
        <f>IF(DAY(D1661)=DAY($L$1+1),TRUNC((N1660),8),E1660)</f>
        <v/>
      </c>
      <c r="F1661" s="49">
        <f>TRUNC(((1+VLOOKUP(A1661,IPCA!$A$2:$C$140,3,0)))^(C1661/(EDATE(D1661-C1661,1)-(D1661-C1661))),8)</f>
        <v/>
      </c>
      <c r="G1661" s="49">
        <f>TRUNC((E1661*F1661),8)</f>
        <v/>
      </c>
      <c r="H1661" s="49">
        <f>ROUND(((1+$H$4)^(30/360))^(C1661/(EDATE(D1661-B1661,1)-(D1661-B1661))),9)</f>
        <v/>
      </c>
      <c r="I1661" s="49">
        <f>TRUNC((G1661*H1661-G1661),8)</f>
        <v/>
      </c>
      <c r="J1661" s="49">
        <f>G1661+I1661</f>
        <v/>
      </c>
      <c r="K1661" s="256" t="n"/>
      <c r="L1661" s="256" t="n"/>
      <c r="M1661" s="256" t="n"/>
      <c r="N1661" s="256" t="n"/>
      <c r="O1661" s="256" t="n"/>
      <c r="P1661" s="256" t="n"/>
      <c r="Q1661" s="256" t="n"/>
    </row>
    <row r="1662">
      <c r="A1662">
        <f>IF(DAY(D1662)=DAY($L$1+1),A1661+1,A1661)</f>
        <v/>
      </c>
      <c r="B1662" s="46">
        <f>IF(DAY(D1662)=DAY($L$1+1),1,B1661+1)</f>
        <v/>
      </c>
      <c r="C1662" s="46">
        <f>IF(DAY(D1662)=DAY($L$1+1),1,C1661+1)</f>
        <v/>
      </c>
      <c r="D1662" s="2">
        <f>D1661+1</f>
        <v/>
      </c>
      <c r="E1662" s="8">
        <f>IF(DAY(D1662)=DAY($L$1+1),TRUNC((N1661),8),E1661)</f>
        <v/>
      </c>
      <c r="F1662" s="49">
        <f>TRUNC(((1+VLOOKUP(A1662,IPCA!$A$2:$C$140,3,0)))^(C1662/(EDATE(D1662-C1662,1)-(D1662-C1662))),8)</f>
        <v/>
      </c>
      <c r="G1662" s="49">
        <f>TRUNC((E1662*F1662),8)</f>
        <v/>
      </c>
      <c r="H1662" s="49">
        <f>ROUND(((1+$H$4)^(30/360))^(C1662/(EDATE(D1662-B1662,1)-(D1662-B1662))),9)</f>
        <v/>
      </c>
      <c r="I1662" s="49">
        <f>TRUNC((G1662*H1662-G1662),8)</f>
        <v/>
      </c>
      <c r="J1662" s="49">
        <f>G1662+I1662</f>
        <v/>
      </c>
      <c r="K1662" s="256" t="inlineStr">
        <is>
          <t>Cri Integralizado</t>
        </is>
      </c>
      <c r="L1662" s="270">
        <f>L1631</f>
        <v/>
      </c>
      <c r="M1662" s="256" t="n"/>
      <c r="N1662" s="256" t="n"/>
      <c r="O1662" s="256" t="n"/>
      <c r="P1662" s="256" t="n"/>
      <c r="Q1662" s="256" t="n"/>
    </row>
    <row r="1663">
      <c r="A1663">
        <f>IF(DAY(D1663)=DAY($L$1+1),A1662+1,A1662)</f>
        <v/>
      </c>
      <c r="B1663" s="46">
        <f>IF(DAY(D1663)=DAY($L$1+1),1,B1662+1)</f>
        <v/>
      </c>
      <c r="C1663" s="46">
        <f>IF(DAY(D1663)=DAY($L$1+1),1,C1662+1)</f>
        <v/>
      </c>
      <c r="D1663" s="47">
        <f>D1662+1</f>
        <v/>
      </c>
      <c r="E1663" s="8">
        <f>IF(DAY(D1663)=DAY($L$1+1),TRUNC((N1662),8),E1662)</f>
        <v/>
      </c>
      <c r="F1663" s="49">
        <f>TRUNC(((1+VLOOKUP(A1663,IPCA!$A$2:$C$140,3,0)))^(C1663/(EDATE(D1663-C1663,1)-(D1663-C1663))),8)</f>
        <v/>
      </c>
      <c r="G1663" s="49">
        <f>TRUNC((E1663*F1663),8)</f>
        <v/>
      </c>
      <c r="H1663" s="49">
        <f>ROUND(((1+$H$4)^(30/360))^(C1663/(EDATE(D1663-B1663,1)-(D1663-B1663))),9)</f>
        <v/>
      </c>
      <c r="I1663" s="49">
        <f>TRUNC((G1663*H1663-G1663),8)</f>
        <v/>
      </c>
      <c r="J1663" s="49">
        <f>G1663+I1663</f>
        <v/>
      </c>
      <c r="K1663" s="118" t="inlineStr">
        <is>
          <t>JUROS</t>
        </is>
      </c>
      <c r="L1663" s="118" t="inlineStr">
        <is>
          <t>AMORTIZAÇÃO</t>
        </is>
      </c>
      <c r="M1663" s="118" t="inlineStr">
        <is>
          <t>AMEX</t>
        </is>
      </c>
      <c r="N1663" s="118" t="inlineStr">
        <is>
          <t>RESIDUAL</t>
        </is>
      </c>
      <c r="O1663" s="256" t="n"/>
      <c r="P1663" s="256" t="n"/>
      <c r="Q1663" s="256" t="n"/>
    </row>
    <row r="1664">
      <c r="A1664">
        <f>IF(DAY(D1664)=DAY($L$1+1),A1663+1,A1663)</f>
        <v/>
      </c>
      <c r="B1664" s="111">
        <f>IF(DAY(D1664)=DAY($L$1+1),1,B1663+1)</f>
        <v/>
      </c>
      <c r="C1664" s="111">
        <f>IF(DAY(D1664)=DAY($L$1+1),1,C1663+1)</f>
        <v/>
      </c>
      <c r="D1664" s="112">
        <f>D1663+1</f>
        <v/>
      </c>
      <c r="E1664" s="113">
        <f>IF(DAY(D1664)=DAY($L$1+1),TRUNC((N1663),8),E1663)</f>
        <v/>
      </c>
      <c r="F1664" s="114">
        <f>TRUNC(((1+VLOOKUP(A1664,IPCA!$A$2:$C$140,3,0)))^(C1664/(EDATE(D1664-C1664,1)-(D1664-C1664))),8)</f>
        <v/>
      </c>
      <c r="G1664" s="114">
        <f>TRUNC((E1664*F1664),8)</f>
        <v/>
      </c>
      <c r="H1664" s="114">
        <f>ROUND(((1+$H$4)^(30/360))^(C1664/(EDATE(D1664-B1664,1)-(D1664-B1664))),9)</f>
        <v/>
      </c>
      <c r="I1664" s="114">
        <f>TRUNC((G1664*H1664-G1664),8)</f>
        <v/>
      </c>
      <c r="J1664" s="114">
        <f>G1664+I1664</f>
        <v/>
      </c>
      <c r="K1664" s="119">
        <f>I1664</f>
        <v/>
      </c>
      <c r="L1664" s="120">
        <f>TRUNC(G1664*VLOOKUP(D1664,'Amort TS'!$G$3:$H$140,2,0),8)</f>
        <v/>
      </c>
      <c r="M1664" s="120" t="n">
        <v>0</v>
      </c>
      <c r="N1664" s="120">
        <f>J1664-K1664-L1664-M1664</f>
        <v/>
      </c>
      <c r="O1664" s="256" t="n"/>
      <c r="P1664" s="256" t="n"/>
      <c r="Q1664" s="256" t="n"/>
    </row>
    <row r="1665">
      <c r="A1665">
        <f>IF(DAY(D1665)=DAY($L$1+1),A1664+1,A1664)</f>
        <v/>
      </c>
      <c r="B1665" s="46">
        <f>IF(DAY(D1665)=DAY($L$1+1),1,B1664+1)</f>
        <v/>
      </c>
      <c r="C1665" s="46">
        <f>IF(DAY(D1665)=DAY($L$1+1),1,C1664+1)</f>
        <v/>
      </c>
      <c r="D1665" s="2">
        <f>D1664+1</f>
        <v/>
      </c>
      <c r="E1665" s="8">
        <f>IF(DAY(D1665)=DAY($L$1+1),TRUNC((N1664),8),E1664)</f>
        <v/>
      </c>
      <c r="F1665" s="49">
        <f>TRUNC(((1+VLOOKUP(A1665,IPCA!$A$2:$C$140,3,0)))^(C1665/(EDATE(D1665-C1665,1)-(D1665-C1665))),8)</f>
        <v/>
      </c>
      <c r="G1665" s="49">
        <f>TRUNC((E1665*F1665),8)</f>
        <v/>
      </c>
      <c r="H1665" s="49">
        <f>ROUND(((1+$H$4)^(30/360))^(C1665/(EDATE(D1665-B1665,1)-(D1665-B1665))),9)</f>
        <v/>
      </c>
      <c r="I1665" s="49">
        <f>TRUNC((G1665*H1665-G1665),8)</f>
        <v/>
      </c>
      <c r="J1665" s="49">
        <f>G1665+I1665</f>
        <v/>
      </c>
      <c r="K1665" s="121">
        <f>K1664*L1662</f>
        <v/>
      </c>
      <c r="L1665" s="121">
        <f>L1664*L1662</f>
        <v/>
      </c>
      <c r="M1665" s="121">
        <f>M1664*L1662</f>
        <v/>
      </c>
      <c r="N1665" s="121">
        <f>N1664*L1662</f>
        <v/>
      </c>
      <c r="O1665" s="256" t="n"/>
      <c r="P1665" s="256" t="n"/>
      <c r="Q1665" s="256" t="n"/>
    </row>
    <row r="1666">
      <c r="A1666">
        <f>IF(DAY(D1666)=DAY($L$1+1),A1665+1,A1665)</f>
        <v/>
      </c>
      <c r="B1666" s="46">
        <f>IF(DAY(D1666)=DAY($L$1+1),1,B1665+1)</f>
        <v/>
      </c>
      <c r="C1666" s="46">
        <f>IF(DAY(D1666)=DAY($L$1+1),1,C1665+1)</f>
        <v/>
      </c>
      <c r="D1666" s="47">
        <f>D1665+1</f>
        <v/>
      </c>
      <c r="E1666" s="8">
        <f>IF(DAY(D1666)=DAY($L$1+1),TRUNC((N1665),8),E1665)</f>
        <v/>
      </c>
      <c r="F1666" s="49">
        <f>TRUNC(((1+VLOOKUP(A1666,IPCA!$A$2:$C$140,3,0)))^(C1666/(EDATE(D1666-C1666,1)-(D1666-C1666))),8)</f>
        <v/>
      </c>
      <c r="G1666" s="49">
        <f>TRUNC((E1666*F1666),8)</f>
        <v/>
      </c>
      <c r="H1666" s="49">
        <f>ROUND(((1+$H$4)^(30/360))^(C1666/(EDATE(D1666-B1666,1)-(D1666-B1666))),9)</f>
        <v/>
      </c>
      <c r="I1666" s="49">
        <f>TRUNC((G1666*H1666-G1666),8)</f>
        <v/>
      </c>
      <c r="J1666" s="49">
        <f>G1666+I1666</f>
        <v/>
      </c>
      <c r="K1666" s="256" t="n"/>
      <c r="L1666" s="256" t="n"/>
      <c r="M1666" s="256" t="n"/>
      <c r="N1666" s="256" t="n"/>
      <c r="O1666" s="256" t="n"/>
      <c r="P1666" s="256" t="n"/>
      <c r="Q1666" s="256" t="n"/>
    </row>
    <row r="1667">
      <c r="A1667">
        <f>IF(DAY(D1667)=DAY($L$1+1),A1666+1,A1666)</f>
        <v/>
      </c>
      <c r="B1667" s="46">
        <f>IF(DAY(D1667)=DAY($L$1+1),1,B1666+1)</f>
        <v/>
      </c>
      <c r="C1667" s="46">
        <f>IF(DAY(D1667)=DAY($L$1+1),1,C1666+1)</f>
        <v/>
      </c>
      <c r="D1667" s="2">
        <f>D1666+1</f>
        <v/>
      </c>
      <c r="E1667" s="8">
        <f>IF(DAY(D1667)=DAY($L$1+1),TRUNC((#REF!),8),E1666)</f>
        <v/>
      </c>
      <c r="F1667" s="49">
        <f>TRUNC(((1+VLOOKUP(A1667,IPCA!$A$2:$C$140,3,0)))^(C1667/(EDATE(D1667-C1667,1)-(D1667-C1667))),8)</f>
        <v/>
      </c>
      <c r="G1667" s="49">
        <f>TRUNC((E1667*F1667),8)</f>
        <v/>
      </c>
      <c r="H1667" s="49">
        <f>ROUND(((1+$H$4)^(30/360))^(C1667/(EDATE(D1667-B1667,1)-(D1667-B1667))),9)</f>
        <v/>
      </c>
      <c r="I1667" s="49">
        <f>TRUNC((G1667*H1667-G1667),8)</f>
        <v/>
      </c>
      <c r="J1667" s="49">
        <f>G1667+I1667</f>
        <v/>
      </c>
      <c r="K1667" s="256" t="n"/>
      <c r="L1667" s="256" t="n"/>
      <c r="M1667" s="256" t="n"/>
      <c r="N1667" s="256" t="n"/>
      <c r="O1667" s="256" t="n"/>
      <c r="P1667" s="256" t="n"/>
      <c r="Q1667" s="256" t="n"/>
    </row>
    <row r="1668">
      <c r="A1668">
        <f>IF(DAY(D1668)=DAY($L$1+1),A1667+1,A1667)</f>
        <v/>
      </c>
      <c r="B1668" s="46">
        <f>IF(DAY(D1668)=DAY($L$1+1),1,B1667+1)</f>
        <v/>
      </c>
      <c r="C1668" s="46">
        <f>IF(DAY(D1668)=DAY($L$1+1),1,C1667+1)</f>
        <v/>
      </c>
      <c r="D1668" s="2">
        <f>D1667+1</f>
        <v/>
      </c>
      <c r="E1668" s="8">
        <f>IF(DAY(D1668)=DAY($L$1+1),TRUNC((#REF!),8),E1667)</f>
        <v/>
      </c>
      <c r="F1668" s="49">
        <f>TRUNC(((1+VLOOKUP(A1668,IPCA!$A$2:$C$140,3,0)))^(C1668/(EDATE(D1668-C1668,1)-(D1668-C1668))),8)</f>
        <v/>
      </c>
      <c r="G1668" s="49">
        <f>TRUNC((E1668*F1668),8)</f>
        <v/>
      </c>
      <c r="H1668" s="49">
        <f>ROUND(((1+$H$4)^(30/360))^(C1668/(EDATE(D1668-B1668,1)-(D1668-B1668))),9)</f>
        <v/>
      </c>
      <c r="I1668" s="49">
        <f>TRUNC((G1668*H1668-G1668),8)</f>
        <v/>
      </c>
      <c r="J1668" s="49">
        <f>G1668+I1668</f>
        <v/>
      </c>
      <c r="K1668" s="256" t="n"/>
      <c r="L1668" s="256" t="n"/>
      <c r="M1668" s="256" t="n"/>
      <c r="N1668" s="256" t="n"/>
      <c r="O1668" s="256" t="n"/>
      <c r="P1668" s="256" t="n"/>
      <c r="Q1668" s="256" t="n"/>
    </row>
    <row r="1669">
      <c r="A1669">
        <f>IF(DAY(D1669)=DAY($L$1+1),A1668+1,A1668)</f>
        <v/>
      </c>
      <c r="B1669" s="46">
        <f>IF(DAY(D1669)=DAY($L$1+1),1,B1668+1)</f>
        <v/>
      </c>
      <c r="C1669" s="46">
        <f>IF(DAY(D1669)=DAY($L$1+1),1,C1668+1)</f>
        <v/>
      </c>
      <c r="D1669" s="2">
        <f>D1668+1</f>
        <v/>
      </c>
      <c r="E1669" s="8">
        <f>IF(DAY(D1669)=DAY($L$1+1),TRUNC((#REF!),8),E1668)</f>
        <v/>
      </c>
      <c r="F1669" s="49">
        <f>TRUNC(((1+VLOOKUP(A1669,IPCA!$A$2:$C$140,3,0)))^(C1669/(EDATE(D1669-C1669,1)-(D1669-C1669))),8)</f>
        <v/>
      </c>
      <c r="G1669" s="49">
        <f>TRUNC((E1669*F1669),8)</f>
        <v/>
      </c>
      <c r="H1669" s="49">
        <f>ROUND(((1+$H$4)^(30/360))^(C1669/(EDATE(D1669-B1669,1)-(D1669-B1669))),9)</f>
        <v/>
      </c>
      <c r="I1669" s="49">
        <f>TRUNC((G1669*H1669-G1669),8)</f>
        <v/>
      </c>
      <c r="J1669" s="49">
        <f>G1669+I1669</f>
        <v/>
      </c>
      <c r="K1669" s="256" t="n"/>
      <c r="L1669" s="256" t="n"/>
      <c r="M1669" s="256" t="n"/>
      <c r="N1669" s="256" t="n"/>
      <c r="O1669" s="256" t="n"/>
      <c r="P1669" s="256" t="n"/>
      <c r="Q1669" s="256" t="n"/>
    </row>
    <row r="1670">
      <c r="A1670">
        <f>IF(DAY(D1670)=DAY($L$1+1),A1669+1,A1669)</f>
        <v/>
      </c>
      <c r="B1670" s="46">
        <f>IF(DAY(D1670)=DAY($L$1+1),1,B1669+1)</f>
        <v/>
      </c>
      <c r="C1670" s="46">
        <f>IF(DAY(D1670)=DAY($L$1+1),1,C1669+1)</f>
        <v/>
      </c>
      <c r="D1670" s="2">
        <f>D1669+1</f>
        <v/>
      </c>
      <c r="E1670" s="8">
        <f>IF(DAY(D1670)=DAY($L$1+1),TRUNC((#REF!),8),E1669)</f>
        <v/>
      </c>
      <c r="F1670" s="49">
        <f>TRUNC(((1+VLOOKUP(A1670,IPCA!$A$2:$C$140,3,0)))^(C1670/(EDATE(D1670-C1670,1)-(D1670-C1670))),8)</f>
        <v/>
      </c>
      <c r="G1670" s="49">
        <f>TRUNC((E1670*F1670),8)</f>
        <v/>
      </c>
      <c r="H1670" s="49">
        <f>ROUND(((1+$H$4)^(30/360))^(C1670/(EDATE(D1670-B1670,1)-(D1670-B1670))),9)</f>
        <v/>
      </c>
      <c r="I1670" s="49">
        <f>TRUNC((G1670*H1670-G1670),8)</f>
        <v/>
      </c>
      <c r="J1670" s="49">
        <f>G1670+I1670</f>
        <v/>
      </c>
      <c r="K1670" s="256" t="n"/>
      <c r="L1670" s="256" t="n"/>
      <c r="M1670" s="256" t="n"/>
      <c r="N1670" s="256" t="n"/>
      <c r="O1670" s="256" t="n"/>
      <c r="P1670" s="256" t="n"/>
      <c r="Q1670" s="256" t="n"/>
    </row>
    <row r="1671">
      <c r="A1671">
        <f>IF(DAY(D1671)=DAY($L$1+1),A1670+1,A1670)</f>
        <v/>
      </c>
      <c r="B1671" s="46">
        <f>IF(DAY(D1671)=DAY($L$1+1),1,B1670+1)</f>
        <v/>
      </c>
      <c r="C1671" s="46">
        <f>IF(DAY(D1671)=DAY($L$1+1),1,C1670+1)</f>
        <v/>
      </c>
      <c r="D1671" s="2">
        <f>D1670+1</f>
        <v/>
      </c>
      <c r="E1671" s="8">
        <f>IF(DAY(D1671)=DAY($L$1+1),TRUNC((#REF!),8),E1670)</f>
        <v/>
      </c>
      <c r="F1671" s="49">
        <f>TRUNC(((1+VLOOKUP(A1671,IPCA!$A$2:$C$140,3,0)))^(C1671/(EDATE(D1671-C1671,1)-(D1671-C1671))),8)</f>
        <v/>
      </c>
      <c r="G1671" s="49">
        <f>TRUNC((E1671*F1671),8)</f>
        <v/>
      </c>
      <c r="H1671" s="49">
        <f>ROUND(((1+$H$4)^(30/360))^(C1671/(EDATE(D1671-B1671,1)-(D1671-B1671))),9)</f>
        <v/>
      </c>
      <c r="I1671" s="49">
        <f>TRUNC((G1671*H1671-G1671),8)</f>
        <v/>
      </c>
      <c r="J1671" s="49">
        <f>G1671+I1671</f>
        <v/>
      </c>
      <c r="K1671" s="256" t="n"/>
      <c r="L1671" s="256" t="n"/>
      <c r="M1671" s="256" t="n"/>
      <c r="N1671" s="256" t="n"/>
      <c r="O1671" s="256" t="n"/>
      <c r="P1671" s="256" t="n"/>
      <c r="Q1671" s="256" t="n"/>
    </row>
    <row r="1672">
      <c r="A1672">
        <f>IF(DAY(D1672)=DAY($L$1+1),A1671+1,A1671)</f>
        <v/>
      </c>
      <c r="B1672" s="46">
        <f>IF(DAY(D1672)=DAY($L$1+1),1,B1671+1)</f>
        <v/>
      </c>
      <c r="C1672" s="46">
        <f>IF(DAY(D1672)=DAY($L$1+1),1,C1671+1)</f>
        <v/>
      </c>
      <c r="D1672" s="2">
        <f>D1671+1</f>
        <v/>
      </c>
      <c r="E1672" s="8">
        <f>IF(DAY(D1672)=DAY($L$1+1),TRUNC((#REF!),8),E1671)</f>
        <v/>
      </c>
      <c r="F1672" s="49">
        <f>TRUNC(((1+VLOOKUP(A1672,IPCA!$A$2:$C$140,3,0)))^(C1672/(EDATE(D1672-C1672,1)-(D1672-C1672))),8)</f>
        <v/>
      </c>
      <c r="G1672" s="49">
        <f>TRUNC((E1672*F1672),8)</f>
        <v/>
      </c>
      <c r="H1672" s="49">
        <f>ROUND(((1+$H$4)^(30/360))^(C1672/(EDATE(D1672-B1672,1)-(D1672-B1672))),9)</f>
        <v/>
      </c>
      <c r="I1672" s="49">
        <f>TRUNC((G1672*H1672-G1672),8)</f>
        <v/>
      </c>
      <c r="J1672" s="49">
        <f>G1672+I1672</f>
        <v/>
      </c>
      <c r="K1672" s="256" t="n"/>
      <c r="L1672" s="256" t="n"/>
      <c r="M1672" s="256" t="n"/>
      <c r="N1672" s="256" t="n"/>
      <c r="O1672" s="256" t="n"/>
      <c r="P1672" s="256" t="n"/>
      <c r="Q1672" s="256" t="n"/>
    </row>
    <row r="1673">
      <c r="A1673">
        <f>IF(DAY(D1673)=DAY($L$1+1),A1672+1,A1672)</f>
        <v/>
      </c>
      <c r="B1673" s="46">
        <f>IF(DAY(D1673)=DAY($L$1+1),1,B1672+1)</f>
        <v/>
      </c>
      <c r="C1673" s="46">
        <f>IF(DAY(D1673)=DAY($L$1+1),1,C1672+1)</f>
        <v/>
      </c>
      <c r="D1673" s="2">
        <f>D1672+1</f>
        <v/>
      </c>
      <c r="E1673" s="8">
        <f>IF(DAY(D1673)=DAY($L$1+1),TRUNC((#REF!),8),E1672)</f>
        <v/>
      </c>
      <c r="F1673" s="49">
        <f>TRUNC(((1+VLOOKUP(A1673,IPCA!$A$2:$C$140,3,0)))^(C1673/(EDATE(D1673-C1673,1)-(D1673-C1673))),8)</f>
        <v/>
      </c>
      <c r="G1673" s="49">
        <f>TRUNC((E1673*F1673),8)</f>
        <v/>
      </c>
      <c r="H1673" s="49">
        <f>ROUND(((1+$H$4)^(30/360))^(C1673/(EDATE(D1673-B1673,1)-(D1673-B1673))),9)</f>
        <v/>
      </c>
      <c r="I1673" s="49">
        <f>TRUNC((G1673*H1673-G1673),8)</f>
        <v/>
      </c>
      <c r="J1673" s="49">
        <f>G1673+I1673</f>
        <v/>
      </c>
      <c r="K1673" s="256" t="n"/>
      <c r="L1673" s="256" t="n"/>
      <c r="M1673" s="256" t="n"/>
      <c r="N1673" s="256" t="n"/>
      <c r="O1673" s="256" t="n"/>
      <c r="P1673" s="256" t="n"/>
      <c r="Q1673" s="256" t="n"/>
    </row>
    <row r="1674">
      <c r="A1674">
        <f>IF(DAY(D1674)=DAY($L$1+1),A1673+1,A1673)</f>
        <v/>
      </c>
      <c r="B1674" s="46">
        <f>IF(DAY(D1674)=DAY($L$1+1),1,B1673+1)</f>
        <v/>
      </c>
      <c r="C1674" s="46">
        <f>IF(DAY(D1674)=DAY($L$1+1),1,C1673+1)</f>
        <v/>
      </c>
      <c r="D1674" s="2">
        <f>D1673+1</f>
        <v/>
      </c>
      <c r="E1674" s="8">
        <f>IF(DAY(D1674)=DAY($L$1+1),TRUNC((#REF!),8),E1673)</f>
        <v/>
      </c>
      <c r="F1674" s="49">
        <f>TRUNC(((1+VLOOKUP(A1674,IPCA!$A$2:$C$140,3,0)))^(C1674/(EDATE(D1674-C1674,1)-(D1674-C1674))),8)</f>
        <v/>
      </c>
      <c r="G1674" s="49">
        <f>TRUNC((E1674*F1674),8)</f>
        <v/>
      </c>
      <c r="H1674" s="49">
        <f>ROUND(((1+$H$4)^(30/360))^(C1674/(EDATE(D1674-B1674,1)-(D1674-B1674))),9)</f>
        <v/>
      </c>
      <c r="I1674" s="49">
        <f>TRUNC((G1674*H1674-G1674),8)</f>
        <v/>
      </c>
      <c r="J1674" s="49">
        <f>G1674+I1674</f>
        <v/>
      </c>
      <c r="K1674" s="256" t="n"/>
      <c r="L1674" s="256" t="n"/>
      <c r="M1674" s="256" t="n"/>
      <c r="N1674" s="256" t="n"/>
      <c r="O1674" s="256" t="n"/>
      <c r="P1674" s="256" t="n"/>
      <c r="Q1674" s="256" t="n"/>
    </row>
    <row r="1675">
      <c r="A1675">
        <f>IF(DAY(D1675)=DAY($L$1+1),A1674+1,A1674)</f>
        <v/>
      </c>
      <c r="B1675" s="46">
        <f>IF(DAY(D1675)=DAY($L$1+1),1,B1674+1)</f>
        <v/>
      </c>
      <c r="C1675" s="46">
        <f>IF(DAY(D1675)=DAY($L$1+1),1,C1674+1)</f>
        <v/>
      </c>
      <c r="D1675" s="2">
        <f>D1674+1</f>
        <v/>
      </c>
      <c r="E1675" s="8">
        <f>IF(DAY(D1675)=DAY($L$1+1),TRUNC((#REF!),8),E1674)</f>
        <v/>
      </c>
      <c r="F1675" s="49">
        <f>TRUNC(((1+VLOOKUP(A1675,IPCA!$A$2:$C$140,3,0)))^(C1675/(EDATE(D1675-C1675,1)-(D1675-C1675))),8)</f>
        <v/>
      </c>
      <c r="G1675" s="49">
        <f>TRUNC((E1675*F1675),8)</f>
        <v/>
      </c>
      <c r="H1675" s="49">
        <f>ROUND(((1+$H$4)^(30/360))^(C1675/(EDATE(D1675-B1675,1)-(D1675-B1675))),9)</f>
        <v/>
      </c>
      <c r="I1675" s="49">
        <f>TRUNC((G1675*H1675-G1675),8)</f>
        <v/>
      </c>
      <c r="J1675" s="49">
        <f>G1675+I1675</f>
        <v/>
      </c>
      <c r="K1675" s="256" t="n"/>
      <c r="L1675" s="256" t="n"/>
      <c r="M1675" s="256" t="n"/>
      <c r="N1675" s="256" t="n"/>
      <c r="O1675" s="256" t="n"/>
      <c r="P1675" s="256" t="n"/>
      <c r="Q1675" s="256" t="n"/>
    </row>
    <row r="1676">
      <c r="A1676">
        <f>IF(DAY(D1676)=DAY($L$1+1),A1675+1,A1675)</f>
        <v/>
      </c>
      <c r="B1676" s="46">
        <f>IF(DAY(D1676)=DAY($L$1+1),1,B1675+1)</f>
        <v/>
      </c>
      <c r="C1676" s="46">
        <f>IF(DAY(D1676)=DAY($L$1+1),1,C1675+1)</f>
        <v/>
      </c>
      <c r="D1676" s="2">
        <f>D1675+1</f>
        <v/>
      </c>
      <c r="E1676" s="8">
        <f>IF(DAY(D1676)=DAY($L$1+1),TRUNC((#REF!),8),E1675)</f>
        <v/>
      </c>
      <c r="F1676" s="49">
        <f>TRUNC(((1+VLOOKUP(A1676,IPCA!$A$2:$C$140,3,0)))^(C1676/(EDATE(D1676-C1676,1)-(D1676-C1676))),8)</f>
        <v/>
      </c>
      <c r="G1676" s="49">
        <f>TRUNC((E1676*F1676),8)</f>
        <v/>
      </c>
      <c r="H1676" s="49">
        <f>ROUND(((1+$H$4)^(30/360))^(C1676/(EDATE(D1676-B1676,1)-(D1676-B1676))),9)</f>
        <v/>
      </c>
      <c r="I1676" s="49">
        <f>TRUNC((G1676*H1676-G1676),8)</f>
        <v/>
      </c>
      <c r="J1676" s="49">
        <f>G1676+I1676</f>
        <v/>
      </c>
      <c r="K1676" s="256" t="n"/>
      <c r="L1676" s="256" t="n"/>
      <c r="M1676" s="256" t="n"/>
      <c r="N1676" s="256" t="n"/>
      <c r="O1676" s="256" t="n"/>
      <c r="P1676" s="256" t="n"/>
      <c r="Q1676" s="256" t="n"/>
    </row>
    <row r="1677">
      <c r="A1677">
        <f>IF(DAY(D1677)=DAY($L$1+1),A1676+1,A1676)</f>
        <v/>
      </c>
      <c r="B1677" s="46">
        <f>IF(DAY(D1677)=DAY($L$1+1),1,B1676+1)</f>
        <v/>
      </c>
      <c r="C1677" s="46">
        <f>IF(DAY(D1677)=DAY($L$1+1),1,C1676+1)</f>
        <v/>
      </c>
      <c r="D1677" s="2">
        <f>D1676+1</f>
        <v/>
      </c>
      <c r="E1677" s="8">
        <f>IF(DAY(D1677)=DAY($L$1+1),TRUNC((#REF!),8),E1676)</f>
        <v/>
      </c>
      <c r="F1677" s="49">
        <f>TRUNC(((1+VLOOKUP(A1677,IPCA!$A$2:$C$140,3,0)))^(C1677/(EDATE(D1677-C1677,1)-(D1677-C1677))),8)</f>
        <v/>
      </c>
      <c r="G1677" s="49">
        <f>TRUNC((E1677*F1677),8)</f>
        <v/>
      </c>
      <c r="H1677" s="49">
        <f>ROUND(((1+$H$4)^(30/360))^(C1677/(EDATE(D1677-B1677,1)-(D1677-B1677))),9)</f>
        <v/>
      </c>
      <c r="I1677" s="49">
        <f>TRUNC((G1677*H1677-G1677),8)</f>
        <v/>
      </c>
      <c r="J1677" s="49">
        <f>G1677+I1677</f>
        <v/>
      </c>
      <c r="K1677" s="256" t="n"/>
      <c r="L1677" s="256" t="n"/>
      <c r="M1677" s="256" t="n"/>
      <c r="N1677" s="256" t="n"/>
      <c r="O1677" s="256" t="n"/>
      <c r="P1677" s="256" t="n"/>
      <c r="Q1677" s="256" t="n"/>
    </row>
    <row r="1678">
      <c r="A1678">
        <f>IF(DAY(D1678)=DAY($L$1+1),A1677+1,A1677)</f>
        <v/>
      </c>
      <c r="B1678" s="46">
        <f>IF(DAY(D1678)=DAY($L$1+1),1,B1677+1)</f>
        <v/>
      </c>
      <c r="C1678" s="46">
        <f>IF(DAY(D1678)=DAY($L$1+1),1,C1677+1)</f>
        <v/>
      </c>
      <c r="D1678" s="2">
        <f>D1677+1</f>
        <v/>
      </c>
      <c r="E1678" s="8">
        <f>IF(DAY(D1678)=DAY($L$1+1),TRUNC((#REF!),8),E1677)</f>
        <v/>
      </c>
      <c r="F1678" s="49">
        <f>TRUNC(((1+VLOOKUP(A1678,IPCA!$A$2:$C$140,3,0)))^(C1678/(EDATE(D1678-C1678,1)-(D1678-C1678))),8)</f>
        <v/>
      </c>
      <c r="G1678" s="49">
        <f>TRUNC((E1678*F1678),8)</f>
        <v/>
      </c>
      <c r="H1678" s="49">
        <f>ROUND(((1+$H$4)^(30/360))^(C1678/(EDATE(D1678-B1678,1)-(D1678-B1678))),9)</f>
        <v/>
      </c>
      <c r="I1678" s="49">
        <f>TRUNC((G1678*H1678-G1678),8)</f>
        <v/>
      </c>
      <c r="J1678" s="49">
        <f>G1678+I1678</f>
        <v/>
      </c>
      <c r="K1678" s="256" t="n"/>
      <c r="L1678" s="256" t="n"/>
      <c r="M1678" s="256" t="n"/>
      <c r="N1678" s="256" t="n"/>
      <c r="O1678" s="256" t="n"/>
      <c r="P1678" s="256" t="n"/>
      <c r="Q1678" s="256" t="n"/>
    </row>
    <row r="1679">
      <c r="A1679">
        <f>IF(DAY(D1679)=DAY($L$1+1),A1678+1,A1678)</f>
        <v/>
      </c>
      <c r="B1679" s="46">
        <f>IF(DAY(D1679)=DAY($L$1+1),1,B1678+1)</f>
        <v/>
      </c>
      <c r="C1679" s="46">
        <f>IF(DAY(D1679)=DAY($L$1+1),1,C1678+1)</f>
        <v/>
      </c>
      <c r="D1679" s="2">
        <f>D1678+1</f>
        <v/>
      </c>
      <c r="E1679" s="8">
        <f>IF(DAY(D1679)=DAY($L$1+1),TRUNC((#REF!),8),E1678)</f>
        <v/>
      </c>
      <c r="F1679" s="49">
        <f>TRUNC(((1+VLOOKUP(A1679,IPCA!$A$2:$C$140,3,0)))^(C1679/(EDATE(D1679-C1679,1)-(D1679-C1679))),8)</f>
        <v/>
      </c>
      <c r="G1679" s="49">
        <f>TRUNC((E1679*F1679),8)</f>
        <v/>
      </c>
      <c r="H1679" s="49">
        <f>ROUND(((1+$H$4)^(30/360))^(C1679/(EDATE(D1679-B1679,1)-(D1679-B1679))),9)</f>
        <v/>
      </c>
      <c r="I1679" s="49">
        <f>TRUNC((G1679*H1679-G1679),8)</f>
        <v/>
      </c>
      <c r="J1679" s="49">
        <f>G1679+I1679</f>
        <v/>
      </c>
      <c r="K1679" s="256" t="n"/>
      <c r="L1679" s="256" t="n"/>
      <c r="M1679" s="256" t="n"/>
      <c r="N1679" s="256" t="n"/>
      <c r="O1679" s="256" t="n"/>
      <c r="P1679" s="256" t="n"/>
      <c r="Q1679" s="256" t="n"/>
    </row>
    <row r="1680">
      <c r="A1680">
        <f>IF(DAY(D1680)=DAY($L$1+1),A1679+1,A1679)</f>
        <v/>
      </c>
      <c r="B1680" s="46">
        <f>IF(DAY(D1680)=DAY($L$1+1),1,B1679+1)</f>
        <v/>
      </c>
      <c r="C1680" s="46">
        <f>IF(DAY(D1680)=DAY($L$1+1),1,C1679+1)</f>
        <v/>
      </c>
      <c r="D1680" s="2">
        <f>D1679+1</f>
        <v/>
      </c>
      <c r="E1680" s="8">
        <f>IF(DAY(D1680)=DAY($L$1+1),TRUNC((#REF!),8),E1679)</f>
        <v/>
      </c>
      <c r="F1680" s="49">
        <f>TRUNC(((1+VLOOKUP(A1680,IPCA!$A$2:$C$140,3,0)))^(C1680/(EDATE(D1680-C1680,1)-(D1680-C1680))),8)</f>
        <v/>
      </c>
      <c r="G1680" s="49">
        <f>TRUNC((E1680*F1680),8)</f>
        <v/>
      </c>
      <c r="H1680" s="49">
        <f>ROUND(((1+$H$4)^(30/360))^(C1680/(EDATE(D1680-B1680,1)-(D1680-B1680))),9)</f>
        <v/>
      </c>
      <c r="I1680" s="49">
        <f>TRUNC((G1680*H1680-G1680),8)</f>
        <v/>
      </c>
      <c r="J1680" s="49">
        <f>G1680+I1680</f>
        <v/>
      </c>
      <c r="K1680" s="256" t="n"/>
      <c r="L1680" s="256" t="n"/>
      <c r="M1680" s="256" t="n"/>
      <c r="N1680" s="256" t="n"/>
      <c r="O1680" s="256" t="n"/>
      <c r="P1680" s="256" t="n"/>
      <c r="Q1680" s="256" t="n"/>
    </row>
    <row r="1681">
      <c r="A1681">
        <f>IF(DAY(D1681)=DAY($L$1+1),A1680+1,A1680)</f>
        <v/>
      </c>
      <c r="B1681" s="46">
        <f>IF(DAY(D1681)=DAY($L$1+1),1,B1680+1)</f>
        <v/>
      </c>
      <c r="C1681" s="46">
        <f>IF(DAY(D1681)=DAY($L$1+1),1,C1680+1)</f>
        <v/>
      </c>
      <c r="D1681" s="2">
        <f>D1680+1</f>
        <v/>
      </c>
      <c r="E1681" s="8">
        <f>IF(DAY(D1681)=DAY($L$1+1),TRUNC((#REF!),8),E1680)</f>
        <v/>
      </c>
      <c r="F1681" s="49">
        <f>TRUNC(((1+VLOOKUP(A1681,IPCA!$A$2:$C$140,3,0)))^(C1681/(EDATE(D1681-C1681,1)-(D1681-C1681))),8)</f>
        <v/>
      </c>
      <c r="G1681" s="49">
        <f>TRUNC((E1681*F1681),8)</f>
        <v/>
      </c>
      <c r="H1681" s="49">
        <f>ROUND(((1+$H$4)^(30/360))^(C1681/(EDATE(D1681-B1681,1)-(D1681-B1681))),9)</f>
        <v/>
      </c>
      <c r="I1681" s="49">
        <f>TRUNC((G1681*H1681-G1681),8)</f>
        <v/>
      </c>
      <c r="J1681" s="49">
        <f>G1681+I1681</f>
        <v/>
      </c>
      <c r="K1681" s="256" t="n"/>
      <c r="L1681" s="256" t="n"/>
      <c r="M1681" s="256" t="n"/>
      <c r="N1681" s="256" t="n"/>
      <c r="O1681" s="256" t="n"/>
      <c r="P1681" s="256" t="n"/>
      <c r="Q1681" s="256" t="n"/>
    </row>
    <row r="1682">
      <c r="A1682">
        <f>IF(DAY(D1682)=DAY($L$1+1),A1681+1,A1681)</f>
        <v/>
      </c>
      <c r="B1682" s="46">
        <f>IF(DAY(D1682)=DAY($L$1+1),1,B1681+1)</f>
        <v/>
      </c>
      <c r="C1682" s="46">
        <f>IF(DAY(D1682)=DAY($L$1+1),1,C1681+1)</f>
        <v/>
      </c>
      <c r="D1682" s="2">
        <f>D1681+1</f>
        <v/>
      </c>
      <c r="E1682" s="8">
        <f>IF(DAY(D1682)=DAY($L$1+1),TRUNC((N1681),8),E1681)</f>
        <v/>
      </c>
      <c r="F1682" s="49">
        <f>TRUNC(((1+VLOOKUP(A1682,IPCA!$A$2:$C$140,3,0)))^(C1682/(EDATE(D1682-C1682,1)-(D1682-C1682))),8)</f>
        <v/>
      </c>
      <c r="G1682" s="49">
        <f>TRUNC((E1682*F1682),8)</f>
        <v/>
      </c>
      <c r="H1682" s="49">
        <f>ROUND(((1+$H$4)^(30/360))^(C1682/(EDATE(D1682-B1682,1)-(D1682-B1682))),9)</f>
        <v/>
      </c>
      <c r="I1682" s="49">
        <f>TRUNC((G1682*H1682-G1682),8)</f>
        <v/>
      </c>
      <c r="J1682" s="49">
        <f>G1682+I1682</f>
        <v/>
      </c>
      <c r="K1682" s="256" t="n"/>
      <c r="L1682" s="256" t="n"/>
      <c r="M1682" s="256" t="n"/>
      <c r="N1682" s="256" t="n"/>
      <c r="O1682" s="256" t="n"/>
      <c r="P1682" s="256" t="n"/>
      <c r="Q1682" s="256" t="n"/>
    </row>
    <row r="1683">
      <c r="A1683">
        <f>IF(DAY(D1683)=DAY($L$1+1),A1682+1,A1682)</f>
        <v/>
      </c>
      <c r="B1683" s="46">
        <f>IF(DAY(D1683)=DAY($L$1+1),1,B1682+1)</f>
        <v/>
      </c>
      <c r="C1683" s="46">
        <f>IF(DAY(D1683)=DAY($L$1+1),1,C1682+1)</f>
        <v/>
      </c>
      <c r="D1683" s="2">
        <f>D1682+1</f>
        <v/>
      </c>
      <c r="E1683" s="8">
        <f>IF(DAY(D1683)=DAY($L$1+1),TRUNC((N1682),8),E1682)</f>
        <v/>
      </c>
      <c r="F1683" s="49">
        <f>TRUNC(((1+VLOOKUP(A1683,IPCA!$A$2:$C$140,3,0)))^(C1683/(EDATE(D1683-C1683,1)-(D1683-C1683))),8)</f>
        <v/>
      </c>
      <c r="G1683" s="49">
        <f>TRUNC((E1683*F1683),8)</f>
        <v/>
      </c>
      <c r="H1683" s="49">
        <f>ROUND(((1+$H$4)^(30/360))^(C1683/(EDATE(D1683-B1683,1)-(D1683-B1683))),9)</f>
        <v/>
      </c>
      <c r="I1683" s="49">
        <f>TRUNC((G1683*H1683-G1683),8)</f>
        <v/>
      </c>
      <c r="J1683" s="49">
        <f>G1683+I1683</f>
        <v/>
      </c>
      <c r="K1683" s="256" t="n"/>
      <c r="L1683" s="256" t="n"/>
      <c r="M1683" s="256" t="n"/>
      <c r="N1683" s="256" t="n"/>
      <c r="O1683" s="256" t="n"/>
      <c r="P1683" s="256" t="n"/>
      <c r="Q1683" s="256" t="n"/>
    </row>
    <row r="1684">
      <c r="A1684">
        <f>IF(DAY(D1684)=DAY($L$1+1),A1683+1,A1683)</f>
        <v/>
      </c>
      <c r="B1684" s="46">
        <f>IF(DAY(D1684)=DAY($L$1+1),1,B1683+1)</f>
        <v/>
      </c>
      <c r="C1684" s="46">
        <f>IF(DAY(D1684)=DAY($L$1+1),1,C1683+1)</f>
        <v/>
      </c>
      <c r="D1684" s="2">
        <f>D1683+1</f>
        <v/>
      </c>
      <c r="E1684" s="8">
        <f>IF(DAY(D1684)=DAY($L$1+1),TRUNC((N1683),8),E1683)</f>
        <v/>
      </c>
      <c r="F1684" s="49">
        <f>TRUNC(((1+VLOOKUP(A1684,IPCA!$A$2:$C$140,3,0)))^(C1684/(EDATE(D1684-C1684,1)-(D1684-C1684))),8)</f>
        <v/>
      </c>
      <c r="G1684" s="49">
        <f>TRUNC((E1684*F1684),8)</f>
        <v/>
      </c>
      <c r="H1684" s="49">
        <f>ROUND(((1+$H$4)^(30/360))^(C1684/(EDATE(D1684-B1684,1)-(D1684-B1684))),9)</f>
        <v/>
      </c>
      <c r="I1684" s="49">
        <f>TRUNC((G1684*H1684-G1684),8)</f>
        <v/>
      </c>
      <c r="J1684" s="49">
        <f>G1684+I1684</f>
        <v/>
      </c>
      <c r="K1684" s="256" t="n"/>
      <c r="L1684" s="256" t="n"/>
      <c r="M1684" s="256" t="n"/>
      <c r="N1684" s="256" t="n"/>
      <c r="O1684" s="256" t="n"/>
      <c r="P1684" s="256" t="n"/>
      <c r="Q1684" s="256" t="n"/>
    </row>
    <row r="1685">
      <c r="A1685">
        <f>IF(DAY(D1685)=DAY($L$1+1),A1684+1,A1684)</f>
        <v/>
      </c>
      <c r="B1685" s="46">
        <f>IF(DAY(D1685)=DAY($L$1+1),1,B1684+1)</f>
        <v/>
      </c>
      <c r="C1685" s="46">
        <f>IF(DAY(D1685)=DAY($L$1+1),1,C1684+1)</f>
        <v/>
      </c>
      <c r="D1685" s="2">
        <f>D1684+1</f>
        <v/>
      </c>
      <c r="E1685" s="8">
        <f>IF(DAY(D1685)=DAY($L$1+1),TRUNC((N1684),8),E1684)</f>
        <v/>
      </c>
      <c r="F1685" s="49">
        <f>TRUNC(((1+VLOOKUP(A1685,IPCA!$A$2:$C$140,3,0)))^(C1685/(EDATE(D1685-C1685,1)-(D1685-C1685))),8)</f>
        <v/>
      </c>
      <c r="G1685" s="49">
        <f>TRUNC((E1685*F1685),8)</f>
        <v/>
      </c>
      <c r="H1685" s="49">
        <f>ROUND(((1+$H$4)^(30/360))^(C1685/(EDATE(D1685-B1685,1)-(D1685-B1685))),9)</f>
        <v/>
      </c>
      <c r="I1685" s="49">
        <f>TRUNC((G1685*H1685-G1685),8)</f>
        <v/>
      </c>
      <c r="J1685" s="49">
        <f>G1685+I1685</f>
        <v/>
      </c>
      <c r="K1685" s="256" t="n"/>
      <c r="L1685" s="256" t="n"/>
      <c r="M1685" s="256" t="n"/>
      <c r="N1685" s="256" t="n"/>
      <c r="O1685" s="256" t="n"/>
      <c r="P1685" s="256" t="n"/>
      <c r="Q1685" s="256" t="n"/>
    </row>
    <row r="1686">
      <c r="A1686">
        <f>IF(DAY(D1686)=DAY($L$1+1),A1685+1,A1685)</f>
        <v/>
      </c>
      <c r="B1686" s="46">
        <f>IF(DAY(D1686)=DAY($L$1+1),1,B1685+1)</f>
        <v/>
      </c>
      <c r="C1686" s="46">
        <f>IF(DAY(D1686)=DAY($L$1+1),1,C1685+1)</f>
        <v/>
      </c>
      <c r="D1686" s="2">
        <f>D1685+1</f>
        <v/>
      </c>
      <c r="E1686" s="8">
        <f>IF(DAY(D1686)=DAY($L$1+1),TRUNC((N1685),8),E1685)</f>
        <v/>
      </c>
      <c r="F1686" s="49">
        <f>TRUNC(((1+VLOOKUP(A1686,IPCA!$A$2:$C$140,3,0)))^(C1686/(EDATE(D1686-C1686,1)-(D1686-C1686))),8)</f>
        <v/>
      </c>
      <c r="G1686" s="49">
        <f>TRUNC((E1686*F1686),8)</f>
        <v/>
      </c>
      <c r="H1686" s="49">
        <f>ROUND(((1+$H$4)^(30/360))^(C1686/(EDATE(D1686-B1686,1)-(D1686-B1686))),9)</f>
        <v/>
      </c>
      <c r="I1686" s="49">
        <f>TRUNC((G1686*H1686-G1686),8)</f>
        <v/>
      </c>
      <c r="J1686" s="49">
        <f>G1686+I1686</f>
        <v/>
      </c>
      <c r="K1686" s="256" t="n"/>
      <c r="L1686" s="256" t="n"/>
      <c r="M1686" s="256" t="n"/>
      <c r="N1686" s="256" t="n"/>
      <c r="O1686" s="256" t="n"/>
      <c r="P1686" s="256" t="n"/>
      <c r="Q1686" s="256" t="n"/>
    </row>
    <row r="1687">
      <c r="A1687">
        <f>IF(DAY(D1687)=DAY($L$1+1),A1686+1,A1686)</f>
        <v/>
      </c>
      <c r="B1687" s="46">
        <f>IF(DAY(D1687)=DAY($L$1+1),1,B1686+1)</f>
        <v/>
      </c>
      <c r="C1687" s="46">
        <f>IF(DAY(D1687)=DAY($L$1+1),1,C1686+1)</f>
        <v/>
      </c>
      <c r="D1687" s="2">
        <f>D1686+1</f>
        <v/>
      </c>
      <c r="E1687" s="8">
        <f>IF(DAY(D1687)=DAY($L$1+1),TRUNC((N1686),8),E1686)</f>
        <v/>
      </c>
      <c r="F1687" s="49">
        <f>TRUNC(((1+VLOOKUP(A1687,IPCA!$A$2:$C$140,3,0)))^(C1687/(EDATE(D1687-C1687,1)-(D1687-C1687))),8)</f>
        <v/>
      </c>
      <c r="G1687" s="49">
        <f>TRUNC((E1687*F1687),8)</f>
        <v/>
      </c>
      <c r="H1687" s="49">
        <f>ROUND(((1+$H$4)^(30/360))^(C1687/(EDATE(D1687-B1687,1)-(D1687-B1687))),9)</f>
        <v/>
      </c>
      <c r="I1687" s="49">
        <f>TRUNC((G1687*H1687-G1687),8)</f>
        <v/>
      </c>
      <c r="J1687" s="49">
        <f>G1687+I1687</f>
        <v/>
      </c>
      <c r="K1687" s="256" t="n"/>
      <c r="L1687" s="256" t="n"/>
      <c r="M1687" s="256" t="n"/>
      <c r="N1687" s="256" t="n"/>
      <c r="O1687" s="256" t="n"/>
      <c r="P1687" s="256" t="n"/>
      <c r="Q1687" s="256" t="n"/>
    </row>
    <row r="1688">
      <c r="A1688">
        <f>IF(DAY(D1688)=DAY($L$1+1),A1687+1,A1687)</f>
        <v/>
      </c>
      <c r="B1688" s="46">
        <f>IF(DAY(D1688)=DAY($L$1+1),1,B1687+1)</f>
        <v/>
      </c>
      <c r="C1688" s="46">
        <f>IF(DAY(D1688)=DAY($L$1+1),1,C1687+1)</f>
        <v/>
      </c>
      <c r="D1688" s="2">
        <f>D1687+1</f>
        <v/>
      </c>
      <c r="E1688" s="8">
        <f>IF(DAY(D1688)=DAY($L$1+1),TRUNC((N1687),8),E1687)</f>
        <v/>
      </c>
      <c r="F1688" s="49">
        <f>TRUNC(((1+VLOOKUP(A1688,IPCA!$A$2:$C$140,3,0)))^(C1688/(EDATE(D1688-C1688,1)-(D1688-C1688))),8)</f>
        <v/>
      </c>
      <c r="G1688" s="49">
        <f>TRUNC((E1688*F1688),8)</f>
        <v/>
      </c>
      <c r="H1688" s="49">
        <f>ROUND(((1+$H$4)^(30/360))^(C1688/(EDATE(D1688-B1688,1)-(D1688-B1688))),9)</f>
        <v/>
      </c>
      <c r="I1688" s="49">
        <f>TRUNC((G1688*H1688-G1688),8)</f>
        <v/>
      </c>
      <c r="J1688" s="49">
        <f>G1688+I1688</f>
        <v/>
      </c>
      <c r="K1688" s="256" t="n"/>
      <c r="L1688" s="256" t="n"/>
      <c r="M1688" s="256" t="n"/>
      <c r="N1688" s="256" t="n"/>
      <c r="O1688" s="256" t="n"/>
      <c r="P1688" s="256" t="n"/>
      <c r="Q1688" s="256" t="n"/>
    </row>
    <row r="1689">
      <c r="A1689">
        <f>IF(DAY(D1689)=DAY($L$1+1),A1688+1,A1688)</f>
        <v/>
      </c>
      <c r="B1689" s="46">
        <f>IF(DAY(D1689)=DAY($L$1+1),1,B1688+1)</f>
        <v/>
      </c>
      <c r="C1689" s="46">
        <f>IF(DAY(D1689)=DAY($L$1+1),1,C1688+1)</f>
        <v/>
      </c>
      <c r="D1689" s="2">
        <f>D1688+1</f>
        <v/>
      </c>
      <c r="E1689" s="8">
        <f>IF(DAY(D1689)=DAY($L$1+1),TRUNC((N1688),8),E1688)</f>
        <v/>
      </c>
      <c r="F1689" s="49">
        <f>TRUNC(((1+VLOOKUP(A1689,IPCA!$A$2:$C$140,3,0)))^(C1689/(EDATE(D1689-C1689,1)-(D1689-C1689))),8)</f>
        <v/>
      </c>
      <c r="G1689" s="49">
        <f>TRUNC((E1689*F1689),8)</f>
        <v/>
      </c>
      <c r="H1689" s="49">
        <f>ROUND(((1+$H$4)^(30/360))^(C1689/(EDATE(D1689-B1689,1)-(D1689-B1689))),9)</f>
        <v/>
      </c>
      <c r="I1689" s="49">
        <f>TRUNC((G1689*H1689-G1689),8)</f>
        <v/>
      </c>
      <c r="J1689" s="49">
        <f>G1689+I1689</f>
        <v/>
      </c>
      <c r="K1689" s="256" t="n"/>
      <c r="L1689" s="256" t="n"/>
      <c r="M1689" s="256" t="n"/>
      <c r="N1689" s="256" t="n"/>
      <c r="O1689" s="256" t="n"/>
      <c r="P1689" s="256" t="n"/>
      <c r="Q1689" s="256" t="n"/>
    </row>
    <row r="1690">
      <c r="A1690">
        <f>IF(DAY(D1690)=DAY($L$1+1),A1689+1,A1689)</f>
        <v/>
      </c>
      <c r="B1690" s="46">
        <f>IF(DAY(D1690)=DAY($L$1+1),1,B1689+1)</f>
        <v/>
      </c>
      <c r="C1690" s="46">
        <f>IF(DAY(D1690)=DAY($L$1+1),1,C1689+1)</f>
        <v/>
      </c>
      <c r="D1690" s="2">
        <f>D1689+1</f>
        <v/>
      </c>
      <c r="E1690" s="8">
        <f>IF(DAY(D1690)=DAY($L$1+1),TRUNC((N1689),8),E1689)</f>
        <v/>
      </c>
      <c r="F1690" s="49">
        <f>TRUNC(((1+VLOOKUP(A1690,IPCA!$A$2:$C$140,3,0)))^(C1690/(EDATE(D1690-C1690,1)-(D1690-C1690))),8)</f>
        <v/>
      </c>
      <c r="G1690" s="49">
        <f>TRUNC((E1690*F1690),8)</f>
        <v/>
      </c>
      <c r="H1690" s="49">
        <f>ROUND(((1+$H$4)^(30/360))^(C1690/(EDATE(D1690-B1690,1)-(D1690-B1690))),9)</f>
        <v/>
      </c>
      <c r="I1690" s="49">
        <f>TRUNC((G1690*H1690-G1690),8)</f>
        <v/>
      </c>
      <c r="J1690" s="49">
        <f>G1690+I1690</f>
        <v/>
      </c>
      <c r="K1690" s="256" t="n"/>
      <c r="L1690" s="256" t="n"/>
      <c r="M1690" s="256" t="n"/>
      <c r="N1690" s="256" t="n"/>
      <c r="O1690" s="256" t="n"/>
      <c r="P1690" s="256" t="n"/>
      <c r="Q1690" s="256" t="n"/>
    </row>
    <row r="1691">
      <c r="A1691">
        <f>IF(DAY(D1691)=DAY($L$1+1),A1690+1,A1690)</f>
        <v/>
      </c>
      <c r="B1691" s="46">
        <f>IF(DAY(D1691)=DAY($L$1+1),1,B1690+1)</f>
        <v/>
      </c>
      <c r="C1691" s="46">
        <f>IF(DAY(D1691)=DAY($L$1+1),1,C1690+1)</f>
        <v/>
      </c>
      <c r="D1691" s="2">
        <f>D1690+1</f>
        <v/>
      </c>
      <c r="E1691" s="8">
        <f>IF(DAY(D1691)=DAY($L$1+1),TRUNC((N1690),8),E1690)</f>
        <v/>
      </c>
      <c r="F1691" s="49">
        <f>TRUNC(((1+VLOOKUP(A1691,IPCA!$A$2:$C$140,3,0)))^(C1691/(EDATE(D1691-C1691,1)-(D1691-C1691))),8)</f>
        <v/>
      </c>
      <c r="G1691" s="49">
        <f>TRUNC((E1691*F1691),8)</f>
        <v/>
      </c>
      <c r="H1691" s="49">
        <f>ROUND(((1+$H$4)^(30/360))^(C1691/(EDATE(D1691-B1691,1)-(D1691-B1691))),9)</f>
        <v/>
      </c>
      <c r="I1691" s="49">
        <f>TRUNC((G1691*H1691-G1691),8)</f>
        <v/>
      </c>
      <c r="J1691" s="49">
        <f>G1691+I1691</f>
        <v/>
      </c>
      <c r="K1691" s="256" t="n"/>
      <c r="L1691" s="256" t="n"/>
      <c r="M1691" s="256" t="n"/>
      <c r="N1691" s="256" t="n"/>
      <c r="O1691" s="256" t="n"/>
      <c r="P1691" s="256" t="n"/>
      <c r="Q1691" s="256" t="n"/>
    </row>
    <row r="1692">
      <c r="A1692">
        <f>IF(DAY(D1692)=DAY($L$1+1),A1691+1,A1691)</f>
        <v/>
      </c>
      <c r="B1692" s="46">
        <f>IF(DAY(D1692)=DAY($L$1+1),1,B1691+1)</f>
        <v/>
      </c>
      <c r="C1692" s="46">
        <f>IF(DAY(D1692)=DAY($L$1+1),1,C1691+1)</f>
        <v/>
      </c>
      <c r="D1692" s="2">
        <f>D1691+1</f>
        <v/>
      </c>
      <c r="E1692" s="8">
        <f>IF(DAY(D1692)=DAY($L$1+1),TRUNC((N1691),8),E1691)</f>
        <v/>
      </c>
      <c r="F1692" s="49">
        <f>TRUNC(((1+VLOOKUP(A1692,IPCA!$A$2:$C$140,3,0)))^(C1692/(EDATE(D1692-C1692,1)-(D1692-C1692))),8)</f>
        <v/>
      </c>
      <c r="G1692" s="49">
        <f>TRUNC((E1692*F1692),8)</f>
        <v/>
      </c>
      <c r="H1692" s="49">
        <f>ROUND(((1+$H$4)^(30/360))^(C1692/(EDATE(D1692-B1692,1)-(D1692-B1692))),9)</f>
        <v/>
      </c>
      <c r="I1692" s="49">
        <f>TRUNC((G1692*H1692-G1692),8)</f>
        <v/>
      </c>
      <c r="J1692" s="49">
        <f>G1692+I1692</f>
        <v/>
      </c>
      <c r="K1692" s="256" t="n"/>
      <c r="L1692" s="256" t="n"/>
      <c r="M1692" s="256" t="n"/>
      <c r="N1692" s="256" t="n"/>
      <c r="O1692" s="256" t="n"/>
      <c r="P1692" s="256" t="n"/>
      <c r="Q1692" s="256" t="n"/>
    </row>
    <row r="1693">
      <c r="A1693">
        <f>IF(DAY(D1693)=DAY($L$1+1),A1692+1,A1692)</f>
        <v/>
      </c>
      <c r="B1693" s="46">
        <f>IF(DAY(D1693)=DAY($L$1+1),1,B1692+1)</f>
        <v/>
      </c>
      <c r="C1693" s="46">
        <f>IF(DAY(D1693)=DAY($L$1+1),1,C1692+1)</f>
        <v/>
      </c>
      <c r="D1693" s="2">
        <f>D1692+1</f>
        <v/>
      </c>
      <c r="E1693" s="8">
        <f>IF(DAY(D1693)=DAY($L$1+1),TRUNC((N1692),8),E1692)</f>
        <v/>
      </c>
      <c r="F1693" s="49">
        <f>TRUNC(((1+VLOOKUP(A1693,IPCA!$A$2:$C$140,3,0)))^(C1693/(EDATE(D1693-C1693,1)-(D1693-C1693))),8)</f>
        <v/>
      </c>
      <c r="G1693" s="49">
        <f>TRUNC((E1693*F1693),8)</f>
        <v/>
      </c>
      <c r="H1693" s="49">
        <f>ROUND(((1+$H$4)^(30/360))^(C1693/(EDATE(D1693-B1693,1)-(D1693-B1693))),9)</f>
        <v/>
      </c>
      <c r="I1693" s="49">
        <f>TRUNC((G1693*H1693-G1693),8)</f>
        <v/>
      </c>
      <c r="J1693" s="49">
        <f>G1693+I1693</f>
        <v/>
      </c>
      <c r="K1693" s="256" t="inlineStr">
        <is>
          <t>Cri Integralizado</t>
        </is>
      </c>
      <c r="L1693" s="270">
        <f>L1662</f>
        <v/>
      </c>
      <c r="M1693" s="256" t="n"/>
      <c r="N1693" s="256" t="n"/>
      <c r="O1693" s="256" t="n"/>
      <c r="P1693" s="256" t="n"/>
      <c r="Q1693" s="256" t="n"/>
    </row>
    <row r="1694">
      <c r="A1694">
        <f>IF(DAY(D1694)=DAY($L$1+1),A1693+1,A1693)</f>
        <v/>
      </c>
      <c r="B1694" s="46">
        <f>IF(DAY(D1694)=DAY($L$1+1),1,B1693+1)</f>
        <v/>
      </c>
      <c r="C1694" s="46">
        <f>IF(DAY(D1694)=DAY($L$1+1),1,C1693+1)</f>
        <v/>
      </c>
      <c r="D1694" s="47">
        <f>D1693+1</f>
        <v/>
      </c>
      <c r="E1694" s="8">
        <f>IF(DAY(D1694)=DAY($L$1+1),TRUNC((N1693),8),E1693)</f>
        <v/>
      </c>
      <c r="F1694" s="49">
        <f>TRUNC(((1+VLOOKUP(A1694,IPCA!$A$2:$C$140,3,0)))^(C1694/(EDATE(D1694-C1694,1)-(D1694-C1694))),8)</f>
        <v/>
      </c>
      <c r="G1694" s="49">
        <f>TRUNC((E1694*F1694),8)</f>
        <v/>
      </c>
      <c r="H1694" s="49">
        <f>ROUND(((1+$H$4)^(30/360))^(C1694/(EDATE(D1694-B1694,1)-(D1694-B1694))),9)</f>
        <v/>
      </c>
      <c r="I1694" s="49">
        <f>TRUNC((G1694*H1694-G1694),8)</f>
        <v/>
      </c>
      <c r="J1694" s="49">
        <f>G1694+I1694</f>
        <v/>
      </c>
      <c r="K1694" s="118" t="inlineStr">
        <is>
          <t>JUROS</t>
        </is>
      </c>
      <c r="L1694" s="118" t="inlineStr">
        <is>
          <t>AMORTIZAÇÃO</t>
        </is>
      </c>
      <c r="M1694" s="118" t="inlineStr">
        <is>
          <t>AMEX</t>
        </is>
      </c>
      <c r="N1694" s="118" t="inlineStr">
        <is>
          <t>RESIDUAL</t>
        </is>
      </c>
      <c r="O1694" s="256" t="n"/>
      <c r="P1694" s="256" t="n"/>
      <c r="Q1694" s="256" t="n"/>
    </row>
    <row r="1695">
      <c r="A1695">
        <f>IF(DAY(D1695)=DAY($L$1+1),A1694+1,A1694)</f>
        <v/>
      </c>
      <c r="B1695" s="111">
        <f>IF(DAY(D1695)=DAY($L$1+1),1,B1694+1)</f>
        <v/>
      </c>
      <c r="C1695" s="111">
        <f>IF(DAY(D1695)=DAY($L$1+1),1,C1694+1)</f>
        <v/>
      </c>
      <c r="D1695" s="112">
        <f>D1694+1</f>
        <v/>
      </c>
      <c r="E1695" s="113">
        <f>IF(DAY(D1695)=DAY($L$1+1),TRUNC((N1694),8),E1694)</f>
        <v/>
      </c>
      <c r="F1695" s="114">
        <f>TRUNC(((1+VLOOKUP(A1695,IPCA!$A$2:$C$140,3,0)))^(C1695/(EDATE(D1695-C1695,1)-(D1695-C1695))),8)</f>
        <v/>
      </c>
      <c r="G1695" s="114">
        <f>TRUNC((E1695*F1695),8)</f>
        <v/>
      </c>
      <c r="H1695" s="114">
        <f>ROUND(((1+$H$4)^(30/360))^(C1695/(EDATE(D1695-B1695,1)-(D1695-B1695))),9)</f>
        <v/>
      </c>
      <c r="I1695" s="114">
        <f>TRUNC((G1695*H1695-G1695),8)</f>
        <v/>
      </c>
      <c r="J1695" s="114">
        <f>G1695+I1695</f>
        <v/>
      </c>
      <c r="K1695" s="119">
        <f>I1695</f>
        <v/>
      </c>
      <c r="L1695" s="120">
        <f>TRUNC(G1695*VLOOKUP(D1695,'Amort TS'!$G$3:$H$140,2,0),8)</f>
        <v/>
      </c>
      <c r="M1695" s="120" t="n">
        <v>0</v>
      </c>
      <c r="N1695" s="120">
        <f>J1695-K1695-L1695-M1695</f>
        <v/>
      </c>
      <c r="O1695" s="256" t="n"/>
      <c r="P1695" s="256" t="n"/>
      <c r="Q1695" s="256" t="n"/>
    </row>
    <row r="1696">
      <c r="A1696">
        <f>IF(DAY(D1696)=DAY($L$1+1),A1695+1,A1695)</f>
        <v/>
      </c>
      <c r="B1696" s="46">
        <f>IF(DAY(D1696)=DAY($L$1+1),1,B1695+1)</f>
        <v/>
      </c>
      <c r="C1696" s="46">
        <f>IF(DAY(D1696)=DAY($L$1+1),1,C1695+1)</f>
        <v/>
      </c>
      <c r="D1696" s="2">
        <f>D1695+1</f>
        <v/>
      </c>
      <c r="E1696" s="8">
        <f>IF(DAY(D1696)=DAY($L$1+1),TRUNC((N1695),8),E1695)</f>
        <v/>
      </c>
      <c r="F1696" s="49">
        <f>TRUNC(((1+VLOOKUP(A1696,IPCA!$A$2:$C$140,3,0)))^(C1696/(EDATE(D1696-C1696,1)-(D1696-C1696))),8)</f>
        <v/>
      </c>
      <c r="G1696" s="49">
        <f>TRUNC((E1696*F1696),8)</f>
        <v/>
      </c>
      <c r="H1696" s="49">
        <f>ROUND(((1+$H$4)^(30/360))^(C1696/(EDATE(D1696-B1696,1)-(D1696-B1696))),9)</f>
        <v/>
      </c>
      <c r="I1696" s="49">
        <f>TRUNC((G1696*H1696-G1696),8)</f>
        <v/>
      </c>
      <c r="J1696" s="49">
        <f>G1696+I1696</f>
        <v/>
      </c>
      <c r="K1696" s="121">
        <f>K1695*L1693</f>
        <v/>
      </c>
      <c r="L1696" s="121">
        <f>L1695*L1693</f>
        <v/>
      </c>
      <c r="M1696" s="121">
        <f>M1695*L1693</f>
        <v/>
      </c>
      <c r="N1696" s="121">
        <f>N1695*L1693</f>
        <v/>
      </c>
      <c r="O1696" s="256" t="n"/>
      <c r="P1696" s="256" t="n"/>
      <c r="Q1696" s="256" t="n"/>
    </row>
    <row r="1697">
      <c r="A1697">
        <f>IF(DAY(D1697)=DAY($L$1+1),A1696+1,A1696)</f>
        <v/>
      </c>
      <c r="B1697" s="46">
        <f>IF(DAY(D1697)=DAY($L$1+1),1,B1696+1)</f>
        <v/>
      </c>
      <c r="C1697" s="46">
        <f>IF(DAY(D1697)=DAY($L$1+1),1,C1696+1)</f>
        <v/>
      </c>
      <c r="D1697" s="47">
        <f>D1696+1</f>
        <v/>
      </c>
      <c r="E1697" s="8">
        <f>IF(DAY(D1697)=DAY($L$1+1),TRUNC((N1696),8),E1696)</f>
        <v/>
      </c>
      <c r="F1697" s="49">
        <f>TRUNC(((1+VLOOKUP(A1697,IPCA!$A$2:$C$140,3,0)))^(C1697/(EDATE(D1697-C1697,1)-(D1697-C1697))),8)</f>
        <v/>
      </c>
      <c r="G1697" s="49">
        <f>TRUNC((E1697*F1697),8)</f>
        <v/>
      </c>
      <c r="H1697" s="49">
        <f>ROUND(((1+$H$4)^(30/360))^(C1697/(EDATE(D1697-B1697,1)-(D1697-B1697))),9)</f>
        <v/>
      </c>
      <c r="I1697" s="49">
        <f>TRUNC((G1697*H1697-G1697),8)</f>
        <v/>
      </c>
      <c r="J1697" s="49">
        <f>G1697+I1697</f>
        <v/>
      </c>
      <c r="K1697" s="256" t="n"/>
      <c r="L1697" s="256" t="n"/>
      <c r="M1697" s="256" t="n"/>
      <c r="N1697" s="256" t="n"/>
      <c r="O1697" s="256" t="n"/>
      <c r="P1697" s="256" t="n"/>
      <c r="Q1697" s="256" t="n"/>
    </row>
    <row r="1698">
      <c r="A1698">
        <f>IF(DAY(D1698)=DAY($L$1+1),A1697+1,A1697)</f>
        <v/>
      </c>
      <c r="B1698" s="46">
        <f>IF(DAY(D1698)=DAY($L$1+1),1,B1697+1)</f>
        <v/>
      </c>
      <c r="C1698" s="46">
        <f>IF(DAY(D1698)=DAY($L$1+1),1,C1697+1)</f>
        <v/>
      </c>
      <c r="D1698" s="2">
        <f>D1697+1</f>
        <v/>
      </c>
      <c r="E1698" s="8">
        <f>IF(DAY(D1698)=DAY($L$1+1),TRUNC((#REF!),8),E1697)</f>
        <v/>
      </c>
      <c r="F1698" s="49">
        <f>TRUNC(((1+VLOOKUP(A1698,IPCA!$A$2:$C$140,3,0)))^(C1698/(EDATE(D1698-C1698,1)-(D1698-C1698))),8)</f>
        <v/>
      </c>
      <c r="G1698" s="49">
        <f>TRUNC((E1698*F1698),8)</f>
        <v/>
      </c>
      <c r="H1698" s="49">
        <f>ROUND(((1+$H$4)^(30/360))^(C1698/(EDATE(D1698-B1698,1)-(D1698-B1698))),9)</f>
        <v/>
      </c>
      <c r="I1698" s="49">
        <f>TRUNC((G1698*H1698-G1698),8)</f>
        <v/>
      </c>
      <c r="J1698" s="49">
        <f>G1698+I1698</f>
        <v/>
      </c>
      <c r="K1698" s="256" t="n"/>
      <c r="L1698" s="256" t="n"/>
      <c r="M1698" s="256" t="n"/>
      <c r="N1698" s="256" t="n"/>
      <c r="O1698" s="256" t="n"/>
      <c r="P1698" s="256" t="n"/>
      <c r="Q1698" s="256" t="n"/>
    </row>
    <row r="1699">
      <c r="A1699">
        <f>IF(DAY(D1699)=DAY($L$1+1),A1698+1,A1698)</f>
        <v/>
      </c>
      <c r="B1699" s="46">
        <f>IF(DAY(D1699)=DAY($L$1+1),1,B1698+1)</f>
        <v/>
      </c>
      <c r="C1699" s="46">
        <f>IF(DAY(D1699)=DAY($L$1+1),1,C1698+1)</f>
        <v/>
      </c>
      <c r="D1699" s="2">
        <f>D1698+1</f>
        <v/>
      </c>
      <c r="E1699" s="8">
        <f>IF(DAY(D1699)=DAY($L$1+1),TRUNC((#REF!),8),E1698)</f>
        <v/>
      </c>
      <c r="F1699" s="49">
        <f>TRUNC(((1+VLOOKUP(A1699,IPCA!$A$2:$C$140,3,0)))^(C1699/(EDATE(D1699-C1699,1)-(D1699-C1699))),8)</f>
        <v/>
      </c>
      <c r="G1699" s="49">
        <f>TRUNC((E1699*F1699),8)</f>
        <v/>
      </c>
      <c r="H1699" s="49">
        <f>ROUND(((1+$H$4)^(30/360))^(C1699/(EDATE(D1699-B1699,1)-(D1699-B1699))),9)</f>
        <v/>
      </c>
      <c r="I1699" s="49">
        <f>TRUNC((G1699*H1699-G1699),8)</f>
        <v/>
      </c>
      <c r="J1699" s="49">
        <f>G1699+I1699</f>
        <v/>
      </c>
      <c r="K1699" s="256" t="n"/>
      <c r="L1699" s="256" t="n"/>
      <c r="M1699" s="256" t="n"/>
      <c r="N1699" s="256" t="n"/>
      <c r="O1699" s="256" t="n"/>
      <c r="P1699" s="256" t="n"/>
      <c r="Q1699" s="256" t="n"/>
    </row>
    <row r="1700">
      <c r="A1700">
        <f>IF(DAY(D1700)=DAY($L$1+1),A1699+1,A1699)</f>
        <v/>
      </c>
      <c r="B1700" s="46">
        <f>IF(DAY(D1700)=DAY($L$1+1),1,B1699+1)</f>
        <v/>
      </c>
      <c r="C1700" s="46">
        <f>IF(DAY(D1700)=DAY($L$1+1),1,C1699+1)</f>
        <v/>
      </c>
      <c r="D1700" s="2">
        <f>D1699+1</f>
        <v/>
      </c>
      <c r="E1700" s="8">
        <f>IF(DAY(D1700)=DAY($L$1+1),TRUNC((#REF!),8),E1699)</f>
        <v/>
      </c>
      <c r="F1700" s="49">
        <f>TRUNC(((1+VLOOKUP(A1700,IPCA!$A$2:$C$140,3,0)))^(C1700/(EDATE(D1700-C1700,1)-(D1700-C1700))),8)</f>
        <v/>
      </c>
      <c r="G1700" s="49">
        <f>TRUNC((E1700*F1700),8)</f>
        <v/>
      </c>
      <c r="H1700" s="49">
        <f>ROUND(((1+$H$4)^(30/360))^(C1700/(EDATE(D1700-B1700,1)-(D1700-B1700))),9)</f>
        <v/>
      </c>
      <c r="I1700" s="49">
        <f>TRUNC((G1700*H1700-G1700),8)</f>
        <v/>
      </c>
      <c r="J1700" s="49">
        <f>G1700+I1700</f>
        <v/>
      </c>
      <c r="K1700" s="256" t="n"/>
      <c r="L1700" s="256" t="n"/>
      <c r="M1700" s="256" t="n"/>
      <c r="N1700" s="256" t="n"/>
      <c r="O1700" s="256" t="n"/>
      <c r="P1700" s="256" t="n"/>
      <c r="Q1700" s="256" t="n"/>
    </row>
    <row r="1701">
      <c r="A1701">
        <f>IF(DAY(D1701)=DAY($L$1+1),A1700+1,A1700)</f>
        <v/>
      </c>
      <c r="B1701" s="46">
        <f>IF(DAY(D1701)=DAY($L$1+1),1,B1700+1)</f>
        <v/>
      </c>
      <c r="C1701" s="46">
        <f>IF(DAY(D1701)=DAY($L$1+1),1,C1700+1)</f>
        <v/>
      </c>
      <c r="D1701" s="2">
        <f>D1700+1</f>
        <v/>
      </c>
      <c r="E1701" s="8">
        <f>IF(DAY(D1701)=DAY($L$1+1),TRUNC((#REF!),8),E1700)</f>
        <v/>
      </c>
      <c r="F1701" s="49">
        <f>TRUNC(((1+VLOOKUP(A1701,IPCA!$A$2:$C$140,3,0)))^(C1701/(EDATE(D1701-C1701,1)-(D1701-C1701))),8)</f>
        <v/>
      </c>
      <c r="G1701" s="49">
        <f>TRUNC((E1701*F1701),8)</f>
        <v/>
      </c>
      <c r="H1701" s="49">
        <f>ROUND(((1+$H$4)^(30/360))^(C1701/(EDATE(D1701-B1701,1)-(D1701-B1701))),9)</f>
        <v/>
      </c>
      <c r="I1701" s="49">
        <f>TRUNC((G1701*H1701-G1701),8)</f>
        <v/>
      </c>
      <c r="J1701" s="49">
        <f>G1701+I1701</f>
        <v/>
      </c>
      <c r="K1701" s="256" t="n"/>
      <c r="L1701" s="256" t="n"/>
      <c r="M1701" s="256" t="n"/>
      <c r="N1701" s="256" t="n"/>
      <c r="O1701" s="256" t="n"/>
      <c r="P1701" s="256" t="n"/>
      <c r="Q1701" s="256" t="n"/>
    </row>
    <row r="1702">
      <c r="A1702">
        <f>IF(DAY(D1702)=DAY($L$1+1),A1701+1,A1701)</f>
        <v/>
      </c>
      <c r="B1702" s="46">
        <f>IF(DAY(D1702)=DAY($L$1+1),1,B1701+1)</f>
        <v/>
      </c>
      <c r="C1702" s="46">
        <f>IF(DAY(D1702)=DAY($L$1+1),1,C1701+1)</f>
        <v/>
      </c>
      <c r="D1702" s="2">
        <f>D1701+1</f>
        <v/>
      </c>
      <c r="E1702" s="8">
        <f>IF(DAY(D1702)=DAY($L$1+1),TRUNC((#REF!),8),E1701)</f>
        <v/>
      </c>
      <c r="F1702" s="49">
        <f>TRUNC(((1+VLOOKUP(A1702,IPCA!$A$2:$C$140,3,0)))^(C1702/(EDATE(D1702-C1702,1)-(D1702-C1702))),8)</f>
        <v/>
      </c>
      <c r="G1702" s="49">
        <f>TRUNC((E1702*F1702),8)</f>
        <v/>
      </c>
      <c r="H1702" s="49">
        <f>ROUND(((1+$H$4)^(30/360))^(C1702/(EDATE(D1702-B1702,1)-(D1702-B1702))),9)</f>
        <v/>
      </c>
      <c r="I1702" s="49">
        <f>TRUNC((G1702*H1702-G1702),8)</f>
        <v/>
      </c>
      <c r="J1702" s="49">
        <f>G1702+I1702</f>
        <v/>
      </c>
      <c r="K1702" s="256" t="n"/>
      <c r="L1702" s="256" t="n"/>
      <c r="M1702" s="256" t="n"/>
      <c r="N1702" s="256" t="n"/>
      <c r="O1702" s="256" t="n"/>
      <c r="P1702" s="256" t="n"/>
      <c r="Q1702" s="256" t="n"/>
    </row>
    <row r="1703">
      <c r="A1703">
        <f>IF(DAY(D1703)=DAY($L$1+1),A1702+1,A1702)</f>
        <v/>
      </c>
      <c r="B1703" s="46">
        <f>IF(DAY(D1703)=DAY($L$1+1),1,B1702+1)</f>
        <v/>
      </c>
      <c r="C1703" s="46">
        <f>IF(DAY(D1703)=DAY($L$1+1),1,C1702+1)</f>
        <v/>
      </c>
      <c r="D1703" s="2">
        <f>D1702+1</f>
        <v/>
      </c>
      <c r="E1703" s="8">
        <f>IF(DAY(D1703)=DAY($L$1+1),TRUNC((#REF!),8),E1702)</f>
        <v/>
      </c>
      <c r="F1703" s="49">
        <f>TRUNC(((1+VLOOKUP(A1703,IPCA!$A$2:$C$140,3,0)))^(C1703/(EDATE(D1703-C1703,1)-(D1703-C1703))),8)</f>
        <v/>
      </c>
      <c r="G1703" s="49">
        <f>TRUNC((E1703*F1703),8)</f>
        <v/>
      </c>
      <c r="H1703" s="49">
        <f>ROUND(((1+$H$4)^(30/360))^(C1703/(EDATE(D1703-B1703,1)-(D1703-B1703))),9)</f>
        <v/>
      </c>
      <c r="I1703" s="49">
        <f>TRUNC((G1703*H1703-G1703),8)</f>
        <v/>
      </c>
      <c r="J1703" s="49">
        <f>G1703+I1703</f>
        <v/>
      </c>
      <c r="K1703" s="256" t="n"/>
      <c r="L1703" s="256" t="n"/>
      <c r="M1703" s="256" t="n"/>
      <c r="N1703" s="256" t="n"/>
      <c r="O1703" s="256" t="n"/>
      <c r="P1703" s="256" t="n"/>
      <c r="Q1703" s="256" t="n"/>
    </row>
    <row r="1704">
      <c r="A1704">
        <f>IF(DAY(D1704)=DAY($L$1+1),A1703+1,A1703)</f>
        <v/>
      </c>
      <c r="B1704" s="46">
        <f>IF(DAY(D1704)=DAY($L$1+1),1,B1703+1)</f>
        <v/>
      </c>
      <c r="C1704" s="46">
        <f>IF(DAY(D1704)=DAY($L$1+1),1,C1703+1)</f>
        <v/>
      </c>
      <c r="D1704" s="2">
        <f>D1703+1</f>
        <v/>
      </c>
      <c r="E1704" s="8">
        <f>IF(DAY(D1704)=DAY($L$1+1),TRUNC((#REF!),8),E1703)</f>
        <v/>
      </c>
      <c r="F1704" s="49">
        <f>TRUNC(((1+VLOOKUP(A1704,IPCA!$A$2:$C$140,3,0)))^(C1704/(EDATE(D1704-C1704,1)-(D1704-C1704))),8)</f>
        <v/>
      </c>
      <c r="G1704" s="49">
        <f>TRUNC((E1704*F1704),8)</f>
        <v/>
      </c>
      <c r="H1704" s="49">
        <f>ROUND(((1+$H$4)^(30/360))^(C1704/(EDATE(D1704-B1704,1)-(D1704-B1704))),9)</f>
        <v/>
      </c>
      <c r="I1704" s="49">
        <f>TRUNC((G1704*H1704-G1704),8)</f>
        <v/>
      </c>
      <c r="J1704" s="49">
        <f>G1704+I1704</f>
        <v/>
      </c>
      <c r="K1704" s="256" t="n"/>
      <c r="L1704" s="256" t="n"/>
      <c r="M1704" s="256" t="n"/>
      <c r="N1704" s="256" t="n"/>
      <c r="O1704" s="256" t="n"/>
      <c r="P1704" s="256" t="n"/>
      <c r="Q1704" s="256" t="n"/>
    </row>
    <row r="1705">
      <c r="A1705">
        <f>IF(DAY(D1705)=DAY($L$1+1),A1704+1,A1704)</f>
        <v/>
      </c>
      <c r="B1705" s="46">
        <f>IF(DAY(D1705)=DAY($L$1+1),1,B1704+1)</f>
        <v/>
      </c>
      <c r="C1705" s="46">
        <f>IF(DAY(D1705)=DAY($L$1+1),1,C1704+1)</f>
        <v/>
      </c>
      <c r="D1705" s="2">
        <f>D1704+1</f>
        <v/>
      </c>
      <c r="E1705" s="8">
        <f>IF(DAY(D1705)=DAY($L$1+1),TRUNC((#REF!),8),E1704)</f>
        <v/>
      </c>
      <c r="F1705" s="49">
        <f>TRUNC(((1+VLOOKUP(A1705,IPCA!$A$2:$C$140,3,0)))^(C1705/(EDATE(D1705-C1705,1)-(D1705-C1705))),8)</f>
        <v/>
      </c>
      <c r="G1705" s="49">
        <f>TRUNC((E1705*F1705),8)</f>
        <v/>
      </c>
      <c r="H1705" s="49">
        <f>ROUND(((1+$H$4)^(30/360))^(C1705/(EDATE(D1705-B1705,1)-(D1705-B1705))),9)</f>
        <v/>
      </c>
      <c r="I1705" s="49">
        <f>TRUNC((G1705*H1705-G1705),8)</f>
        <v/>
      </c>
      <c r="J1705" s="49">
        <f>G1705+I1705</f>
        <v/>
      </c>
      <c r="K1705" s="256" t="n"/>
      <c r="L1705" s="256" t="n"/>
      <c r="M1705" s="256" t="n"/>
      <c r="N1705" s="256" t="n"/>
      <c r="O1705" s="256" t="n"/>
      <c r="P1705" s="256" t="n"/>
      <c r="Q1705" s="256" t="n"/>
    </row>
    <row r="1706">
      <c r="A1706">
        <f>IF(DAY(D1706)=DAY($L$1+1),A1705+1,A1705)</f>
        <v/>
      </c>
      <c r="B1706" s="46">
        <f>IF(DAY(D1706)=DAY($L$1+1),1,B1705+1)</f>
        <v/>
      </c>
      <c r="C1706" s="46">
        <f>IF(DAY(D1706)=DAY($L$1+1),1,C1705+1)</f>
        <v/>
      </c>
      <c r="D1706" s="2">
        <f>D1705+1</f>
        <v/>
      </c>
      <c r="E1706" s="8">
        <f>IF(DAY(D1706)=DAY($L$1+1),TRUNC((#REF!),8),E1705)</f>
        <v/>
      </c>
      <c r="F1706" s="49">
        <f>TRUNC(((1+VLOOKUP(A1706,IPCA!$A$2:$C$140,3,0)))^(C1706/(EDATE(D1706-C1706,1)-(D1706-C1706))),8)</f>
        <v/>
      </c>
      <c r="G1706" s="49">
        <f>TRUNC((E1706*F1706),8)</f>
        <v/>
      </c>
      <c r="H1706" s="49">
        <f>ROUND(((1+$H$4)^(30/360))^(C1706/(EDATE(D1706-B1706,1)-(D1706-B1706))),9)</f>
        <v/>
      </c>
      <c r="I1706" s="49">
        <f>TRUNC((G1706*H1706-G1706),8)</f>
        <v/>
      </c>
      <c r="J1706" s="49">
        <f>G1706+I1706</f>
        <v/>
      </c>
      <c r="K1706" s="256" t="n"/>
      <c r="L1706" s="256" t="n"/>
      <c r="M1706" s="256" t="n"/>
      <c r="N1706" s="256" t="n"/>
      <c r="O1706" s="256" t="n"/>
      <c r="P1706" s="256" t="n"/>
      <c r="Q1706" s="256" t="n"/>
    </row>
    <row r="1707">
      <c r="A1707">
        <f>IF(DAY(D1707)=DAY($L$1+1),A1706+1,A1706)</f>
        <v/>
      </c>
      <c r="B1707" s="46">
        <f>IF(DAY(D1707)=DAY($L$1+1),1,B1706+1)</f>
        <v/>
      </c>
      <c r="C1707" s="46">
        <f>IF(DAY(D1707)=DAY($L$1+1),1,C1706+1)</f>
        <v/>
      </c>
      <c r="D1707" s="2">
        <f>D1706+1</f>
        <v/>
      </c>
      <c r="E1707" s="8">
        <f>IF(DAY(D1707)=DAY($L$1+1),TRUNC((N1706),8),E1706)</f>
        <v/>
      </c>
      <c r="F1707" s="49">
        <f>TRUNC(((1+VLOOKUP(A1707,IPCA!$A$2:$C$140,3,0)))^(C1707/(EDATE(D1707-C1707,1)-(D1707-C1707))),8)</f>
        <v/>
      </c>
      <c r="G1707" s="49">
        <f>TRUNC((E1707*F1707),8)</f>
        <v/>
      </c>
      <c r="H1707" s="49">
        <f>ROUND(((1+$H$4)^(30/360))^(C1707/(EDATE(D1707-B1707,1)-(D1707-B1707))),9)</f>
        <v/>
      </c>
      <c r="I1707" s="49">
        <f>TRUNC((G1707*H1707-G1707),8)</f>
        <v/>
      </c>
      <c r="J1707" s="49">
        <f>G1707+I1707</f>
        <v/>
      </c>
      <c r="K1707" s="256" t="n"/>
      <c r="L1707" s="256" t="n"/>
      <c r="M1707" s="256" t="n"/>
      <c r="N1707" s="256" t="n"/>
      <c r="O1707" s="256" t="n"/>
      <c r="P1707" s="256" t="n"/>
      <c r="Q1707" s="256" t="n"/>
    </row>
    <row r="1708">
      <c r="A1708">
        <f>IF(DAY(D1708)=DAY($L$1+1),A1707+1,A1707)</f>
        <v/>
      </c>
      <c r="B1708" s="46">
        <f>IF(DAY(D1708)=DAY($L$1+1),1,B1707+1)</f>
        <v/>
      </c>
      <c r="C1708" s="46">
        <f>IF(DAY(D1708)=DAY($L$1+1),1,C1707+1)</f>
        <v/>
      </c>
      <c r="D1708" s="2">
        <f>D1707+1</f>
        <v/>
      </c>
      <c r="E1708" s="8">
        <f>IF(DAY(D1708)=DAY($L$1+1),TRUNC((N1707),8),E1707)</f>
        <v/>
      </c>
      <c r="F1708" s="49">
        <f>TRUNC(((1+VLOOKUP(A1708,IPCA!$A$2:$C$140,3,0)))^(C1708/(EDATE(D1708-C1708,1)-(D1708-C1708))),8)</f>
        <v/>
      </c>
      <c r="G1708" s="49">
        <f>TRUNC((E1708*F1708),8)</f>
        <v/>
      </c>
      <c r="H1708" s="49">
        <f>ROUND(((1+$H$4)^(30/360))^(C1708/(EDATE(D1708-B1708,1)-(D1708-B1708))),9)</f>
        <v/>
      </c>
      <c r="I1708" s="49">
        <f>TRUNC((G1708*H1708-G1708),8)</f>
        <v/>
      </c>
      <c r="J1708" s="49">
        <f>G1708+I1708</f>
        <v/>
      </c>
      <c r="K1708" s="123" t="n"/>
      <c r="L1708" s="271" t="n"/>
      <c r="M1708" s="256" t="n"/>
      <c r="N1708" s="256" t="n"/>
      <c r="O1708" s="256" t="n"/>
      <c r="P1708" s="256" t="n"/>
      <c r="Q1708" s="256" t="n"/>
    </row>
    <row r="1709">
      <c r="A1709">
        <f>IF(DAY(D1709)=DAY($L$1+1),A1708+1,A1708)</f>
        <v/>
      </c>
      <c r="B1709" s="46">
        <f>IF(DAY(D1709)=DAY($L$1+1),1,B1708+1)</f>
        <v/>
      </c>
      <c r="C1709" s="46">
        <f>IF(DAY(D1709)=DAY($L$1+1),1,C1708+1)</f>
        <v/>
      </c>
      <c r="D1709" s="2">
        <f>D1708+1</f>
        <v/>
      </c>
      <c r="E1709" s="8">
        <f>IF(DAY(D1709)=DAY($L$1+1),TRUNC((N1708),8),E1708)</f>
        <v/>
      </c>
      <c r="F1709" s="49">
        <f>TRUNC(((1+VLOOKUP(A1709,IPCA!$A$2:$C$140,3,0)))^(C1709/(EDATE(D1709-C1709,1)-(D1709-C1709))),8)</f>
        <v/>
      </c>
      <c r="G1709" s="49">
        <f>TRUNC((E1709*F1709),8)</f>
        <v/>
      </c>
      <c r="H1709" s="49">
        <f>ROUND(((1+$H$4)^(30/360))^(C1709/(EDATE(D1709-B1709,1)-(D1709-B1709))),9)</f>
        <v/>
      </c>
      <c r="I1709" s="49">
        <f>TRUNC((G1709*H1709-G1709),8)</f>
        <v/>
      </c>
      <c r="J1709" s="49">
        <f>G1709+I1709</f>
        <v/>
      </c>
      <c r="K1709" s="256" t="n"/>
      <c r="L1709" s="256" t="n"/>
      <c r="M1709" s="256" t="n"/>
      <c r="N1709" s="256" t="n"/>
      <c r="O1709" s="256" t="n"/>
      <c r="P1709" s="256" t="n"/>
      <c r="Q1709" s="256" t="n"/>
    </row>
    <row r="1710">
      <c r="A1710">
        <f>IF(DAY(D1710)=DAY($L$1+1),A1709+1,A1709)</f>
        <v/>
      </c>
      <c r="B1710" s="46">
        <f>IF(DAY(D1710)=DAY($L$1+1),1,B1709+1)</f>
        <v/>
      </c>
      <c r="C1710" s="46">
        <f>IF(DAY(D1710)=DAY($L$1+1),1,C1709+1)</f>
        <v/>
      </c>
      <c r="D1710" s="2">
        <f>D1709+1</f>
        <v/>
      </c>
      <c r="E1710" s="8">
        <f>IF(DAY(D1710)=DAY($L$1+1),TRUNC((N1709),8),E1709)</f>
        <v/>
      </c>
      <c r="F1710" s="49">
        <f>TRUNC(((1+VLOOKUP(A1710,IPCA!$A$2:$C$140,3,0)))^(C1710/(EDATE(D1710-C1710,1)-(D1710-C1710))),8)</f>
        <v/>
      </c>
      <c r="G1710" s="49">
        <f>TRUNC((E1710*F1710),8)</f>
        <v/>
      </c>
      <c r="H1710" s="49">
        <f>ROUND(((1+$H$4)^(30/360))^(C1710/(EDATE(D1710-B1710,1)-(D1710-B1710))),9)</f>
        <v/>
      </c>
      <c r="I1710" s="49">
        <f>TRUNC((G1710*H1710-G1710),8)</f>
        <v/>
      </c>
      <c r="J1710" s="49">
        <f>G1710+I1710</f>
        <v/>
      </c>
      <c r="K1710" s="256" t="n"/>
      <c r="L1710" s="256" t="n"/>
      <c r="M1710" s="256" t="n"/>
      <c r="N1710" s="256" t="n"/>
      <c r="O1710" s="256" t="n"/>
      <c r="P1710" s="256" t="n"/>
      <c r="Q1710" s="256" t="n"/>
    </row>
    <row r="1711">
      <c r="A1711">
        <f>IF(DAY(D1711)=DAY($L$1+1),A1710+1,A1710)</f>
        <v/>
      </c>
      <c r="B1711" s="46">
        <f>IF(DAY(D1711)=DAY($L$1+1),1,B1710+1)</f>
        <v/>
      </c>
      <c r="C1711" s="46">
        <f>IF(DAY(D1711)=DAY($L$1+1),1,C1710+1)</f>
        <v/>
      </c>
      <c r="D1711" s="2">
        <f>D1710+1</f>
        <v/>
      </c>
      <c r="E1711" s="8">
        <f>IF(DAY(D1711)=DAY($L$1+1),TRUNC((N1710),8),E1710)</f>
        <v/>
      </c>
      <c r="F1711" s="49">
        <f>TRUNC(((1+VLOOKUP(A1711,IPCA!$A$2:$C$140,3,0)))^(C1711/(EDATE(D1711-C1711,1)-(D1711-C1711))),8)</f>
        <v/>
      </c>
      <c r="G1711" s="49">
        <f>TRUNC((E1711*F1711),8)</f>
        <v/>
      </c>
      <c r="H1711" s="49">
        <f>ROUND(((1+$H$4)^(30/360))^(C1711/(EDATE(D1711-B1711,1)-(D1711-B1711))),9)</f>
        <v/>
      </c>
      <c r="I1711" s="49">
        <f>TRUNC((G1711*H1711-G1711),8)</f>
        <v/>
      </c>
      <c r="J1711" s="49">
        <f>G1711+I1711</f>
        <v/>
      </c>
      <c r="K1711" s="256" t="n"/>
      <c r="L1711" s="256" t="n"/>
      <c r="M1711" s="256" t="n"/>
      <c r="N1711" s="256" t="n"/>
      <c r="O1711" s="256" t="n"/>
      <c r="P1711" s="256" t="n"/>
      <c r="Q1711" s="256" t="n"/>
    </row>
    <row r="1712">
      <c r="A1712">
        <f>IF(DAY(D1712)=DAY($L$1+1),A1711+1,A1711)</f>
        <v/>
      </c>
      <c r="B1712" s="46">
        <f>IF(DAY(D1712)=DAY($L$1+1),1,B1711+1)</f>
        <v/>
      </c>
      <c r="C1712" s="46">
        <f>IF(DAY(D1712)=DAY($L$1+1),1,C1711+1)</f>
        <v/>
      </c>
      <c r="D1712" s="2">
        <f>D1711+1</f>
        <v/>
      </c>
      <c r="E1712" s="8">
        <f>IF(DAY(D1712)=DAY($L$1+1),TRUNC((N1711),8),E1711)</f>
        <v/>
      </c>
      <c r="F1712" s="49">
        <f>TRUNC(((1+VLOOKUP(A1712,IPCA!$A$2:$C$140,3,0)))^(C1712/(EDATE(D1712-C1712,1)-(D1712-C1712))),8)</f>
        <v/>
      </c>
      <c r="G1712" s="49">
        <f>TRUNC((E1712*F1712),8)</f>
        <v/>
      </c>
      <c r="H1712" s="49">
        <f>ROUND(((1+$H$4)^(30/360))^(C1712/(EDATE(D1712-B1712,1)-(D1712-B1712))),9)</f>
        <v/>
      </c>
      <c r="I1712" s="49">
        <f>TRUNC((G1712*H1712-G1712),8)</f>
        <v/>
      </c>
      <c r="J1712" s="49">
        <f>G1712+I1712</f>
        <v/>
      </c>
      <c r="K1712" s="256" t="n"/>
      <c r="L1712" s="256" t="n"/>
      <c r="M1712" s="256" t="n"/>
      <c r="N1712" s="256" t="n"/>
      <c r="O1712" s="256" t="n"/>
      <c r="P1712" s="256" t="n"/>
      <c r="Q1712" s="256" t="n"/>
    </row>
    <row r="1713">
      <c r="A1713">
        <f>IF(DAY(D1713)=DAY($L$1+1),A1712+1,A1712)</f>
        <v/>
      </c>
      <c r="B1713" s="46">
        <f>IF(DAY(D1713)=DAY($L$1+1),1,B1712+1)</f>
        <v/>
      </c>
      <c r="C1713" s="46">
        <f>IF(DAY(D1713)=DAY($L$1+1),1,C1712+1)</f>
        <v/>
      </c>
      <c r="D1713" s="2">
        <f>D1712+1</f>
        <v/>
      </c>
      <c r="E1713" s="8">
        <f>IF(DAY(D1713)=DAY($L$1+1),TRUNC((N1712),8),E1712)</f>
        <v/>
      </c>
      <c r="F1713" s="49">
        <f>TRUNC(((1+VLOOKUP(A1713,IPCA!$A$2:$C$140,3,0)))^(C1713/(EDATE(D1713-C1713,1)-(D1713-C1713))),8)</f>
        <v/>
      </c>
      <c r="G1713" s="49">
        <f>TRUNC((E1713*F1713),8)</f>
        <v/>
      </c>
      <c r="H1713" s="49">
        <f>ROUND(((1+$H$4)^(30/360))^(C1713/(EDATE(D1713-B1713,1)-(D1713-B1713))),9)</f>
        <v/>
      </c>
      <c r="I1713" s="49">
        <f>TRUNC((G1713*H1713-G1713),8)</f>
        <v/>
      </c>
      <c r="J1713" s="49">
        <f>G1713+I1713</f>
        <v/>
      </c>
      <c r="K1713" s="256" t="n"/>
      <c r="L1713" s="256" t="n"/>
      <c r="M1713" s="256" t="n"/>
      <c r="N1713" s="256" t="n"/>
      <c r="O1713" s="256" t="n"/>
      <c r="P1713" s="256" t="n"/>
      <c r="Q1713" s="256" t="n"/>
    </row>
    <row r="1714">
      <c r="A1714">
        <f>IF(DAY(D1714)=DAY($L$1+1),A1713+1,A1713)</f>
        <v/>
      </c>
      <c r="B1714" s="46">
        <f>IF(DAY(D1714)=DAY($L$1+1),1,B1713+1)</f>
        <v/>
      </c>
      <c r="C1714" s="46">
        <f>IF(DAY(D1714)=DAY($L$1+1),1,C1713+1)</f>
        <v/>
      </c>
      <c r="D1714" s="2">
        <f>D1713+1</f>
        <v/>
      </c>
      <c r="E1714" s="8">
        <f>IF(DAY(D1714)=DAY($L$1+1),TRUNC((N1713),8),E1713)</f>
        <v/>
      </c>
      <c r="F1714" s="49">
        <f>TRUNC(((1+VLOOKUP(A1714,IPCA!$A$2:$C$140,3,0)))^(C1714/(EDATE(D1714-C1714,1)-(D1714-C1714))),8)</f>
        <v/>
      </c>
      <c r="G1714" s="49">
        <f>TRUNC((E1714*F1714),8)</f>
        <v/>
      </c>
      <c r="H1714" s="49">
        <f>ROUND(((1+$H$4)^(30/360))^(C1714/(EDATE(D1714-B1714,1)-(D1714-B1714))),9)</f>
        <v/>
      </c>
      <c r="I1714" s="49">
        <f>TRUNC((G1714*H1714-G1714),8)</f>
        <v/>
      </c>
      <c r="J1714" s="49">
        <f>G1714+I1714</f>
        <v/>
      </c>
      <c r="K1714" s="256" t="n"/>
      <c r="L1714" s="256" t="n"/>
      <c r="M1714" s="256" t="n"/>
      <c r="N1714" s="256" t="n"/>
      <c r="O1714" s="256" t="n"/>
      <c r="P1714" s="256" t="n"/>
      <c r="Q1714" s="256" t="n"/>
    </row>
    <row r="1715">
      <c r="A1715">
        <f>IF(DAY(D1715)=DAY($L$1+1),A1714+1,A1714)</f>
        <v/>
      </c>
      <c r="B1715" s="46">
        <f>IF(DAY(D1715)=DAY($L$1+1),1,B1714+1)</f>
        <v/>
      </c>
      <c r="C1715" s="46">
        <f>IF(DAY(D1715)=DAY($L$1+1),1,C1714+1)</f>
        <v/>
      </c>
      <c r="D1715" s="2">
        <f>D1714+1</f>
        <v/>
      </c>
      <c r="E1715" s="8">
        <f>IF(DAY(D1715)=DAY($L$1+1),TRUNC((N1714),8),E1714)</f>
        <v/>
      </c>
      <c r="F1715" s="49">
        <f>TRUNC(((1+VLOOKUP(A1715,IPCA!$A$2:$C$140,3,0)))^(C1715/(EDATE(D1715-C1715,1)-(D1715-C1715))),8)</f>
        <v/>
      </c>
      <c r="G1715" s="49">
        <f>TRUNC((E1715*F1715),8)</f>
        <v/>
      </c>
      <c r="H1715" s="49">
        <f>ROUND(((1+$H$4)^(30/360))^(C1715/(EDATE(D1715-B1715,1)-(D1715-B1715))),9)</f>
        <v/>
      </c>
      <c r="I1715" s="49">
        <f>TRUNC((G1715*H1715-G1715),8)</f>
        <v/>
      </c>
      <c r="J1715" s="49">
        <f>G1715+I1715</f>
        <v/>
      </c>
      <c r="K1715" s="256" t="n"/>
      <c r="L1715" s="256" t="n"/>
      <c r="M1715" s="256" t="n"/>
      <c r="N1715" s="256" t="n"/>
      <c r="O1715" s="256" t="n"/>
      <c r="P1715" s="256" t="n"/>
      <c r="Q1715" s="256" t="n"/>
    </row>
    <row r="1716">
      <c r="A1716">
        <f>IF(DAY(D1716)=DAY($L$1+1),A1715+1,A1715)</f>
        <v/>
      </c>
      <c r="B1716" s="46">
        <f>IF(DAY(D1716)=DAY($L$1+1),1,B1715+1)</f>
        <v/>
      </c>
      <c r="C1716" s="46">
        <f>IF(DAY(D1716)=DAY($L$1+1),1,C1715+1)</f>
        <v/>
      </c>
      <c r="D1716" s="2">
        <f>D1715+1</f>
        <v/>
      </c>
      <c r="E1716" s="8">
        <f>IF(DAY(D1716)=DAY($L$1+1),TRUNC((N1715),8),E1715)</f>
        <v/>
      </c>
      <c r="F1716" s="49">
        <f>TRUNC(((1+VLOOKUP(A1716,IPCA!$A$2:$C$140,3,0)))^(C1716/(EDATE(D1716-C1716,1)-(D1716-C1716))),8)</f>
        <v/>
      </c>
      <c r="G1716" s="49">
        <f>TRUNC((E1716*F1716),8)</f>
        <v/>
      </c>
      <c r="H1716" s="49">
        <f>ROUND(((1+$H$4)^(30/360))^(C1716/(EDATE(D1716-B1716,1)-(D1716-B1716))),9)</f>
        <v/>
      </c>
      <c r="I1716" s="49">
        <f>TRUNC((G1716*H1716-G1716),8)</f>
        <v/>
      </c>
      <c r="J1716" s="49">
        <f>G1716+I1716</f>
        <v/>
      </c>
      <c r="K1716" s="256" t="n"/>
      <c r="L1716" s="256" t="n"/>
      <c r="M1716" s="256" t="n"/>
      <c r="N1716" s="256" t="n"/>
      <c r="O1716" s="256" t="n"/>
      <c r="P1716" s="256" t="n"/>
      <c r="Q1716" s="256" t="n"/>
    </row>
    <row r="1717">
      <c r="A1717">
        <f>IF(DAY(D1717)=DAY($L$1+1),A1716+1,A1716)</f>
        <v/>
      </c>
      <c r="B1717" s="46">
        <f>IF(DAY(D1717)=DAY($L$1+1),1,B1716+1)</f>
        <v/>
      </c>
      <c r="C1717" s="46">
        <f>IF(DAY(D1717)=DAY($L$1+1),1,C1716+1)</f>
        <v/>
      </c>
      <c r="D1717" s="2">
        <f>D1716+1</f>
        <v/>
      </c>
      <c r="E1717" s="8">
        <f>IF(DAY(D1717)=DAY($L$1+1),TRUNC((N1716),8),E1716)</f>
        <v/>
      </c>
      <c r="F1717" s="49">
        <f>TRUNC(((1+VLOOKUP(A1717,IPCA!$A$2:$C$140,3,0)))^(C1717/(EDATE(D1717-C1717,1)-(D1717-C1717))),8)</f>
        <v/>
      </c>
      <c r="G1717" s="49">
        <f>TRUNC((E1717*F1717),8)</f>
        <v/>
      </c>
      <c r="H1717" s="49">
        <f>ROUND(((1+$H$4)^(30/360))^(C1717/(EDATE(D1717-B1717,1)-(D1717-B1717))),9)</f>
        <v/>
      </c>
      <c r="I1717" s="49">
        <f>TRUNC((G1717*H1717-G1717),8)</f>
        <v/>
      </c>
      <c r="J1717" s="49">
        <f>G1717+I1717</f>
        <v/>
      </c>
      <c r="K1717" s="256" t="n"/>
      <c r="L1717" s="256" t="n"/>
      <c r="M1717" s="256" t="n"/>
      <c r="N1717" s="256" t="n"/>
      <c r="O1717" s="256" t="n"/>
      <c r="P1717" s="256" t="n"/>
      <c r="Q1717" s="256" t="n"/>
    </row>
    <row r="1718">
      <c r="A1718">
        <f>IF(DAY(D1718)=DAY($L$1+1),A1717+1,A1717)</f>
        <v/>
      </c>
      <c r="B1718" s="46">
        <f>IF(DAY(D1718)=DAY($L$1+1),1,B1717+1)</f>
        <v/>
      </c>
      <c r="C1718" s="46">
        <f>IF(DAY(D1718)=DAY($L$1+1),1,C1717+1)</f>
        <v/>
      </c>
      <c r="D1718" s="2">
        <f>D1717+1</f>
        <v/>
      </c>
      <c r="E1718" s="8">
        <f>IF(DAY(D1718)=DAY($L$1+1),TRUNC((N1717),8),E1717)</f>
        <v/>
      </c>
      <c r="F1718" s="49">
        <f>TRUNC(((1+VLOOKUP(A1718,IPCA!$A$2:$C$140,3,0)))^(C1718/(EDATE(D1718-C1718,1)-(D1718-C1718))),8)</f>
        <v/>
      </c>
      <c r="G1718" s="49">
        <f>TRUNC((E1718*F1718),8)</f>
        <v/>
      </c>
      <c r="H1718" s="49">
        <f>ROUND(((1+$H$4)^(30/360))^(C1718/(EDATE(D1718-B1718,1)-(D1718-B1718))),9)</f>
        <v/>
      </c>
      <c r="I1718" s="49">
        <f>TRUNC((G1718*H1718-G1718),8)</f>
        <v/>
      </c>
      <c r="J1718" s="49">
        <f>G1718+I1718</f>
        <v/>
      </c>
      <c r="K1718" s="256" t="n"/>
      <c r="L1718" s="256" t="n"/>
      <c r="M1718" s="256" t="n"/>
      <c r="N1718" s="256" t="n"/>
      <c r="O1718" s="256" t="n"/>
      <c r="P1718" s="256" t="n"/>
      <c r="Q1718" s="256" t="n"/>
    </row>
    <row r="1719">
      <c r="A1719">
        <f>IF(DAY(D1719)=DAY($L$1+1),A1718+1,A1718)</f>
        <v/>
      </c>
      <c r="B1719" s="46">
        <f>IF(DAY(D1719)=DAY($L$1+1),1,B1718+1)</f>
        <v/>
      </c>
      <c r="C1719" s="46">
        <f>IF(DAY(D1719)=DAY($L$1+1),1,C1718+1)</f>
        <v/>
      </c>
      <c r="D1719" s="2">
        <f>D1718+1</f>
        <v/>
      </c>
      <c r="E1719" s="8">
        <f>IF(DAY(D1719)=DAY($L$1+1),TRUNC((N1718),8),E1718)</f>
        <v/>
      </c>
      <c r="F1719" s="49">
        <f>TRUNC(((1+VLOOKUP(A1719,IPCA!$A$2:$C$140,3,0)))^(C1719/(EDATE(D1719-C1719,1)-(D1719-C1719))),8)</f>
        <v/>
      </c>
      <c r="G1719" s="49">
        <f>TRUNC((E1719*F1719),8)</f>
        <v/>
      </c>
      <c r="H1719" s="49">
        <f>ROUND(((1+$H$4)^(30/360))^(C1719/(EDATE(D1719-B1719,1)-(D1719-B1719))),9)</f>
        <v/>
      </c>
      <c r="I1719" s="49">
        <f>TRUNC((G1719*H1719-G1719),8)</f>
        <v/>
      </c>
      <c r="J1719" s="49">
        <f>G1719+I1719</f>
        <v/>
      </c>
      <c r="K1719" s="256" t="n"/>
      <c r="L1719" s="256" t="n"/>
      <c r="M1719" s="256" t="n"/>
      <c r="N1719" s="256" t="n"/>
      <c r="O1719" s="256" t="n"/>
      <c r="P1719" s="256" t="n"/>
      <c r="Q1719" s="256" t="n"/>
    </row>
    <row r="1720">
      <c r="A1720">
        <f>IF(DAY(D1720)=DAY($L$1+1),A1719+1,A1719)</f>
        <v/>
      </c>
      <c r="B1720" s="46">
        <f>IF(DAY(D1720)=DAY($L$1+1),1,B1719+1)</f>
        <v/>
      </c>
      <c r="C1720" s="46">
        <f>IF(DAY(D1720)=DAY($L$1+1),1,C1719+1)</f>
        <v/>
      </c>
      <c r="D1720" s="2">
        <f>D1719+1</f>
        <v/>
      </c>
      <c r="E1720" s="8">
        <f>IF(DAY(D1720)=DAY($L$1+1),TRUNC((N1719),8),E1719)</f>
        <v/>
      </c>
      <c r="F1720" s="49">
        <f>TRUNC(((1+VLOOKUP(A1720,IPCA!$A$2:$C$140,3,0)))^(C1720/(EDATE(D1720-C1720,1)-(D1720-C1720))),8)</f>
        <v/>
      </c>
      <c r="G1720" s="49">
        <f>TRUNC((E1720*F1720),8)</f>
        <v/>
      </c>
      <c r="H1720" s="49">
        <f>ROUND(((1+$H$4)^(30/360))^(C1720/(EDATE(D1720-B1720,1)-(D1720-B1720))),9)</f>
        <v/>
      </c>
      <c r="I1720" s="49">
        <f>TRUNC((G1720*H1720-G1720),8)</f>
        <v/>
      </c>
      <c r="J1720" s="49">
        <f>G1720+I1720</f>
        <v/>
      </c>
      <c r="K1720" s="256" t="n"/>
      <c r="L1720" s="256" t="n"/>
      <c r="M1720" s="256" t="n"/>
      <c r="N1720" s="256" t="n"/>
      <c r="O1720" s="256" t="n"/>
      <c r="P1720" s="256" t="n"/>
      <c r="Q1720" s="256" t="n"/>
    </row>
    <row r="1721">
      <c r="A1721">
        <f>IF(DAY(D1721)=DAY($L$1+1),A1720+1,A1720)</f>
        <v/>
      </c>
      <c r="B1721" s="46">
        <f>IF(DAY(D1721)=DAY($L$1+1),1,B1720+1)</f>
        <v/>
      </c>
      <c r="C1721" s="46">
        <f>IF(DAY(D1721)=DAY($L$1+1),1,C1720+1)</f>
        <v/>
      </c>
      <c r="D1721" s="2">
        <f>D1720+1</f>
        <v/>
      </c>
      <c r="E1721" s="8">
        <f>IF(DAY(D1721)=DAY($L$1+1),TRUNC((N1720),8),E1720)</f>
        <v/>
      </c>
      <c r="F1721" s="49">
        <f>TRUNC(((1+VLOOKUP(A1721,IPCA!$A$2:$C$140,3,0)))^(C1721/(EDATE(D1721-C1721,1)-(D1721-C1721))),8)</f>
        <v/>
      </c>
      <c r="G1721" s="49">
        <f>TRUNC((E1721*F1721),8)</f>
        <v/>
      </c>
      <c r="H1721" s="49">
        <f>ROUND(((1+$H$4)^(30/360))^(C1721/(EDATE(D1721-B1721,1)-(D1721-B1721))),9)</f>
        <v/>
      </c>
      <c r="I1721" s="49">
        <f>TRUNC((G1721*H1721-G1721),8)</f>
        <v/>
      </c>
      <c r="J1721" s="49">
        <f>G1721+I1721</f>
        <v/>
      </c>
      <c r="K1721" s="256" t="inlineStr">
        <is>
          <t>Cri Integralizado</t>
        </is>
      </c>
      <c r="L1721" s="270">
        <f>L1693</f>
        <v/>
      </c>
      <c r="M1721" s="256" t="n"/>
      <c r="N1721" s="256" t="n"/>
      <c r="O1721" s="256" t="n"/>
      <c r="P1721" s="256" t="n"/>
      <c r="Q1721" s="256" t="n"/>
    </row>
    <row r="1722">
      <c r="A1722">
        <f>IF(DAY(D1722)=DAY($L$1+1),A1721+1,A1721)</f>
        <v/>
      </c>
      <c r="B1722" s="46">
        <f>IF(DAY(D1722)=DAY($L$1+1),1,B1721+1)</f>
        <v/>
      </c>
      <c r="C1722" s="46">
        <f>IF(DAY(D1722)=DAY($L$1+1),1,C1721+1)</f>
        <v/>
      </c>
      <c r="D1722" s="47">
        <f>D1721+1</f>
        <v/>
      </c>
      <c r="E1722" s="8">
        <f>IF(DAY(D1722)=DAY($L$1+1),TRUNC((N1721),8),E1721)</f>
        <v/>
      </c>
      <c r="F1722" s="49">
        <f>TRUNC(((1+VLOOKUP(A1722,IPCA!$A$2:$C$140,3,0)))^(C1722/(EDATE(D1722-C1722,1)-(D1722-C1722))),8)</f>
        <v/>
      </c>
      <c r="G1722" s="49">
        <f>TRUNC((E1722*F1722),8)</f>
        <v/>
      </c>
      <c r="H1722" s="49">
        <f>ROUND(((1+$H$4)^(30/360))^(C1722/(EDATE(D1722-B1722,1)-(D1722-B1722))),9)</f>
        <v/>
      </c>
      <c r="I1722" s="49">
        <f>TRUNC((G1722*H1722-G1722),8)</f>
        <v/>
      </c>
      <c r="J1722" s="49">
        <f>G1722+I1722</f>
        <v/>
      </c>
      <c r="K1722" s="118" t="inlineStr">
        <is>
          <t>JUROS</t>
        </is>
      </c>
      <c r="L1722" s="118" t="inlineStr">
        <is>
          <t>AMORTIZAÇÃO</t>
        </is>
      </c>
      <c r="M1722" s="118" t="inlineStr">
        <is>
          <t>AMEX</t>
        </is>
      </c>
      <c r="N1722" s="118" t="inlineStr">
        <is>
          <t>RESIDUAL</t>
        </is>
      </c>
      <c r="O1722" s="256" t="n"/>
      <c r="P1722" s="256" t="n"/>
      <c r="Q1722" s="256" t="n"/>
    </row>
    <row r="1723">
      <c r="A1723">
        <f>IF(DAY(D1723)=DAY($L$1+1),A1722+1,A1722)</f>
        <v/>
      </c>
      <c r="B1723" s="111">
        <f>IF(DAY(D1723)=DAY($L$1+1),1,B1722+1)</f>
        <v/>
      </c>
      <c r="C1723" s="111">
        <f>IF(DAY(D1723)=DAY($L$1+1),1,C1722+1)</f>
        <v/>
      </c>
      <c r="D1723" s="112">
        <f>D1722+1</f>
        <v/>
      </c>
      <c r="E1723" s="113">
        <f>IF(DAY(D1723)=DAY($L$1+1),TRUNC((N1722),8),E1722)</f>
        <v/>
      </c>
      <c r="F1723" s="114">
        <f>TRUNC(((1+VLOOKUP(A1723,IPCA!$A$2:$C$140,3,0)))^(C1723/(EDATE(D1723-C1723,1)-(D1723-C1723))),8)</f>
        <v/>
      </c>
      <c r="G1723" s="114">
        <f>TRUNC((E1723*F1723),8)</f>
        <v/>
      </c>
      <c r="H1723" s="114">
        <f>ROUND(((1+$H$4)^(30/360))^(C1723/(EDATE(D1723-B1723,1)-(D1723-B1723))),9)</f>
        <v/>
      </c>
      <c r="I1723" s="114">
        <f>TRUNC((G1723*H1723-G1723),8)</f>
        <v/>
      </c>
      <c r="J1723" s="114">
        <f>G1723+I1723</f>
        <v/>
      </c>
      <c r="K1723" s="119">
        <f>I1723</f>
        <v/>
      </c>
      <c r="L1723" s="120">
        <f>TRUNC(G1723*VLOOKUP(D1723,'Amort TS'!$G$3:$H$140,2,0),8)</f>
        <v/>
      </c>
      <c r="M1723" s="120" t="n">
        <v>0</v>
      </c>
      <c r="N1723" s="120">
        <f>J1723-K1723-L1723-M1723</f>
        <v/>
      </c>
      <c r="O1723" s="256" t="n"/>
      <c r="P1723" s="256" t="n"/>
      <c r="Q1723" s="256" t="n"/>
    </row>
    <row r="1724">
      <c r="A1724">
        <f>IF(DAY(D1724)=DAY($L$1+1),A1723+1,A1723)</f>
        <v/>
      </c>
      <c r="B1724" s="46">
        <f>IF(DAY(D1724)=DAY($L$1+1),1,B1723+1)</f>
        <v/>
      </c>
      <c r="C1724" s="46">
        <f>IF(DAY(D1724)=DAY($L$1+1),1,C1723+1)</f>
        <v/>
      </c>
      <c r="D1724" s="2">
        <f>D1723+1</f>
        <v/>
      </c>
      <c r="E1724" s="8">
        <f>IF(DAY(D1724)=DAY($L$1+1),TRUNC((N1723),8),E1723)</f>
        <v/>
      </c>
      <c r="F1724" s="49">
        <f>TRUNC(((1+VLOOKUP(A1724,IPCA!$A$2:$C$140,3,0)))^(C1724/(EDATE(D1724-C1724,1)-(D1724-C1724))),8)</f>
        <v/>
      </c>
      <c r="G1724" s="49">
        <f>TRUNC((E1724*F1724),8)</f>
        <v/>
      </c>
      <c r="H1724" s="49">
        <f>ROUND(((1+$H$4)^(30/360))^(C1724/(EDATE(D1724-B1724,1)-(D1724-B1724))),9)</f>
        <v/>
      </c>
      <c r="I1724" s="49">
        <f>TRUNC((G1724*H1724-G1724),8)</f>
        <v/>
      </c>
      <c r="J1724" s="49">
        <f>G1724+I1724</f>
        <v/>
      </c>
      <c r="K1724" s="121">
        <f>K1723*L1721</f>
        <v/>
      </c>
      <c r="L1724" s="121">
        <f>L1723*L1721</f>
        <v/>
      </c>
      <c r="M1724" s="121">
        <f>M1723*L1721</f>
        <v/>
      </c>
      <c r="N1724" s="121">
        <f>N1723*L1721</f>
        <v/>
      </c>
      <c r="O1724" s="256" t="n"/>
      <c r="P1724" s="256" t="n"/>
      <c r="Q1724" s="256" t="n"/>
    </row>
    <row r="1725">
      <c r="A1725">
        <f>IF(DAY(D1725)=DAY($L$1+1),A1724+1,A1724)</f>
        <v/>
      </c>
      <c r="B1725" s="46">
        <f>IF(DAY(D1725)=DAY($L$1+1),1,B1724+1)</f>
        <v/>
      </c>
      <c r="C1725" s="46">
        <f>IF(DAY(D1725)=DAY($L$1+1),1,C1724+1)</f>
        <v/>
      </c>
      <c r="D1725" s="47">
        <f>D1724+1</f>
        <v/>
      </c>
      <c r="E1725" s="8">
        <f>IF(DAY(D1725)=DAY($L$1+1),TRUNC((N1724),8),E1724)</f>
        <v/>
      </c>
      <c r="F1725" s="49">
        <f>TRUNC(((1+VLOOKUP(A1725,IPCA!$A$2:$C$140,3,0)))^(C1725/(EDATE(D1725-C1725,1)-(D1725-C1725))),8)</f>
        <v/>
      </c>
      <c r="G1725" s="49">
        <f>TRUNC((E1725*F1725),8)</f>
        <v/>
      </c>
      <c r="H1725" s="49">
        <f>ROUND(((1+$H$4)^(30/360))^(C1725/(EDATE(D1725-B1725,1)-(D1725-B1725))),9)</f>
        <v/>
      </c>
      <c r="I1725" s="49">
        <f>TRUNC((G1725*H1725-G1725),8)</f>
        <v/>
      </c>
      <c r="J1725" s="49">
        <f>G1725+I1725</f>
        <v/>
      </c>
      <c r="K1725" s="256" t="n"/>
      <c r="L1725" s="256" t="n"/>
      <c r="M1725" s="256" t="n"/>
      <c r="N1725" s="256" t="n"/>
      <c r="O1725" s="256" t="n"/>
      <c r="P1725" s="256" t="n"/>
      <c r="Q1725" s="256" t="n"/>
    </row>
    <row r="1726">
      <c r="A1726">
        <f>IF(DAY(D1726)=DAY($L$1+1),A1725+1,A1725)</f>
        <v/>
      </c>
      <c r="B1726" s="46">
        <f>IF(DAY(D1726)=DAY($L$1+1),1,B1725+1)</f>
        <v/>
      </c>
      <c r="C1726" s="46">
        <f>IF(DAY(D1726)=DAY($L$1+1),1,C1725+1)</f>
        <v/>
      </c>
      <c r="D1726" s="2">
        <f>D1725+1</f>
        <v/>
      </c>
      <c r="E1726" s="8">
        <f>IF(DAY(D1726)=DAY($L$1+1),TRUNC((#REF!),8),E1725)</f>
        <v/>
      </c>
      <c r="F1726" s="49">
        <f>TRUNC(((1+VLOOKUP(A1726,IPCA!$A$2:$C$140,3,0)))^(C1726/(EDATE(D1726-C1726,1)-(D1726-C1726))),8)</f>
        <v/>
      </c>
      <c r="G1726" s="49">
        <f>TRUNC((E1726*F1726),8)</f>
        <v/>
      </c>
      <c r="H1726" s="49">
        <f>ROUND(((1+$H$4)^(30/360))^(C1726/(EDATE(D1726-B1726,1)-(D1726-B1726))),9)</f>
        <v/>
      </c>
      <c r="I1726" s="49">
        <f>TRUNC((G1726*H1726-G1726),8)</f>
        <v/>
      </c>
      <c r="J1726" s="49">
        <f>G1726+I1726</f>
        <v/>
      </c>
      <c r="K1726" s="256" t="n"/>
      <c r="L1726" s="256" t="n"/>
      <c r="M1726" s="256" t="n"/>
      <c r="N1726" s="256" t="n"/>
      <c r="O1726" s="256" t="n"/>
      <c r="P1726" s="256" t="n"/>
      <c r="Q1726" s="256" t="n"/>
    </row>
    <row r="1727">
      <c r="A1727">
        <f>IF(DAY(D1727)=DAY($L$1+1),A1726+1,A1726)</f>
        <v/>
      </c>
      <c r="B1727" s="46">
        <f>IF(DAY(D1727)=DAY($L$1+1),1,B1726+1)</f>
        <v/>
      </c>
      <c r="C1727" s="46">
        <f>IF(DAY(D1727)=DAY($L$1+1),1,C1726+1)</f>
        <v/>
      </c>
      <c r="D1727" s="2">
        <f>D1726+1</f>
        <v/>
      </c>
      <c r="E1727" s="8">
        <f>IF(DAY(D1727)=DAY($L$1+1),TRUNC((#REF!),8),E1726)</f>
        <v/>
      </c>
      <c r="F1727" s="49">
        <f>TRUNC(((1+VLOOKUP(A1727,IPCA!$A$2:$C$140,3,0)))^(C1727/(EDATE(D1727-C1727,1)-(D1727-C1727))),8)</f>
        <v/>
      </c>
      <c r="G1727" s="49">
        <f>TRUNC((E1727*F1727),8)</f>
        <v/>
      </c>
      <c r="H1727" s="49">
        <f>ROUND(((1+$H$4)^(30/360))^(C1727/(EDATE(D1727-B1727,1)-(D1727-B1727))),9)</f>
        <v/>
      </c>
      <c r="I1727" s="49">
        <f>TRUNC((G1727*H1727-G1727),8)</f>
        <v/>
      </c>
      <c r="J1727" s="49">
        <f>G1727+I1727</f>
        <v/>
      </c>
      <c r="K1727" s="256" t="n"/>
      <c r="L1727" s="256" t="n"/>
      <c r="M1727" s="256" t="n"/>
      <c r="N1727" s="256" t="n"/>
      <c r="O1727" s="256" t="n"/>
      <c r="P1727" s="256" t="n"/>
      <c r="Q1727" s="256" t="n"/>
    </row>
    <row r="1728">
      <c r="A1728">
        <f>IF(DAY(D1728)=DAY($L$1+1),A1727+1,A1727)</f>
        <v/>
      </c>
      <c r="B1728" s="46">
        <f>IF(DAY(D1728)=DAY($L$1+1),1,B1727+1)</f>
        <v/>
      </c>
      <c r="C1728" s="46">
        <f>IF(DAY(D1728)=DAY($L$1+1),1,C1727+1)</f>
        <v/>
      </c>
      <c r="D1728" s="2">
        <f>D1727+1</f>
        <v/>
      </c>
      <c r="E1728" s="8">
        <f>IF(DAY(D1728)=DAY($L$1+1),TRUNC((#REF!),8),E1727)</f>
        <v/>
      </c>
      <c r="F1728" s="49">
        <f>TRUNC(((1+VLOOKUP(A1728,IPCA!$A$2:$C$140,3,0)))^(C1728/(EDATE(D1728-C1728,1)-(D1728-C1728))),8)</f>
        <v/>
      </c>
      <c r="G1728" s="49">
        <f>TRUNC((E1728*F1728),8)</f>
        <v/>
      </c>
      <c r="H1728" s="49">
        <f>ROUND(((1+$H$4)^(30/360))^(C1728/(EDATE(D1728-B1728,1)-(D1728-B1728))),9)</f>
        <v/>
      </c>
      <c r="I1728" s="49">
        <f>TRUNC((G1728*H1728-G1728),8)</f>
        <v/>
      </c>
      <c r="J1728" s="49">
        <f>G1728+I1728</f>
        <v/>
      </c>
      <c r="K1728" s="256" t="n"/>
      <c r="L1728" s="256" t="n"/>
      <c r="M1728" s="256" t="n"/>
      <c r="N1728" s="256" t="n"/>
      <c r="O1728" s="256" t="n"/>
      <c r="P1728" s="256" t="n"/>
      <c r="Q1728" s="256" t="n"/>
    </row>
    <row r="1729">
      <c r="A1729">
        <f>IF(DAY(D1729)=DAY($L$1+1),A1728+1,A1728)</f>
        <v/>
      </c>
      <c r="B1729" s="46">
        <f>IF(DAY(D1729)=DAY($L$1+1),1,B1728+1)</f>
        <v/>
      </c>
      <c r="C1729" s="46">
        <f>IF(DAY(D1729)=DAY($L$1+1),1,C1728+1)</f>
        <v/>
      </c>
      <c r="D1729" s="2">
        <f>D1728+1</f>
        <v/>
      </c>
      <c r="E1729" s="8">
        <f>IF(DAY(D1729)=DAY($L$1+1),TRUNC((#REF!),8),E1728)</f>
        <v/>
      </c>
      <c r="F1729" s="49">
        <f>TRUNC(((1+VLOOKUP(A1729,IPCA!$A$2:$C$140,3,0)))^(C1729/(EDATE(D1729-C1729,1)-(D1729-C1729))),8)</f>
        <v/>
      </c>
      <c r="G1729" s="49">
        <f>TRUNC((E1729*F1729),8)</f>
        <v/>
      </c>
      <c r="H1729" s="49">
        <f>ROUND(((1+$H$4)^(30/360))^(C1729/(EDATE(D1729-B1729,1)-(D1729-B1729))),9)</f>
        <v/>
      </c>
      <c r="I1729" s="49">
        <f>TRUNC((G1729*H1729-G1729),8)</f>
        <v/>
      </c>
      <c r="J1729" s="49">
        <f>G1729+I1729</f>
        <v/>
      </c>
      <c r="K1729" s="256" t="n"/>
      <c r="L1729" s="256" t="n"/>
      <c r="M1729" s="256" t="n"/>
      <c r="N1729" s="256" t="n"/>
      <c r="O1729" s="256" t="n"/>
      <c r="P1729" s="256" t="n"/>
      <c r="Q1729" s="256" t="n"/>
    </row>
    <row r="1730">
      <c r="A1730">
        <f>IF(DAY(D1730)=DAY($L$1+1),A1729+1,A1729)</f>
        <v/>
      </c>
      <c r="B1730" s="46">
        <f>IF(DAY(D1730)=DAY($L$1+1),1,B1729+1)</f>
        <v/>
      </c>
      <c r="C1730" s="46">
        <f>IF(DAY(D1730)=DAY($L$1+1),1,C1729+1)</f>
        <v/>
      </c>
      <c r="D1730" s="2">
        <f>D1729+1</f>
        <v/>
      </c>
      <c r="E1730" s="8">
        <f>IF(DAY(D1730)=DAY($L$1+1),TRUNC((#REF!),8),E1729)</f>
        <v/>
      </c>
      <c r="F1730" s="49">
        <f>TRUNC(((1+VLOOKUP(A1730,IPCA!$A$2:$C$140,3,0)))^(C1730/(EDATE(D1730-C1730,1)-(D1730-C1730))),8)</f>
        <v/>
      </c>
      <c r="G1730" s="49">
        <f>TRUNC((E1730*F1730),8)</f>
        <v/>
      </c>
      <c r="H1730" s="49">
        <f>ROUND(((1+$H$4)^(30/360))^(C1730/(EDATE(D1730-B1730,1)-(D1730-B1730))),9)</f>
        <v/>
      </c>
      <c r="I1730" s="49">
        <f>TRUNC((G1730*H1730-G1730),8)</f>
        <v/>
      </c>
      <c r="J1730" s="49">
        <f>G1730+I1730</f>
        <v/>
      </c>
      <c r="K1730" s="256" t="n"/>
      <c r="L1730" s="256" t="n"/>
      <c r="M1730" s="256" t="n"/>
      <c r="N1730" s="256" t="n"/>
      <c r="O1730" s="256" t="n"/>
      <c r="P1730" s="256" t="n"/>
      <c r="Q1730" s="256" t="n"/>
    </row>
    <row r="1731">
      <c r="A1731">
        <f>IF(DAY(D1731)=DAY($L$1+1),A1730+1,A1730)</f>
        <v/>
      </c>
      <c r="B1731" s="46">
        <f>IF(DAY(D1731)=DAY($L$1+1),1,B1730+1)</f>
        <v/>
      </c>
      <c r="C1731" s="46">
        <f>IF(DAY(D1731)=DAY($L$1+1),1,C1730+1)</f>
        <v/>
      </c>
      <c r="D1731" s="2">
        <f>D1730+1</f>
        <v/>
      </c>
      <c r="E1731" s="8">
        <f>IF(DAY(D1731)=DAY($L$1+1),TRUNC((#REF!),8),E1730)</f>
        <v/>
      </c>
      <c r="F1731" s="49">
        <f>TRUNC(((1+VLOOKUP(A1731,IPCA!$A$2:$C$140,3,0)))^(C1731/(EDATE(D1731-C1731,1)-(D1731-C1731))),8)</f>
        <v/>
      </c>
      <c r="G1731" s="49">
        <f>TRUNC((E1731*F1731),8)</f>
        <v/>
      </c>
      <c r="H1731" s="49">
        <f>ROUND(((1+$H$4)^(30/360))^(C1731/(EDATE(D1731-B1731,1)-(D1731-B1731))),9)</f>
        <v/>
      </c>
      <c r="I1731" s="49">
        <f>TRUNC((G1731*H1731-G1731),8)</f>
        <v/>
      </c>
      <c r="J1731" s="49">
        <f>G1731+I1731</f>
        <v/>
      </c>
      <c r="K1731" s="256" t="n"/>
      <c r="L1731" s="256" t="n"/>
      <c r="M1731" s="256" t="n"/>
      <c r="N1731" s="256" t="n"/>
      <c r="O1731" s="256" t="n"/>
      <c r="P1731" s="256" t="n"/>
      <c r="Q1731" s="256" t="n"/>
    </row>
    <row r="1732">
      <c r="A1732">
        <f>IF(DAY(D1732)=DAY($L$1+1),A1731+1,A1731)</f>
        <v/>
      </c>
      <c r="B1732" s="46">
        <f>IF(DAY(D1732)=DAY($L$1+1),1,B1731+1)</f>
        <v/>
      </c>
      <c r="C1732" s="46">
        <f>IF(DAY(D1732)=DAY($L$1+1),1,C1731+1)</f>
        <v/>
      </c>
      <c r="D1732" s="2">
        <f>D1731+1</f>
        <v/>
      </c>
      <c r="E1732" s="8">
        <f>IF(DAY(D1732)=DAY($L$1+1),TRUNC((#REF!),8),E1731)</f>
        <v/>
      </c>
      <c r="F1732" s="49">
        <f>TRUNC(((1+VLOOKUP(A1732,IPCA!$A$2:$C$140,3,0)))^(C1732/(EDATE(D1732-C1732,1)-(D1732-C1732))),8)</f>
        <v/>
      </c>
      <c r="G1732" s="49">
        <f>TRUNC((E1732*F1732),8)</f>
        <v/>
      </c>
      <c r="H1732" s="49">
        <f>ROUND(((1+$H$4)^(30/360))^(C1732/(EDATE(D1732-B1732,1)-(D1732-B1732))),9)</f>
        <v/>
      </c>
      <c r="I1732" s="49">
        <f>TRUNC((G1732*H1732-G1732),8)</f>
        <v/>
      </c>
      <c r="J1732" s="49">
        <f>G1732+I1732</f>
        <v/>
      </c>
      <c r="K1732" s="256" t="n"/>
      <c r="L1732" s="256" t="n"/>
      <c r="M1732" s="256" t="n"/>
      <c r="N1732" s="256" t="n"/>
      <c r="O1732" s="256" t="n"/>
      <c r="P1732" s="256" t="n"/>
      <c r="Q1732" s="256" t="n"/>
    </row>
    <row r="1733">
      <c r="A1733">
        <f>IF(DAY(D1733)=DAY($L$1+1),A1732+1,A1732)</f>
        <v/>
      </c>
      <c r="B1733" s="46">
        <f>IF(DAY(D1733)=DAY($L$1+1),1,B1732+1)</f>
        <v/>
      </c>
      <c r="C1733" s="46">
        <f>IF(DAY(D1733)=DAY($L$1+1),1,C1732+1)</f>
        <v/>
      </c>
      <c r="D1733" s="2">
        <f>D1732+1</f>
        <v/>
      </c>
      <c r="E1733" s="8">
        <f>IF(DAY(D1733)=DAY($L$1+1),TRUNC((N1732),8),E1732)</f>
        <v/>
      </c>
      <c r="F1733" s="49">
        <f>TRUNC(((1+VLOOKUP(A1733,IPCA!$A$2:$C$140,3,0)))^(C1733/(EDATE(D1733-C1733,1)-(D1733-C1733))),8)</f>
        <v/>
      </c>
      <c r="G1733" s="49">
        <f>TRUNC((E1733*F1733),8)</f>
        <v/>
      </c>
      <c r="H1733" s="49">
        <f>ROUND(((1+$H$4)^(30/360))^(C1733/(EDATE(D1733-B1733,1)-(D1733-B1733))),9)</f>
        <v/>
      </c>
      <c r="I1733" s="49">
        <f>TRUNC((G1733*H1733-G1733),8)</f>
        <v/>
      </c>
      <c r="J1733" s="49">
        <f>G1733+I1733</f>
        <v/>
      </c>
      <c r="K1733" s="256" t="n"/>
      <c r="L1733" s="256" t="n"/>
      <c r="M1733" s="256" t="n"/>
      <c r="N1733" s="256" t="n"/>
      <c r="O1733" s="256" t="n"/>
      <c r="P1733" s="256" t="n"/>
      <c r="Q1733" s="256" t="n"/>
    </row>
    <row r="1734">
      <c r="A1734">
        <f>IF(DAY(D1734)=DAY($L$1+1),A1733+1,A1733)</f>
        <v/>
      </c>
      <c r="B1734" s="46">
        <f>IF(DAY(D1734)=DAY($L$1+1),1,B1733+1)</f>
        <v/>
      </c>
      <c r="C1734" s="46">
        <f>IF(DAY(D1734)=DAY($L$1+1),1,C1733+1)</f>
        <v/>
      </c>
      <c r="D1734" s="2">
        <f>D1733+1</f>
        <v/>
      </c>
      <c r="E1734" s="8">
        <f>IF(DAY(D1734)=DAY($L$1+1),TRUNC((N1733),8),E1733)</f>
        <v/>
      </c>
      <c r="F1734" s="49">
        <f>TRUNC(((1+VLOOKUP(A1734,IPCA!$A$2:$C$140,3,0)))^(C1734/(EDATE(D1734-C1734,1)-(D1734-C1734))),8)</f>
        <v/>
      </c>
      <c r="G1734" s="49">
        <f>TRUNC((E1734*F1734),8)</f>
        <v/>
      </c>
      <c r="H1734" s="49">
        <f>ROUND(((1+$H$4)^(30/360))^(C1734/(EDATE(D1734-B1734,1)-(D1734-B1734))),9)</f>
        <v/>
      </c>
      <c r="I1734" s="49">
        <f>TRUNC((G1734*H1734-G1734),8)</f>
        <v/>
      </c>
      <c r="J1734" s="49">
        <f>G1734+I1734</f>
        <v/>
      </c>
      <c r="K1734" s="256" t="n"/>
      <c r="L1734" s="256" t="n"/>
      <c r="M1734" s="256" t="n"/>
      <c r="N1734" s="256" t="n"/>
      <c r="O1734" s="256" t="n"/>
      <c r="P1734" s="256" t="n"/>
      <c r="Q1734" s="256" t="n"/>
    </row>
    <row r="1735">
      <c r="A1735">
        <f>IF(DAY(D1735)=DAY($L$1+1),A1734+1,A1734)</f>
        <v/>
      </c>
      <c r="B1735" s="46">
        <f>IF(DAY(D1735)=DAY($L$1+1),1,B1734+1)</f>
        <v/>
      </c>
      <c r="C1735" s="46">
        <f>IF(DAY(D1735)=DAY($L$1+1),1,C1734+1)</f>
        <v/>
      </c>
      <c r="D1735" s="2">
        <f>D1734+1</f>
        <v/>
      </c>
      <c r="E1735" s="8">
        <f>IF(DAY(D1735)=DAY($L$1+1),TRUNC((N1734),8),E1734)</f>
        <v/>
      </c>
      <c r="F1735" s="49">
        <f>TRUNC(((1+VLOOKUP(A1735,IPCA!$A$2:$C$140,3,0)))^(C1735/(EDATE(D1735-C1735,1)-(D1735-C1735))),8)</f>
        <v/>
      </c>
      <c r="G1735" s="49">
        <f>TRUNC((E1735*F1735),8)</f>
        <v/>
      </c>
      <c r="H1735" s="49">
        <f>ROUND(((1+$H$4)^(30/360))^(C1735/(EDATE(D1735-B1735,1)-(D1735-B1735))),9)</f>
        <v/>
      </c>
      <c r="I1735" s="49">
        <f>TRUNC((G1735*H1735-G1735),8)</f>
        <v/>
      </c>
      <c r="J1735" s="49">
        <f>G1735+I1735</f>
        <v/>
      </c>
      <c r="K1735" s="256" t="n"/>
      <c r="L1735" s="256" t="n"/>
      <c r="M1735" s="256" t="n"/>
      <c r="N1735" s="256" t="n"/>
      <c r="O1735" s="256" t="n"/>
      <c r="P1735" s="256" t="n"/>
      <c r="Q1735" s="256" t="n"/>
    </row>
    <row r="1736">
      <c r="A1736">
        <f>IF(DAY(D1736)=DAY($L$1+1),A1735+1,A1735)</f>
        <v/>
      </c>
      <c r="B1736" s="46">
        <f>IF(DAY(D1736)=DAY($L$1+1),1,B1735+1)</f>
        <v/>
      </c>
      <c r="C1736" s="46">
        <f>IF(DAY(D1736)=DAY($L$1+1),1,C1735+1)</f>
        <v/>
      </c>
      <c r="D1736" s="2">
        <f>D1735+1</f>
        <v/>
      </c>
      <c r="E1736" s="8">
        <f>IF(DAY(D1736)=DAY($L$1+1),TRUNC((N1735),8),E1735)</f>
        <v/>
      </c>
      <c r="F1736" s="49">
        <f>TRUNC(((1+VLOOKUP(A1736,IPCA!$A$2:$C$140,3,0)))^(C1736/(EDATE(D1736-C1736,1)-(D1736-C1736))),8)</f>
        <v/>
      </c>
      <c r="G1736" s="49">
        <f>TRUNC((E1736*F1736),8)</f>
        <v/>
      </c>
      <c r="H1736" s="49">
        <f>ROUND(((1+$H$4)^(30/360))^(C1736/(EDATE(D1736-B1736,1)-(D1736-B1736))),9)</f>
        <v/>
      </c>
      <c r="I1736" s="49">
        <f>TRUNC((G1736*H1736-G1736),8)</f>
        <v/>
      </c>
      <c r="J1736" s="49">
        <f>G1736+I1736</f>
        <v/>
      </c>
      <c r="K1736" s="256" t="n"/>
      <c r="L1736" s="256" t="n"/>
      <c r="M1736" s="256" t="n"/>
      <c r="N1736" s="256" t="n"/>
      <c r="O1736" s="256" t="n"/>
      <c r="P1736" s="256" t="n"/>
      <c r="Q1736" s="256" t="n"/>
    </row>
    <row r="1737">
      <c r="A1737">
        <f>IF(DAY(D1737)=DAY($L$1+1),A1736+1,A1736)</f>
        <v/>
      </c>
      <c r="B1737" s="46">
        <f>IF(DAY(D1737)=DAY($L$1+1),1,B1736+1)</f>
        <v/>
      </c>
      <c r="C1737" s="46">
        <f>IF(DAY(D1737)=DAY($L$1+1),1,C1736+1)</f>
        <v/>
      </c>
      <c r="D1737" s="2">
        <f>D1736+1</f>
        <v/>
      </c>
      <c r="E1737" s="8">
        <f>IF(DAY(D1737)=DAY($L$1+1),TRUNC((N1736),8),E1736)</f>
        <v/>
      </c>
      <c r="F1737" s="49">
        <f>TRUNC(((1+VLOOKUP(A1737,IPCA!$A$2:$C$140,3,0)))^(C1737/(EDATE(D1737-C1737,1)-(D1737-C1737))),8)</f>
        <v/>
      </c>
      <c r="G1737" s="49">
        <f>TRUNC((E1737*F1737),8)</f>
        <v/>
      </c>
      <c r="H1737" s="49">
        <f>ROUND(((1+$H$4)^(30/360))^(C1737/(EDATE(D1737-B1737,1)-(D1737-B1737))),9)</f>
        <v/>
      </c>
      <c r="I1737" s="49">
        <f>TRUNC((G1737*H1737-G1737),8)</f>
        <v/>
      </c>
      <c r="J1737" s="49">
        <f>G1737+I1737</f>
        <v/>
      </c>
      <c r="K1737" s="256" t="n"/>
      <c r="L1737" s="256" t="n"/>
      <c r="M1737" s="256" t="n"/>
      <c r="N1737" s="256" t="n"/>
      <c r="O1737" s="256" t="n"/>
      <c r="P1737" s="256" t="n"/>
      <c r="Q1737" s="256" t="n"/>
    </row>
    <row r="1738">
      <c r="A1738">
        <f>IF(DAY(D1738)=DAY($L$1+1),A1737+1,A1737)</f>
        <v/>
      </c>
      <c r="B1738" s="46">
        <f>IF(DAY(D1738)=DAY($L$1+1),1,B1737+1)</f>
        <v/>
      </c>
      <c r="C1738" s="46">
        <f>IF(DAY(D1738)=DAY($L$1+1),1,C1737+1)</f>
        <v/>
      </c>
      <c r="D1738" s="2">
        <f>D1737+1</f>
        <v/>
      </c>
      <c r="E1738" s="8">
        <f>IF(DAY(D1738)=DAY($L$1+1),TRUNC((N1737),8),E1737)</f>
        <v/>
      </c>
      <c r="F1738" s="49">
        <f>TRUNC(((1+VLOOKUP(A1738,IPCA!$A$2:$C$140,3,0)))^(C1738/(EDATE(D1738-C1738,1)-(D1738-C1738))),8)</f>
        <v/>
      </c>
      <c r="G1738" s="49">
        <f>TRUNC((E1738*F1738),8)</f>
        <v/>
      </c>
      <c r="H1738" s="49">
        <f>ROUND(((1+$H$4)^(30/360))^(C1738/(EDATE(D1738-B1738,1)-(D1738-B1738))),9)</f>
        <v/>
      </c>
      <c r="I1738" s="49">
        <f>TRUNC((G1738*H1738-G1738),8)</f>
        <v/>
      </c>
      <c r="J1738" s="49">
        <f>G1738+I1738</f>
        <v/>
      </c>
      <c r="K1738" s="256" t="n"/>
      <c r="L1738" s="256" t="n"/>
      <c r="M1738" s="256" t="n"/>
      <c r="N1738" s="256" t="n"/>
      <c r="O1738" s="256" t="n"/>
      <c r="P1738" s="256" t="n"/>
      <c r="Q1738" s="256" t="n"/>
    </row>
    <row r="1739">
      <c r="A1739">
        <f>IF(DAY(D1739)=DAY($L$1+1),A1738+1,A1738)</f>
        <v/>
      </c>
      <c r="B1739" s="46">
        <f>IF(DAY(D1739)=DAY($L$1+1),1,B1738+1)</f>
        <v/>
      </c>
      <c r="C1739" s="46">
        <f>IF(DAY(D1739)=DAY($L$1+1),1,C1738+1)</f>
        <v/>
      </c>
      <c r="D1739" s="2">
        <f>D1738+1</f>
        <v/>
      </c>
      <c r="E1739" s="8">
        <f>IF(DAY(D1739)=DAY($L$1+1),TRUNC((N1738),8),E1738)</f>
        <v/>
      </c>
      <c r="F1739" s="49">
        <f>TRUNC(((1+VLOOKUP(A1739,IPCA!$A$2:$C$140,3,0)))^(C1739/(EDATE(D1739-C1739,1)-(D1739-C1739))),8)</f>
        <v/>
      </c>
      <c r="G1739" s="49">
        <f>TRUNC((E1739*F1739),8)</f>
        <v/>
      </c>
      <c r="H1739" s="49">
        <f>ROUND(((1+$H$4)^(30/360))^(C1739/(EDATE(D1739-B1739,1)-(D1739-B1739))),9)</f>
        <v/>
      </c>
      <c r="I1739" s="49">
        <f>TRUNC((G1739*H1739-G1739),8)</f>
        <v/>
      </c>
      <c r="J1739" s="49">
        <f>G1739+I1739</f>
        <v/>
      </c>
      <c r="K1739" s="123" t="n"/>
      <c r="L1739" s="271" t="n"/>
      <c r="M1739" s="256" t="n"/>
      <c r="N1739" s="256" t="n"/>
      <c r="O1739" s="256" t="n"/>
      <c r="P1739" s="256" t="n"/>
      <c r="Q1739" s="256" t="n"/>
    </row>
    <row r="1740">
      <c r="A1740">
        <f>IF(DAY(D1740)=DAY($L$1+1),A1739+1,A1739)</f>
        <v/>
      </c>
      <c r="B1740" s="46">
        <f>IF(DAY(D1740)=DAY($L$1+1),1,B1739+1)</f>
        <v/>
      </c>
      <c r="C1740" s="46">
        <f>IF(DAY(D1740)=DAY($L$1+1),1,C1739+1)</f>
        <v/>
      </c>
      <c r="D1740" s="2">
        <f>D1739+1</f>
        <v/>
      </c>
      <c r="E1740" s="8">
        <f>IF(DAY(D1740)=DAY($L$1+1),TRUNC((N1739),8),E1739)</f>
        <v/>
      </c>
      <c r="F1740" s="49">
        <f>TRUNC(((1+VLOOKUP(A1740,IPCA!$A$2:$C$140,3,0)))^(C1740/(EDATE(D1740-C1740,1)-(D1740-C1740))),8)</f>
        <v/>
      </c>
      <c r="G1740" s="49">
        <f>TRUNC((E1740*F1740),8)</f>
        <v/>
      </c>
      <c r="H1740" s="49">
        <f>ROUND(((1+$H$4)^(30/360))^(C1740/(EDATE(D1740-B1740,1)-(D1740-B1740))),9)</f>
        <v/>
      </c>
      <c r="I1740" s="49">
        <f>TRUNC((G1740*H1740-G1740),8)</f>
        <v/>
      </c>
      <c r="J1740" s="49">
        <f>G1740+I1740</f>
        <v/>
      </c>
      <c r="K1740" s="256" t="n"/>
      <c r="L1740" s="256" t="n"/>
      <c r="M1740" s="256" t="n"/>
      <c r="N1740" s="256" t="n"/>
      <c r="O1740" s="256" t="n"/>
      <c r="P1740" s="256" t="n"/>
      <c r="Q1740" s="256" t="n"/>
    </row>
    <row r="1741">
      <c r="A1741">
        <f>IF(DAY(D1741)=DAY($L$1+1),A1740+1,A1740)</f>
        <v/>
      </c>
      <c r="B1741" s="46">
        <f>IF(DAY(D1741)=DAY($L$1+1),1,B1740+1)</f>
        <v/>
      </c>
      <c r="C1741" s="46">
        <f>IF(DAY(D1741)=DAY($L$1+1),1,C1740+1)</f>
        <v/>
      </c>
      <c r="D1741" s="2">
        <f>D1740+1</f>
        <v/>
      </c>
      <c r="E1741" s="8">
        <f>IF(DAY(D1741)=DAY($L$1+1),TRUNC((N1740),8),E1740)</f>
        <v/>
      </c>
      <c r="F1741" s="49">
        <f>TRUNC(((1+VLOOKUP(A1741,IPCA!$A$2:$C$140,3,0)))^(C1741/(EDATE(D1741-C1741,1)-(D1741-C1741))),8)</f>
        <v/>
      </c>
      <c r="G1741" s="49">
        <f>TRUNC((E1741*F1741),8)</f>
        <v/>
      </c>
      <c r="H1741" s="49">
        <f>ROUND(((1+$H$4)^(30/360))^(C1741/(EDATE(D1741-B1741,1)-(D1741-B1741))),9)</f>
        <v/>
      </c>
      <c r="I1741" s="49">
        <f>TRUNC((G1741*H1741-G1741),8)</f>
        <v/>
      </c>
      <c r="J1741" s="49">
        <f>G1741+I1741</f>
        <v/>
      </c>
      <c r="K1741" s="256" t="n"/>
      <c r="L1741" s="256" t="n"/>
      <c r="M1741" s="256" t="n"/>
      <c r="N1741" s="256" t="n"/>
      <c r="O1741" s="256" t="n"/>
      <c r="P1741" s="256" t="n"/>
      <c r="Q1741" s="256" t="n"/>
    </row>
    <row r="1742">
      <c r="A1742">
        <f>IF(DAY(D1742)=DAY($L$1+1),A1741+1,A1741)</f>
        <v/>
      </c>
      <c r="B1742" s="46">
        <f>IF(DAY(D1742)=DAY($L$1+1),1,B1741+1)</f>
        <v/>
      </c>
      <c r="C1742" s="46">
        <f>IF(DAY(D1742)=DAY($L$1+1),1,C1741+1)</f>
        <v/>
      </c>
      <c r="D1742" s="2">
        <f>D1741+1</f>
        <v/>
      </c>
      <c r="E1742" s="8">
        <f>IF(DAY(D1742)=DAY($L$1+1),TRUNC((N1741),8),E1741)</f>
        <v/>
      </c>
      <c r="F1742" s="49">
        <f>TRUNC(((1+VLOOKUP(A1742,IPCA!$A$2:$C$140,3,0)))^(C1742/(EDATE(D1742-C1742,1)-(D1742-C1742))),8)</f>
        <v/>
      </c>
      <c r="G1742" s="49">
        <f>TRUNC((E1742*F1742),8)</f>
        <v/>
      </c>
      <c r="H1742" s="49">
        <f>ROUND(((1+$H$4)^(30/360))^(C1742/(EDATE(D1742-B1742,1)-(D1742-B1742))),9)</f>
        <v/>
      </c>
      <c r="I1742" s="49">
        <f>TRUNC((G1742*H1742-G1742),8)</f>
        <v/>
      </c>
      <c r="J1742" s="49">
        <f>G1742+I1742</f>
        <v/>
      </c>
      <c r="K1742" s="256" t="n"/>
      <c r="L1742" s="256" t="n"/>
      <c r="M1742" s="256" t="n"/>
      <c r="N1742" s="256" t="n"/>
      <c r="O1742" s="256" t="n"/>
      <c r="P1742" s="256" t="n"/>
      <c r="Q1742" s="256" t="n"/>
    </row>
    <row r="1743">
      <c r="A1743">
        <f>IF(DAY(D1743)=DAY($L$1+1),A1742+1,A1742)</f>
        <v/>
      </c>
      <c r="B1743" s="46">
        <f>IF(DAY(D1743)=DAY($L$1+1),1,B1742+1)</f>
        <v/>
      </c>
      <c r="C1743" s="46">
        <f>IF(DAY(D1743)=DAY($L$1+1),1,C1742+1)</f>
        <v/>
      </c>
      <c r="D1743" s="2">
        <f>D1742+1</f>
        <v/>
      </c>
      <c r="E1743" s="8">
        <f>IF(DAY(D1743)=DAY($L$1+1),TRUNC((N1742),8),E1742)</f>
        <v/>
      </c>
      <c r="F1743" s="49">
        <f>TRUNC(((1+VLOOKUP(A1743,IPCA!$A$2:$C$140,3,0)))^(C1743/(EDATE(D1743-C1743,1)-(D1743-C1743))),8)</f>
        <v/>
      </c>
      <c r="G1743" s="49">
        <f>TRUNC((E1743*F1743),8)</f>
        <v/>
      </c>
      <c r="H1743" s="49">
        <f>ROUND(((1+$H$4)^(30/360))^(C1743/(EDATE(D1743-B1743,1)-(D1743-B1743))),9)</f>
        <v/>
      </c>
      <c r="I1743" s="49">
        <f>TRUNC((G1743*H1743-G1743),8)</f>
        <v/>
      </c>
      <c r="J1743" s="49">
        <f>G1743+I1743</f>
        <v/>
      </c>
      <c r="K1743" s="256" t="n"/>
      <c r="L1743" s="256" t="n"/>
      <c r="M1743" s="256" t="n"/>
      <c r="N1743" s="256" t="n"/>
      <c r="O1743" s="256" t="n"/>
      <c r="P1743" s="256" t="n"/>
      <c r="Q1743" s="256" t="n"/>
    </row>
    <row r="1744">
      <c r="A1744">
        <f>IF(DAY(D1744)=DAY($L$1+1),A1743+1,A1743)</f>
        <v/>
      </c>
      <c r="B1744" s="46">
        <f>IF(DAY(D1744)=DAY($L$1+1),1,B1743+1)</f>
        <v/>
      </c>
      <c r="C1744" s="46">
        <f>IF(DAY(D1744)=DAY($L$1+1),1,C1743+1)</f>
        <v/>
      </c>
      <c r="D1744" s="2">
        <f>D1743+1</f>
        <v/>
      </c>
      <c r="E1744" s="8">
        <f>IF(DAY(D1744)=DAY($L$1+1),TRUNC((N1743),8),E1743)</f>
        <v/>
      </c>
      <c r="F1744" s="49">
        <f>TRUNC(((1+VLOOKUP(A1744,IPCA!$A$2:$C$140,3,0)))^(C1744/(EDATE(D1744-C1744,1)-(D1744-C1744))),8)</f>
        <v/>
      </c>
      <c r="G1744" s="49">
        <f>TRUNC((E1744*F1744),8)</f>
        <v/>
      </c>
      <c r="H1744" s="49">
        <f>ROUND(((1+$H$4)^(30/360))^(C1744/(EDATE(D1744-B1744,1)-(D1744-B1744))),9)</f>
        <v/>
      </c>
      <c r="I1744" s="49">
        <f>TRUNC((G1744*H1744-G1744),8)</f>
        <v/>
      </c>
      <c r="J1744" s="49">
        <f>G1744+I1744</f>
        <v/>
      </c>
      <c r="K1744" s="256" t="n"/>
      <c r="L1744" s="256" t="n"/>
      <c r="M1744" s="256" t="n"/>
      <c r="N1744" s="256" t="n"/>
      <c r="O1744" s="256" t="n"/>
      <c r="P1744" s="256" t="n"/>
      <c r="Q1744" s="256" t="n"/>
    </row>
    <row r="1745">
      <c r="A1745">
        <f>IF(DAY(D1745)=DAY($L$1+1),A1744+1,A1744)</f>
        <v/>
      </c>
      <c r="B1745" s="46">
        <f>IF(DAY(D1745)=DAY($L$1+1),1,B1744+1)</f>
        <v/>
      </c>
      <c r="C1745" s="46">
        <f>IF(DAY(D1745)=DAY($L$1+1),1,C1744+1)</f>
        <v/>
      </c>
      <c r="D1745" s="2">
        <f>D1744+1</f>
        <v/>
      </c>
      <c r="E1745" s="8">
        <f>IF(DAY(D1745)=DAY($L$1+1),TRUNC((N1744),8),E1744)</f>
        <v/>
      </c>
      <c r="F1745" s="49">
        <f>TRUNC(((1+VLOOKUP(A1745,IPCA!$A$2:$C$140,3,0)))^(C1745/(EDATE(D1745-C1745,1)-(D1745-C1745))),8)</f>
        <v/>
      </c>
      <c r="G1745" s="49">
        <f>TRUNC((E1745*F1745),8)</f>
        <v/>
      </c>
      <c r="H1745" s="49">
        <f>ROUND(((1+$H$4)^(30/360))^(C1745/(EDATE(D1745-B1745,1)-(D1745-B1745))),9)</f>
        <v/>
      </c>
      <c r="I1745" s="49">
        <f>TRUNC((G1745*H1745-G1745),8)</f>
        <v/>
      </c>
      <c r="J1745" s="49">
        <f>G1745+I1745</f>
        <v/>
      </c>
      <c r="K1745" s="256" t="n"/>
      <c r="L1745" s="256" t="n"/>
      <c r="M1745" s="256" t="n"/>
      <c r="N1745" s="256" t="n"/>
      <c r="O1745" s="256" t="n"/>
      <c r="P1745" s="256" t="n"/>
      <c r="Q1745" s="256" t="n"/>
    </row>
    <row r="1746">
      <c r="A1746">
        <f>IF(DAY(D1746)=DAY($L$1+1),A1745+1,A1745)</f>
        <v/>
      </c>
      <c r="B1746" s="46">
        <f>IF(DAY(D1746)=DAY($L$1+1),1,B1745+1)</f>
        <v/>
      </c>
      <c r="C1746" s="46">
        <f>IF(DAY(D1746)=DAY($L$1+1),1,C1745+1)</f>
        <v/>
      </c>
      <c r="D1746" s="2">
        <f>D1745+1</f>
        <v/>
      </c>
      <c r="E1746" s="8">
        <f>IF(DAY(D1746)=DAY($L$1+1),TRUNC((N1745),8),E1745)</f>
        <v/>
      </c>
      <c r="F1746" s="49">
        <f>TRUNC(((1+VLOOKUP(A1746,IPCA!$A$2:$C$140,3,0)))^(C1746/(EDATE(D1746-C1746,1)-(D1746-C1746))),8)</f>
        <v/>
      </c>
      <c r="G1746" s="49">
        <f>TRUNC((E1746*F1746),8)</f>
        <v/>
      </c>
      <c r="H1746" s="49">
        <f>ROUND(((1+$H$4)^(30/360))^(C1746/(EDATE(D1746-B1746,1)-(D1746-B1746))),9)</f>
        <v/>
      </c>
      <c r="I1746" s="49">
        <f>TRUNC((G1746*H1746-G1746),8)</f>
        <v/>
      </c>
      <c r="J1746" s="49">
        <f>G1746+I1746</f>
        <v/>
      </c>
      <c r="K1746" s="256" t="n"/>
      <c r="L1746" s="256" t="n"/>
      <c r="M1746" s="256" t="n"/>
      <c r="N1746" s="256" t="n"/>
      <c r="O1746" s="256" t="n"/>
      <c r="P1746" s="256" t="n"/>
      <c r="Q1746" s="256" t="n"/>
    </row>
    <row r="1747">
      <c r="A1747">
        <f>IF(DAY(D1747)=DAY($L$1+1),A1746+1,A1746)</f>
        <v/>
      </c>
      <c r="B1747" s="46">
        <f>IF(DAY(D1747)=DAY($L$1+1),1,B1746+1)</f>
        <v/>
      </c>
      <c r="C1747" s="46">
        <f>IF(DAY(D1747)=DAY($L$1+1),1,C1746+1)</f>
        <v/>
      </c>
      <c r="D1747" s="2">
        <f>D1746+1</f>
        <v/>
      </c>
      <c r="E1747" s="8">
        <f>IF(DAY(D1747)=DAY($L$1+1),TRUNC((N1746),8),E1746)</f>
        <v/>
      </c>
      <c r="F1747" s="49">
        <f>TRUNC(((1+VLOOKUP(A1747,IPCA!$A$2:$C$140,3,0)))^(C1747/(EDATE(D1747-C1747,1)-(D1747-C1747))),8)</f>
        <v/>
      </c>
      <c r="G1747" s="49">
        <f>TRUNC((E1747*F1747),8)</f>
        <v/>
      </c>
      <c r="H1747" s="49">
        <f>ROUND(((1+$H$4)^(30/360))^(C1747/(EDATE(D1747-B1747,1)-(D1747-B1747))),9)</f>
        <v/>
      </c>
      <c r="I1747" s="49">
        <f>TRUNC((G1747*H1747-G1747),8)</f>
        <v/>
      </c>
      <c r="J1747" s="49">
        <f>G1747+I1747</f>
        <v/>
      </c>
      <c r="K1747" s="256" t="n"/>
      <c r="L1747" s="256" t="n"/>
      <c r="M1747" s="256" t="n"/>
      <c r="N1747" s="256" t="n"/>
      <c r="O1747" s="256" t="n"/>
      <c r="P1747" s="256" t="n"/>
      <c r="Q1747" s="256" t="n"/>
    </row>
    <row r="1748">
      <c r="A1748">
        <f>IF(DAY(D1748)=DAY($L$1+1),A1747+1,A1747)</f>
        <v/>
      </c>
      <c r="B1748" s="46">
        <f>IF(DAY(D1748)=DAY($L$1+1),1,B1747+1)</f>
        <v/>
      </c>
      <c r="C1748" s="46">
        <f>IF(DAY(D1748)=DAY($L$1+1),1,C1747+1)</f>
        <v/>
      </c>
      <c r="D1748" s="2">
        <f>D1747+1</f>
        <v/>
      </c>
      <c r="E1748" s="8">
        <f>IF(DAY(D1748)=DAY($L$1+1),TRUNC((N1747),8),E1747)</f>
        <v/>
      </c>
      <c r="F1748" s="49">
        <f>TRUNC(((1+VLOOKUP(A1748,IPCA!$A$2:$C$140,3,0)))^(C1748/(EDATE(D1748-C1748,1)-(D1748-C1748))),8)</f>
        <v/>
      </c>
      <c r="G1748" s="49">
        <f>TRUNC((E1748*F1748),8)</f>
        <v/>
      </c>
      <c r="H1748" s="49">
        <f>ROUND(((1+$H$4)^(30/360))^(C1748/(EDATE(D1748-B1748,1)-(D1748-B1748))),9)</f>
        <v/>
      </c>
      <c r="I1748" s="49">
        <f>TRUNC((G1748*H1748-G1748),8)</f>
        <v/>
      </c>
      <c r="J1748" s="49">
        <f>G1748+I1748</f>
        <v/>
      </c>
      <c r="K1748" s="256" t="n"/>
      <c r="L1748" s="256" t="n"/>
      <c r="M1748" s="256" t="n"/>
      <c r="N1748" s="256" t="n"/>
      <c r="O1748" s="256" t="n"/>
      <c r="P1748" s="256" t="n"/>
      <c r="Q1748" s="256" t="n"/>
    </row>
    <row r="1749">
      <c r="A1749">
        <f>IF(DAY(D1749)=DAY($L$1+1),A1748+1,A1748)</f>
        <v/>
      </c>
      <c r="B1749" s="46">
        <f>IF(DAY(D1749)=DAY($L$1+1),1,B1748+1)</f>
        <v/>
      </c>
      <c r="C1749" s="46">
        <f>IF(DAY(D1749)=DAY($L$1+1),1,C1748+1)</f>
        <v/>
      </c>
      <c r="D1749" s="2">
        <f>D1748+1</f>
        <v/>
      </c>
      <c r="E1749" s="8">
        <f>IF(DAY(D1749)=DAY($L$1+1),TRUNC((N1748),8),E1748)</f>
        <v/>
      </c>
      <c r="F1749" s="49">
        <f>TRUNC(((1+VLOOKUP(A1749,IPCA!$A$2:$C$140,3,0)))^(C1749/(EDATE(D1749-C1749,1)-(D1749-C1749))),8)</f>
        <v/>
      </c>
      <c r="G1749" s="49">
        <f>TRUNC((E1749*F1749),8)</f>
        <v/>
      </c>
      <c r="H1749" s="49">
        <f>ROUND(((1+$H$4)^(30/360))^(C1749/(EDATE(D1749-B1749,1)-(D1749-B1749))),9)</f>
        <v/>
      </c>
      <c r="I1749" s="49">
        <f>TRUNC((G1749*H1749-G1749),8)</f>
        <v/>
      </c>
      <c r="J1749" s="49">
        <f>G1749+I1749</f>
        <v/>
      </c>
      <c r="K1749" s="256" t="n"/>
      <c r="L1749" s="256" t="n"/>
      <c r="M1749" s="256" t="n"/>
      <c r="N1749" s="256" t="n"/>
      <c r="O1749" s="256" t="n"/>
      <c r="P1749" s="256" t="n"/>
      <c r="Q1749" s="256" t="n"/>
    </row>
    <row r="1750">
      <c r="A1750">
        <f>IF(DAY(D1750)=DAY($L$1+1),A1749+1,A1749)</f>
        <v/>
      </c>
      <c r="B1750" s="46">
        <f>IF(DAY(D1750)=DAY($L$1+1),1,B1749+1)</f>
        <v/>
      </c>
      <c r="C1750" s="46">
        <f>IF(DAY(D1750)=DAY($L$1+1),1,C1749+1)</f>
        <v/>
      </c>
      <c r="D1750" s="2">
        <f>D1749+1</f>
        <v/>
      </c>
      <c r="E1750" s="8">
        <f>IF(DAY(D1750)=DAY($L$1+1),TRUNC((N1749),8),E1749)</f>
        <v/>
      </c>
      <c r="F1750" s="49">
        <f>TRUNC(((1+VLOOKUP(A1750,IPCA!$A$2:$C$140,3,0)))^(C1750/(EDATE(D1750-C1750,1)-(D1750-C1750))),8)</f>
        <v/>
      </c>
      <c r="G1750" s="49">
        <f>TRUNC((E1750*F1750),8)</f>
        <v/>
      </c>
      <c r="H1750" s="49">
        <f>ROUND(((1+$H$4)^(30/360))^(C1750/(EDATE(D1750-B1750,1)-(D1750-B1750))),9)</f>
        <v/>
      </c>
      <c r="I1750" s="49">
        <f>TRUNC((G1750*H1750-G1750),8)</f>
        <v/>
      </c>
      <c r="J1750" s="49">
        <f>G1750+I1750</f>
        <v/>
      </c>
      <c r="K1750" s="256" t="n"/>
      <c r="L1750" s="256" t="n"/>
      <c r="M1750" s="256" t="n"/>
      <c r="N1750" s="256" t="n"/>
      <c r="O1750" s="256" t="n"/>
      <c r="P1750" s="256" t="n"/>
      <c r="Q1750" s="256" t="n"/>
    </row>
    <row r="1751">
      <c r="A1751">
        <f>IF(DAY(D1751)=DAY($L$1+1),A1750+1,A1750)</f>
        <v/>
      </c>
      <c r="B1751" s="46">
        <f>IF(DAY(D1751)=DAY($L$1+1),1,B1750+1)</f>
        <v/>
      </c>
      <c r="C1751" s="46">
        <f>IF(DAY(D1751)=DAY($L$1+1),1,C1750+1)</f>
        <v/>
      </c>
      <c r="D1751" s="2">
        <f>D1750+1</f>
        <v/>
      </c>
      <c r="E1751" s="8">
        <f>IF(DAY(D1751)=DAY($L$1+1),TRUNC((N1750),8),E1750)</f>
        <v/>
      </c>
      <c r="F1751" s="49">
        <f>TRUNC(((1+VLOOKUP(A1751,IPCA!$A$2:$C$140,3,0)))^(C1751/(EDATE(D1751-C1751,1)-(D1751-C1751))),8)</f>
        <v/>
      </c>
      <c r="G1751" s="49">
        <f>TRUNC((E1751*F1751),8)</f>
        <v/>
      </c>
      <c r="H1751" s="49">
        <f>ROUND(((1+$H$4)^(30/360))^(C1751/(EDATE(D1751-B1751,1)-(D1751-B1751))),9)</f>
        <v/>
      </c>
      <c r="I1751" s="49">
        <f>TRUNC((G1751*H1751-G1751),8)</f>
        <v/>
      </c>
      <c r="J1751" s="49">
        <f>G1751+I1751</f>
        <v/>
      </c>
      <c r="K1751" s="256" t="n"/>
      <c r="L1751" s="256" t="n"/>
      <c r="M1751" s="256" t="n"/>
      <c r="N1751" s="256" t="n"/>
      <c r="O1751" s="256" t="n"/>
      <c r="P1751" s="256" t="n"/>
      <c r="Q1751" s="256" t="n"/>
    </row>
    <row r="1752">
      <c r="A1752">
        <f>IF(DAY(D1752)=DAY($L$1+1),A1751+1,A1751)</f>
        <v/>
      </c>
      <c r="B1752" s="46">
        <f>IF(DAY(D1752)=DAY($L$1+1),1,B1751+1)</f>
        <v/>
      </c>
      <c r="C1752" s="46">
        <f>IF(DAY(D1752)=DAY($L$1+1),1,C1751+1)</f>
        <v/>
      </c>
      <c r="D1752" s="2">
        <f>D1751+1</f>
        <v/>
      </c>
      <c r="E1752" s="8">
        <f>IF(DAY(D1752)=DAY($L$1+1),TRUNC((N1751),8),E1751)</f>
        <v/>
      </c>
      <c r="F1752" s="49">
        <f>TRUNC(((1+VLOOKUP(A1752,IPCA!$A$2:$C$140,3,0)))^(C1752/(EDATE(D1752-C1752,1)-(D1752-C1752))),8)</f>
        <v/>
      </c>
      <c r="G1752" s="49">
        <f>TRUNC((E1752*F1752),8)</f>
        <v/>
      </c>
      <c r="H1752" s="49">
        <f>ROUND(((1+$H$4)^(30/360))^(C1752/(EDATE(D1752-B1752,1)-(D1752-B1752))),9)</f>
        <v/>
      </c>
      <c r="I1752" s="49">
        <f>TRUNC((G1752*H1752-G1752),8)</f>
        <v/>
      </c>
      <c r="J1752" s="49">
        <f>G1752+I1752</f>
        <v/>
      </c>
      <c r="K1752" s="256" t="inlineStr">
        <is>
          <t>Cri Integralizado</t>
        </is>
      </c>
      <c r="L1752" s="270">
        <f>L1721</f>
        <v/>
      </c>
      <c r="M1752" s="256" t="n"/>
      <c r="N1752" s="256" t="n"/>
      <c r="O1752" s="256" t="n"/>
      <c r="P1752" s="256" t="n"/>
      <c r="Q1752" s="256" t="n"/>
    </row>
    <row r="1753">
      <c r="A1753">
        <f>IF(DAY(D1753)=DAY($L$1+1),A1752+1,A1752)</f>
        <v/>
      </c>
      <c r="B1753" s="46">
        <f>IF(DAY(D1753)=DAY($L$1+1),1,B1752+1)</f>
        <v/>
      </c>
      <c r="C1753" s="46">
        <f>IF(DAY(D1753)=DAY($L$1+1),1,C1752+1)</f>
        <v/>
      </c>
      <c r="D1753" s="47">
        <f>D1752+1</f>
        <v/>
      </c>
      <c r="E1753" s="8">
        <f>IF(DAY(D1753)=DAY($L$1+1),TRUNC((N1752),8),E1752)</f>
        <v/>
      </c>
      <c r="F1753" s="49">
        <f>TRUNC(((1+VLOOKUP(A1753,IPCA!$A$2:$C$140,3,0)))^(C1753/(EDATE(D1753-C1753,1)-(D1753-C1753))),8)</f>
        <v/>
      </c>
      <c r="G1753" s="49">
        <f>TRUNC((E1753*F1753),8)</f>
        <v/>
      </c>
      <c r="H1753" s="49">
        <f>ROUND(((1+$H$4)^(30/360))^(C1753/(EDATE(D1753-B1753,1)-(D1753-B1753))),9)</f>
        <v/>
      </c>
      <c r="I1753" s="49">
        <f>TRUNC((G1753*H1753-G1753),8)</f>
        <v/>
      </c>
      <c r="J1753" s="49">
        <f>G1753+I1753</f>
        <v/>
      </c>
      <c r="K1753" s="118" t="inlineStr">
        <is>
          <t>JUROS</t>
        </is>
      </c>
      <c r="L1753" s="118" t="inlineStr">
        <is>
          <t>AMORTIZAÇÃO</t>
        </is>
      </c>
      <c r="M1753" s="118" t="inlineStr">
        <is>
          <t>AMEX</t>
        </is>
      </c>
      <c r="N1753" s="118" t="inlineStr">
        <is>
          <t>RESIDUAL</t>
        </is>
      </c>
      <c r="O1753" s="256" t="n"/>
      <c r="P1753" s="256" t="n"/>
      <c r="Q1753" s="256" t="n"/>
    </row>
    <row r="1754">
      <c r="A1754">
        <f>IF(DAY(D1754)=DAY($L$1+1),A1753+1,A1753)</f>
        <v/>
      </c>
      <c r="B1754" s="111">
        <f>IF(DAY(D1754)=DAY($L$1+1),1,B1753+1)</f>
        <v/>
      </c>
      <c r="C1754" s="111">
        <f>IF(DAY(D1754)=DAY($L$1+1),1,C1753+1)</f>
        <v/>
      </c>
      <c r="D1754" s="112">
        <f>D1753+1</f>
        <v/>
      </c>
      <c r="E1754" s="113">
        <f>IF(DAY(D1754)=DAY($L$1+1),TRUNC((N1753),8),E1753)</f>
        <v/>
      </c>
      <c r="F1754" s="114">
        <f>TRUNC(((1+VLOOKUP(A1754,IPCA!$A$2:$C$140,3,0)))^(C1754/(EDATE(D1754-C1754,1)-(D1754-C1754))),8)</f>
        <v/>
      </c>
      <c r="G1754" s="114">
        <f>TRUNC((E1754*F1754),8)</f>
        <v/>
      </c>
      <c r="H1754" s="114">
        <f>ROUND(((1+$H$4)^(30/360))^(C1754/(EDATE(D1754-B1754,1)-(D1754-B1754))),9)</f>
        <v/>
      </c>
      <c r="I1754" s="114">
        <f>TRUNC((G1754*H1754-G1754),8)</f>
        <v/>
      </c>
      <c r="J1754" s="114">
        <f>G1754+I1754</f>
        <v/>
      </c>
      <c r="K1754" s="119">
        <f>I1754</f>
        <v/>
      </c>
      <c r="L1754" s="120">
        <f>TRUNC(G1754*VLOOKUP(D1754,'Amort TS'!$G$3:$H$140,2,0),8)</f>
        <v/>
      </c>
      <c r="M1754" s="120" t="n">
        <v>0</v>
      </c>
      <c r="N1754" s="120">
        <f>J1754-K1754-L1754-M1754</f>
        <v/>
      </c>
      <c r="O1754" s="256" t="n"/>
      <c r="P1754" s="256" t="n"/>
      <c r="Q1754" s="256" t="n"/>
    </row>
    <row r="1755">
      <c r="A1755">
        <f>IF(DAY(D1755)=DAY($L$1+1),A1754+1,A1754)</f>
        <v/>
      </c>
      <c r="B1755" s="46">
        <f>IF(DAY(D1755)=DAY($L$1+1),1,B1754+1)</f>
        <v/>
      </c>
      <c r="C1755" s="46">
        <f>IF(DAY(D1755)=DAY($L$1+1),1,C1754+1)</f>
        <v/>
      </c>
      <c r="D1755" s="2">
        <f>D1754+1</f>
        <v/>
      </c>
      <c r="E1755" s="8">
        <f>IF(DAY(D1755)=DAY($L$1+1),TRUNC((N1754),8),E1754)</f>
        <v/>
      </c>
      <c r="F1755" s="49">
        <f>TRUNC(((1+VLOOKUP(A1755,IPCA!$A$2:$C$140,3,0)))^(C1755/(EDATE(D1755-C1755,1)-(D1755-C1755))),8)</f>
        <v/>
      </c>
      <c r="G1755" s="49">
        <f>TRUNC((E1755*F1755),8)</f>
        <v/>
      </c>
      <c r="H1755" s="49">
        <f>ROUND(((1+$H$4)^(30/360))^(C1755/(EDATE(D1755-B1755,1)-(D1755-B1755))),9)</f>
        <v/>
      </c>
      <c r="I1755" s="49">
        <f>TRUNC((G1755*H1755-G1755),8)</f>
        <v/>
      </c>
      <c r="J1755" s="49">
        <f>G1755+I1755</f>
        <v/>
      </c>
      <c r="K1755" s="121">
        <f>K1754*L1752</f>
        <v/>
      </c>
      <c r="L1755" s="121">
        <f>L1754*L1752</f>
        <v/>
      </c>
      <c r="M1755" s="121">
        <f>M1754*L1752</f>
        <v/>
      </c>
      <c r="N1755" s="121">
        <f>N1754*L1752</f>
        <v/>
      </c>
      <c r="O1755" s="256" t="n"/>
      <c r="P1755" s="256" t="n"/>
      <c r="Q1755" s="256" t="n"/>
    </row>
    <row r="1756">
      <c r="A1756">
        <f>IF(DAY(D1756)=DAY($L$1+1),A1755+1,A1755)</f>
        <v/>
      </c>
      <c r="B1756" s="46">
        <f>IF(DAY(D1756)=DAY($L$1+1),1,B1755+1)</f>
        <v/>
      </c>
      <c r="C1756" s="46">
        <f>IF(DAY(D1756)=DAY($L$1+1),1,C1755+1)</f>
        <v/>
      </c>
      <c r="D1756" s="47">
        <f>D1755+1</f>
        <v/>
      </c>
      <c r="E1756" s="8">
        <f>IF(DAY(D1756)=DAY($L$1+1),TRUNC((N1755),8),E1755)</f>
        <v/>
      </c>
      <c r="F1756" s="49">
        <f>TRUNC(((1+VLOOKUP(A1756,IPCA!$A$2:$C$140,3,0)))^(C1756/(EDATE(D1756-C1756,1)-(D1756-C1756))),8)</f>
        <v/>
      </c>
      <c r="G1756" s="49">
        <f>TRUNC((E1756*F1756),8)</f>
        <v/>
      </c>
      <c r="H1756" s="49">
        <f>ROUND(((1+$H$4)^(30/360))^(C1756/(EDATE(D1756-B1756,1)-(D1756-B1756))),9)</f>
        <v/>
      </c>
      <c r="I1756" s="49">
        <f>TRUNC((G1756*H1756-G1756),8)</f>
        <v/>
      </c>
      <c r="J1756" s="49">
        <f>G1756+I1756</f>
        <v/>
      </c>
      <c r="K1756" s="256" t="n"/>
      <c r="L1756" s="256" t="n"/>
      <c r="M1756" s="256" t="n"/>
      <c r="N1756" s="256" t="n"/>
      <c r="O1756" s="256" t="n"/>
      <c r="P1756" s="256" t="n"/>
      <c r="Q1756" s="256" t="n"/>
    </row>
    <row r="1757">
      <c r="A1757">
        <f>IF(DAY(D1757)=DAY($L$1+1),A1756+1,A1756)</f>
        <v/>
      </c>
      <c r="B1757" s="46">
        <f>IF(DAY(D1757)=DAY($L$1+1),1,B1756+1)</f>
        <v/>
      </c>
      <c r="C1757" s="46">
        <f>IF(DAY(D1757)=DAY($L$1+1),1,C1756+1)</f>
        <v/>
      </c>
      <c r="D1757" s="2">
        <f>D1756+1</f>
        <v/>
      </c>
      <c r="E1757" s="8">
        <f>IF(DAY(D1757)=DAY($L$1+1),TRUNC((#REF!),8),E1756)</f>
        <v/>
      </c>
      <c r="F1757" s="49">
        <f>TRUNC(((1+VLOOKUP(A1757,IPCA!$A$2:$C$140,3,0)))^(C1757/(EDATE(D1757-C1757,1)-(D1757-C1757))),8)</f>
        <v/>
      </c>
      <c r="G1757" s="49">
        <f>TRUNC((E1757*F1757),8)</f>
        <v/>
      </c>
      <c r="H1757" s="49">
        <f>ROUND(((1+$H$4)^(30/360))^(C1757/(EDATE(D1757-B1757,1)-(D1757-B1757))),9)</f>
        <v/>
      </c>
      <c r="I1757" s="49">
        <f>TRUNC((G1757*H1757-G1757),8)</f>
        <v/>
      </c>
      <c r="J1757" s="49">
        <f>G1757+I1757</f>
        <v/>
      </c>
      <c r="K1757" s="256" t="n"/>
      <c r="L1757" s="256" t="n"/>
      <c r="M1757" s="256" t="n"/>
      <c r="N1757" s="256" t="n"/>
      <c r="O1757" s="256" t="n"/>
      <c r="P1757" s="256" t="n"/>
      <c r="Q1757" s="256" t="n"/>
    </row>
    <row r="1758">
      <c r="A1758">
        <f>IF(DAY(D1758)=DAY($L$1+1),A1757+1,A1757)</f>
        <v/>
      </c>
      <c r="B1758" s="46">
        <f>IF(DAY(D1758)=DAY($L$1+1),1,B1757+1)</f>
        <v/>
      </c>
      <c r="C1758" s="46">
        <f>IF(DAY(D1758)=DAY($L$1+1),1,C1757+1)</f>
        <v/>
      </c>
      <c r="D1758" s="2">
        <f>D1757+1</f>
        <v/>
      </c>
      <c r="E1758" s="8">
        <f>IF(DAY(D1758)=DAY($L$1+1),TRUNC((#REF!),8),E1757)</f>
        <v/>
      </c>
      <c r="F1758" s="49">
        <f>TRUNC(((1+VLOOKUP(A1758,IPCA!$A$2:$C$140,3,0)))^(C1758/(EDATE(D1758-C1758,1)-(D1758-C1758))),8)</f>
        <v/>
      </c>
      <c r="G1758" s="49">
        <f>TRUNC((E1758*F1758),8)</f>
        <v/>
      </c>
      <c r="H1758" s="49">
        <f>ROUND(((1+$H$4)^(30/360))^(C1758/(EDATE(D1758-B1758,1)-(D1758-B1758))),9)</f>
        <v/>
      </c>
      <c r="I1758" s="49">
        <f>TRUNC((G1758*H1758-G1758),8)</f>
        <v/>
      </c>
      <c r="J1758" s="49">
        <f>G1758+I1758</f>
        <v/>
      </c>
      <c r="K1758" s="256" t="n"/>
      <c r="L1758" s="256" t="n"/>
      <c r="M1758" s="256" t="n"/>
      <c r="N1758" s="256" t="n"/>
      <c r="O1758" s="256" t="n"/>
      <c r="P1758" s="256" t="n"/>
      <c r="Q1758" s="256" t="n"/>
    </row>
    <row r="1759">
      <c r="A1759">
        <f>IF(DAY(D1759)=DAY($L$1+1),A1758+1,A1758)</f>
        <v/>
      </c>
      <c r="B1759" s="46">
        <f>IF(DAY(D1759)=DAY($L$1+1),1,B1758+1)</f>
        <v/>
      </c>
      <c r="C1759" s="46">
        <f>IF(DAY(D1759)=DAY($L$1+1),1,C1758+1)</f>
        <v/>
      </c>
      <c r="D1759" s="2">
        <f>D1758+1</f>
        <v/>
      </c>
      <c r="E1759" s="8">
        <f>IF(DAY(D1759)=DAY($L$1+1),TRUNC((#REF!),8),E1758)</f>
        <v/>
      </c>
      <c r="F1759" s="49">
        <f>TRUNC(((1+VLOOKUP(A1759,IPCA!$A$2:$C$140,3,0)))^(C1759/(EDATE(D1759-C1759,1)-(D1759-C1759))),8)</f>
        <v/>
      </c>
      <c r="G1759" s="49">
        <f>TRUNC((E1759*F1759),8)</f>
        <v/>
      </c>
      <c r="H1759" s="49">
        <f>ROUND(((1+$H$4)^(30/360))^(C1759/(EDATE(D1759-B1759,1)-(D1759-B1759))),9)</f>
        <v/>
      </c>
      <c r="I1759" s="49">
        <f>TRUNC((G1759*H1759-G1759),8)</f>
        <v/>
      </c>
      <c r="J1759" s="49">
        <f>G1759+I1759</f>
        <v/>
      </c>
      <c r="K1759" s="256" t="n"/>
      <c r="L1759" s="256" t="n"/>
      <c r="M1759" s="256" t="n"/>
      <c r="N1759" s="256" t="n"/>
      <c r="O1759" s="256" t="n"/>
      <c r="P1759" s="256" t="n"/>
      <c r="Q1759" s="256" t="n"/>
    </row>
    <row r="1760">
      <c r="A1760">
        <f>IF(DAY(D1760)=DAY($L$1+1),A1759+1,A1759)</f>
        <v/>
      </c>
      <c r="B1760" s="46">
        <f>IF(DAY(D1760)=DAY($L$1+1),1,B1759+1)</f>
        <v/>
      </c>
      <c r="C1760" s="46">
        <f>IF(DAY(D1760)=DAY($L$1+1),1,C1759+1)</f>
        <v/>
      </c>
      <c r="D1760" s="2">
        <f>D1759+1</f>
        <v/>
      </c>
      <c r="E1760" s="8">
        <f>IF(DAY(D1760)=DAY($L$1+1),TRUNC((#REF!),8),E1759)</f>
        <v/>
      </c>
      <c r="F1760" s="49">
        <f>TRUNC(((1+VLOOKUP(A1760,IPCA!$A$2:$C$140,3,0)))^(C1760/(EDATE(D1760-C1760,1)-(D1760-C1760))),8)</f>
        <v/>
      </c>
      <c r="G1760" s="49">
        <f>TRUNC((E1760*F1760),8)</f>
        <v/>
      </c>
      <c r="H1760" s="49">
        <f>ROUND(((1+$H$4)^(30/360))^(C1760/(EDATE(D1760-B1760,1)-(D1760-B1760))),9)</f>
        <v/>
      </c>
      <c r="I1760" s="49">
        <f>TRUNC((G1760*H1760-G1760),8)</f>
        <v/>
      </c>
      <c r="J1760" s="49">
        <f>G1760+I1760</f>
        <v/>
      </c>
      <c r="K1760" s="256" t="n"/>
      <c r="L1760" s="256" t="n"/>
      <c r="M1760" s="256" t="n"/>
      <c r="N1760" s="256" t="n"/>
      <c r="O1760" s="256" t="n"/>
      <c r="P1760" s="256" t="n"/>
      <c r="Q1760" s="256" t="n"/>
    </row>
    <row r="1761">
      <c r="A1761">
        <f>IF(DAY(D1761)=DAY($L$1+1),A1760+1,A1760)</f>
        <v/>
      </c>
      <c r="B1761" s="46">
        <f>IF(DAY(D1761)=DAY($L$1+1),1,B1760+1)</f>
        <v/>
      </c>
      <c r="C1761" s="46">
        <f>IF(DAY(D1761)=DAY($L$1+1),1,C1760+1)</f>
        <v/>
      </c>
      <c r="D1761" s="2">
        <f>D1760+1</f>
        <v/>
      </c>
      <c r="E1761" s="8">
        <f>IF(DAY(D1761)=DAY($L$1+1),TRUNC((#REF!),8),E1760)</f>
        <v/>
      </c>
      <c r="F1761" s="49">
        <f>TRUNC(((1+VLOOKUP(A1761,IPCA!$A$2:$C$140,3,0)))^(C1761/(EDATE(D1761-C1761,1)-(D1761-C1761))),8)</f>
        <v/>
      </c>
      <c r="G1761" s="49">
        <f>TRUNC((E1761*F1761),8)</f>
        <v/>
      </c>
      <c r="H1761" s="49">
        <f>ROUND(((1+$H$4)^(30/360))^(C1761/(EDATE(D1761-B1761,1)-(D1761-B1761))),9)</f>
        <v/>
      </c>
      <c r="I1761" s="49">
        <f>TRUNC((G1761*H1761-G1761),8)</f>
        <v/>
      </c>
      <c r="J1761" s="49">
        <f>G1761+I1761</f>
        <v/>
      </c>
      <c r="K1761" s="256" t="n"/>
      <c r="L1761" s="256" t="n"/>
      <c r="M1761" s="256" t="n"/>
      <c r="N1761" s="256" t="n"/>
      <c r="O1761" s="256" t="n"/>
      <c r="P1761" s="256" t="n"/>
      <c r="Q1761" s="256" t="n"/>
    </row>
    <row r="1762">
      <c r="A1762">
        <f>IF(DAY(D1762)=DAY($L$1+1),A1761+1,A1761)</f>
        <v/>
      </c>
      <c r="B1762" s="46">
        <f>IF(DAY(D1762)=DAY($L$1+1),1,B1761+1)</f>
        <v/>
      </c>
      <c r="C1762" s="46">
        <f>IF(DAY(D1762)=DAY($L$1+1),1,C1761+1)</f>
        <v/>
      </c>
      <c r="D1762" s="2">
        <f>D1761+1</f>
        <v/>
      </c>
      <c r="E1762" s="8">
        <f>IF(DAY(D1762)=DAY($L$1+1),TRUNC((#REF!),8),E1761)</f>
        <v/>
      </c>
      <c r="F1762" s="49">
        <f>TRUNC(((1+VLOOKUP(A1762,IPCA!$A$2:$C$140,3,0)))^(C1762/(EDATE(D1762-C1762,1)-(D1762-C1762))),8)</f>
        <v/>
      </c>
      <c r="G1762" s="49">
        <f>TRUNC((E1762*F1762),8)</f>
        <v/>
      </c>
      <c r="H1762" s="49">
        <f>ROUND(((1+$H$4)^(30/360))^(C1762/(EDATE(D1762-B1762,1)-(D1762-B1762))),9)</f>
        <v/>
      </c>
      <c r="I1762" s="49">
        <f>TRUNC((G1762*H1762-G1762),8)</f>
        <v/>
      </c>
      <c r="J1762" s="49">
        <f>G1762+I1762</f>
        <v/>
      </c>
      <c r="K1762" s="256" t="n"/>
      <c r="L1762" s="256" t="n"/>
      <c r="M1762" s="256" t="n"/>
      <c r="N1762" s="256" t="n"/>
      <c r="O1762" s="256" t="n"/>
      <c r="P1762" s="256" t="n"/>
      <c r="Q1762" s="256" t="n"/>
    </row>
    <row r="1763">
      <c r="A1763">
        <f>IF(DAY(D1763)=DAY($L$1+1),A1762+1,A1762)</f>
        <v/>
      </c>
      <c r="B1763" s="46">
        <f>IF(DAY(D1763)=DAY($L$1+1),1,B1762+1)</f>
        <v/>
      </c>
      <c r="C1763" s="46">
        <f>IF(DAY(D1763)=DAY($L$1+1),1,C1762+1)</f>
        <v/>
      </c>
      <c r="D1763" s="2">
        <f>D1762+1</f>
        <v/>
      </c>
      <c r="E1763" s="8">
        <f>IF(DAY(D1763)=DAY($L$1+1),TRUNC((#REF!),8),E1762)</f>
        <v/>
      </c>
      <c r="F1763" s="49">
        <f>TRUNC(((1+VLOOKUP(A1763,IPCA!$A$2:$C$140,3,0)))^(C1763/(EDATE(D1763-C1763,1)-(D1763-C1763))),8)</f>
        <v/>
      </c>
      <c r="G1763" s="49">
        <f>TRUNC((E1763*F1763),8)</f>
        <v/>
      </c>
      <c r="H1763" s="49">
        <f>ROUND(((1+$H$4)^(30/360))^(C1763/(EDATE(D1763-B1763,1)-(D1763-B1763))),9)</f>
        <v/>
      </c>
      <c r="I1763" s="49">
        <f>TRUNC((G1763*H1763-G1763),8)</f>
        <v/>
      </c>
      <c r="J1763" s="49">
        <f>G1763+I1763</f>
        <v/>
      </c>
      <c r="K1763" s="256" t="n"/>
      <c r="L1763" s="256" t="n"/>
      <c r="M1763" s="256" t="n"/>
      <c r="N1763" s="256" t="n"/>
      <c r="O1763" s="256" t="n"/>
      <c r="P1763" s="256" t="n"/>
      <c r="Q1763" s="256" t="n"/>
    </row>
    <row r="1764">
      <c r="A1764">
        <f>IF(DAY(D1764)=DAY($L$1+1),A1763+1,A1763)</f>
        <v/>
      </c>
      <c r="B1764" s="46">
        <f>IF(DAY(D1764)=DAY($L$1+1),1,B1763+1)</f>
        <v/>
      </c>
      <c r="C1764" s="46">
        <f>IF(DAY(D1764)=DAY($L$1+1),1,C1763+1)</f>
        <v/>
      </c>
      <c r="D1764" s="2">
        <f>D1763+1</f>
        <v/>
      </c>
      <c r="E1764" s="8">
        <f>IF(DAY(D1764)=DAY($L$1+1),TRUNC((#REF!),8),E1763)</f>
        <v/>
      </c>
      <c r="F1764" s="49">
        <f>TRUNC(((1+VLOOKUP(A1764,IPCA!$A$2:$C$140,3,0)))^(C1764/(EDATE(D1764-C1764,1)-(D1764-C1764))),8)</f>
        <v/>
      </c>
      <c r="G1764" s="49">
        <f>TRUNC((E1764*F1764),8)</f>
        <v/>
      </c>
      <c r="H1764" s="49">
        <f>ROUND(((1+$H$4)^(30/360))^(C1764/(EDATE(D1764-B1764,1)-(D1764-B1764))),9)</f>
        <v/>
      </c>
      <c r="I1764" s="49">
        <f>TRUNC((G1764*H1764-G1764),8)</f>
        <v/>
      </c>
      <c r="J1764" s="49">
        <f>G1764+I1764</f>
        <v/>
      </c>
      <c r="K1764" s="256" t="n"/>
      <c r="L1764" s="256" t="n"/>
      <c r="M1764" s="256" t="n"/>
      <c r="N1764" s="256" t="n"/>
      <c r="O1764" s="256" t="n"/>
      <c r="P1764" s="256" t="n"/>
      <c r="Q1764" s="256" t="n"/>
    </row>
    <row r="1765">
      <c r="A1765">
        <f>IF(DAY(D1765)=DAY($L$1+1),A1764+1,A1764)</f>
        <v/>
      </c>
      <c r="B1765" s="46">
        <f>IF(DAY(D1765)=DAY($L$1+1),1,B1764+1)</f>
        <v/>
      </c>
      <c r="C1765" s="46">
        <f>IF(DAY(D1765)=DAY($L$1+1),1,C1764+1)</f>
        <v/>
      </c>
      <c r="D1765" s="2">
        <f>D1764+1</f>
        <v/>
      </c>
      <c r="E1765" s="8">
        <f>IF(DAY(D1765)=DAY($L$1+1),TRUNC((#REF!),8),E1764)</f>
        <v/>
      </c>
      <c r="F1765" s="49">
        <f>TRUNC(((1+VLOOKUP(A1765,IPCA!$A$2:$C$140,3,0)))^(C1765/(EDATE(D1765-C1765,1)-(D1765-C1765))),8)</f>
        <v/>
      </c>
      <c r="G1765" s="49">
        <f>TRUNC((E1765*F1765),8)</f>
        <v/>
      </c>
      <c r="H1765" s="49">
        <f>ROUND(((1+$H$4)^(30/360))^(C1765/(EDATE(D1765-B1765,1)-(D1765-B1765))),9)</f>
        <v/>
      </c>
      <c r="I1765" s="49">
        <f>TRUNC((G1765*H1765-G1765),8)</f>
        <v/>
      </c>
      <c r="J1765" s="49">
        <f>G1765+I1765</f>
        <v/>
      </c>
      <c r="K1765" s="256" t="n"/>
      <c r="L1765" s="256" t="n"/>
      <c r="M1765" s="256" t="n"/>
      <c r="N1765" s="256" t="n"/>
      <c r="O1765" s="256" t="n"/>
      <c r="P1765" s="256" t="n"/>
      <c r="Q1765" s="256" t="n"/>
    </row>
    <row r="1766">
      <c r="A1766">
        <f>IF(DAY(D1766)=DAY($L$1+1),A1765+1,A1765)</f>
        <v/>
      </c>
      <c r="B1766" s="46">
        <f>IF(DAY(D1766)=DAY($L$1+1),1,B1765+1)</f>
        <v/>
      </c>
      <c r="C1766" s="46">
        <f>IF(DAY(D1766)=DAY($L$1+1),1,C1765+1)</f>
        <v/>
      </c>
      <c r="D1766" s="2">
        <f>D1765+1</f>
        <v/>
      </c>
      <c r="E1766" s="8">
        <f>IF(DAY(D1766)=DAY($L$1+1),TRUNC((#REF!),8),E1765)</f>
        <v/>
      </c>
      <c r="F1766" s="49">
        <f>TRUNC(((1+VLOOKUP(A1766,IPCA!$A$2:$C$140,3,0)))^(C1766/(EDATE(D1766-C1766,1)-(D1766-C1766))),8)</f>
        <v/>
      </c>
      <c r="G1766" s="49">
        <f>TRUNC((E1766*F1766),8)</f>
        <v/>
      </c>
      <c r="H1766" s="49">
        <f>ROUND(((1+$H$4)^(30/360))^(C1766/(EDATE(D1766-B1766,1)-(D1766-B1766))),9)</f>
        <v/>
      </c>
      <c r="I1766" s="49">
        <f>TRUNC((G1766*H1766-G1766),8)</f>
        <v/>
      </c>
      <c r="J1766" s="49">
        <f>G1766+I1766</f>
        <v/>
      </c>
      <c r="K1766" s="256" t="n"/>
      <c r="L1766" s="256" t="n"/>
      <c r="M1766" s="256" t="n"/>
      <c r="N1766" s="256" t="n"/>
      <c r="O1766" s="256" t="n"/>
      <c r="P1766" s="256" t="n"/>
      <c r="Q1766" s="256" t="n"/>
    </row>
    <row r="1767">
      <c r="A1767">
        <f>IF(DAY(D1767)=DAY($L$1+1),A1766+1,A1766)</f>
        <v/>
      </c>
      <c r="B1767" s="46">
        <f>IF(DAY(D1767)=DAY($L$1+1),1,B1766+1)</f>
        <v/>
      </c>
      <c r="C1767" s="46">
        <f>IF(DAY(D1767)=DAY($L$1+1),1,C1766+1)</f>
        <v/>
      </c>
      <c r="D1767" s="2">
        <f>D1766+1</f>
        <v/>
      </c>
      <c r="E1767" s="8">
        <f>IF(DAY(D1767)=DAY($L$1+1),TRUNC((N1766),8),E1766)</f>
        <v/>
      </c>
      <c r="F1767" s="49">
        <f>TRUNC(((1+VLOOKUP(A1767,IPCA!$A$2:$C$140,3,0)))^(C1767/(EDATE(D1767-C1767,1)-(D1767-C1767))),8)</f>
        <v/>
      </c>
      <c r="G1767" s="49">
        <f>TRUNC((E1767*F1767),8)</f>
        <v/>
      </c>
      <c r="H1767" s="49">
        <f>ROUND(((1+$H$4)^(30/360))^(C1767/(EDATE(D1767-B1767,1)-(D1767-B1767))),9)</f>
        <v/>
      </c>
      <c r="I1767" s="49">
        <f>TRUNC((G1767*H1767-G1767),8)</f>
        <v/>
      </c>
      <c r="J1767" s="49">
        <f>G1767+I1767</f>
        <v/>
      </c>
      <c r="K1767" s="256" t="n"/>
      <c r="L1767" s="256" t="n"/>
      <c r="M1767" s="256" t="n"/>
      <c r="N1767" s="256" t="n"/>
      <c r="O1767" s="256" t="n"/>
      <c r="P1767" s="256" t="n"/>
      <c r="Q1767" s="256" t="n"/>
    </row>
    <row r="1768">
      <c r="A1768">
        <f>IF(DAY(D1768)=DAY($L$1+1),A1767+1,A1767)</f>
        <v/>
      </c>
      <c r="B1768" s="46">
        <f>IF(DAY(D1768)=DAY($L$1+1),1,B1767+1)</f>
        <v/>
      </c>
      <c r="C1768" s="46">
        <f>IF(DAY(D1768)=DAY($L$1+1),1,C1767+1)</f>
        <v/>
      </c>
      <c r="D1768" s="2">
        <f>D1767+1</f>
        <v/>
      </c>
      <c r="E1768" s="8">
        <f>IF(DAY(D1768)=DAY($L$1+1),TRUNC((N1767),8),E1767)</f>
        <v/>
      </c>
      <c r="F1768" s="49">
        <f>TRUNC(((1+VLOOKUP(A1768,IPCA!$A$2:$C$140,3,0)))^(C1768/(EDATE(D1768-C1768,1)-(D1768-C1768))),8)</f>
        <v/>
      </c>
      <c r="G1768" s="49">
        <f>TRUNC((E1768*F1768),8)</f>
        <v/>
      </c>
      <c r="H1768" s="49">
        <f>ROUND(((1+$H$4)^(30/360))^(C1768/(EDATE(D1768-B1768,1)-(D1768-B1768))),9)</f>
        <v/>
      </c>
      <c r="I1768" s="49">
        <f>TRUNC((G1768*H1768-G1768),8)</f>
        <v/>
      </c>
      <c r="J1768" s="49">
        <f>G1768+I1768</f>
        <v/>
      </c>
      <c r="K1768" s="256" t="n"/>
      <c r="L1768" s="256" t="n"/>
      <c r="M1768" s="256" t="n"/>
      <c r="N1768" s="256" t="n"/>
      <c r="O1768" s="256" t="n"/>
      <c r="P1768" s="256" t="n"/>
      <c r="Q1768" s="256" t="n"/>
    </row>
    <row r="1769">
      <c r="A1769">
        <f>IF(DAY(D1769)=DAY($L$1+1),A1768+1,A1768)</f>
        <v/>
      </c>
      <c r="B1769" s="46">
        <f>IF(DAY(D1769)=DAY($L$1+1),1,B1768+1)</f>
        <v/>
      </c>
      <c r="C1769" s="46">
        <f>IF(DAY(D1769)=DAY($L$1+1),1,C1768+1)</f>
        <v/>
      </c>
      <c r="D1769" s="2">
        <f>D1768+1</f>
        <v/>
      </c>
      <c r="E1769" s="8">
        <f>IF(DAY(D1769)=DAY($L$1+1),TRUNC((N1768),8),E1768)</f>
        <v/>
      </c>
      <c r="F1769" s="49">
        <f>TRUNC(((1+VLOOKUP(A1769,IPCA!$A$2:$C$140,3,0)))^(C1769/(EDATE(D1769-C1769,1)-(D1769-C1769))),8)</f>
        <v/>
      </c>
      <c r="G1769" s="49">
        <f>TRUNC((E1769*F1769),8)</f>
        <v/>
      </c>
      <c r="H1769" s="49">
        <f>ROUND(((1+$H$4)^(30/360))^(C1769/(EDATE(D1769-B1769,1)-(D1769-B1769))),9)</f>
        <v/>
      </c>
      <c r="I1769" s="49">
        <f>TRUNC((G1769*H1769-G1769),8)</f>
        <v/>
      </c>
      <c r="J1769" s="49">
        <f>G1769+I1769</f>
        <v/>
      </c>
      <c r="K1769" s="123" t="n"/>
      <c r="L1769" s="271" t="n"/>
      <c r="M1769" s="256" t="n"/>
      <c r="N1769" s="256" t="n"/>
      <c r="O1769" s="256" t="n"/>
      <c r="P1769" s="256" t="n"/>
      <c r="Q1769" s="256" t="n"/>
    </row>
    <row r="1770">
      <c r="A1770">
        <f>IF(DAY(D1770)=DAY($L$1+1),A1769+1,A1769)</f>
        <v/>
      </c>
      <c r="B1770" s="46">
        <f>IF(DAY(D1770)=DAY($L$1+1),1,B1769+1)</f>
        <v/>
      </c>
      <c r="C1770" s="46">
        <f>IF(DAY(D1770)=DAY($L$1+1),1,C1769+1)</f>
        <v/>
      </c>
      <c r="D1770" s="2">
        <f>D1769+1</f>
        <v/>
      </c>
      <c r="E1770" s="8">
        <f>IF(DAY(D1770)=DAY($L$1+1),TRUNC((N1769),8),E1769)</f>
        <v/>
      </c>
      <c r="F1770" s="49">
        <f>TRUNC(((1+VLOOKUP(A1770,IPCA!$A$2:$C$140,3,0)))^(C1770/(EDATE(D1770-C1770,1)-(D1770-C1770))),8)</f>
        <v/>
      </c>
      <c r="G1770" s="49">
        <f>TRUNC((E1770*F1770),8)</f>
        <v/>
      </c>
      <c r="H1770" s="49">
        <f>ROUND(((1+$H$4)^(30/360))^(C1770/(EDATE(D1770-B1770,1)-(D1770-B1770))),9)</f>
        <v/>
      </c>
      <c r="I1770" s="49">
        <f>TRUNC((G1770*H1770-G1770),8)</f>
        <v/>
      </c>
      <c r="J1770" s="49">
        <f>G1770+I1770</f>
        <v/>
      </c>
      <c r="K1770" s="256" t="n"/>
      <c r="L1770" s="256" t="n"/>
      <c r="M1770" s="256" t="n"/>
      <c r="N1770" s="256" t="n"/>
      <c r="O1770" s="256" t="n"/>
      <c r="P1770" s="256" t="n"/>
      <c r="Q1770" s="256" t="n"/>
    </row>
    <row r="1771">
      <c r="A1771">
        <f>IF(DAY(D1771)=DAY($L$1+1),A1770+1,A1770)</f>
        <v/>
      </c>
      <c r="B1771" s="46">
        <f>IF(DAY(D1771)=DAY($L$1+1),1,B1770+1)</f>
        <v/>
      </c>
      <c r="C1771" s="46">
        <f>IF(DAY(D1771)=DAY($L$1+1),1,C1770+1)</f>
        <v/>
      </c>
      <c r="D1771" s="2">
        <f>D1770+1</f>
        <v/>
      </c>
      <c r="E1771" s="8">
        <f>IF(DAY(D1771)=DAY($L$1+1),TRUNC((N1770),8),E1770)</f>
        <v/>
      </c>
      <c r="F1771" s="49">
        <f>TRUNC(((1+VLOOKUP(A1771,IPCA!$A$2:$C$140,3,0)))^(C1771/(EDATE(D1771-C1771,1)-(D1771-C1771))),8)</f>
        <v/>
      </c>
      <c r="G1771" s="49">
        <f>TRUNC((E1771*F1771),8)</f>
        <v/>
      </c>
      <c r="H1771" s="49">
        <f>ROUND(((1+$H$4)^(30/360))^(C1771/(EDATE(D1771-B1771,1)-(D1771-B1771))),9)</f>
        <v/>
      </c>
      <c r="I1771" s="49">
        <f>TRUNC((G1771*H1771-G1771),8)</f>
        <v/>
      </c>
      <c r="J1771" s="49">
        <f>G1771+I1771</f>
        <v/>
      </c>
      <c r="K1771" s="256" t="n"/>
      <c r="L1771" s="256" t="n"/>
      <c r="M1771" s="256" t="n"/>
      <c r="N1771" s="256" t="n"/>
      <c r="O1771" s="256" t="n"/>
      <c r="P1771" s="256" t="n"/>
      <c r="Q1771" s="256" t="n"/>
    </row>
    <row r="1772">
      <c r="A1772">
        <f>IF(DAY(D1772)=DAY($L$1+1),A1771+1,A1771)</f>
        <v/>
      </c>
      <c r="B1772" s="46">
        <f>IF(DAY(D1772)=DAY($L$1+1),1,B1771+1)</f>
        <v/>
      </c>
      <c r="C1772" s="46">
        <f>IF(DAY(D1772)=DAY($L$1+1),1,C1771+1)</f>
        <v/>
      </c>
      <c r="D1772" s="2">
        <f>D1771+1</f>
        <v/>
      </c>
      <c r="E1772" s="8">
        <f>IF(DAY(D1772)=DAY($L$1+1),TRUNC((N1771),8),E1771)</f>
        <v/>
      </c>
      <c r="F1772" s="49">
        <f>TRUNC(((1+VLOOKUP(A1772,IPCA!$A$2:$C$140,3,0)))^(C1772/(EDATE(D1772-C1772,1)-(D1772-C1772))),8)</f>
        <v/>
      </c>
      <c r="G1772" s="49">
        <f>TRUNC((E1772*F1772),8)</f>
        <v/>
      </c>
      <c r="H1772" s="49">
        <f>ROUND(((1+$H$4)^(30/360))^(C1772/(EDATE(D1772-B1772,1)-(D1772-B1772))),9)</f>
        <v/>
      </c>
      <c r="I1772" s="49">
        <f>TRUNC((G1772*H1772-G1772),8)</f>
        <v/>
      </c>
      <c r="J1772" s="49">
        <f>G1772+I1772</f>
        <v/>
      </c>
      <c r="K1772" s="256" t="n"/>
      <c r="L1772" s="256" t="n"/>
      <c r="M1772" s="256" t="n"/>
      <c r="N1772" s="256" t="n"/>
      <c r="O1772" s="256" t="n"/>
      <c r="P1772" s="256" t="n"/>
      <c r="Q1772" s="256" t="n"/>
    </row>
    <row r="1773">
      <c r="A1773">
        <f>IF(DAY(D1773)=DAY($L$1+1),A1772+1,A1772)</f>
        <v/>
      </c>
      <c r="B1773" s="46">
        <f>IF(DAY(D1773)=DAY($L$1+1),1,B1772+1)</f>
        <v/>
      </c>
      <c r="C1773" s="46">
        <f>IF(DAY(D1773)=DAY($L$1+1),1,C1772+1)</f>
        <v/>
      </c>
      <c r="D1773" s="2">
        <f>D1772+1</f>
        <v/>
      </c>
      <c r="E1773" s="8">
        <f>IF(DAY(D1773)=DAY($L$1+1),TRUNC((N1772),8),E1772)</f>
        <v/>
      </c>
      <c r="F1773" s="49">
        <f>TRUNC(((1+VLOOKUP(A1773,IPCA!$A$2:$C$140,3,0)))^(C1773/(EDATE(D1773-C1773,1)-(D1773-C1773))),8)</f>
        <v/>
      </c>
      <c r="G1773" s="49">
        <f>TRUNC((E1773*F1773),8)</f>
        <v/>
      </c>
      <c r="H1773" s="49">
        <f>ROUND(((1+$H$4)^(30/360))^(C1773/(EDATE(D1773-B1773,1)-(D1773-B1773))),9)</f>
        <v/>
      </c>
      <c r="I1773" s="49">
        <f>TRUNC((G1773*H1773-G1773),8)</f>
        <v/>
      </c>
      <c r="J1773" s="49">
        <f>G1773+I1773</f>
        <v/>
      </c>
      <c r="K1773" s="256" t="n"/>
      <c r="L1773" s="256" t="n"/>
      <c r="M1773" s="256" t="n"/>
      <c r="N1773" s="256" t="n"/>
      <c r="O1773" s="256" t="n"/>
      <c r="P1773" s="256" t="n"/>
      <c r="Q1773" s="256" t="n"/>
    </row>
    <row r="1774">
      <c r="A1774">
        <f>IF(DAY(D1774)=DAY($L$1+1),A1773+1,A1773)</f>
        <v/>
      </c>
      <c r="B1774" s="46">
        <f>IF(DAY(D1774)=DAY($L$1+1),1,B1773+1)</f>
        <v/>
      </c>
      <c r="C1774" s="46">
        <f>IF(DAY(D1774)=DAY($L$1+1),1,C1773+1)</f>
        <v/>
      </c>
      <c r="D1774" s="2">
        <f>D1773+1</f>
        <v/>
      </c>
      <c r="E1774" s="8">
        <f>IF(DAY(D1774)=DAY($L$1+1),TRUNC((N1773),8),E1773)</f>
        <v/>
      </c>
      <c r="F1774" s="49">
        <f>TRUNC(((1+VLOOKUP(A1774,IPCA!$A$2:$C$140,3,0)))^(C1774/(EDATE(D1774-C1774,1)-(D1774-C1774))),8)</f>
        <v/>
      </c>
      <c r="G1774" s="49">
        <f>TRUNC((E1774*F1774),8)</f>
        <v/>
      </c>
      <c r="H1774" s="49">
        <f>ROUND(((1+$H$4)^(30/360))^(C1774/(EDATE(D1774-B1774,1)-(D1774-B1774))),9)</f>
        <v/>
      </c>
      <c r="I1774" s="49">
        <f>TRUNC((G1774*H1774-G1774),8)</f>
        <v/>
      </c>
      <c r="J1774" s="49">
        <f>G1774+I1774</f>
        <v/>
      </c>
      <c r="K1774" s="256" t="n"/>
      <c r="L1774" s="256" t="n"/>
      <c r="M1774" s="256" t="n"/>
      <c r="N1774" s="256" t="n"/>
      <c r="O1774" s="256" t="n"/>
      <c r="P1774" s="256" t="n"/>
      <c r="Q1774" s="256" t="n"/>
    </row>
    <row r="1775">
      <c r="A1775">
        <f>IF(DAY(D1775)=DAY($L$1+1),A1774+1,A1774)</f>
        <v/>
      </c>
      <c r="B1775" s="46">
        <f>IF(DAY(D1775)=DAY($L$1+1),1,B1774+1)</f>
        <v/>
      </c>
      <c r="C1775" s="46">
        <f>IF(DAY(D1775)=DAY($L$1+1),1,C1774+1)</f>
        <v/>
      </c>
      <c r="D1775" s="2">
        <f>D1774+1</f>
        <v/>
      </c>
      <c r="E1775" s="8">
        <f>IF(DAY(D1775)=DAY($L$1+1),TRUNC((N1774),8),E1774)</f>
        <v/>
      </c>
      <c r="F1775" s="49">
        <f>TRUNC(((1+VLOOKUP(A1775,IPCA!$A$2:$C$140,3,0)))^(C1775/(EDATE(D1775-C1775,1)-(D1775-C1775))),8)</f>
        <v/>
      </c>
      <c r="G1775" s="49">
        <f>TRUNC((E1775*F1775),8)</f>
        <v/>
      </c>
      <c r="H1775" s="49">
        <f>ROUND(((1+$H$4)^(30/360))^(C1775/(EDATE(D1775-B1775,1)-(D1775-B1775))),9)</f>
        <v/>
      </c>
      <c r="I1775" s="49">
        <f>TRUNC((G1775*H1775-G1775),8)</f>
        <v/>
      </c>
      <c r="J1775" s="49">
        <f>G1775+I1775</f>
        <v/>
      </c>
      <c r="K1775" s="256" t="n"/>
      <c r="L1775" s="256" t="n"/>
      <c r="M1775" s="256" t="n"/>
      <c r="N1775" s="256" t="n"/>
      <c r="O1775" s="256" t="n"/>
      <c r="P1775" s="256" t="n"/>
      <c r="Q1775" s="256" t="n"/>
    </row>
    <row r="1776">
      <c r="A1776">
        <f>IF(DAY(D1776)=DAY($L$1+1),A1775+1,A1775)</f>
        <v/>
      </c>
      <c r="B1776" s="46">
        <f>IF(DAY(D1776)=DAY($L$1+1),1,B1775+1)</f>
        <v/>
      </c>
      <c r="C1776" s="46">
        <f>IF(DAY(D1776)=DAY($L$1+1),1,C1775+1)</f>
        <v/>
      </c>
      <c r="D1776" s="2">
        <f>D1775+1</f>
        <v/>
      </c>
      <c r="E1776" s="8">
        <f>IF(DAY(D1776)=DAY($L$1+1),TRUNC((N1775),8),E1775)</f>
        <v/>
      </c>
      <c r="F1776" s="49">
        <f>TRUNC(((1+VLOOKUP(A1776,IPCA!$A$2:$C$140,3,0)))^(C1776/(EDATE(D1776-C1776,1)-(D1776-C1776))),8)</f>
        <v/>
      </c>
      <c r="G1776" s="49">
        <f>TRUNC((E1776*F1776),8)</f>
        <v/>
      </c>
      <c r="H1776" s="49">
        <f>ROUND(((1+$H$4)^(30/360))^(C1776/(EDATE(D1776-B1776,1)-(D1776-B1776))),9)</f>
        <v/>
      </c>
      <c r="I1776" s="49">
        <f>TRUNC((G1776*H1776-G1776),8)</f>
        <v/>
      </c>
      <c r="J1776" s="49">
        <f>G1776+I1776</f>
        <v/>
      </c>
      <c r="K1776" s="256" t="n"/>
      <c r="L1776" s="256" t="n"/>
      <c r="M1776" s="256" t="n"/>
      <c r="N1776" s="256" t="n"/>
      <c r="O1776" s="256" t="n"/>
      <c r="P1776" s="256" t="n"/>
      <c r="Q1776" s="256" t="n"/>
    </row>
    <row r="1777">
      <c r="A1777">
        <f>IF(DAY(D1777)=DAY($L$1+1),A1776+1,A1776)</f>
        <v/>
      </c>
      <c r="B1777" s="46">
        <f>IF(DAY(D1777)=DAY($L$1+1),1,B1776+1)</f>
        <v/>
      </c>
      <c r="C1777" s="46">
        <f>IF(DAY(D1777)=DAY($L$1+1),1,C1776+1)</f>
        <v/>
      </c>
      <c r="D1777" s="2">
        <f>D1776+1</f>
        <v/>
      </c>
      <c r="E1777" s="8">
        <f>IF(DAY(D1777)=DAY($L$1+1),TRUNC((N1776),8),E1776)</f>
        <v/>
      </c>
      <c r="F1777" s="49">
        <f>TRUNC(((1+VLOOKUP(A1777,IPCA!$A$2:$C$140,3,0)))^(C1777/(EDATE(D1777-C1777,1)-(D1777-C1777))),8)</f>
        <v/>
      </c>
      <c r="G1777" s="49">
        <f>TRUNC((E1777*F1777),8)</f>
        <v/>
      </c>
      <c r="H1777" s="49">
        <f>ROUND(((1+$H$4)^(30/360))^(C1777/(EDATE(D1777-B1777,1)-(D1777-B1777))),9)</f>
        <v/>
      </c>
      <c r="I1777" s="49">
        <f>TRUNC((G1777*H1777-G1777),8)</f>
        <v/>
      </c>
      <c r="J1777" s="49">
        <f>G1777+I1777</f>
        <v/>
      </c>
      <c r="K1777" s="256" t="n"/>
      <c r="L1777" s="256" t="n"/>
      <c r="M1777" s="256" t="n"/>
      <c r="N1777" s="256" t="n"/>
      <c r="O1777" s="256" t="n"/>
      <c r="P1777" s="256" t="n"/>
      <c r="Q1777" s="256" t="n"/>
    </row>
    <row r="1778">
      <c r="A1778">
        <f>IF(DAY(D1778)=DAY($L$1+1),A1777+1,A1777)</f>
        <v/>
      </c>
      <c r="B1778" s="46">
        <f>IF(DAY(D1778)=DAY($L$1+1),1,B1777+1)</f>
        <v/>
      </c>
      <c r="C1778" s="46">
        <f>IF(DAY(D1778)=DAY($L$1+1),1,C1777+1)</f>
        <v/>
      </c>
      <c r="D1778" s="2">
        <f>D1777+1</f>
        <v/>
      </c>
      <c r="E1778" s="8">
        <f>IF(DAY(D1778)=DAY($L$1+1),TRUNC((N1777),8),E1777)</f>
        <v/>
      </c>
      <c r="F1778" s="49">
        <f>TRUNC(((1+VLOOKUP(A1778,IPCA!$A$2:$C$140,3,0)))^(C1778/(EDATE(D1778-C1778,1)-(D1778-C1778))),8)</f>
        <v/>
      </c>
      <c r="G1778" s="49">
        <f>TRUNC((E1778*F1778),8)</f>
        <v/>
      </c>
      <c r="H1778" s="49">
        <f>ROUND(((1+$H$4)^(30/360))^(C1778/(EDATE(D1778-B1778,1)-(D1778-B1778))),9)</f>
        <v/>
      </c>
      <c r="I1778" s="49">
        <f>TRUNC((G1778*H1778-G1778),8)</f>
        <v/>
      </c>
      <c r="J1778" s="49">
        <f>G1778+I1778</f>
        <v/>
      </c>
      <c r="K1778" s="256" t="n"/>
      <c r="L1778" s="256" t="n"/>
      <c r="M1778" s="256" t="n"/>
      <c r="N1778" s="256" t="n"/>
      <c r="O1778" s="256" t="n"/>
      <c r="P1778" s="256" t="n"/>
      <c r="Q1778" s="256" t="n"/>
    </row>
    <row r="1779">
      <c r="A1779">
        <f>IF(DAY(D1779)=DAY($L$1+1),A1778+1,A1778)</f>
        <v/>
      </c>
      <c r="B1779" s="46">
        <f>IF(DAY(D1779)=DAY($L$1+1),1,B1778+1)</f>
        <v/>
      </c>
      <c r="C1779" s="46">
        <f>IF(DAY(D1779)=DAY($L$1+1),1,C1778+1)</f>
        <v/>
      </c>
      <c r="D1779" s="2">
        <f>D1778+1</f>
        <v/>
      </c>
      <c r="E1779" s="8">
        <f>IF(DAY(D1779)=DAY($L$1+1),TRUNC((N1778),8),E1778)</f>
        <v/>
      </c>
      <c r="F1779" s="49">
        <f>TRUNC(((1+VLOOKUP(A1779,IPCA!$A$2:$C$140,3,0)))^(C1779/(EDATE(D1779-C1779,1)-(D1779-C1779))),8)</f>
        <v/>
      </c>
      <c r="G1779" s="49">
        <f>TRUNC((E1779*F1779),8)</f>
        <v/>
      </c>
      <c r="H1779" s="49">
        <f>ROUND(((1+$H$4)^(30/360))^(C1779/(EDATE(D1779-B1779,1)-(D1779-B1779))),9)</f>
        <v/>
      </c>
      <c r="I1779" s="49">
        <f>TRUNC((G1779*H1779-G1779),8)</f>
        <v/>
      </c>
      <c r="J1779" s="49">
        <f>G1779+I1779</f>
        <v/>
      </c>
      <c r="K1779" s="256" t="n"/>
      <c r="L1779" s="256" t="n"/>
      <c r="M1779" s="256" t="n"/>
      <c r="N1779" s="256" t="n"/>
      <c r="O1779" s="256" t="n"/>
      <c r="P1779" s="256" t="n"/>
      <c r="Q1779" s="256" t="n"/>
    </row>
    <row r="1780">
      <c r="A1780">
        <f>IF(DAY(D1780)=DAY($L$1+1),A1779+1,A1779)</f>
        <v/>
      </c>
      <c r="B1780" s="46">
        <f>IF(DAY(D1780)=DAY($L$1+1),1,B1779+1)</f>
        <v/>
      </c>
      <c r="C1780" s="46">
        <f>IF(DAY(D1780)=DAY($L$1+1),1,C1779+1)</f>
        <v/>
      </c>
      <c r="D1780" s="2">
        <f>D1779+1</f>
        <v/>
      </c>
      <c r="E1780" s="8">
        <f>IF(DAY(D1780)=DAY($L$1+1),TRUNC((N1779),8),E1779)</f>
        <v/>
      </c>
      <c r="F1780" s="49">
        <f>TRUNC(((1+VLOOKUP(A1780,IPCA!$A$2:$C$140,3,0)))^(C1780/(EDATE(D1780-C1780,1)-(D1780-C1780))),8)</f>
        <v/>
      </c>
      <c r="G1780" s="49">
        <f>TRUNC((E1780*F1780),8)</f>
        <v/>
      </c>
      <c r="H1780" s="49">
        <f>ROUND(((1+$H$4)^(30/360))^(C1780/(EDATE(D1780-B1780,1)-(D1780-B1780))),9)</f>
        <v/>
      </c>
      <c r="I1780" s="49">
        <f>TRUNC((G1780*H1780-G1780),8)</f>
        <v/>
      </c>
      <c r="J1780" s="49">
        <f>G1780+I1780</f>
        <v/>
      </c>
      <c r="K1780" s="256" t="n"/>
      <c r="L1780" s="256" t="n"/>
      <c r="M1780" s="256" t="n"/>
      <c r="N1780" s="256" t="n"/>
      <c r="O1780" s="256" t="n"/>
      <c r="P1780" s="256" t="n"/>
      <c r="Q1780" s="256" t="n"/>
    </row>
    <row r="1781">
      <c r="A1781">
        <f>IF(DAY(D1781)=DAY($L$1+1),A1780+1,A1780)</f>
        <v/>
      </c>
      <c r="B1781" s="46">
        <f>IF(DAY(D1781)=DAY($L$1+1),1,B1780+1)</f>
        <v/>
      </c>
      <c r="C1781" s="46">
        <f>IF(DAY(D1781)=DAY($L$1+1),1,C1780+1)</f>
        <v/>
      </c>
      <c r="D1781" s="2">
        <f>D1780+1</f>
        <v/>
      </c>
      <c r="E1781" s="8">
        <f>IF(DAY(D1781)=DAY($L$1+1),TRUNC((N1780),8),E1780)</f>
        <v/>
      </c>
      <c r="F1781" s="49">
        <f>TRUNC(((1+VLOOKUP(A1781,IPCA!$A$2:$C$140,3,0)))^(C1781/(EDATE(D1781-C1781,1)-(D1781-C1781))),8)</f>
        <v/>
      </c>
      <c r="G1781" s="49">
        <f>TRUNC((E1781*F1781),8)</f>
        <v/>
      </c>
      <c r="H1781" s="49">
        <f>ROUND(((1+$H$4)^(30/360))^(C1781/(EDATE(D1781-B1781,1)-(D1781-B1781))),9)</f>
        <v/>
      </c>
      <c r="I1781" s="49">
        <f>TRUNC((G1781*H1781-G1781),8)</f>
        <v/>
      </c>
      <c r="J1781" s="49">
        <f>G1781+I1781</f>
        <v/>
      </c>
      <c r="K1781" s="256" t="n"/>
      <c r="L1781" s="256" t="n"/>
      <c r="M1781" s="256" t="n"/>
      <c r="N1781" s="256" t="n"/>
      <c r="O1781" s="256" t="n"/>
      <c r="P1781" s="256" t="n"/>
      <c r="Q1781" s="256" t="n"/>
    </row>
    <row r="1782">
      <c r="A1782">
        <f>IF(DAY(D1782)=DAY($L$1+1),A1781+1,A1781)</f>
        <v/>
      </c>
      <c r="B1782" s="46">
        <f>IF(DAY(D1782)=DAY($L$1+1),1,B1781+1)</f>
        <v/>
      </c>
      <c r="C1782" s="46">
        <f>IF(DAY(D1782)=DAY($L$1+1),1,C1781+1)</f>
        <v/>
      </c>
      <c r="D1782" s="2">
        <f>D1781+1</f>
        <v/>
      </c>
      <c r="E1782" s="8">
        <f>IF(DAY(D1782)=DAY($L$1+1),TRUNC((N1781),8),E1781)</f>
        <v/>
      </c>
      <c r="F1782" s="49">
        <f>TRUNC(((1+VLOOKUP(A1782,IPCA!$A$2:$C$140,3,0)))^(C1782/(EDATE(D1782-C1782,1)-(D1782-C1782))),8)</f>
        <v/>
      </c>
      <c r="G1782" s="49">
        <f>TRUNC((E1782*F1782),8)</f>
        <v/>
      </c>
      <c r="H1782" s="49">
        <f>ROUND(((1+$H$4)^(30/360))^(C1782/(EDATE(D1782-B1782,1)-(D1782-B1782))),9)</f>
        <v/>
      </c>
      <c r="I1782" s="49">
        <f>TRUNC((G1782*H1782-G1782),8)</f>
        <v/>
      </c>
      <c r="J1782" s="49">
        <f>G1782+I1782</f>
        <v/>
      </c>
      <c r="K1782" s="256" t="inlineStr">
        <is>
          <t>Cri Integralizado</t>
        </is>
      </c>
      <c r="L1782" s="270">
        <f>L1752</f>
        <v/>
      </c>
      <c r="M1782" s="256" t="n"/>
      <c r="N1782" s="256" t="n"/>
      <c r="O1782" s="256" t="n"/>
      <c r="P1782" s="256" t="n"/>
      <c r="Q1782" s="256" t="n"/>
    </row>
    <row r="1783">
      <c r="A1783">
        <f>IF(DAY(D1783)=DAY($L$1+1),A1782+1,A1782)</f>
        <v/>
      </c>
      <c r="B1783" s="46">
        <f>IF(DAY(D1783)=DAY($L$1+1),1,B1782+1)</f>
        <v/>
      </c>
      <c r="C1783" s="46">
        <f>IF(DAY(D1783)=DAY($L$1+1),1,C1782+1)</f>
        <v/>
      </c>
      <c r="D1783" s="47">
        <f>D1782+1</f>
        <v/>
      </c>
      <c r="E1783" s="8">
        <f>IF(DAY(D1783)=DAY($L$1+1),TRUNC((N1782),8),E1782)</f>
        <v/>
      </c>
      <c r="F1783" s="49">
        <f>TRUNC(((1+VLOOKUP(A1783,IPCA!$A$2:$C$140,3,0)))^(C1783/(EDATE(D1783-C1783,1)-(D1783-C1783))),8)</f>
        <v/>
      </c>
      <c r="G1783" s="49">
        <f>TRUNC((E1783*F1783),8)</f>
        <v/>
      </c>
      <c r="H1783" s="49">
        <f>ROUND(((1+$H$4)^(30/360))^(C1783/(EDATE(D1783-B1783,1)-(D1783-B1783))),9)</f>
        <v/>
      </c>
      <c r="I1783" s="49">
        <f>TRUNC((G1783*H1783-G1783),8)</f>
        <v/>
      </c>
      <c r="J1783" s="49">
        <f>G1783+I1783</f>
        <v/>
      </c>
      <c r="K1783" s="118" t="inlineStr">
        <is>
          <t>JUROS</t>
        </is>
      </c>
      <c r="L1783" s="118" t="inlineStr">
        <is>
          <t>AMORTIZAÇÃO</t>
        </is>
      </c>
      <c r="M1783" s="118" t="inlineStr">
        <is>
          <t>AMEX</t>
        </is>
      </c>
      <c r="N1783" s="118" t="inlineStr">
        <is>
          <t>RESIDUAL</t>
        </is>
      </c>
      <c r="O1783" s="256" t="n"/>
      <c r="P1783" s="256" t="n"/>
      <c r="Q1783" s="256" t="n"/>
    </row>
    <row r="1784">
      <c r="A1784">
        <f>IF(DAY(D1784)=DAY($L$1+1),A1783+1,A1783)</f>
        <v/>
      </c>
      <c r="B1784" s="111">
        <f>IF(DAY(D1784)=DAY($L$1+1),1,B1783+1)</f>
        <v/>
      </c>
      <c r="C1784" s="111">
        <f>IF(DAY(D1784)=DAY($L$1+1),1,C1783+1)</f>
        <v/>
      </c>
      <c r="D1784" s="112">
        <f>D1783+1</f>
        <v/>
      </c>
      <c r="E1784" s="113">
        <f>IF(DAY(D1784)=DAY($L$1+1),TRUNC((N1783),8),E1783)</f>
        <v/>
      </c>
      <c r="F1784" s="114">
        <f>TRUNC(((1+VLOOKUP(A1784,IPCA!$A$2:$C$140,3,0)))^(C1784/(EDATE(D1784-C1784,1)-(D1784-C1784))),8)</f>
        <v/>
      </c>
      <c r="G1784" s="114">
        <f>TRUNC((E1784*F1784),8)</f>
        <v/>
      </c>
      <c r="H1784" s="114">
        <f>ROUND(((1+$H$4)^(30/360))^(C1784/(EDATE(D1784-B1784,1)-(D1784-B1784))),9)</f>
        <v/>
      </c>
      <c r="I1784" s="114">
        <f>TRUNC((G1784*H1784-G1784),8)</f>
        <v/>
      </c>
      <c r="J1784" s="114">
        <f>G1784+I1784</f>
        <v/>
      </c>
      <c r="K1784" s="119">
        <f>I1784</f>
        <v/>
      </c>
      <c r="L1784" s="120">
        <f>TRUNC(G1784*VLOOKUP(D1784,'Amort TS'!$G$3:$H$140,2,0),8)</f>
        <v/>
      </c>
      <c r="M1784" s="120" t="n">
        <v>0</v>
      </c>
      <c r="N1784" s="120">
        <f>J1784-K1784-L1784-M1784</f>
        <v/>
      </c>
      <c r="O1784" s="256" t="n"/>
      <c r="P1784" s="256" t="n"/>
      <c r="Q1784" s="256" t="n"/>
    </row>
    <row r="1785">
      <c r="A1785">
        <f>IF(DAY(D1785)=DAY($L$1+1),A1784+1,A1784)</f>
        <v/>
      </c>
      <c r="B1785" s="46">
        <f>IF(DAY(D1785)=DAY($L$1+1),1,B1784+1)</f>
        <v/>
      </c>
      <c r="C1785" s="46">
        <f>IF(DAY(D1785)=DAY($L$1+1),1,C1784+1)</f>
        <v/>
      </c>
      <c r="D1785" s="2">
        <f>D1784+1</f>
        <v/>
      </c>
      <c r="E1785" s="8">
        <f>IF(DAY(D1785)=DAY($L$1+1),TRUNC((N1784),8),E1784)</f>
        <v/>
      </c>
      <c r="F1785" s="49">
        <f>TRUNC(((1+VLOOKUP(A1785,IPCA!$A$2:$C$140,3,0)))^(C1785/(EDATE(D1785-C1785,1)-(D1785-C1785))),8)</f>
        <v/>
      </c>
      <c r="G1785" s="49">
        <f>TRUNC((E1785*F1785),8)</f>
        <v/>
      </c>
      <c r="H1785" s="49">
        <f>ROUND(((1+$H$4)^(30/360))^(C1785/(EDATE(D1785-B1785,1)-(D1785-B1785))),9)</f>
        <v/>
      </c>
      <c r="I1785" s="49">
        <f>TRUNC((G1785*H1785-G1785),8)</f>
        <v/>
      </c>
      <c r="J1785" s="49">
        <f>G1785+I1785</f>
        <v/>
      </c>
      <c r="K1785" s="121">
        <f>K1784*L1782</f>
        <v/>
      </c>
      <c r="L1785" s="121">
        <f>L1784*L1782</f>
        <v/>
      </c>
      <c r="M1785" s="121">
        <f>M1784*L1782</f>
        <v/>
      </c>
      <c r="N1785" s="121">
        <f>N1784*L1782</f>
        <v/>
      </c>
      <c r="O1785" s="256" t="n"/>
      <c r="P1785" s="256" t="n"/>
      <c r="Q1785" s="256" t="n"/>
    </row>
    <row r="1786">
      <c r="A1786">
        <f>IF(DAY(D1786)=DAY($L$1+1),A1785+1,A1785)</f>
        <v/>
      </c>
      <c r="B1786" s="46">
        <f>IF(DAY(D1786)=DAY($L$1+1),1,B1785+1)</f>
        <v/>
      </c>
      <c r="C1786" s="46">
        <f>IF(DAY(D1786)=DAY($L$1+1),1,C1785+1)</f>
        <v/>
      </c>
      <c r="D1786" s="47">
        <f>D1785+1</f>
        <v/>
      </c>
      <c r="E1786" s="8">
        <f>IF(DAY(D1786)=DAY($L$1+1),TRUNC((N1785),8),E1785)</f>
        <v/>
      </c>
      <c r="F1786" s="49">
        <f>TRUNC(((1+VLOOKUP(A1786,IPCA!$A$2:$C$140,3,0)))^(C1786/(EDATE(D1786-C1786,1)-(D1786-C1786))),8)</f>
        <v/>
      </c>
      <c r="G1786" s="49">
        <f>TRUNC((E1786*F1786),8)</f>
        <v/>
      </c>
      <c r="H1786" s="49">
        <f>ROUND(((1+$H$4)^(30/360))^(C1786/(EDATE(D1786-B1786,1)-(D1786-B1786))),9)</f>
        <v/>
      </c>
      <c r="I1786" s="49">
        <f>TRUNC((G1786*H1786-G1786),8)</f>
        <v/>
      </c>
      <c r="J1786" s="49">
        <f>G1786+I1786</f>
        <v/>
      </c>
      <c r="K1786" s="256" t="n"/>
      <c r="L1786" s="256" t="n"/>
      <c r="M1786" s="256" t="n"/>
      <c r="N1786" s="256" t="n"/>
      <c r="O1786" s="256" t="n"/>
      <c r="P1786" s="256" t="n"/>
      <c r="Q1786" s="256" t="n"/>
    </row>
    <row r="1787">
      <c r="A1787">
        <f>IF(DAY(D1787)=DAY($L$1+1),A1786+1,A1786)</f>
        <v/>
      </c>
      <c r="B1787" s="46">
        <f>IF(DAY(D1787)=DAY($L$1+1),1,B1786+1)</f>
        <v/>
      </c>
      <c r="C1787" s="46">
        <f>IF(DAY(D1787)=DAY($L$1+1),1,C1786+1)</f>
        <v/>
      </c>
      <c r="D1787" s="2">
        <f>D1786+1</f>
        <v/>
      </c>
      <c r="E1787" s="8">
        <f>IF(DAY(D1787)=DAY($L$1+1),TRUNC((#REF!),8),E1786)</f>
        <v/>
      </c>
      <c r="F1787" s="49">
        <f>TRUNC(((1+VLOOKUP(A1787,IPCA!$A$2:$C$140,3,0)))^(C1787/(EDATE(D1787-C1787,1)-(D1787-C1787))),8)</f>
        <v/>
      </c>
      <c r="G1787" s="49">
        <f>TRUNC((E1787*F1787),8)</f>
        <v/>
      </c>
      <c r="H1787" s="49">
        <f>ROUND(((1+$H$4)^(30/360))^(C1787/(EDATE(D1787-B1787,1)-(D1787-B1787))),9)</f>
        <v/>
      </c>
      <c r="I1787" s="49">
        <f>TRUNC((G1787*H1787-G1787),8)</f>
        <v/>
      </c>
      <c r="J1787" s="49">
        <f>G1787+I1787</f>
        <v/>
      </c>
      <c r="K1787" s="256" t="n"/>
      <c r="L1787" s="256" t="n"/>
      <c r="M1787" s="256" t="n"/>
      <c r="N1787" s="256" t="n"/>
      <c r="O1787" s="256" t="n"/>
      <c r="P1787" s="256" t="n"/>
      <c r="Q1787" s="256" t="n"/>
    </row>
    <row r="1788">
      <c r="A1788">
        <f>IF(DAY(D1788)=DAY($L$1+1),A1787+1,A1787)</f>
        <v/>
      </c>
      <c r="B1788" s="46">
        <f>IF(DAY(D1788)=DAY($L$1+1),1,B1787+1)</f>
        <v/>
      </c>
      <c r="C1788" s="46">
        <f>IF(DAY(D1788)=DAY($L$1+1),1,C1787+1)</f>
        <v/>
      </c>
      <c r="D1788" s="2">
        <f>D1787+1</f>
        <v/>
      </c>
      <c r="E1788" s="8">
        <f>IF(DAY(D1788)=DAY($L$1+1),TRUNC((#REF!),8),E1787)</f>
        <v/>
      </c>
      <c r="F1788" s="49">
        <f>TRUNC(((1+VLOOKUP(A1788,IPCA!$A$2:$C$140,3,0)))^(C1788/(EDATE(D1788-C1788,1)-(D1788-C1788))),8)</f>
        <v/>
      </c>
      <c r="G1788" s="49">
        <f>TRUNC((E1788*F1788),8)</f>
        <v/>
      </c>
      <c r="H1788" s="49">
        <f>ROUND(((1+$H$4)^(30/360))^(C1788/(EDATE(D1788-B1788,1)-(D1788-B1788))),9)</f>
        <v/>
      </c>
      <c r="I1788" s="49">
        <f>TRUNC((G1788*H1788-G1788),8)</f>
        <v/>
      </c>
      <c r="J1788" s="49">
        <f>G1788+I1788</f>
        <v/>
      </c>
      <c r="K1788" s="256" t="n"/>
      <c r="L1788" s="256" t="n"/>
      <c r="M1788" s="256" t="n"/>
      <c r="N1788" s="256" t="n"/>
      <c r="O1788" s="256" t="n"/>
      <c r="P1788" s="256" t="n"/>
      <c r="Q1788" s="256" t="n"/>
    </row>
    <row r="1789">
      <c r="A1789">
        <f>IF(DAY(D1789)=DAY($L$1+1),A1788+1,A1788)</f>
        <v/>
      </c>
      <c r="B1789" s="46">
        <f>IF(DAY(D1789)=DAY($L$1+1),1,B1788+1)</f>
        <v/>
      </c>
      <c r="C1789" s="46">
        <f>IF(DAY(D1789)=DAY($L$1+1),1,C1788+1)</f>
        <v/>
      </c>
      <c r="D1789" s="2">
        <f>D1788+1</f>
        <v/>
      </c>
      <c r="E1789" s="8">
        <f>IF(DAY(D1789)=DAY($L$1+1),TRUNC((#REF!),8),E1788)</f>
        <v/>
      </c>
      <c r="F1789" s="49">
        <f>TRUNC(((1+VLOOKUP(A1789,IPCA!$A$2:$C$140,3,0)))^(C1789/(EDATE(D1789-C1789,1)-(D1789-C1789))),8)</f>
        <v/>
      </c>
      <c r="G1789" s="49">
        <f>TRUNC((E1789*F1789),8)</f>
        <v/>
      </c>
      <c r="H1789" s="49">
        <f>ROUND(((1+$H$4)^(30/360))^(C1789/(EDATE(D1789-B1789,1)-(D1789-B1789))),9)</f>
        <v/>
      </c>
      <c r="I1789" s="49">
        <f>TRUNC((G1789*H1789-G1789),8)</f>
        <v/>
      </c>
      <c r="J1789" s="49">
        <f>G1789+I1789</f>
        <v/>
      </c>
      <c r="K1789" s="256" t="n"/>
      <c r="L1789" s="256" t="n"/>
      <c r="M1789" s="256" t="n"/>
      <c r="N1789" s="256" t="n"/>
      <c r="O1789" s="256" t="n"/>
      <c r="P1789" s="256" t="n"/>
      <c r="Q1789" s="256" t="n"/>
    </row>
    <row r="1790">
      <c r="A1790">
        <f>IF(DAY(D1790)=DAY($L$1+1),A1789+1,A1789)</f>
        <v/>
      </c>
      <c r="B1790" s="46">
        <f>IF(DAY(D1790)=DAY($L$1+1),1,B1789+1)</f>
        <v/>
      </c>
      <c r="C1790" s="46">
        <f>IF(DAY(D1790)=DAY($L$1+1),1,C1789+1)</f>
        <v/>
      </c>
      <c r="D1790" s="2">
        <f>D1789+1</f>
        <v/>
      </c>
      <c r="E1790" s="8">
        <f>IF(DAY(D1790)=DAY($L$1+1),TRUNC((#REF!),8),E1789)</f>
        <v/>
      </c>
      <c r="F1790" s="49">
        <f>TRUNC(((1+VLOOKUP(A1790,IPCA!$A$2:$C$140,3,0)))^(C1790/(EDATE(D1790-C1790,1)-(D1790-C1790))),8)</f>
        <v/>
      </c>
      <c r="G1790" s="49">
        <f>TRUNC((E1790*F1790),8)</f>
        <v/>
      </c>
      <c r="H1790" s="49">
        <f>ROUND(((1+$H$4)^(30/360))^(C1790/(EDATE(D1790-B1790,1)-(D1790-B1790))),9)</f>
        <v/>
      </c>
      <c r="I1790" s="49">
        <f>TRUNC((G1790*H1790-G1790),8)</f>
        <v/>
      </c>
      <c r="J1790" s="49">
        <f>G1790+I1790</f>
        <v/>
      </c>
      <c r="K1790" s="256" t="n"/>
      <c r="L1790" s="256" t="n"/>
      <c r="M1790" s="256" t="n"/>
      <c r="N1790" s="256" t="n"/>
      <c r="O1790" s="256" t="n"/>
      <c r="P1790" s="256" t="n"/>
      <c r="Q1790" s="256" t="n"/>
    </row>
    <row r="1791">
      <c r="A1791">
        <f>IF(DAY(D1791)=DAY($L$1+1),A1790+1,A1790)</f>
        <v/>
      </c>
      <c r="B1791" s="46">
        <f>IF(DAY(D1791)=DAY($L$1+1),1,B1790+1)</f>
        <v/>
      </c>
      <c r="C1791" s="46">
        <f>IF(DAY(D1791)=DAY($L$1+1),1,C1790+1)</f>
        <v/>
      </c>
      <c r="D1791" s="2">
        <f>D1790+1</f>
        <v/>
      </c>
      <c r="E1791" s="8">
        <f>IF(DAY(D1791)=DAY($L$1+1),TRUNC((#REF!),8),E1790)</f>
        <v/>
      </c>
      <c r="F1791" s="49">
        <f>TRUNC(((1+VLOOKUP(A1791,IPCA!$A$2:$C$140,3,0)))^(C1791/(EDATE(D1791-C1791,1)-(D1791-C1791))),8)</f>
        <v/>
      </c>
      <c r="G1791" s="49">
        <f>TRUNC((E1791*F1791),8)</f>
        <v/>
      </c>
      <c r="H1791" s="49">
        <f>ROUND(((1+$H$4)^(30/360))^(C1791/(EDATE(D1791-B1791,1)-(D1791-B1791))),9)</f>
        <v/>
      </c>
      <c r="I1791" s="49">
        <f>TRUNC((G1791*H1791-G1791),8)</f>
        <v/>
      </c>
      <c r="J1791" s="49">
        <f>G1791+I1791</f>
        <v/>
      </c>
      <c r="K1791" s="256" t="n"/>
      <c r="L1791" s="256" t="n"/>
      <c r="M1791" s="256" t="n"/>
      <c r="N1791" s="256" t="n"/>
      <c r="O1791" s="256" t="n"/>
      <c r="P1791" s="256" t="n"/>
      <c r="Q1791" s="256" t="n"/>
    </row>
    <row r="1792">
      <c r="A1792">
        <f>IF(DAY(D1792)=DAY($L$1+1),A1791+1,A1791)</f>
        <v/>
      </c>
      <c r="B1792" s="46">
        <f>IF(DAY(D1792)=DAY($L$1+1),1,B1791+1)</f>
        <v/>
      </c>
      <c r="C1792" s="46">
        <f>IF(DAY(D1792)=DAY($L$1+1),1,C1791+1)</f>
        <v/>
      </c>
      <c r="D1792" s="2">
        <f>D1791+1</f>
        <v/>
      </c>
      <c r="E1792" s="8">
        <f>IF(DAY(D1792)=DAY($L$1+1),TRUNC((#REF!),8),E1791)</f>
        <v/>
      </c>
      <c r="F1792" s="49">
        <f>TRUNC(((1+VLOOKUP(A1792,IPCA!$A$2:$C$140,3,0)))^(C1792/(EDATE(D1792-C1792,1)-(D1792-C1792))),8)</f>
        <v/>
      </c>
      <c r="G1792" s="49">
        <f>TRUNC((E1792*F1792),8)</f>
        <v/>
      </c>
      <c r="H1792" s="49">
        <f>ROUND(((1+$H$4)^(30/360))^(C1792/(EDATE(D1792-B1792,1)-(D1792-B1792))),9)</f>
        <v/>
      </c>
      <c r="I1792" s="49">
        <f>TRUNC((G1792*H1792-G1792),8)</f>
        <v/>
      </c>
      <c r="J1792" s="49">
        <f>G1792+I1792</f>
        <v/>
      </c>
      <c r="K1792" s="256" t="n"/>
      <c r="L1792" s="256" t="n"/>
      <c r="M1792" s="256" t="n"/>
      <c r="N1792" s="256" t="n"/>
      <c r="O1792" s="256" t="n"/>
      <c r="P1792" s="256" t="n"/>
      <c r="Q1792" s="256" t="n"/>
    </row>
    <row r="1793">
      <c r="A1793">
        <f>IF(DAY(D1793)=DAY($L$1+1),A1792+1,A1792)</f>
        <v/>
      </c>
      <c r="B1793" s="46">
        <f>IF(DAY(D1793)=DAY($L$1+1),1,B1792+1)</f>
        <v/>
      </c>
      <c r="C1793" s="46">
        <f>IF(DAY(D1793)=DAY($L$1+1),1,C1792+1)</f>
        <v/>
      </c>
      <c r="D1793" s="2">
        <f>D1792+1</f>
        <v/>
      </c>
      <c r="E1793" s="8">
        <f>IF(DAY(D1793)=DAY($L$1+1),TRUNC((#REF!),8),E1792)</f>
        <v/>
      </c>
      <c r="F1793" s="49">
        <f>TRUNC(((1+VLOOKUP(A1793,IPCA!$A$2:$C$140,3,0)))^(C1793/(EDATE(D1793-C1793,1)-(D1793-C1793))),8)</f>
        <v/>
      </c>
      <c r="G1793" s="49">
        <f>TRUNC((E1793*F1793),8)</f>
        <v/>
      </c>
      <c r="H1793" s="49">
        <f>ROUND(((1+$H$4)^(30/360))^(C1793/(EDATE(D1793-B1793,1)-(D1793-B1793))),9)</f>
        <v/>
      </c>
      <c r="I1793" s="49">
        <f>TRUNC((G1793*H1793-G1793),8)</f>
        <v/>
      </c>
      <c r="J1793" s="49">
        <f>G1793+I1793</f>
        <v/>
      </c>
      <c r="K1793" s="256" t="n"/>
      <c r="L1793" s="256" t="n"/>
      <c r="M1793" s="256" t="n"/>
      <c r="N1793" s="256" t="n"/>
      <c r="O1793" s="256" t="n"/>
      <c r="P1793" s="256" t="n"/>
      <c r="Q1793" s="256" t="n"/>
    </row>
    <row r="1794">
      <c r="A1794">
        <f>IF(DAY(D1794)=DAY($L$1+1),A1793+1,A1793)</f>
        <v/>
      </c>
      <c r="B1794" s="46">
        <f>IF(DAY(D1794)=DAY($L$1+1),1,B1793+1)</f>
        <v/>
      </c>
      <c r="C1794" s="46">
        <f>IF(DAY(D1794)=DAY($L$1+1),1,C1793+1)</f>
        <v/>
      </c>
      <c r="D1794" s="2">
        <f>D1793+1</f>
        <v/>
      </c>
      <c r="E1794" s="8">
        <f>IF(DAY(D1794)=DAY($L$1+1),TRUNC((#REF!),8),E1793)</f>
        <v/>
      </c>
      <c r="F1794" s="49">
        <f>TRUNC(((1+VLOOKUP(A1794,IPCA!$A$2:$C$140,3,0)))^(C1794/(EDATE(D1794-C1794,1)-(D1794-C1794))),8)</f>
        <v/>
      </c>
      <c r="G1794" s="49">
        <f>TRUNC((E1794*F1794),8)</f>
        <v/>
      </c>
      <c r="H1794" s="49">
        <f>ROUND(((1+$H$4)^(30/360))^(C1794/(EDATE(D1794-B1794,1)-(D1794-B1794))),9)</f>
        <v/>
      </c>
      <c r="I1794" s="49">
        <f>TRUNC((G1794*H1794-G1794),8)</f>
        <v/>
      </c>
      <c r="J1794" s="49">
        <f>G1794+I1794</f>
        <v/>
      </c>
      <c r="K1794" s="256" t="n"/>
      <c r="L1794" s="256" t="n"/>
      <c r="M1794" s="256" t="n"/>
      <c r="N1794" s="256" t="n"/>
      <c r="O1794" s="256" t="n"/>
      <c r="P1794" s="256" t="n"/>
      <c r="Q1794" s="256" t="n"/>
    </row>
    <row r="1795">
      <c r="A1795">
        <f>IF(DAY(D1795)=DAY($L$1+1),A1794+1,A1794)</f>
        <v/>
      </c>
      <c r="B1795" s="46">
        <f>IF(DAY(D1795)=DAY($L$1+1),1,B1794+1)</f>
        <v/>
      </c>
      <c r="C1795" s="46">
        <f>IF(DAY(D1795)=DAY($L$1+1),1,C1794+1)</f>
        <v/>
      </c>
      <c r="D1795" s="2">
        <f>D1794+1</f>
        <v/>
      </c>
      <c r="E1795" s="8">
        <f>IF(DAY(D1795)=DAY($L$1+1),TRUNC((#REF!),8),E1794)</f>
        <v/>
      </c>
      <c r="F1795" s="49">
        <f>TRUNC(((1+VLOOKUP(A1795,IPCA!$A$2:$C$140,3,0)))^(C1795/(EDATE(D1795-C1795,1)-(D1795-C1795))),8)</f>
        <v/>
      </c>
      <c r="G1795" s="49">
        <f>TRUNC((E1795*F1795),8)</f>
        <v/>
      </c>
      <c r="H1795" s="49">
        <f>ROUND(((1+$H$4)^(30/360))^(C1795/(EDATE(D1795-B1795,1)-(D1795-B1795))),9)</f>
        <v/>
      </c>
      <c r="I1795" s="49">
        <f>TRUNC((G1795*H1795-G1795),8)</f>
        <v/>
      </c>
      <c r="J1795" s="49">
        <f>G1795+I1795</f>
        <v/>
      </c>
      <c r="K1795" s="256" t="n"/>
      <c r="L1795" s="256" t="n"/>
      <c r="M1795" s="256" t="n"/>
      <c r="N1795" s="256" t="n"/>
      <c r="O1795" s="256" t="n"/>
      <c r="P1795" s="256" t="n"/>
      <c r="Q1795" s="256" t="n"/>
    </row>
    <row r="1796">
      <c r="A1796">
        <f>IF(DAY(D1796)=DAY($L$1+1),A1795+1,A1795)</f>
        <v/>
      </c>
      <c r="B1796" s="46">
        <f>IF(DAY(D1796)=DAY($L$1+1),1,B1795+1)</f>
        <v/>
      </c>
      <c r="C1796" s="46">
        <f>IF(DAY(D1796)=DAY($L$1+1),1,C1795+1)</f>
        <v/>
      </c>
      <c r="D1796" s="2">
        <f>D1795+1</f>
        <v/>
      </c>
      <c r="E1796" s="8">
        <f>IF(DAY(D1796)=DAY($L$1+1),TRUNC((#REF!),8),E1795)</f>
        <v/>
      </c>
      <c r="F1796" s="49">
        <f>TRUNC(((1+VLOOKUP(A1796,IPCA!$A$2:$C$140,3,0)))^(C1796/(EDATE(D1796-C1796,1)-(D1796-C1796))),8)</f>
        <v/>
      </c>
      <c r="G1796" s="49">
        <f>TRUNC((E1796*F1796),8)</f>
        <v/>
      </c>
      <c r="H1796" s="49">
        <f>ROUND(((1+$H$4)^(30/360))^(C1796/(EDATE(D1796-B1796,1)-(D1796-B1796))),9)</f>
        <v/>
      </c>
      <c r="I1796" s="49">
        <f>TRUNC((G1796*H1796-G1796),8)</f>
        <v/>
      </c>
      <c r="J1796" s="49">
        <f>G1796+I1796</f>
        <v/>
      </c>
      <c r="K1796" s="256" t="n"/>
      <c r="L1796" s="256" t="n"/>
      <c r="M1796" s="256" t="n"/>
      <c r="N1796" s="256" t="n"/>
      <c r="O1796" s="256" t="n"/>
      <c r="P1796" s="256" t="n"/>
      <c r="Q1796" s="256" t="n"/>
    </row>
    <row r="1797">
      <c r="A1797">
        <f>IF(DAY(D1797)=DAY($L$1+1),A1796+1,A1796)</f>
        <v/>
      </c>
      <c r="B1797" s="46">
        <f>IF(DAY(D1797)=DAY($L$1+1),1,B1796+1)</f>
        <v/>
      </c>
      <c r="C1797" s="46">
        <f>IF(DAY(D1797)=DAY($L$1+1),1,C1796+1)</f>
        <v/>
      </c>
      <c r="D1797" s="2">
        <f>D1796+1</f>
        <v/>
      </c>
      <c r="E1797" s="8">
        <f>IF(DAY(D1797)=DAY($L$1+1),TRUNC((#REF!),8),E1796)</f>
        <v/>
      </c>
      <c r="F1797" s="49">
        <f>TRUNC(((1+VLOOKUP(A1797,IPCA!$A$2:$C$140,3,0)))^(C1797/(EDATE(D1797-C1797,1)-(D1797-C1797))),8)</f>
        <v/>
      </c>
      <c r="G1797" s="49">
        <f>TRUNC((E1797*F1797),8)</f>
        <v/>
      </c>
      <c r="H1797" s="49">
        <f>ROUND(((1+$H$4)^(30/360))^(C1797/(EDATE(D1797-B1797,1)-(D1797-B1797))),9)</f>
        <v/>
      </c>
      <c r="I1797" s="49">
        <f>TRUNC((G1797*H1797-G1797),8)</f>
        <v/>
      </c>
      <c r="J1797" s="49">
        <f>G1797+I1797</f>
        <v/>
      </c>
      <c r="K1797" s="256" t="n"/>
      <c r="L1797" s="256" t="n"/>
      <c r="M1797" s="256" t="n"/>
      <c r="N1797" s="256" t="n"/>
      <c r="O1797" s="256" t="n"/>
      <c r="P1797" s="256" t="n"/>
      <c r="Q1797" s="256" t="n"/>
    </row>
    <row r="1798">
      <c r="A1798">
        <f>IF(DAY(D1798)=DAY($L$1+1),A1797+1,A1797)</f>
        <v/>
      </c>
      <c r="B1798" s="46">
        <f>IF(DAY(D1798)=DAY($L$1+1),1,B1797+1)</f>
        <v/>
      </c>
      <c r="C1798" s="46">
        <f>IF(DAY(D1798)=DAY($L$1+1),1,C1797+1)</f>
        <v/>
      </c>
      <c r="D1798" s="2">
        <f>D1797+1</f>
        <v/>
      </c>
      <c r="E1798" s="8">
        <f>IF(DAY(D1798)=DAY($L$1+1),TRUNC((#REF!),8),E1797)</f>
        <v/>
      </c>
      <c r="F1798" s="49">
        <f>TRUNC(((1+VLOOKUP(A1798,IPCA!$A$2:$C$140,3,0)))^(C1798/(EDATE(D1798-C1798,1)-(D1798-C1798))),8)</f>
        <v/>
      </c>
      <c r="G1798" s="49">
        <f>TRUNC((E1798*F1798),8)</f>
        <v/>
      </c>
      <c r="H1798" s="49">
        <f>ROUND(((1+$H$4)^(30/360))^(C1798/(EDATE(D1798-B1798,1)-(D1798-B1798))),9)</f>
        <v/>
      </c>
      <c r="I1798" s="49">
        <f>TRUNC((G1798*H1798-G1798),8)</f>
        <v/>
      </c>
      <c r="J1798" s="49">
        <f>G1798+I1798</f>
        <v/>
      </c>
      <c r="K1798" s="256" t="n"/>
      <c r="L1798" s="256" t="n"/>
      <c r="M1798" s="256" t="n"/>
      <c r="N1798" s="256" t="n"/>
      <c r="O1798" s="256" t="n"/>
      <c r="P1798" s="256" t="n"/>
      <c r="Q1798" s="256" t="n"/>
    </row>
    <row r="1799">
      <c r="A1799">
        <f>IF(DAY(D1799)=DAY($L$1+1),A1798+1,A1798)</f>
        <v/>
      </c>
      <c r="B1799" s="46">
        <f>IF(DAY(D1799)=DAY($L$1+1),1,B1798+1)</f>
        <v/>
      </c>
      <c r="C1799" s="46">
        <f>IF(DAY(D1799)=DAY($L$1+1),1,C1798+1)</f>
        <v/>
      </c>
      <c r="D1799" s="2">
        <f>D1798+1</f>
        <v/>
      </c>
      <c r="E1799" s="8">
        <f>IF(DAY(D1799)=DAY($L$1+1),TRUNC((#REF!),8),E1798)</f>
        <v/>
      </c>
      <c r="F1799" s="49">
        <f>TRUNC(((1+VLOOKUP(A1799,IPCA!$A$2:$C$140,3,0)))^(C1799/(EDATE(D1799-C1799,1)-(D1799-C1799))),8)</f>
        <v/>
      </c>
      <c r="G1799" s="49">
        <f>TRUNC((E1799*F1799),8)</f>
        <v/>
      </c>
      <c r="H1799" s="49">
        <f>ROUND(((1+$H$4)^(30/360))^(C1799/(EDATE(D1799-B1799,1)-(D1799-B1799))),9)</f>
        <v/>
      </c>
      <c r="I1799" s="49">
        <f>TRUNC((G1799*H1799-G1799),8)</f>
        <v/>
      </c>
      <c r="J1799" s="49">
        <f>G1799+I1799</f>
        <v/>
      </c>
      <c r="K1799" s="256" t="n"/>
      <c r="L1799" s="256" t="n"/>
      <c r="M1799" s="256" t="n"/>
      <c r="N1799" s="256" t="n"/>
      <c r="O1799" s="256" t="n"/>
      <c r="P1799" s="256" t="n"/>
      <c r="Q1799" s="256" t="n"/>
    </row>
    <row r="1800">
      <c r="A1800">
        <f>IF(DAY(D1800)=DAY($L$1+1),A1799+1,A1799)</f>
        <v/>
      </c>
      <c r="B1800" s="46">
        <f>IF(DAY(D1800)=DAY($L$1+1),1,B1799+1)</f>
        <v/>
      </c>
      <c r="C1800" s="46">
        <f>IF(DAY(D1800)=DAY($L$1+1),1,C1799+1)</f>
        <v/>
      </c>
      <c r="D1800" s="2">
        <f>D1799+1</f>
        <v/>
      </c>
      <c r="E1800" s="8">
        <f>IF(DAY(D1800)=DAY($L$1+1),TRUNC((#REF!),8),E1799)</f>
        <v/>
      </c>
      <c r="F1800" s="49">
        <f>TRUNC(((1+VLOOKUP(A1800,IPCA!$A$2:$C$140,3,0)))^(C1800/(EDATE(D1800-C1800,1)-(D1800-C1800))),8)</f>
        <v/>
      </c>
      <c r="G1800" s="49">
        <f>TRUNC((E1800*F1800),8)</f>
        <v/>
      </c>
      <c r="H1800" s="49">
        <f>ROUND(((1+$H$4)^(30/360))^(C1800/(EDATE(D1800-B1800,1)-(D1800-B1800))),9)</f>
        <v/>
      </c>
      <c r="I1800" s="49">
        <f>TRUNC((G1800*H1800-G1800),8)</f>
        <v/>
      </c>
      <c r="J1800" s="49">
        <f>G1800+I1800</f>
        <v/>
      </c>
      <c r="K1800" s="123" t="n"/>
      <c r="L1800" s="271" t="n"/>
      <c r="M1800" s="256" t="n"/>
      <c r="N1800" s="256" t="n"/>
      <c r="O1800" s="256" t="n"/>
      <c r="P1800" s="256" t="n"/>
      <c r="Q1800" s="256" t="n"/>
    </row>
    <row r="1801">
      <c r="A1801">
        <f>IF(DAY(D1801)=DAY($L$1+1),A1800+1,A1800)</f>
        <v/>
      </c>
      <c r="B1801" s="46">
        <f>IF(DAY(D1801)=DAY($L$1+1),1,B1800+1)</f>
        <v/>
      </c>
      <c r="C1801" s="46">
        <f>IF(DAY(D1801)=DAY($L$1+1),1,C1800+1)</f>
        <v/>
      </c>
      <c r="D1801" s="2">
        <f>D1800+1</f>
        <v/>
      </c>
      <c r="E1801" s="8">
        <f>IF(DAY(D1801)=DAY($L$1+1),TRUNC((N1800),8),E1800)</f>
        <v/>
      </c>
      <c r="F1801" s="49">
        <f>TRUNC(((1+VLOOKUP(A1801,IPCA!$A$2:$C$140,3,0)))^(C1801/(EDATE(D1801-C1801,1)-(D1801-C1801))),8)</f>
        <v/>
      </c>
      <c r="G1801" s="49">
        <f>TRUNC((E1801*F1801),8)</f>
        <v/>
      </c>
      <c r="H1801" s="49">
        <f>ROUND(((1+$H$4)^(30/360))^(C1801/(EDATE(D1801-B1801,1)-(D1801-B1801))),9)</f>
        <v/>
      </c>
      <c r="I1801" s="49">
        <f>TRUNC((G1801*H1801-G1801),8)</f>
        <v/>
      </c>
      <c r="J1801" s="49">
        <f>G1801+I1801</f>
        <v/>
      </c>
      <c r="K1801" s="256" t="n"/>
      <c r="L1801" s="256" t="n"/>
      <c r="M1801" s="256" t="n"/>
      <c r="N1801" s="256" t="n"/>
      <c r="O1801" s="256" t="n"/>
      <c r="P1801" s="256" t="n"/>
      <c r="Q1801" s="256" t="n"/>
    </row>
    <row r="1802">
      <c r="A1802">
        <f>IF(DAY(D1802)=DAY($L$1+1),A1801+1,A1801)</f>
        <v/>
      </c>
      <c r="B1802" s="46">
        <f>IF(DAY(D1802)=DAY($L$1+1),1,B1801+1)</f>
        <v/>
      </c>
      <c r="C1802" s="46">
        <f>IF(DAY(D1802)=DAY($L$1+1),1,C1801+1)</f>
        <v/>
      </c>
      <c r="D1802" s="2">
        <f>D1801+1</f>
        <v/>
      </c>
      <c r="E1802" s="8">
        <f>IF(DAY(D1802)=DAY($L$1+1),TRUNC((N1801),8),E1801)</f>
        <v/>
      </c>
      <c r="F1802" s="49">
        <f>TRUNC(((1+VLOOKUP(A1802,IPCA!$A$2:$C$140,3,0)))^(C1802/(EDATE(D1802-C1802,1)-(D1802-C1802))),8)</f>
        <v/>
      </c>
      <c r="G1802" s="49">
        <f>TRUNC((E1802*F1802),8)</f>
        <v/>
      </c>
      <c r="H1802" s="49">
        <f>ROUND(((1+$H$4)^(30/360))^(C1802/(EDATE(D1802-B1802,1)-(D1802-B1802))),9)</f>
        <v/>
      </c>
      <c r="I1802" s="49">
        <f>TRUNC((G1802*H1802-G1802),8)</f>
        <v/>
      </c>
      <c r="J1802" s="49">
        <f>G1802+I1802</f>
        <v/>
      </c>
      <c r="K1802" s="256" t="n"/>
      <c r="L1802" s="256" t="n"/>
      <c r="M1802" s="256" t="n"/>
      <c r="N1802" s="256" t="n"/>
      <c r="O1802" s="256" t="n"/>
      <c r="P1802" s="256" t="n"/>
      <c r="Q1802" s="256" t="n"/>
    </row>
    <row r="1803">
      <c r="A1803">
        <f>IF(DAY(D1803)=DAY($L$1+1),A1802+1,A1802)</f>
        <v/>
      </c>
      <c r="B1803" s="46">
        <f>IF(DAY(D1803)=DAY($L$1+1),1,B1802+1)</f>
        <v/>
      </c>
      <c r="C1803" s="46">
        <f>IF(DAY(D1803)=DAY($L$1+1),1,C1802+1)</f>
        <v/>
      </c>
      <c r="D1803" s="2">
        <f>D1802+1</f>
        <v/>
      </c>
      <c r="E1803" s="8">
        <f>IF(DAY(D1803)=DAY($L$1+1),TRUNC((N1802),8),E1802)</f>
        <v/>
      </c>
      <c r="F1803" s="49">
        <f>TRUNC(((1+VLOOKUP(A1803,IPCA!$A$2:$C$140,3,0)))^(C1803/(EDATE(D1803-C1803,1)-(D1803-C1803))),8)</f>
        <v/>
      </c>
      <c r="G1803" s="49">
        <f>TRUNC((E1803*F1803),8)</f>
        <v/>
      </c>
      <c r="H1803" s="49">
        <f>ROUND(((1+$H$4)^(30/360))^(C1803/(EDATE(D1803-B1803,1)-(D1803-B1803))),9)</f>
        <v/>
      </c>
      <c r="I1803" s="49">
        <f>TRUNC((G1803*H1803-G1803),8)</f>
        <v/>
      </c>
      <c r="J1803" s="49">
        <f>G1803+I1803</f>
        <v/>
      </c>
      <c r="K1803" s="256" t="n"/>
      <c r="L1803" s="256" t="n"/>
      <c r="M1803" s="256" t="n"/>
      <c r="N1803" s="256" t="n"/>
      <c r="O1803" s="256" t="n"/>
      <c r="P1803" s="256" t="n"/>
      <c r="Q1803" s="256" t="n"/>
    </row>
    <row r="1804">
      <c r="A1804">
        <f>IF(DAY(D1804)=DAY($L$1+1),A1803+1,A1803)</f>
        <v/>
      </c>
      <c r="B1804" s="46">
        <f>IF(DAY(D1804)=DAY($L$1+1),1,B1803+1)</f>
        <v/>
      </c>
      <c r="C1804" s="46">
        <f>IF(DAY(D1804)=DAY($L$1+1),1,C1803+1)</f>
        <v/>
      </c>
      <c r="D1804" s="2">
        <f>D1803+1</f>
        <v/>
      </c>
      <c r="E1804" s="8">
        <f>IF(DAY(D1804)=DAY($L$1+1),TRUNC((N1803),8),E1803)</f>
        <v/>
      </c>
      <c r="F1804" s="49">
        <f>TRUNC(((1+VLOOKUP(A1804,IPCA!$A$2:$C$140,3,0)))^(C1804/(EDATE(D1804-C1804,1)-(D1804-C1804))),8)</f>
        <v/>
      </c>
      <c r="G1804" s="49">
        <f>TRUNC((E1804*F1804),8)</f>
        <v/>
      </c>
      <c r="H1804" s="49">
        <f>ROUND(((1+$H$4)^(30/360))^(C1804/(EDATE(D1804-B1804,1)-(D1804-B1804))),9)</f>
        <v/>
      </c>
      <c r="I1804" s="49">
        <f>TRUNC((G1804*H1804-G1804),8)</f>
        <v/>
      </c>
      <c r="J1804" s="49">
        <f>G1804+I1804</f>
        <v/>
      </c>
      <c r="K1804" s="256" t="n"/>
      <c r="L1804" s="256" t="n"/>
      <c r="M1804" s="256" t="n"/>
      <c r="N1804" s="256" t="n"/>
      <c r="O1804" s="256" t="n"/>
      <c r="P1804" s="256" t="n"/>
      <c r="Q1804" s="256" t="n"/>
    </row>
    <row r="1805">
      <c r="A1805">
        <f>IF(DAY(D1805)=DAY($L$1+1),A1804+1,A1804)</f>
        <v/>
      </c>
      <c r="B1805" s="46">
        <f>IF(DAY(D1805)=DAY($L$1+1),1,B1804+1)</f>
        <v/>
      </c>
      <c r="C1805" s="46">
        <f>IF(DAY(D1805)=DAY($L$1+1),1,C1804+1)</f>
        <v/>
      </c>
      <c r="D1805" s="2">
        <f>D1804+1</f>
        <v/>
      </c>
      <c r="E1805" s="8">
        <f>IF(DAY(D1805)=DAY($L$1+1),TRUNC((N1804),8),E1804)</f>
        <v/>
      </c>
      <c r="F1805" s="49">
        <f>TRUNC(((1+VLOOKUP(A1805,IPCA!$A$2:$C$140,3,0)))^(C1805/(EDATE(D1805-C1805,1)-(D1805-C1805))),8)</f>
        <v/>
      </c>
      <c r="G1805" s="49">
        <f>TRUNC((E1805*F1805),8)</f>
        <v/>
      </c>
      <c r="H1805" s="49">
        <f>ROUND(((1+$H$4)^(30/360))^(C1805/(EDATE(D1805-B1805,1)-(D1805-B1805))),9)</f>
        <v/>
      </c>
      <c r="I1805" s="49">
        <f>TRUNC((G1805*H1805-G1805),8)</f>
        <v/>
      </c>
      <c r="J1805" s="49">
        <f>G1805+I1805</f>
        <v/>
      </c>
      <c r="K1805" s="256" t="n"/>
      <c r="L1805" s="256" t="n"/>
      <c r="M1805" s="256" t="n"/>
      <c r="N1805" s="256" t="n"/>
      <c r="O1805" s="256" t="n"/>
      <c r="P1805" s="256" t="n"/>
      <c r="Q1805" s="256" t="n"/>
    </row>
    <row r="1806">
      <c r="A1806">
        <f>IF(DAY(D1806)=DAY($L$1+1),A1805+1,A1805)</f>
        <v/>
      </c>
      <c r="B1806" s="46">
        <f>IF(DAY(D1806)=DAY($L$1+1),1,B1805+1)</f>
        <v/>
      </c>
      <c r="C1806" s="46">
        <f>IF(DAY(D1806)=DAY($L$1+1),1,C1805+1)</f>
        <v/>
      </c>
      <c r="D1806" s="2">
        <f>D1805+1</f>
        <v/>
      </c>
      <c r="E1806" s="8">
        <f>IF(DAY(D1806)=DAY($L$1+1),TRUNC((N1805),8),E1805)</f>
        <v/>
      </c>
      <c r="F1806" s="49">
        <f>TRUNC(((1+VLOOKUP(A1806,IPCA!$A$2:$C$140,3,0)))^(C1806/(EDATE(D1806-C1806,1)-(D1806-C1806))),8)</f>
        <v/>
      </c>
      <c r="G1806" s="49">
        <f>TRUNC((E1806*F1806),8)</f>
        <v/>
      </c>
      <c r="H1806" s="49">
        <f>ROUND(((1+$H$4)^(30/360))^(C1806/(EDATE(D1806-B1806,1)-(D1806-B1806))),9)</f>
        <v/>
      </c>
      <c r="I1806" s="49">
        <f>TRUNC((G1806*H1806-G1806),8)</f>
        <v/>
      </c>
      <c r="J1806" s="49">
        <f>G1806+I1806</f>
        <v/>
      </c>
      <c r="K1806" s="256" t="n"/>
      <c r="L1806" s="256" t="n"/>
      <c r="M1806" s="256" t="n"/>
      <c r="N1806" s="256" t="n"/>
      <c r="O1806" s="256" t="n"/>
      <c r="P1806" s="256" t="n"/>
      <c r="Q1806" s="256" t="n"/>
    </row>
    <row r="1807">
      <c r="A1807">
        <f>IF(DAY(D1807)=DAY($L$1+1),A1806+1,A1806)</f>
        <v/>
      </c>
      <c r="B1807" s="46">
        <f>IF(DAY(D1807)=DAY($L$1+1),1,B1806+1)</f>
        <v/>
      </c>
      <c r="C1807" s="46">
        <f>IF(DAY(D1807)=DAY($L$1+1),1,C1806+1)</f>
        <v/>
      </c>
      <c r="D1807" s="2">
        <f>D1806+1</f>
        <v/>
      </c>
      <c r="E1807" s="8">
        <f>IF(DAY(D1807)=DAY($L$1+1),TRUNC((N1806),8),E1806)</f>
        <v/>
      </c>
      <c r="F1807" s="49">
        <f>TRUNC(((1+VLOOKUP(A1807,IPCA!$A$2:$C$140,3,0)))^(C1807/(EDATE(D1807-C1807,1)-(D1807-C1807))),8)</f>
        <v/>
      </c>
      <c r="G1807" s="49">
        <f>TRUNC((E1807*F1807),8)</f>
        <v/>
      </c>
      <c r="H1807" s="49">
        <f>ROUND(((1+$H$4)^(30/360))^(C1807/(EDATE(D1807-B1807,1)-(D1807-B1807))),9)</f>
        <v/>
      </c>
      <c r="I1807" s="49">
        <f>TRUNC((G1807*H1807-G1807),8)</f>
        <v/>
      </c>
      <c r="J1807" s="49">
        <f>G1807+I1807</f>
        <v/>
      </c>
      <c r="K1807" s="256" t="n"/>
      <c r="L1807" s="256" t="n"/>
      <c r="M1807" s="256" t="n"/>
      <c r="N1807" s="256" t="n"/>
      <c r="O1807" s="256" t="n"/>
      <c r="P1807" s="256" t="n"/>
      <c r="Q1807" s="256" t="n"/>
    </row>
    <row r="1808">
      <c r="A1808">
        <f>IF(DAY(D1808)=DAY($L$1+1),A1807+1,A1807)</f>
        <v/>
      </c>
      <c r="B1808" s="46">
        <f>IF(DAY(D1808)=DAY($L$1+1),1,B1807+1)</f>
        <v/>
      </c>
      <c r="C1808" s="46">
        <f>IF(DAY(D1808)=DAY($L$1+1),1,C1807+1)</f>
        <v/>
      </c>
      <c r="D1808" s="2">
        <f>D1807+1</f>
        <v/>
      </c>
      <c r="E1808" s="8">
        <f>IF(DAY(D1808)=DAY($L$1+1),TRUNC((N1807),8),E1807)</f>
        <v/>
      </c>
      <c r="F1808" s="49">
        <f>TRUNC(((1+VLOOKUP(A1808,IPCA!$A$2:$C$140,3,0)))^(C1808/(EDATE(D1808-C1808,1)-(D1808-C1808))),8)</f>
        <v/>
      </c>
      <c r="G1808" s="49">
        <f>TRUNC((E1808*F1808),8)</f>
        <v/>
      </c>
      <c r="H1808" s="49">
        <f>ROUND(((1+$H$4)^(30/360))^(C1808/(EDATE(D1808-B1808,1)-(D1808-B1808))),9)</f>
        <v/>
      </c>
      <c r="I1808" s="49">
        <f>TRUNC((G1808*H1808-G1808),8)</f>
        <v/>
      </c>
      <c r="J1808" s="49">
        <f>G1808+I1808</f>
        <v/>
      </c>
      <c r="K1808" s="256" t="n"/>
      <c r="L1808" s="256" t="n"/>
      <c r="M1808" s="256" t="n"/>
      <c r="N1808" s="256" t="n"/>
      <c r="O1808" s="256" t="n"/>
      <c r="P1808" s="256" t="n"/>
      <c r="Q1808" s="256" t="n"/>
    </row>
    <row r="1809">
      <c r="A1809">
        <f>IF(DAY(D1809)=DAY($L$1+1),A1808+1,A1808)</f>
        <v/>
      </c>
      <c r="B1809" s="46">
        <f>IF(DAY(D1809)=DAY($L$1+1),1,B1808+1)</f>
        <v/>
      </c>
      <c r="C1809" s="46">
        <f>IF(DAY(D1809)=DAY($L$1+1),1,C1808+1)</f>
        <v/>
      </c>
      <c r="D1809" s="2">
        <f>D1808+1</f>
        <v/>
      </c>
      <c r="E1809" s="8">
        <f>IF(DAY(D1809)=DAY($L$1+1),TRUNC((N1808),8),E1808)</f>
        <v/>
      </c>
      <c r="F1809" s="49">
        <f>TRUNC(((1+VLOOKUP(A1809,IPCA!$A$2:$C$140,3,0)))^(C1809/(EDATE(D1809-C1809,1)-(D1809-C1809))),8)</f>
        <v/>
      </c>
      <c r="G1809" s="49">
        <f>TRUNC((E1809*F1809),8)</f>
        <v/>
      </c>
      <c r="H1809" s="49">
        <f>ROUND(((1+$H$4)^(30/360))^(C1809/(EDATE(D1809-B1809,1)-(D1809-B1809))),9)</f>
        <v/>
      </c>
      <c r="I1809" s="49">
        <f>TRUNC((G1809*H1809-G1809),8)</f>
        <v/>
      </c>
      <c r="J1809" s="49">
        <f>G1809+I1809</f>
        <v/>
      </c>
      <c r="K1809" s="256" t="n"/>
      <c r="L1809" s="256" t="n"/>
      <c r="M1809" s="256" t="n"/>
      <c r="N1809" s="256" t="n"/>
      <c r="O1809" s="256" t="n"/>
      <c r="P1809" s="256" t="n"/>
      <c r="Q1809" s="256" t="n"/>
    </row>
    <row r="1810">
      <c r="A1810">
        <f>IF(DAY(D1810)=DAY($L$1+1),A1809+1,A1809)</f>
        <v/>
      </c>
      <c r="B1810" s="46">
        <f>IF(DAY(D1810)=DAY($L$1+1),1,B1809+1)</f>
        <v/>
      </c>
      <c r="C1810" s="46">
        <f>IF(DAY(D1810)=DAY($L$1+1),1,C1809+1)</f>
        <v/>
      </c>
      <c r="D1810" s="2">
        <f>D1809+1</f>
        <v/>
      </c>
      <c r="E1810" s="8">
        <f>IF(DAY(D1810)=DAY($L$1+1),TRUNC((N1809),8),E1809)</f>
        <v/>
      </c>
      <c r="F1810" s="49">
        <f>TRUNC(((1+VLOOKUP(A1810,IPCA!$A$2:$C$140,3,0)))^(C1810/(EDATE(D1810-C1810,1)-(D1810-C1810))),8)</f>
        <v/>
      </c>
      <c r="G1810" s="49">
        <f>TRUNC((E1810*F1810),8)</f>
        <v/>
      </c>
      <c r="H1810" s="49">
        <f>ROUND(((1+$H$4)^(30/360))^(C1810/(EDATE(D1810-B1810,1)-(D1810-B1810))),9)</f>
        <v/>
      </c>
      <c r="I1810" s="49">
        <f>TRUNC((G1810*H1810-G1810),8)</f>
        <v/>
      </c>
      <c r="J1810" s="49">
        <f>G1810+I1810</f>
        <v/>
      </c>
      <c r="K1810" s="256" t="n"/>
      <c r="L1810" s="256" t="n"/>
      <c r="M1810" s="256" t="n"/>
      <c r="N1810" s="256" t="n"/>
      <c r="O1810" s="256" t="n"/>
      <c r="P1810" s="256" t="n"/>
      <c r="Q1810" s="256" t="n"/>
    </row>
    <row r="1811">
      <c r="A1811">
        <f>IF(DAY(D1811)=DAY($L$1+1),A1810+1,A1810)</f>
        <v/>
      </c>
      <c r="B1811" s="46">
        <f>IF(DAY(D1811)=DAY($L$1+1),1,B1810+1)</f>
        <v/>
      </c>
      <c r="C1811" s="46">
        <f>IF(DAY(D1811)=DAY($L$1+1),1,C1810+1)</f>
        <v/>
      </c>
      <c r="D1811" s="2">
        <f>D1810+1</f>
        <v/>
      </c>
      <c r="E1811" s="8">
        <f>IF(DAY(D1811)=DAY($L$1+1),TRUNC((N1810),8),E1810)</f>
        <v/>
      </c>
      <c r="F1811" s="49">
        <f>TRUNC(((1+VLOOKUP(A1811,IPCA!$A$2:$C$140,3,0)))^(C1811/(EDATE(D1811-C1811,1)-(D1811-C1811))),8)</f>
        <v/>
      </c>
      <c r="G1811" s="49">
        <f>TRUNC((E1811*F1811),8)</f>
        <v/>
      </c>
      <c r="H1811" s="49">
        <f>ROUND(((1+$H$4)^(30/360))^(C1811/(EDATE(D1811-B1811,1)-(D1811-B1811))),9)</f>
        <v/>
      </c>
      <c r="I1811" s="49">
        <f>TRUNC((G1811*H1811-G1811),8)</f>
        <v/>
      </c>
      <c r="J1811" s="49">
        <f>G1811+I1811</f>
        <v/>
      </c>
      <c r="K1811" s="256" t="n"/>
      <c r="L1811" s="256" t="n"/>
      <c r="M1811" s="256" t="n"/>
      <c r="N1811" s="256" t="n"/>
      <c r="O1811" s="256" t="n"/>
      <c r="P1811" s="256" t="n"/>
      <c r="Q1811" s="256" t="n"/>
    </row>
    <row r="1812">
      <c r="A1812">
        <f>IF(DAY(D1812)=DAY($L$1+1),A1811+1,A1811)</f>
        <v/>
      </c>
      <c r="B1812" s="46">
        <f>IF(DAY(D1812)=DAY($L$1+1),1,B1811+1)</f>
        <v/>
      </c>
      <c r="C1812" s="46">
        <f>IF(DAY(D1812)=DAY($L$1+1),1,C1811+1)</f>
        <v/>
      </c>
      <c r="D1812" s="2">
        <f>D1811+1</f>
        <v/>
      </c>
      <c r="E1812" s="8">
        <f>IF(DAY(D1812)=DAY($L$1+1),TRUNC((N1811),8),E1811)</f>
        <v/>
      </c>
      <c r="F1812" s="49">
        <f>TRUNC(((1+VLOOKUP(A1812,IPCA!$A$2:$C$140,3,0)))^(C1812/(EDATE(D1812-C1812,1)-(D1812-C1812))),8)</f>
        <v/>
      </c>
      <c r="G1812" s="49">
        <f>TRUNC((E1812*F1812),8)</f>
        <v/>
      </c>
      <c r="H1812" s="49">
        <f>ROUND(((1+$H$4)^(30/360))^(C1812/(EDATE(D1812-B1812,1)-(D1812-B1812))),9)</f>
        <v/>
      </c>
      <c r="I1812" s="49">
        <f>TRUNC((G1812*H1812-G1812),8)</f>
        <v/>
      </c>
      <c r="J1812" s="49">
        <f>G1812+I1812</f>
        <v/>
      </c>
      <c r="K1812" s="256" t="n"/>
      <c r="L1812" s="256" t="n"/>
      <c r="M1812" s="256" t="n"/>
      <c r="N1812" s="256" t="n"/>
      <c r="O1812" s="256" t="n"/>
      <c r="P1812" s="256" t="n"/>
      <c r="Q1812" s="256" t="n"/>
    </row>
    <row r="1813">
      <c r="A1813">
        <f>IF(DAY(D1813)=DAY($L$1+1),A1812+1,A1812)</f>
        <v/>
      </c>
      <c r="B1813" s="46">
        <f>IF(DAY(D1813)=DAY($L$1+1),1,B1812+1)</f>
        <v/>
      </c>
      <c r="C1813" s="46">
        <f>IF(DAY(D1813)=DAY($L$1+1),1,C1812+1)</f>
        <v/>
      </c>
      <c r="D1813" s="2">
        <f>D1812+1</f>
        <v/>
      </c>
      <c r="E1813" s="8">
        <f>IF(DAY(D1813)=DAY($L$1+1),TRUNC((N1812),8),E1812)</f>
        <v/>
      </c>
      <c r="F1813" s="49">
        <f>TRUNC(((1+VLOOKUP(A1813,IPCA!$A$2:$C$140,3,0)))^(C1813/(EDATE(D1813-C1813,1)-(D1813-C1813))),8)</f>
        <v/>
      </c>
      <c r="G1813" s="49">
        <f>TRUNC((E1813*F1813),8)</f>
        <v/>
      </c>
      <c r="H1813" s="49">
        <f>ROUND(((1+$H$4)^(30/360))^(C1813/(EDATE(D1813-B1813,1)-(D1813-B1813))),9)</f>
        <v/>
      </c>
      <c r="I1813" s="49">
        <f>TRUNC((G1813*H1813-G1813),8)</f>
        <v/>
      </c>
      <c r="J1813" s="49">
        <f>G1813+I1813</f>
        <v/>
      </c>
      <c r="K1813" s="256" t="inlineStr">
        <is>
          <t>Cri Integralizado</t>
        </is>
      </c>
      <c r="L1813" s="270">
        <f>L1782</f>
        <v/>
      </c>
      <c r="M1813" s="256" t="n"/>
      <c r="N1813" s="256" t="n"/>
      <c r="O1813" s="256" t="n"/>
      <c r="P1813" s="256" t="n"/>
      <c r="Q1813" s="256" t="n"/>
    </row>
    <row r="1814">
      <c r="A1814">
        <f>IF(DAY(D1814)=DAY($L$1+1),A1813+1,A1813)</f>
        <v/>
      </c>
      <c r="B1814" s="46">
        <f>IF(DAY(D1814)=DAY($L$1+1),1,B1813+1)</f>
        <v/>
      </c>
      <c r="C1814" s="46">
        <f>IF(DAY(D1814)=DAY($L$1+1),1,C1813+1)</f>
        <v/>
      </c>
      <c r="D1814" s="47">
        <f>D1813+1</f>
        <v/>
      </c>
      <c r="E1814" s="8">
        <f>IF(DAY(D1814)=DAY($L$1+1),TRUNC((N1813),8),E1813)</f>
        <v/>
      </c>
      <c r="F1814" s="49">
        <f>TRUNC(((1+VLOOKUP(A1814,IPCA!$A$2:$C$140,3,0)))^(C1814/(EDATE(D1814-C1814,1)-(D1814-C1814))),8)</f>
        <v/>
      </c>
      <c r="G1814" s="49">
        <f>TRUNC((E1814*F1814),8)</f>
        <v/>
      </c>
      <c r="H1814" s="49">
        <f>ROUND(((1+$H$4)^(30/360))^(C1814/(EDATE(D1814-B1814,1)-(D1814-B1814))),9)</f>
        <v/>
      </c>
      <c r="I1814" s="49">
        <f>TRUNC((G1814*H1814-G1814),8)</f>
        <v/>
      </c>
      <c r="J1814" s="49">
        <f>G1814+I1814</f>
        <v/>
      </c>
      <c r="K1814" s="118" t="inlineStr">
        <is>
          <t>JUROS</t>
        </is>
      </c>
      <c r="L1814" s="118" t="inlineStr">
        <is>
          <t>AMORTIZAÇÃO</t>
        </is>
      </c>
      <c r="M1814" s="118" t="inlineStr">
        <is>
          <t>AMEX</t>
        </is>
      </c>
      <c r="N1814" s="118" t="inlineStr">
        <is>
          <t>RESIDUAL</t>
        </is>
      </c>
      <c r="O1814" s="256" t="n"/>
      <c r="P1814" s="256" t="n"/>
      <c r="Q1814" s="256" t="n"/>
    </row>
    <row r="1815">
      <c r="A1815">
        <f>IF(DAY(D1815)=DAY($L$1+1),A1814+1,A1814)</f>
        <v/>
      </c>
      <c r="B1815" s="111">
        <f>IF(DAY(D1815)=DAY($L$1+1),1,B1814+1)</f>
        <v/>
      </c>
      <c r="C1815" s="111">
        <f>IF(DAY(D1815)=DAY($L$1+1),1,C1814+1)</f>
        <v/>
      </c>
      <c r="D1815" s="112">
        <f>D1814+1</f>
        <v/>
      </c>
      <c r="E1815" s="113">
        <f>IF(DAY(D1815)=DAY($L$1+1),TRUNC((N1814),8),E1814)</f>
        <v/>
      </c>
      <c r="F1815" s="114">
        <f>TRUNC(((1+VLOOKUP(A1815,IPCA!$A$2:$C$140,3,0)))^(C1815/(EDATE(D1815-C1815,1)-(D1815-C1815))),8)</f>
        <v/>
      </c>
      <c r="G1815" s="114">
        <f>TRUNC((E1815*F1815),8)</f>
        <v/>
      </c>
      <c r="H1815" s="114">
        <f>ROUND(((1+$H$4)^(30/360))^(C1815/(EDATE(D1815-B1815,1)-(D1815-B1815))),9)</f>
        <v/>
      </c>
      <c r="I1815" s="114">
        <f>TRUNC((G1815*H1815-G1815),8)</f>
        <v/>
      </c>
      <c r="J1815" s="114">
        <f>G1815+I1815</f>
        <v/>
      </c>
      <c r="K1815" s="119">
        <f>I1815</f>
        <v/>
      </c>
      <c r="L1815" s="120">
        <f>TRUNC(G1815*VLOOKUP(D1815,'Amort TS'!$G$3:$H$140,2,0),8)</f>
        <v/>
      </c>
      <c r="M1815" s="120" t="n">
        <v>0</v>
      </c>
      <c r="N1815" s="120">
        <f>J1815-K1815-L1815-M1815</f>
        <v/>
      </c>
      <c r="O1815" s="256" t="n"/>
      <c r="P1815" s="256" t="n"/>
      <c r="Q1815" s="256" t="n"/>
    </row>
    <row r="1816">
      <c r="A1816">
        <f>IF(DAY(D1816)=DAY($L$1+1),A1815+1,A1815)</f>
        <v/>
      </c>
      <c r="B1816" s="46">
        <f>IF(DAY(D1816)=DAY($L$1+1),1,B1815+1)</f>
        <v/>
      </c>
      <c r="C1816" s="46">
        <f>IF(DAY(D1816)=DAY($L$1+1),1,C1815+1)</f>
        <v/>
      </c>
      <c r="D1816" s="2">
        <f>D1815+1</f>
        <v/>
      </c>
      <c r="E1816" s="8">
        <f>IF(DAY(D1816)=DAY($L$1+1),TRUNC((N1815),8),E1815)</f>
        <v/>
      </c>
      <c r="F1816" s="49">
        <f>TRUNC(((1+VLOOKUP(A1816,IPCA!$A$2:$C$140,3,0)))^(C1816/(EDATE(D1816-C1816,1)-(D1816-C1816))),8)</f>
        <v/>
      </c>
      <c r="G1816" s="49">
        <f>TRUNC((E1816*F1816),8)</f>
        <v/>
      </c>
      <c r="H1816" s="49">
        <f>ROUND(((1+$H$4)^(30/360))^(C1816/(EDATE(D1816-B1816,1)-(D1816-B1816))),9)</f>
        <v/>
      </c>
      <c r="I1816" s="49">
        <f>TRUNC((G1816*H1816-G1816),8)</f>
        <v/>
      </c>
      <c r="J1816" s="49">
        <f>G1816+I1816</f>
        <v/>
      </c>
      <c r="K1816" s="121">
        <f>K1815*L1813</f>
        <v/>
      </c>
      <c r="L1816" s="121">
        <f>L1815*L1813</f>
        <v/>
      </c>
      <c r="M1816" s="121">
        <f>M1815*L1813</f>
        <v/>
      </c>
      <c r="N1816" s="121">
        <f>N1815*L1813</f>
        <v/>
      </c>
      <c r="O1816" s="256" t="n"/>
      <c r="P1816" s="256" t="n"/>
      <c r="Q1816" s="256" t="n"/>
    </row>
    <row r="1817">
      <c r="A1817">
        <f>IF(DAY(D1817)=DAY($L$1+1),A1816+1,A1816)</f>
        <v/>
      </c>
      <c r="B1817" s="46">
        <f>IF(DAY(D1817)=DAY($L$1+1),1,B1816+1)</f>
        <v/>
      </c>
      <c r="C1817" s="46">
        <f>IF(DAY(D1817)=DAY($L$1+1),1,C1816+1)</f>
        <v/>
      </c>
      <c r="D1817" s="47">
        <f>D1816+1</f>
        <v/>
      </c>
      <c r="E1817" s="8">
        <f>IF(DAY(D1817)=DAY($L$1+1),TRUNC((N1816),8),E1816)</f>
        <v/>
      </c>
      <c r="F1817" s="49">
        <f>TRUNC(((1+VLOOKUP(A1817,IPCA!$A$2:$C$140,3,0)))^(C1817/(EDATE(D1817-C1817,1)-(D1817-C1817))),8)</f>
        <v/>
      </c>
      <c r="G1817" s="49">
        <f>TRUNC((E1817*F1817),8)</f>
        <v/>
      </c>
      <c r="H1817" s="49">
        <f>ROUND(((1+$H$4)^(30/360))^(C1817/(EDATE(D1817-B1817,1)-(D1817-B1817))),9)</f>
        <v/>
      </c>
      <c r="I1817" s="49">
        <f>TRUNC((G1817*H1817-G1817),8)</f>
        <v/>
      </c>
      <c r="J1817" s="49">
        <f>G1817+I1817</f>
        <v/>
      </c>
      <c r="K1817" s="256" t="n"/>
      <c r="L1817" s="256" t="n"/>
      <c r="M1817" s="256" t="n"/>
      <c r="N1817" s="256" t="n"/>
      <c r="O1817" s="256" t="n"/>
      <c r="P1817" s="256" t="n"/>
      <c r="Q1817" s="256" t="n"/>
    </row>
    <row r="1818">
      <c r="A1818">
        <f>IF(DAY(D1818)=DAY($L$1+1),A1817+1,A1817)</f>
        <v/>
      </c>
      <c r="B1818" s="46">
        <f>IF(DAY(D1818)=DAY($L$1+1),1,B1817+1)</f>
        <v/>
      </c>
      <c r="C1818" s="46">
        <f>IF(DAY(D1818)=DAY($L$1+1),1,C1817+1)</f>
        <v/>
      </c>
      <c r="D1818" s="2">
        <f>D1817+1</f>
        <v/>
      </c>
      <c r="E1818" s="8">
        <f>IF(DAY(D1818)=DAY($L$1+1),TRUNC((#REF!),8),E1817)</f>
        <v/>
      </c>
      <c r="F1818" s="49">
        <f>TRUNC(((1+VLOOKUP(A1818,IPCA!$A$2:$C$140,3,0)))^(C1818/(EDATE(D1818-C1818,1)-(D1818-C1818))),8)</f>
        <v/>
      </c>
      <c r="G1818" s="49">
        <f>TRUNC((E1818*F1818),8)</f>
        <v/>
      </c>
      <c r="H1818" s="49">
        <f>ROUND(((1+$H$4)^(30/360))^(C1818/(EDATE(D1818-B1818,1)-(D1818-B1818))),9)</f>
        <v/>
      </c>
      <c r="I1818" s="49">
        <f>TRUNC((G1818*H1818-G1818),8)</f>
        <v/>
      </c>
      <c r="J1818" s="49">
        <f>G1818+I1818</f>
        <v/>
      </c>
      <c r="K1818" s="256" t="n"/>
      <c r="L1818" s="256" t="n"/>
      <c r="M1818" s="256" t="n"/>
      <c r="N1818" s="256" t="n"/>
      <c r="O1818" s="256" t="n"/>
      <c r="P1818" s="256" t="n"/>
      <c r="Q1818" s="256" t="n"/>
    </row>
    <row r="1819">
      <c r="A1819">
        <f>IF(DAY(D1819)=DAY($L$1+1),A1818+1,A1818)</f>
        <v/>
      </c>
      <c r="B1819" s="46">
        <f>IF(DAY(D1819)=DAY($L$1+1),1,B1818+1)</f>
        <v/>
      </c>
      <c r="C1819" s="46">
        <f>IF(DAY(D1819)=DAY($L$1+1),1,C1818+1)</f>
        <v/>
      </c>
      <c r="D1819" s="2">
        <f>D1818+1</f>
        <v/>
      </c>
      <c r="E1819" s="8">
        <f>IF(DAY(D1819)=DAY($L$1+1),TRUNC((#REF!),8),E1818)</f>
        <v/>
      </c>
      <c r="F1819" s="49">
        <f>TRUNC(((1+VLOOKUP(A1819,IPCA!$A$2:$C$140,3,0)))^(C1819/(EDATE(D1819-C1819,1)-(D1819-C1819))),8)</f>
        <v/>
      </c>
      <c r="G1819" s="49">
        <f>TRUNC((E1819*F1819),8)</f>
        <v/>
      </c>
      <c r="H1819" s="49">
        <f>ROUND(((1+$H$4)^(30/360))^(C1819/(EDATE(D1819-B1819,1)-(D1819-B1819))),9)</f>
        <v/>
      </c>
      <c r="I1819" s="49">
        <f>TRUNC((G1819*H1819-G1819),8)</f>
        <v/>
      </c>
      <c r="J1819" s="49">
        <f>G1819+I1819</f>
        <v/>
      </c>
      <c r="K1819" s="256" t="n"/>
      <c r="L1819" s="256" t="n"/>
      <c r="M1819" s="256" t="n"/>
      <c r="N1819" s="256" t="n"/>
      <c r="O1819" s="256" t="n"/>
      <c r="P1819" s="256" t="n"/>
      <c r="Q1819" s="256" t="n"/>
    </row>
    <row r="1820">
      <c r="A1820">
        <f>IF(DAY(D1820)=DAY($L$1+1),A1819+1,A1819)</f>
        <v/>
      </c>
      <c r="B1820" s="46">
        <f>IF(DAY(D1820)=DAY($L$1+1),1,B1819+1)</f>
        <v/>
      </c>
      <c r="C1820" s="46">
        <f>IF(DAY(D1820)=DAY($L$1+1),1,C1819+1)</f>
        <v/>
      </c>
      <c r="D1820" s="2">
        <f>D1819+1</f>
        <v/>
      </c>
      <c r="E1820" s="8">
        <f>IF(DAY(D1820)=DAY($L$1+1),TRUNC((#REF!),8),E1819)</f>
        <v/>
      </c>
      <c r="F1820" s="49">
        <f>TRUNC(((1+VLOOKUP(A1820,IPCA!$A$2:$C$140,3,0)))^(C1820/(EDATE(D1820-C1820,1)-(D1820-C1820))),8)</f>
        <v/>
      </c>
      <c r="G1820" s="49">
        <f>TRUNC((E1820*F1820),8)</f>
        <v/>
      </c>
      <c r="H1820" s="49">
        <f>ROUND(((1+$H$4)^(30/360))^(C1820/(EDATE(D1820-B1820,1)-(D1820-B1820))),9)</f>
        <v/>
      </c>
      <c r="I1820" s="49">
        <f>TRUNC((G1820*H1820-G1820),8)</f>
        <v/>
      </c>
      <c r="J1820" s="49">
        <f>G1820+I1820</f>
        <v/>
      </c>
      <c r="K1820" s="256" t="n"/>
      <c r="L1820" s="256" t="n"/>
      <c r="M1820" s="256" t="n"/>
      <c r="N1820" s="256" t="n"/>
      <c r="O1820" s="256" t="n"/>
      <c r="P1820" s="256" t="n"/>
      <c r="Q1820" s="256" t="n"/>
    </row>
    <row r="1821">
      <c r="A1821">
        <f>IF(DAY(D1821)=DAY($L$1+1),A1820+1,A1820)</f>
        <v/>
      </c>
      <c r="B1821" s="46">
        <f>IF(DAY(D1821)=DAY($L$1+1),1,B1820+1)</f>
        <v/>
      </c>
      <c r="C1821" s="46">
        <f>IF(DAY(D1821)=DAY($L$1+1),1,C1820+1)</f>
        <v/>
      </c>
      <c r="D1821" s="2">
        <f>D1820+1</f>
        <v/>
      </c>
      <c r="E1821" s="8">
        <f>IF(DAY(D1821)=DAY($L$1+1),TRUNC((#REF!),8),E1820)</f>
        <v/>
      </c>
      <c r="F1821" s="49">
        <f>TRUNC(((1+VLOOKUP(A1821,IPCA!$A$2:$C$140,3,0)))^(C1821/(EDATE(D1821-C1821,1)-(D1821-C1821))),8)</f>
        <v/>
      </c>
      <c r="G1821" s="49">
        <f>TRUNC((E1821*F1821),8)</f>
        <v/>
      </c>
      <c r="H1821" s="49">
        <f>ROUND(((1+$H$4)^(30/360))^(C1821/(EDATE(D1821-B1821,1)-(D1821-B1821))),9)</f>
        <v/>
      </c>
      <c r="I1821" s="49">
        <f>TRUNC((G1821*H1821-G1821),8)</f>
        <v/>
      </c>
      <c r="J1821" s="49">
        <f>G1821+I1821</f>
        <v/>
      </c>
      <c r="K1821" s="256" t="n"/>
      <c r="L1821" s="256" t="n"/>
      <c r="M1821" s="256" t="n"/>
      <c r="N1821" s="256" t="n"/>
      <c r="O1821" s="256" t="n"/>
      <c r="P1821" s="256" t="n"/>
      <c r="Q1821" s="256" t="n"/>
    </row>
    <row r="1822">
      <c r="A1822">
        <f>IF(DAY(D1822)=DAY($L$1+1),A1821+1,A1821)</f>
        <v/>
      </c>
      <c r="B1822" s="46">
        <f>IF(DAY(D1822)=DAY($L$1+1),1,B1821+1)</f>
        <v/>
      </c>
      <c r="C1822" s="46">
        <f>IF(DAY(D1822)=DAY($L$1+1),1,C1821+1)</f>
        <v/>
      </c>
      <c r="D1822" s="2">
        <f>D1821+1</f>
        <v/>
      </c>
      <c r="E1822" s="8">
        <f>IF(DAY(D1822)=DAY($L$1+1),TRUNC((#REF!),8),E1821)</f>
        <v/>
      </c>
      <c r="F1822" s="49">
        <f>TRUNC(((1+VLOOKUP(A1822,IPCA!$A$2:$C$140,3,0)))^(C1822/(EDATE(D1822-C1822,1)-(D1822-C1822))),8)</f>
        <v/>
      </c>
      <c r="G1822" s="49">
        <f>TRUNC((E1822*F1822),8)</f>
        <v/>
      </c>
      <c r="H1822" s="49">
        <f>ROUND(((1+$H$4)^(30/360))^(C1822/(EDATE(D1822-B1822,1)-(D1822-B1822))),9)</f>
        <v/>
      </c>
      <c r="I1822" s="49">
        <f>TRUNC((G1822*H1822-G1822),8)</f>
        <v/>
      </c>
      <c r="J1822" s="49">
        <f>G1822+I1822</f>
        <v/>
      </c>
      <c r="K1822" s="256" t="n"/>
      <c r="L1822" s="256" t="n"/>
      <c r="M1822" s="256" t="n"/>
      <c r="N1822" s="256" t="n"/>
      <c r="O1822" s="256" t="n"/>
      <c r="P1822" s="256" t="n"/>
      <c r="Q1822" s="256" t="n"/>
    </row>
    <row r="1823">
      <c r="A1823">
        <f>IF(DAY(D1823)=DAY($L$1+1),A1822+1,A1822)</f>
        <v/>
      </c>
      <c r="B1823" s="46">
        <f>IF(DAY(D1823)=DAY($L$1+1),1,B1822+1)</f>
        <v/>
      </c>
      <c r="C1823" s="46">
        <f>IF(DAY(D1823)=DAY($L$1+1),1,C1822+1)</f>
        <v/>
      </c>
      <c r="D1823" s="2">
        <f>D1822+1</f>
        <v/>
      </c>
      <c r="E1823" s="8">
        <f>IF(DAY(D1823)=DAY($L$1+1),TRUNC((#REF!),8),E1822)</f>
        <v/>
      </c>
      <c r="F1823" s="49">
        <f>TRUNC(((1+VLOOKUP(A1823,IPCA!$A$2:$C$140,3,0)))^(C1823/(EDATE(D1823-C1823,1)-(D1823-C1823))),8)</f>
        <v/>
      </c>
      <c r="G1823" s="49">
        <f>TRUNC((E1823*F1823),8)</f>
        <v/>
      </c>
      <c r="H1823" s="49">
        <f>ROUND(((1+$H$4)^(30/360))^(C1823/(EDATE(D1823-B1823,1)-(D1823-B1823))),9)</f>
        <v/>
      </c>
      <c r="I1823" s="49">
        <f>TRUNC((G1823*H1823-G1823),8)</f>
        <v/>
      </c>
      <c r="J1823" s="49">
        <f>G1823+I1823</f>
        <v/>
      </c>
      <c r="K1823" s="256" t="n"/>
      <c r="L1823" s="256" t="n"/>
      <c r="M1823" s="256" t="n"/>
      <c r="N1823" s="256" t="n"/>
      <c r="O1823" s="256" t="n"/>
      <c r="P1823" s="256" t="n"/>
      <c r="Q1823" s="256" t="n"/>
    </row>
    <row r="1824">
      <c r="A1824">
        <f>IF(DAY(D1824)=DAY($L$1+1),A1823+1,A1823)</f>
        <v/>
      </c>
      <c r="B1824" s="46">
        <f>IF(DAY(D1824)=DAY($L$1+1),1,B1823+1)</f>
        <v/>
      </c>
      <c r="C1824" s="46">
        <f>IF(DAY(D1824)=DAY($L$1+1),1,C1823+1)</f>
        <v/>
      </c>
      <c r="D1824" s="2">
        <f>D1823+1</f>
        <v/>
      </c>
      <c r="E1824" s="8">
        <f>IF(DAY(D1824)=DAY($L$1+1),TRUNC((#REF!),8),E1823)</f>
        <v/>
      </c>
      <c r="F1824" s="49">
        <f>TRUNC(((1+VLOOKUP(A1824,IPCA!$A$2:$C$140,3,0)))^(C1824/(EDATE(D1824-C1824,1)-(D1824-C1824))),8)</f>
        <v/>
      </c>
      <c r="G1824" s="49">
        <f>TRUNC((E1824*F1824),8)</f>
        <v/>
      </c>
      <c r="H1824" s="49">
        <f>ROUND(((1+$H$4)^(30/360))^(C1824/(EDATE(D1824-B1824,1)-(D1824-B1824))),9)</f>
        <v/>
      </c>
      <c r="I1824" s="49">
        <f>TRUNC((G1824*H1824-G1824),8)</f>
        <v/>
      </c>
      <c r="J1824" s="49">
        <f>G1824+I1824</f>
        <v/>
      </c>
      <c r="K1824" s="256" t="n"/>
      <c r="L1824" s="256" t="n"/>
      <c r="M1824" s="256" t="n"/>
      <c r="N1824" s="256" t="n"/>
      <c r="O1824" s="256" t="n"/>
      <c r="P1824" s="256" t="n"/>
      <c r="Q1824" s="256" t="n"/>
    </row>
    <row r="1825">
      <c r="A1825">
        <f>IF(DAY(D1825)=DAY($L$1+1),A1824+1,A1824)</f>
        <v/>
      </c>
      <c r="B1825" s="46">
        <f>IF(DAY(D1825)=DAY($L$1+1),1,B1824+1)</f>
        <v/>
      </c>
      <c r="C1825" s="46">
        <f>IF(DAY(D1825)=DAY($L$1+1),1,C1824+1)</f>
        <v/>
      </c>
      <c r="D1825" s="2">
        <f>D1824+1</f>
        <v/>
      </c>
      <c r="E1825" s="8">
        <f>IF(DAY(D1825)=DAY($L$1+1),TRUNC((#REF!),8),E1824)</f>
        <v/>
      </c>
      <c r="F1825" s="49">
        <f>TRUNC(((1+VLOOKUP(A1825,IPCA!$A$2:$C$140,3,0)))^(C1825/(EDATE(D1825-C1825,1)-(D1825-C1825))),8)</f>
        <v/>
      </c>
      <c r="G1825" s="49">
        <f>TRUNC((E1825*F1825),8)</f>
        <v/>
      </c>
      <c r="H1825" s="49">
        <f>ROUND(((1+$H$4)^(30/360))^(C1825/(EDATE(D1825-B1825,1)-(D1825-B1825))),9)</f>
        <v/>
      </c>
      <c r="I1825" s="49">
        <f>TRUNC((G1825*H1825-G1825),8)</f>
        <v/>
      </c>
      <c r="J1825" s="49">
        <f>G1825+I1825</f>
        <v/>
      </c>
      <c r="K1825" s="256" t="n"/>
      <c r="L1825" s="256" t="n"/>
      <c r="M1825" s="256" t="n"/>
      <c r="N1825" s="256" t="n"/>
      <c r="O1825" s="256" t="n"/>
      <c r="P1825" s="256" t="n"/>
      <c r="Q1825" s="256" t="n"/>
    </row>
    <row r="1826">
      <c r="A1826">
        <f>IF(DAY(D1826)=DAY($L$1+1),A1825+1,A1825)</f>
        <v/>
      </c>
      <c r="B1826" s="46">
        <f>IF(DAY(D1826)=DAY($L$1+1),1,B1825+1)</f>
        <v/>
      </c>
      <c r="C1826" s="46">
        <f>IF(DAY(D1826)=DAY($L$1+1),1,C1825+1)</f>
        <v/>
      </c>
      <c r="D1826" s="2">
        <f>D1825+1</f>
        <v/>
      </c>
      <c r="E1826" s="8">
        <f>IF(DAY(D1826)=DAY($L$1+1),TRUNC((#REF!),8),E1825)</f>
        <v/>
      </c>
      <c r="F1826" s="49">
        <f>TRUNC(((1+VLOOKUP(A1826,IPCA!$A$2:$C$140,3,0)))^(C1826/(EDATE(D1826-C1826,1)-(D1826-C1826))),8)</f>
        <v/>
      </c>
      <c r="G1826" s="49">
        <f>TRUNC((E1826*F1826),8)</f>
        <v/>
      </c>
      <c r="H1826" s="49">
        <f>ROUND(((1+$H$4)^(30/360))^(C1826/(EDATE(D1826-B1826,1)-(D1826-B1826))),9)</f>
        <v/>
      </c>
      <c r="I1826" s="49">
        <f>TRUNC((G1826*H1826-G1826),8)</f>
        <v/>
      </c>
      <c r="J1826" s="49">
        <f>G1826+I1826</f>
        <v/>
      </c>
      <c r="K1826" s="256" t="n"/>
      <c r="L1826" s="256" t="n"/>
      <c r="M1826" s="256" t="n"/>
      <c r="N1826" s="256" t="n"/>
      <c r="O1826" s="256" t="n"/>
      <c r="P1826" s="256" t="n"/>
      <c r="Q1826" s="256" t="n"/>
    </row>
    <row r="1827">
      <c r="A1827">
        <f>IF(DAY(D1827)=DAY($L$1+1),A1826+1,A1826)</f>
        <v/>
      </c>
      <c r="B1827" s="46">
        <f>IF(DAY(D1827)=DAY($L$1+1),1,B1826+1)</f>
        <v/>
      </c>
      <c r="C1827" s="46">
        <f>IF(DAY(D1827)=DAY($L$1+1),1,C1826+1)</f>
        <v/>
      </c>
      <c r="D1827" s="2">
        <f>D1826+1</f>
        <v/>
      </c>
      <c r="E1827" s="8">
        <f>IF(DAY(D1827)=DAY($L$1+1),TRUNC((#REF!),8),E1826)</f>
        <v/>
      </c>
      <c r="F1827" s="49">
        <f>TRUNC(((1+VLOOKUP(A1827,IPCA!$A$2:$C$140,3,0)))^(C1827/(EDATE(D1827-C1827,1)-(D1827-C1827))),8)</f>
        <v/>
      </c>
      <c r="G1827" s="49">
        <f>TRUNC((E1827*F1827),8)</f>
        <v/>
      </c>
      <c r="H1827" s="49">
        <f>ROUND(((1+$H$4)^(30/360))^(C1827/(EDATE(D1827-B1827,1)-(D1827-B1827))),9)</f>
        <v/>
      </c>
      <c r="I1827" s="49">
        <f>TRUNC((G1827*H1827-G1827),8)</f>
        <v/>
      </c>
      <c r="J1827" s="49">
        <f>G1827+I1827</f>
        <v/>
      </c>
      <c r="K1827" s="256" t="n"/>
      <c r="L1827" s="256" t="n"/>
      <c r="M1827" s="256" t="n"/>
      <c r="N1827" s="256" t="n"/>
      <c r="O1827" s="256" t="n"/>
      <c r="P1827" s="256" t="n"/>
      <c r="Q1827" s="256" t="n"/>
    </row>
    <row r="1828">
      <c r="A1828">
        <f>IF(DAY(D1828)=DAY($L$1+1),A1827+1,A1827)</f>
        <v/>
      </c>
      <c r="B1828" s="46">
        <f>IF(DAY(D1828)=DAY($L$1+1),1,B1827+1)</f>
        <v/>
      </c>
      <c r="C1828" s="46">
        <f>IF(DAY(D1828)=DAY($L$1+1),1,C1827+1)</f>
        <v/>
      </c>
      <c r="D1828" s="2">
        <f>D1827+1</f>
        <v/>
      </c>
      <c r="E1828" s="8">
        <f>IF(DAY(D1828)=DAY($L$1+1),TRUNC((#REF!),8),E1827)</f>
        <v/>
      </c>
      <c r="F1828" s="49">
        <f>TRUNC(((1+VLOOKUP(A1828,IPCA!$A$2:$C$140,3,0)))^(C1828/(EDATE(D1828-C1828,1)-(D1828-C1828))),8)</f>
        <v/>
      </c>
      <c r="G1828" s="49">
        <f>TRUNC((E1828*F1828),8)</f>
        <v/>
      </c>
      <c r="H1828" s="49">
        <f>ROUND(((1+$H$4)^(30/360))^(C1828/(EDATE(D1828-B1828,1)-(D1828-B1828))),9)</f>
        <v/>
      </c>
      <c r="I1828" s="49">
        <f>TRUNC((G1828*H1828-G1828),8)</f>
        <v/>
      </c>
      <c r="J1828" s="49">
        <f>G1828+I1828</f>
        <v/>
      </c>
      <c r="K1828" s="256" t="n"/>
      <c r="L1828" s="256" t="n"/>
      <c r="M1828" s="256" t="n"/>
      <c r="N1828" s="256" t="n"/>
      <c r="O1828" s="256" t="n"/>
      <c r="P1828" s="256" t="n"/>
      <c r="Q1828" s="256" t="n"/>
    </row>
    <row r="1829">
      <c r="A1829">
        <f>IF(DAY(D1829)=DAY($L$1+1),A1828+1,A1828)</f>
        <v/>
      </c>
      <c r="B1829" s="46">
        <f>IF(DAY(D1829)=DAY($L$1+1),1,B1828+1)</f>
        <v/>
      </c>
      <c r="C1829" s="46">
        <f>IF(DAY(D1829)=DAY($L$1+1),1,C1828+1)</f>
        <v/>
      </c>
      <c r="D1829" s="2">
        <f>D1828+1</f>
        <v/>
      </c>
      <c r="E1829" s="8">
        <f>IF(DAY(D1829)=DAY($L$1+1),TRUNC((N1828),8),E1828)</f>
        <v/>
      </c>
      <c r="F1829" s="49">
        <f>TRUNC(((1+VLOOKUP(A1829,IPCA!$A$2:$C$140,3,0)))^(C1829/(EDATE(D1829-C1829,1)-(D1829-C1829))),8)</f>
        <v/>
      </c>
      <c r="G1829" s="49">
        <f>TRUNC((E1829*F1829),8)</f>
        <v/>
      </c>
      <c r="H1829" s="49">
        <f>ROUND(((1+$H$4)^(30/360))^(C1829/(EDATE(D1829-B1829,1)-(D1829-B1829))),9)</f>
        <v/>
      </c>
      <c r="I1829" s="49">
        <f>TRUNC((G1829*H1829-G1829),8)</f>
        <v/>
      </c>
      <c r="J1829" s="49">
        <f>G1829+I1829</f>
        <v/>
      </c>
      <c r="K1829" s="256" t="n"/>
      <c r="L1829" s="256" t="n"/>
      <c r="M1829" s="256" t="n"/>
      <c r="N1829" s="256" t="n"/>
      <c r="O1829" s="256" t="n"/>
      <c r="P1829" s="256" t="n"/>
      <c r="Q1829" s="256" t="n"/>
    </row>
    <row r="1830">
      <c r="A1830">
        <f>IF(DAY(D1830)=DAY($L$1+1),A1829+1,A1829)</f>
        <v/>
      </c>
      <c r="B1830" s="46">
        <f>IF(DAY(D1830)=DAY($L$1+1),1,B1829+1)</f>
        <v/>
      </c>
      <c r="C1830" s="46">
        <f>IF(DAY(D1830)=DAY($L$1+1),1,C1829+1)</f>
        <v/>
      </c>
      <c r="D1830" s="2">
        <f>D1829+1</f>
        <v/>
      </c>
      <c r="E1830" s="8">
        <f>IF(DAY(D1830)=DAY($L$1+1),TRUNC((N1829),8),E1829)</f>
        <v/>
      </c>
      <c r="F1830" s="49">
        <f>TRUNC(((1+VLOOKUP(A1830,IPCA!$A$2:$C$140,3,0)))^(C1830/(EDATE(D1830-C1830,1)-(D1830-C1830))),8)</f>
        <v/>
      </c>
      <c r="G1830" s="49">
        <f>TRUNC((E1830*F1830),8)</f>
        <v/>
      </c>
      <c r="H1830" s="49">
        <f>ROUND(((1+$H$4)^(30/360))^(C1830/(EDATE(D1830-B1830,1)-(D1830-B1830))),9)</f>
        <v/>
      </c>
      <c r="I1830" s="49">
        <f>TRUNC((G1830*H1830-G1830),8)</f>
        <v/>
      </c>
      <c r="J1830" s="49">
        <f>G1830+I1830</f>
        <v/>
      </c>
      <c r="K1830" s="123" t="n"/>
      <c r="L1830" s="271" t="n"/>
      <c r="M1830" s="256" t="n"/>
      <c r="N1830" s="256" t="n"/>
      <c r="O1830" s="256" t="n"/>
      <c r="P1830" s="256" t="n"/>
      <c r="Q1830" s="256" t="n"/>
    </row>
    <row r="1831">
      <c r="A1831">
        <f>IF(DAY(D1831)=DAY($L$1+1),A1830+1,A1830)</f>
        <v/>
      </c>
      <c r="B1831" s="46">
        <f>IF(DAY(D1831)=DAY($L$1+1),1,B1830+1)</f>
        <v/>
      </c>
      <c r="C1831" s="46">
        <f>IF(DAY(D1831)=DAY($L$1+1),1,C1830+1)</f>
        <v/>
      </c>
      <c r="D1831" s="2">
        <f>D1830+1</f>
        <v/>
      </c>
      <c r="E1831" s="8">
        <f>IF(DAY(D1831)=DAY($L$1+1),TRUNC((N1830),8),E1830)</f>
        <v/>
      </c>
      <c r="F1831" s="49">
        <f>TRUNC(((1+VLOOKUP(A1831,IPCA!$A$2:$C$140,3,0)))^(C1831/(EDATE(D1831-C1831,1)-(D1831-C1831))),8)</f>
        <v/>
      </c>
      <c r="G1831" s="49">
        <f>TRUNC((E1831*F1831),8)</f>
        <v/>
      </c>
      <c r="H1831" s="49">
        <f>ROUND(((1+$H$4)^(30/360))^(C1831/(EDATE(D1831-B1831,1)-(D1831-B1831))),9)</f>
        <v/>
      </c>
      <c r="I1831" s="49">
        <f>TRUNC((G1831*H1831-G1831),8)</f>
        <v/>
      </c>
      <c r="J1831" s="49">
        <f>G1831+I1831</f>
        <v/>
      </c>
      <c r="K1831" s="256" t="n"/>
      <c r="L1831" s="256" t="n"/>
      <c r="M1831" s="256" t="n"/>
      <c r="N1831" s="256" t="n"/>
      <c r="O1831" s="256" t="n"/>
      <c r="P1831" s="256" t="n"/>
      <c r="Q1831" s="256" t="n"/>
    </row>
    <row r="1832">
      <c r="A1832">
        <f>IF(DAY(D1832)=DAY($L$1+1),A1831+1,A1831)</f>
        <v/>
      </c>
      <c r="B1832" s="46">
        <f>IF(DAY(D1832)=DAY($L$1+1),1,B1831+1)</f>
        <v/>
      </c>
      <c r="C1832" s="46">
        <f>IF(DAY(D1832)=DAY($L$1+1),1,C1831+1)</f>
        <v/>
      </c>
      <c r="D1832" s="2">
        <f>D1831+1</f>
        <v/>
      </c>
      <c r="E1832" s="8">
        <f>IF(DAY(D1832)=DAY($L$1+1),TRUNC((N1831),8),E1831)</f>
        <v/>
      </c>
      <c r="F1832" s="49">
        <f>TRUNC(((1+VLOOKUP(A1832,IPCA!$A$2:$C$140,3,0)))^(C1832/(EDATE(D1832-C1832,1)-(D1832-C1832))),8)</f>
        <v/>
      </c>
      <c r="G1832" s="49">
        <f>TRUNC((E1832*F1832),8)</f>
        <v/>
      </c>
      <c r="H1832" s="49">
        <f>ROUND(((1+$H$4)^(30/360))^(C1832/(EDATE(D1832-B1832,1)-(D1832-B1832))),9)</f>
        <v/>
      </c>
      <c r="I1832" s="49">
        <f>TRUNC((G1832*H1832-G1832),8)</f>
        <v/>
      </c>
      <c r="J1832" s="49">
        <f>G1832+I1832</f>
        <v/>
      </c>
      <c r="K1832" s="256" t="n"/>
      <c r="L1832" s="256" t="n"/>
      <c r="M1832" s="256" t="n"/>
      <c r="N1832" s="256" t="n"/>
      <c r="O1832" s="256" t="n"/>
      <c r="P1832" s="256" t="n"/>
      <c r="Q1832" s="256" t="n"/>
    </row>
    <row r="1833">
      <c r="A1833">
        <f>IF(DAY(D1833)=DAY($L$1+1),A1832+1,A1832)</f>
        <v/>
      </c>
      <c r="B1833" s="46">
        <f>IF(DAY(D1833)=DAY($L$1+1),1,B1832+1)</f>
        <v/>
      </c>
      <c r="C1833" s="46">
        <f>IF(DAY(D1833)=DAY($L$1+1),1,C1832+1)</f>
        <v/>
      </c>
      <c r="D1833" s="2">
        <f>D1832+1</f>
        <v/>
      </c>
      <c r="E1833" s="8">
        <f>IF(DAY(D1833)=DAY($L$1+1),TRUNC((N1832),8),E1832)</f>
        <v/>
      </c>
      <c r="F1833" s="49">
        <f>TRUNC(((1+VLOOKUP(A1833,IPCA!$A$2:$C$140,3,0)))^(C1833/(EDATE(D1833-C1833,1)-(D1833-C1833))),8)</f>
        <v/>
      </c>
      <c r="G1833" s="49">
        <f>TRUNC((E1833*F1833),8)</f>
        <v/>
      </c>
      <c r="H1833" s="49">
        <f>ROUND(((1+$H$4)^(30/360))^(C1833/(EDATE(D1833-B1833,1)-(D1833-B1833))),9)</f>
        <v/>
      </c>
      <c r="I1833" s="49">
        <f>TRUNC((G1833*H1833-G1833),8)</f>
        <v/>
      </c>
      <c r="J1833" s="49">
        <f>G1833+I1833</f>
        <v/>
      </c>
      <c r="K1833" s="256" t="n"/>
      <c r="L1833" s="256" t="n"/>
      <c r="M1833" s="256" t="n"/>
      <c r="N1833" s="256" t="n"/>
      <c r="O1833" s="256" t="n"/>
      <c r="P1833" s="256" t="n"/>
      <c r="Q1833" s="256" t="n"/>
    </row>
    <row r="1834">
      <c r="A1834">
        <f>IF(DAY(D1834)=DAY($L$1+1),A1833+1,A1833)</f>
        <v/>
      </c>
      <c r="B1834" s="46">
        <f>IF(DAY(D1834)=DAY($L$1+1),1,B1833+1)</f>
        <v/>
      </c>
      <c r="C1834" s="46">
        <f>IF(DAY(D1834)=DAY($L$1+1),1,C1833+1)</f>
        <v/>
      </c>
      <c r="D1834" s="2">
        <f>D1833+1</f>
        <v/>
      </c>
      <c r="E1834" s="8">
        <f>IF(DAY(D1834)=DAY($L$1+1),TRUNC((N1833),8),E1833)</f>
        <v/>
      </c>
      <c r="F1834" s="49">
        <f>TRUNC(((1+VLOOKUP(A1834,IPCA!$A$2:$C$140,3,0)))^(C1834/(EDATE(D1834-C1834,1)-(D1834-C1834))),8)</f>
        <v/>
      </c>
      <c r="G1834" s="49">
        <f>TRUNC((E1834*F1834),8)</f>
        <v/>
      </c>
      <c r="H1834" s="49">
        <f>ROUND(((1+$H$4)^(30/360))^(C1834/(EDATE(D1834-B1834,1)-(D1834-B1834))),9)</f>
        <v/>
      </c>
      <c r="I1834" s="49">
        <f>TRUNC((G1834*H1834-G1834),8)</f>
        <v/>
      </c>
      <c r="J1834" s="49">
        <f>G1834+I1834</f>
        <v/>
      </c>
      <c r="K1834" s="256" t="n"/>
      <c r="L1834" s="256" t="n"/>
      <c r="M1834" s="256" t="n"/>
      <c r="N1834" s="256" t="n"/>
      <c r="O1834" s="256" t="n"/>
      <c r="P1834" s="256" t="n"/>
      <c r="Q1834" s="256" t="n"/>
    </row>
    <row r="1835">
      <c r="A1835">
        <f>IF(DAY(D1835)=DAY($L$1+1),A1834+1,A1834)</f>
        <v/>
      </c>
      <c r="B1835" s="46">
        <f>IF(DAY(D1835)=DAY($L$1+1),1,B1834+1)</f>
        <v/>
      </c>
      <c r="C1835" s="46">
        <f>IF(DAY(D1835)=DAY($L$1+1),1,C1834+1)</f>
        <v/>
      </c>
      <c r="D1835" s="2">
        <f>D1834+1</f>
        <v/>
      </c>
      <c r="E1835" s="8">
        <f>IF(DAY(D1835)=DAY($L$1+1),TRUNC((N1834),8),E1834)</f>
        <v/>
      </c>
      <c r="F1835" s="49">
        <f>TRUNC(((1+VLOOKUP(A1835,IPCA!$A$2:$C$140,3,0)))^(C1835/(EDATE(D1835-C1835,1)-(D1835-C1835))),8)</f>
        <v/>
      </c>
      <c r="G1835" s="49">
        <f>TRUNC((E1835*F1835),8)</f>
        <v/>
      </c>
      <c r="H1835" s="49">
        <f>ROUND(((1+$H$4)^(30/360))^(C1835/(EDATE(D1835-B1835,1)-(D1835-B1835))),9)</f>
        <v/>
      </c>
      <c r="I1835" s="49">
        <f>TRUNC((G1835*H1835-G1835),8)</f>
        <v/>
      </c>
      <c r="J1835" s="49">
        <f>G1835+I1835</f>
        <v/>
      </c>
      <c r="K1835" s="256" t="n"/>
      <c r="L1835" s="256" t="n"/>
      <c r="M1835" s="256" t="n"/>
      <c r="N1835" s="256" t="n"/>
      <c r="O1835" s="256" t="n"/>
      <c r="P1835" s="256" t="n"/>
      <c r="Q1835" s="256" t="n"/>
    </row>
    <row r="1836">
      <c r="A1836">
        <f>IF(DAY(D1836)=DAY($L$1+1),A1835+1,A1835)</f>
        <v/>
      </c>
      <c r="B1836" s="46">
        <f>IF(DAY(D1836)=DAY($L$1+1),1,B1835+1)</f>
        <v/>
      </c>
      <c r="C1836" s="46">
        <f>IF(DAY(D1836)=DAY($L$1+1),1,C1835+1)</f>
        <v/>
      </c>
      <c r="D1836" s="2">
        <f>D1835+1</f>
        <v/>
      </c>
      <c r="E1836" s="8">
        <f>IF(DAY(D1836)=DAY($L$1+1),TRUNC((N1835),8),E1835)</f>
        <v/>
      </c>
      <c r="F1836" s="49">
        <f>TRUNC(((1+VLOOKUP(A1836,IPCA!$A$2:$C$140,3,0)))^(C1836/(EDATE(D1836-C1836,1)-(D1836-C1836))),8)</f>
        <v/>
      </c>
      <c r="G1836" s="49">
        <f>TRUNC((E1836*F1836),8)</f>
        <v/>
      </c>
      <c r="H1836" s="49">
        <f>ROUND(((1+$H$4)^(30/360))^(C1836/(EDATE(D1836-B1836,1)-(D1836-B1836))),9)</f>
        <v/>
      </c>
      <c r="I1836" s="49">
        <f>TRUNC((G1836*H1836-G1836),8)</f>
        <v/>
      </c>
      <c r="J1836" s="49">
        <f>G1836+I1836</f>
        <v/>
      </c>
      <c r="K1836" s="256" t="n"/>
      <c r="L1836" s="256" t="n"/>
      <c r="M1836" s="256" t="n"/>
      <c r="N1836" s="256" t="n"/>
      <c r="O1836" s="256" t="n"/>
      <c r="P1836" s="256" t="n"/>
      <c r="Q1836" s="256" t="n"/>
    </row>
    <row r="1837">
      <c r="A1837">
        <f>IF(DAY(D1837)=DAY($L$1+1),A1836+1,A1836)</f>
        <v/>
      </c>
      <c r="B1837" s="46">
        <f>IF(DAY(D1837)=DAY($L$1+1),1,B1836+1)</f>
        <v/>
      </c>
      <c r="C1837" s="46">
        <f>IF(DAY(D1837)=DAY($L$1+1),1,C1836+1)</f>
        <v/>
      </c>
      <c r="D1837" s="2">
        <f>D1836+1</f>
        <v/>
      </c>
      <c r="E1837" s="8">
        <f>IF(DAY(D1837)=DAY($L$1+1),TRUNC((N1836),8),E1836)</f>
        <v/>
      </c>
      <c r="F1837" s="49">
        <f>TRUNC(((1+VLOOKUP(A1837,IPCA!$A$2:$C$140,3,0)))^(C1837/(EDATE(D1837-C1837,1)-(D1837-C1837))),8)</f>
        <v/>
      </c>
      <c r="G1837" s="49">
        <f>TRUNC((E1837*F1837),8)</f>
        <v/>
      </c>
      <c r="H1837" s="49">
        <f>ROUND(((1+$H$4)^(30/360))^(C1837/(EDATE(D1837-B1837,1)-(D1837-B1837))),9)</f>
        <v/>
      </c>
      <c r="I1837" s="49">
        <f>TRUNC((G1837*H1837-G1837),8)</f>
        <v/>
      </c>
      <c r="J1837" s="49">
        <f>G1837+I1837</f>
        <v/>
      </c>
      <c r="K1837" s="256" t="n"/>
      <c r="L1837" s="256" t="n"/>
      <c r="M1837" s="256" t="n"/>
      <c r="N1837" s="256" t="n"/>
      <c r="O1837" s="256" t="n"/>
      <c r="P1837" s="256" t="n"/>
      <c r="Q1837" s="256" t="n"/>
    </row>
    <row r="1838">
      <c r="A1838">
        <f>IF(DAY(D1838)=DAY($L$1+1),A1837+1,A1837)</f>
        <v/>
      </c>
      <c r="B1838" s="46">
        <f>IF(DAY(D1838)=DAY($L$1+1),1,B1837+1)</f>
        <v/>
      </c>
      <c r="C1838" s="46">
        <f>IF(DAY(D1838)=DAY($L$1+1),1,C1837+1)</f>
        <v/>
      </c>
      <c r="D1838" s="2">
        <f>D1837+1</f>
        <v/>
      </c>
      <c r="E1838" s="8">
        <f>IF(DAY(D1838)=DAY($L$1+1),TRUNC((N1837),8),E1837)</f>
        <v/>
      </c>
      <c r="F1838" s="49">
        <f>TRUNC(((1+VLOOKUP(A1838,IPCA!$A$2:$C$140,3,0)))^(C1838/(EDATE(D1838-C1838,1)-(D1838-C1838))),8)</f>
        <v/>
      </c>
      <c r="G1838" s="49">
        <f>TRUNC((E1838*F1838),8)</f>
        <v/>
      </c>
      <c r="H1838" s="49">
        <f>ROUND(((1+$H$4)^(30/360))^(C1838/(EDATE(D1838-B1838,1)-(D1838-B1838))),9)</f>
        <v/>
      </c>
      <c r="I1838" s="49">
        <f>TRUNC((G1838*H1838-G1838),8)</f>
        <v/>
      </c>
      <c r="J1838" s="49">
        <f>G1838+I1838</f>
        <v/>
      </c>
      <c r="K1838" s="256" t="n"/>
      <c r="L1838" s="256" t="n"/>
      <c r="M1838" s="256" t="n"/>
      <c r="N1838" s="256" t="n"/>
      <c r="O1838" s="256" t="n"/>
      <c r="P1838" s="256" t="n"/>
      <c r="Q1838" s="256" t="n"/>
    </row>
    <row r="1839">
      <c r="A1839">
        <f>IF(DAY(D1839)=DAY($L$1+1),A1838+1,A1838)</f>
        <v/>
      </c>
      <c r="B1839" s="46">
        <f>IF(DAY(D1839)=DAY($L$1+1),1,B1838+1)</f>
        <v/>
      </c>
      <c r="C1839" s="46">
        <f>IF(DAY(D1839)=DAY($L$1+1),1,C1838+1)</f>
        <v/>
      </c>
      <c r="D1839" s="2">
        <f>D1838+1</f>
        <v/>
      </c>
      <c r="E1839" s="8">
        <f>IF(DAY(D1839)=DAY($L$1+1),TRUNC((N1838),8),E1838)</f>
        <v/>
      </c>
      <c r="F1839" s="49">
        <f>TRUNC(((1+VLOOKUP(A1839,IPCA!$A$2:$C$140,3,0)))^(C1839/(EDATE(D1839-C1839,1)-(D1839-C1839))),8)</f>
        <v/>
      </c>
      <c r="G1839" s="49">
        <f>TRUNC((E1839*F1839),8)</f>
        <v/>
      </c>
      <c r="H1839" s="49">
        <f>ROUND(((1+$H$4)^(30/360))^(C1839/(EDATE(D1839-B1839,1)-(D1839-B1839))),9)</f>
        <v/>
      </c>
      <c r="I1839" s="49">
        <f>TRUNC((G1839*H1839-G1839),8)</f>
        <v/>
      </c>
      <c r="J1839" s="49">
        <f>G1839+I1839</f>
        <v/>
      </c>
      <c r="K1839" s="256" t="n"/>
      <c r="L1839" s="256" t="n"/>
      <c r="M1839" s="256" t="n"/>
      <c r="N1839" s="256" t="n"/>
      <c r="O1839" s="256" t="n"/>
      <c r="P1839" s="256" t="n"/>
      <c r="Q1839" s="256" t="n"/>
    </row>
    <row r="1840">
      <c r="A1840">
        <f>IF(DAY(D1840)=DAY($L$1+1),A1839+1,A1839)</f>
        <v/>
      </c>
      <c r="B1840" s="46">
        <f>IF(DAY(D1840)=DAY($L$1+1),1,B1839+1)</f>
        <v/>
      </c>
      <c r="C1840" s="46">
        <f>IF(DAY(D1840)=DAY($L$1+1),1,C1839+1)</f>
        <v/>
      </c>
      <c r="D1840" s="2">
        <f>D1839+1</f>
        <v/>
      </c>
      <c r="E1840" s="8">
        <f>IF(DAY(D1840)=DAY($L$1+1),TRUNC((N1839),8),E1839)</f>
        <v/>
      </c>
      <c r="F1840" s="49">
        <f>TRUNC(((1+VLOOKUP(A1840,IPCA!$A$2:$C$140,3,0)))^(C1840/(EDATE(D1840-C1840,1)-(D1840-C1840))),8)</f>
        <v/>
      </c>
      <c r="G1840" s="49">
        <f>TRUNC((E1840*F1840),8)</f>
        <v/>
      </c>
      <c r="H1840" s="49">
        <f>ROUND(((1+$H$4)^(30/360))^(C1840/(EDATE(D1840-B1840,1)-(D1840-B1840))),9)</f>
        <v/>
      </c>
      <c r="I1840" s="49">
        <f>TRUNC((G1840*H1840-G1840),8)</f>
        <v/>
      </c>
      <c r="J1840" s="49">
        <f>G1840+I1840</f>
        <v/>
      </c>
      <c r="K1840" s="256" t="n"/>
      <c r="L1840" s="256" t="n"/>
      <c r="M1840" s="256" t="n"/>
      <c r="N1840" s="256" t="n"/>
      <c r="O1840" s="256" t="n"/>
      <c r="P1840" s="256" t="n"/>
      <c r="Q1840" s="256" t="n"/>
    </row>
    <row r="1841">
      <c r="A1841">
        <f>IF(DAY(D1841)=DAY($L$1+1),A1840+1,A1840)</f>
        <v/>
      </c>
      <c r="B1841" s="46">
        <f>IF(DAY(D1841)=DAY($L$1+1),1,B1840+1)</f>
        <v/>
      </c>
      <c r="C1841" s="46">
        <f>IF(DAY(D1841)=DAY($L$1+1),1,C1840+1)</f>
        <v/>
      </c>
      <c r="D1841" s="2">
        <f>D1840+1</f>
        <v/>
      </c>
      <c r="E1841" s="8">
        <f>IF(DAY(D1841)=DAY($L$1+1),TRUNC((N1840),8),E1840)</f>
        <v/>
      </c>
      <c r="F1841" s="49">
        <f>TRUNC(((1+VLOOKUP(A1841,IPCA!$A$2:$C$140,3,0)))^(C1841/(EDATE(D1841-C1841,1)-(D1841-C1841))),8)</f>
        <v/>
      </c>
      <c r="G1841" s="49">
        <f>TRUNC((E1841*F1841),8)</f>
        <v/>
      </c>
      <c r="H1841" s="49">
        <f>ROUND(((1+$H$4)^(30/360))^(C1841/(EDATE(D1841-B1841,1)-(D1841-B1841))),9)</f>
        <v/>
      </c>
      <c r="I1841" s="49">
        <f>TRUNC((G1841*H1841-G1841),8)</f>
        <v/>
      </c>
      <c r="J1841" s="49">
        <f>G1841+I1841</f>
        <v/>
      </c>
      <c r="K1841" s="256" t="n"/>
      <c r="L1841" s="256" t="n"/>
      <c r="M1841" s="256" t="n"/>
      <c r="N1841" s="256" t="n"/>
      <c r="O1841" s="256" t="n"/>
      <c r="P1841" s="256" t="n"/>
      <c r="Q1841" s="256" t="n"/>
    </row>
    <row r="1842">
      <c r="A1842">
        <f>IF(DAY(D1842)=DAY($L$1+1),A1841+1,A1841)</f>
        <v/>
      </c>
      <c r="B1842" s="46">
        <f>IF(DAY(D1842)=DAY($L$1+1),1,B1841+1)</f>
        <v/>
      </c>
      <c r="C1842" s="46">
        <f>IF(DAY(D1842)=DAY($L$1+1),1,C1841+1)</f>
        <v/>
      </c>
      <c r="D1842" s="2">
        <f>D1841+1</f>
        <v/>
      </c>
      <c r="E1842" s="8">
        <f>IF(DAY(D1842)=DAY($L$1+1),TRUNC((N1841),8),E1841)</f>
        <v/>
      </c>
      <c r="F1842" s="49">
        <f>TRUNC(((1+VLOOKUP(A1842,IPCA!$A$2:$C$140,3,0)))^(C1842/(EDATE(D1842-C1842,1)-(D1842-C1842))),8)</f>
        <v/>
      </c>
      <c r="G1842" s="49">
        <f>TRUNC((E1842*F1842),8)</f>
        <v/>
      </c>
      <c r="H1842" s="49">
        <f>ROUND(((1+$H$4)^(30/360))^(C1842/(EDATE(D1842-B1842,1)-(D1842-B1842))),9)</f>
        <v/>
      </c>
      <c r="I1842" s="49">
        <f>TRUNC((G1842*H1842-G1842),8)</f>
        <v/>
      </c>
      <c r="J1842" s="49">
        <f>G1842+I1842</f>
        <v/>
      </c>
      <c r="K1842" s="256" t="n"/>
      <c r="L1842" s="256" t="n"/>
      <c r="M1842" s="256" t="n"/>
      <c r="N1842" s="256" t="n"/>
      <c r="O1842" s="256" t="n"/>
      <c r="P1842" s="256" t="n"/>
      <c r="Q1842" s="256" t="n"/>
    </row>
    <row r="1843">
      <c r="A1843">
        <f>IF(DAY(D1843)=DAY($L$1+1),A1842+1,A1842)</f>
        <v/>
      </c>
      <c r="B1843" s="46">
        <f>IF(DAY(D1843)=DAY($L$1+1),1,B1842+1)</f>
        <v/>
      </c>
      <c r="C1843" s="46">
        <f>IF(DAY(D1843)=DAY($L$1+1),1,C1842+1)</f>
        <v/>
      </c>
      <c r="D1843" s="2">
        <f>D1842+1</f>
        <v/>
      </c>
      <c r="E1843" s="8">
        <f>IF(DAY(D1843)=DAY($L$1+1),TRUNC((N1842),8),E1842)</f>
        <v/>
      </c>
      <c r="F1843" s="49">
        <f>TRUNC(((1+VLOOKUP(A1843,IPCA!$A$2:$C$140,3,0)))^(C1843/(EDATE(D1843-C1843,1)-(D1843-C1843))),8)</f>
        <v/>
      </c>
      <c r="G1843" s="49">
        <f>TRUNC((E1843*F1843),8)</f>
        <v/>
      </c>
      <c r="H1843" s="49">
        <f>ROUND(((1+$H$4)^(30/360))^(C1843/(EDATE(D1843-B1843,1)-(D1843-B1843))),9)</f>
        <v/>
      </c>
      <c r="I1843" s="49">
        <f>TRUNC((G1843*H1843-G1843),8)</f>
        <v/>
      </c>
      <c r="J1843" s="49">
        <f>G1843+I1843</f>
        <v/>
      </c>
      <c r="K1843" s="256" t="inlineStr">
        <is>
          <t>Cri Integralizado</t>
        </is>
      </c>
      <c r="L1843" s="270">
        <f>L1813</f>
        <v/>
      </c>
      <c r="M1843" s="256" t="n"/>
      <c r="N1843" s="256" t="n"/>
      <c r="O1843" s="256" t="n"/>
      <c r="P1843" s="256" t="n"/>
      <c r="Q1843" s="256" t="n"/>
    </row>
    <row r="1844">
      <c r="A1844">
        <f>IF(DAY(D1844)=DAY($L$1+1),A1843+1,A1843)</f>
        <v/>
      </c>
      <c r="B1844" s="46">
        <f>IF(DAY(D1844)=DAY($L$1+1),1,B1843+1)</f>
        <v/>
      </c>
      <c r="C1844" s="46">
        <f>IF(DAY(D1844)=DAY($L$1+1),1,C1843+1)</f>
        <v/>
      </c>
      <c r="D1844" s="47">
        <f>D1843+1</f>
        <v/>
      </c>
      <c r="E1844" s="8">
        <f>IF(DAY(D1844)=DAY($L$1+1),TRUNC((N1843),8),E1843)</f>
        <v/>
      </c>
      <c r="F1844" s="49">
        <f>TRUNC(((1+VLOOKUP(A1844,IPCA!$A$2:$C$140,3,0)))^(C1844/(EDATE(D1844-C1844,1)-(D1844-C1844))),8)</f>
        <v/>
      </c>
      <c r="G1844" s="49">
        <f>TRUNC((E1844*F1844),8)</f>
        <v/>
      </c>
      <c r="H1844" s="49">
        <f>ROUND(((1+$H$4)^(30/360))^(C1844/(EDATE(D1844-B1844,1)-(D1844-B1844))),9)</f>
        <v/>
      </c>
      <c r="I1844" s="49">
        <f>TRUNC((G1844*H1844-G1844),8)</f>
        <v/>
      </c>
      <c r="J1844" s="49">
        <f>G1844+I1844</f>
        <v/>
      </c>
      <c r="K1844" s="118" t="inlineStr">
        <is>
          <t>JUROS</t>
        </is>
      </c>
      <c r="L1844" s="118" t="inlineStr">
        <is>
          <t>AMORTIZAÇÃO</t>
        </is>
      </c>
      <c r="M1844" s="118" t="inlineStr">
        <is>
          <t>AMEX</t>
        </is>
      </c>
      <c r="N1844" s="118" t="inlineStr">
        <is>
          <t>RESIDUAL</t>
        </is>
      </c>
      <c r="O1844" s="256" t="n"/>
      <c r="P1844" s="256" t="n"/>
      <c r="Q1844" s="256" t="n"/>
    </row>
    <row r="1845">
      <c r="A1845">
        <f>IF(DAY(D1845)=DAY($L$1+1),A1844+1,A1844)</f>
        <v/>
      </c>
      <c r="B1845" s="111">
        <f>IF(DAY(D1845)=DAY($L$1+1),1,B1844+1)</f>
        <v/>
      </c>
      <c r="C1845" s="111">
        <f>IF(DAY(D1845)=DAY($L$1+1),1,C1844+1)</f>
        <v/>
      </c>
      <c r="D1845" s="112">
        <f>D1844+1</f>
        <v/>
      </c>
      <c r="E1845" s="113">
        <f>IF(DAY(D1845)=DAY($L$1+1),TRUNC((N1844),8),E1844)</f>
        <v/>
      </c>
      <c r="F1845" s="114">
        <f>TRUNC(((1+VLOOKUP(A1845,IPCA!$A$2:$C$140,3,0)))^(C1845/(EDATE(D1845-C1845,1)-(D1845-C1845))),8)</f>
        <v/>
      </c>
      <c r="G1845" s="114">
        <f>TRUNC((E1845*F1845),8)</f>
        <v/>
      </c>
      <c r="H1845" s="114">
        <f>ROUND(((1+$H$4)^(30/360))^(C1845/(EDATE(D1845-B1845,1)-(D1845-B1845))),9)</f>
        <v/>
      </c>
      <c r="I1845" s="114">
        <f>TRUNC((G1845*H1845-G1845),8)</f>
        <v/>
      </c>
      <c r="J1845" s="114">
        <f>G1845+I1845</f>
        <v/>
      </c>
      <c r="K1845" s="119">
        <f>I1845</f>
        <v/>
      </c>
      <c r="L1845" s="120">
        <f>TRUNC(G1845*VLOOKUP(D1845,'Amort TS'!$G$3:$H$140,2,0),8)</f>
        <v/>
      </c>
      <c r="M1845" s="120" t="n">
        <v>0</v>
      </c>
      <c r="N1845" s="120">
        <f>J1845-K1845-L1845-M1845</f>
        <v/>
      </c>
      <c r="O1845" s="256" t="n"/>
      <c r="P1845" s="256" t="n"/>
      <c r="Q1845" s="256" t="n"/>
    </row>
    <row r="1846">
      <c r="A1846">
        <f>IF(DAY(D1846)=DAY($L$1+1),A1845+1,A1845)</f>
        <v/>
      </c>
      <c r="B1846" s="46">
        <f>IF(DAY(D1846)=DAY($L$1+1),1,B1845+1)</f>
        <v/>
      </c>
      <c r="C1846" s="46">
        <f>IF(DAY(D1846)=DAY($L$1+1),1,C1845+1)</f>
        <v/>
      </c>
      <c r="D1846" s="2">
        <f>D1845+1</f>
        <v/>
      </c>
      <c r="E1846" s="8">
        <f>IF(DAY(D1846)=DAY($L$1+1),TRUNC((N1845),8),E1845)</f>
        <v/>
      </c>
      <c r="F1846" s="49">
        <f>TRUNC(((1+VLOOKUP(A1846,IPCA!$A$2:$C$140,3,0)))^(C1846/(EDATE(D1846-C1846,1)-(D1846-C1846))),8)</f>
        <v/>
      </c>
      <c r="G1846" s="49">
        <f>TRUNC((E1846*F1846),8)</f>
        <v/>
      </c>
      <c r="H1846" s="49">
        <f>ROUND(((1+$H$4)^(30/360))^(C1846/(EDATE(D1846-B1846,1)-(D1846-B1846))),9)</f>
        <v/>
      </c>
      <c r="I1846" s="49">
        <f>TRUNC((G1846*H1846-G1846),8)</f>
        <v/>
      </c>
      <c r="J1846" s="49">
        <f>G1846+I1846</f>
        <v/>
      </c>
      <c r="K1846" s="121">
        <f>K1845*L1843</f>
        <v/>
      </c>
      <c r="L1846" s="121">
        <f>L1845*L1843</f>
        <v/>
      </c>
      <c r="M1846" s="121">
        <f>M1845*L1843</f>
        <v/>
      </c>
      <c r="N1846" s="121">
        <f>N1845*L1843</f>
        <v/>
      </c>
      <c r="O1846" s="256" t="n"/>
      <c r="P1846" s="256" t="n"/>
      <c r="Q1846" s="256" t="n"/>
    </row>
    <row r="1847">
      <c r="A1847">
        <f>IF(DAY(D1847)=DAY($L$1+1),A1846+1,A1846)</f>
        <v/>
      </c>
      <c r="B1847" s="46">
        <f>IF(DAY(D1847)=DAY($L$1+1),1,B1846+1)</f>
        <v/>
      </c>
      <c r="C1847" s="46">
        <f>IF(DAY(D1847)=DAY($L$1+1),1,C1846+1)</f>
        <v/>
      </c>
      <c r="D1847" s="47">
        <f>D1846+1</f>
        <v/>
      </c>
      <c r="E1847" s="8">
        <f>IF(DAY(D1847)=DAY($L$1+1),TRUNC((N1846),8),E1846)</f>
        <v/>
      </c>
      <c r="F1847" s="49">
        <f>TRUNC(((1+VLOOKUP(A1847,IPCA!$A$2:$C$140,3,0)))^(C1847/(EDATE(D1847-C1847,1)-(D1847-C1847))),8)</f>
        <v/>
      </c>
      <c r="G1847" s="49">
        <f>TRUNC((E1847*F1847),8)</f>
        <v/>
      </c>
      <c r="H1847" s="49">
        <f>ROUND(((1+$H$4)^(30/360))^(C1847/(EDATE(D1847-B1847,1)-(D1847-B1847))),9)</f>
        <v/>
      </c>
      <c r="I1847" s="49">
        <f>TRUNC((G1847*H1847-G1847),8)</f>
        <v/>
      </c>
      <c r="J1847" s="49">
        <f>G1847+I1847</f>
        <v/>
      </c>
      <c r="K1847" s="256" t="n"/>
      <c r="L1847" s="256" t="n"/>
      <c r="M1847" s="256" t="n"/>
      <c r="N1847" s="256" t="n"/>
      <c r="O1847" s="256" t="n"/>
      <c r="P1847" s="256" t="n"/>
      <c r="Q1847" s="256" t="n"/>
    </row>
    <row r="1848">
      <c r="A1848">
        <f>IF(DAY(D1848)=DAY($L$1+1),A1847+1,A1847)</f>
        <v/>
      </c>
      <c r="B1848" s="46">
        <f>IF(DAY(D1848)=DAY($L$1+1),1,B1847+1)</f>
        <v/>
      </c>
      <c r="C1848" s="46">
        <f>IF(DAY(D1848)=DAY($L$1+1),1,C1847+1)</f>
        <v/>
      </c>
      <c r="D1848" s="2">
        <f>D1847+1</f>
        <v/>
      </c>
      <c r="E1848" s="8">
        <f>IF(DAY(D1848)=DAY($L$1+1),TRUNC((#REF!),8),E1847)</f>
        <v/>
      </c>
      <c r="F1848" s="49">
        <f>TRUNC(((1+VLOOKUP(A1848,IPCA!$A$2:$C$140,3,0)))^(C1848/(EDATE(D1848-C1848,1)-(D1848-C1848))),8)</f>
        <v/>
      </c>
      <c r="G1848" s="49">
        <f>TRUNC((E1848*F1848),8)</f>
        <v/>
      </c>
      <c r="H1848" s="49">
        <f>ROUND(((1+$H$4)^(30/360))^(C1848/(EDATE(D1848-B1848,1)-(D1848-B1848))),9)</f>
        <v/>
      </c>
      <c r="I1848" s="49">
        <f>TRUNC((G1848*H1848-G1848),8)</f>
        <v/>
      </c>
      <c r="J1848" s="49">
        <f>G1848+I1848</f>
        <v/>
      </c>
      <c r="K1848" s="256" t="n"/>
      <c r="L1848" s="256" t="n"/>
      <c r="M1848" s="256" t="n"/>
      <c r="N1848" s="256" t="n"/>
      <c r="O1848" s="256" t="n"/>
      <c r="P1848" s="256" t="n"/>
      <c r="Q1848" s="256" t="n"/>
    </row>
    <row r="1849">
      <c r="A1849">
        <f>IF(DAY(D1849)=DAY($L$1+1),A1848+1,A1848)</f>
        <v/>
      </c>
      <c r="B1849" s="46">
        <f>IF(DAY(D1849)=DAY($L$1+1),1,B1848+1)</f>
        <v/>
      </c>
      <c r="C1849" s="46">
        <f>IF(DAY(D1849)=DAY($L$1+1),1,C1848+1)</f>
        <v/>
      </c>
      <c r="D1849" s="2">
        <f>D1848+1</f>
        <v/>
      </c>
      <c r="E1849" s="8">
        <f>IF(DAY(D1849)=DAY($L$1+1),TRUNC((#REF!),8),E1848)</f>
        <v/>
      </c>
      <c r="F1849" s="49">
        <f>TRUNC(((1+VLOOKUP(A1849,IPCA!$A$2:$C$140,3,0)))^(C1849/(EDATE(D1849-C1849,1)-(D1849-C1849))),8)</f>
        <v/>
      </c>
      <c r="G1849" s="49">
        <f>TRUNC((E1849*F1849),8)</f>
        <v/>
      </c>
      <c r="H1849" s="49">
        <f>ROUND(((1+$H$4)^(30/360))^(C1849/(EDATE(D1849-B1849,1)-(D1849-B1849))),9)</f>
        <v/>
      </c>
      <c r="I1849" s="49">
        <f>TRUNC((G1849*H1849-G1849),8)</f>
        <v/>
      </c>
      <c r="J1849" s="49">
        <f>G1849+I1849</f>
        <v/>
      </c>
      <c r="K1849" s="256" t="n"/>
      <c r="L1849" s="256" t="n"/>
      <c r="M1849" s="256" t="n"/>
      <c r="N1849" s="256" t="n"/>
      <c r="O1849" s="256" t="n"/>
      <c r="P1849" s="256" t="n"/>
      <c r="Q1849" s="256" t="n"/>
    </row>
    <row r="1850">
      <c r="A1850">
        <f>IF(DAY(D1850)=DAY($L$1+1),A1849+1,A1849)</f>
        <v/>
      </c>
      <c r="B1850" s="46">
        <f>IF(DAY(D1850)=DAY($L$1+1),1,B1849+1)</f>
        <v/>
      </c>
      <c r="C1850" s="46">
        <f>IF(DAY(D1850)=DAY($L$1+1),1,C1849+1)</f>
        <v/>
      </c>
      <c r="D1850" s="2">
        <f>D1849+1</f>
        <v/>
      </c>
      <c r="E1850" s="8">
        <f>IF(DAY(D1850)=DAY($L$1+1),TRUNC((#REF!),8),E1849)</f>
        <v/>
      </c>
      <c r="F1850" s="49">
        <f>TRUNC(((1+VLOOKUP(A1850,IPCA!$A$2:$C$140,3,0)))^(C1850/(EDATE(D1850-C1850,1)-(D1850-C1850))),8)</f>
        <v/>
      </c>
      <c r="G1850" s="49">
        <f>TRUNC((E1850*F1850),8)</f>
        <v/>
      </c>
      <c r="H1850" s="49">
        <f>ROUND(((1+$H$4)^(30/360))^(C1850/(EDATE(D1850-B1850,1)-(D1850-B1850))),9)</f>
        <v/>
      </c>
      <c r="I1850" s="49">
        <f>TRUNC((G1850*H1850-G1850),8)</f>
        <v/>
      </c>
      <c r="J1850" s="49">
        <f>G1850+I1850</f>
        <v/>
      </c>
      <c r="K1850" s="256" t="n"/>
      <c r="L1850" s="256" t="n"/>
      <c r="M1850" s="256" t="n"/>
      <c r="N1850" s="256" t="n"/>
      <c r="O1850" s="256" t="n"/>
      <c r="P1850" s="256" t="n"/>
      <c r="Q1850" s="256" t="n"/>
    </row>
    <row r="1851">
      <c r="A1851">
        <f>IF(DAY(D1851)=DAY($L$1+1),A1850+1,A1850)</f>
        <v/>
      </c>
      <c r="B1851" s="46">
        <f>IF(DAY(D1851)=DAY($L$1+1),1,B1850+1)</f>
        <v/>
      </c>
      <c r="C1851" s="46">
        <f>IF(DAY(D1851)=DAY($L$1+1),1,C1850+1)</f>
        <v/>
      </c>
      <c r="D1851" s="2">
        <f>D1850+1</f>
        <v/>
      </c>
      <c r="E1851" s="8">
        <f>IF(DAY(D1851)=DAY($L$1+1),TRUNC((#REF!),8),E1850)</f>
        <v/>
      </c>
      <c r="F1851" s="49">
        <f>TRUNC(((1+VLOOKUP(A1851,IPCA!$A$2:$C$140,3,0)))^(C1851/(EDATE(D1851-C1851,1)-(D1851-C1851))),8)</f>
        <v/>
      </c>
      <c r="G1851" s="49">
        <f>TRUNC((E1851*F1851),8)</f>
        <v/>
      </c>
      <c r="H1851" s="49">
        <f>ROUND(((1+$H$4)^(30/360))^(C1851/(EDATE(D1851-B1851,1)-(D1851-B1851))),9)</f>
        <v/>
      </c>
      <c r="I1851" s="49">
        <f>TRUNC((G1851*H1851-G1851),8)</f>
        <v/>
      </c>
      <c r="J1851" s="49">
        <f>G1851+I1851</f>
        <v/>
      </c>
      <c r="K1851" s="256" t="n"/>
      <c r="L1851" s="256" t="n"/>
      <c r="M1851" s="256" t="n"/>
      <c r="N1851" s="256" t="n"/>
      <c r="O1851" s="256" t="n"/>
      <c r="P1851" s="256" t="n"/>
      <c r="Q1851" s="256" t="n"/>
    </row>
    <row r="1852">
      <c r="A1852">
        <f>IF(DAY(D1852)=DAY($L$1+1),A1851+1,A1851)</f>
        <v/>
      </c>
      <c r="B1852" s="46">
        <f>IF(DAY(D1852)=DAY($L$1+1),1,B1851+1)</f>
        <v/>
      </c>
      <c r="C1852" s="46">
        <f>IF(DAY(D1852)=DAY($L$1+1),1,C1851+1)</f>
        <v/>
      </c>
      <c r="D1852" s="2">
        <f>D1851+1</f>
        <v/>
      </c>
      <c r="E1852" s="8">
        <f>IF(DAY(D1852)=DAY($L$1+1),TRUNC((#REF!),8),E1851)</f>
        <v/>
      </c>
      <c r="F1852" s="49">
        <f>TRUNC(((1+VLOOKUP(A1852,IPCA!$A$2:$C$140,3,0)))^(C1852/(EDATE(D1852-C1852,1)-(D1852-C1852))),8)</f>
        <v/>
      </c>
      <c r="G1852" s="49">
        <f>TRUNC((E1852*F1852),8)</f>
        <v/>
      </c>
      <c r="H1852" s="49">
        <f>ROUND(((1+$H$4)^(30/360))^(C1852/(EDATE(D1852-B1852,1)-(D1852-B1852))),9)</f>
        <v/>
      </c>
      <c r="I1852" s="49">
        <f>TRUNC((G1852*H1852-G1852),8)</f>
        <v/>
      </c>
      <c r="J1852" s="49">
        <f>G1852+I1852</f>
        <v/>
      </c>
      <c r="K1852" s="256" t="n"/>
      <c r="L1852" s="256" t="n"/>
      <c r="M1852" s="256" t="n"/>
      <c r="N1852" s="256" t="n"/>
      <c r="O1852" s="256" t="n"/>
      <c r="P1852" s="256" t="n"/>
      <c r="Q1852" s="256" t="n"/>
    </row>
    <row r="1853">
      <c r="A1853">
        <f>IF(DAY(D1853)=DAY($L$1+1),A1852+1,A1852)</f>
        <v/>
      </c>
      <c r="B1853" s="46">
        <f>IF(DAY(D1853)=DAY($L$1+1),1,B1852+1)</f>
        <v/>
      </c>
      <c r="C1853" s="46">
        <f>IF(DAY(D1853)=DAY($L$1+1),1,C1852+1)</f>
        <v/>
      </c>
      <c r="D1853" s="2">
        <f>D1852+1</f>
        <v/>
      </c>
      <c r="E1853" s="8">
        <f>IF(DAY(D1853)=DAY($L$1+1),TRUNC((#REF!),8),E1852)</f>
        <v/>
      </c>
      <c r="F1853" s="49">
        <f>TRUNC(((1+VLOOKUP(A1853,IPCA!$A$2:$C$140,3,0)))^(C1853/(EDATE(D1853-C1853,1)-(D1853-C1853))),8)</f>
        <v/>
      </c>
      <c r="G1853" s="49">
        <f>TRUNC((E1853*F1853),8)</f>
        <v/>
      </c>
      <c r="H1853" s="49">
        <f>ROUND(((1+$H$4)^(30/360))^(C1853/(EDATE(D1853-B1853,1)-(D1853-B1853))),9)</f>
        <v/>
      </c>
      <c r="I1853" s="49">
        <f>TRUNC((G1853*H1853-G1853),8)</f>
        <v/>
      </c>
      <c r="J1853" s="49">
        <f>G1853+I1853</f>
        <v/>
      </c>
      <c r="K1853" s="256" t="n"/>
      <c r="L1853" s="256" t="n"/>
      <c r="M1853" s="256" t="n"/>
      <c r="N1853" s="256" t="n"/>
      <c r="O1853" s="256" t="n"/>
      <c r="P1853" s="256" t="n"/>
      <c r="Q1853" s="256" t="n"/>
    </row>
    <row r="1854">
      <c r="A1854">
        <f>IF(DAY(D1854)=DAY($L$1+1),A1853+1,A1853)</f>
        <v/>
      </c>
      <c r="B1854" s="46">
        <f>IF(DAY(D1854)=DAY($L$1+1),1,B1853+1)</f>
        <v/>
      </c>
      <c r="C1854" s="46">
        <f>IF(DAY(D1854)=DAY($L$1+1),1,C1853+1)</f>
        <v/>
      </c>
      <c r="D1854" s="2">
        <f>D1853+1</f>
        <v/>
      </c>
      <c r="E1854" s="8">
        <f>IF(DAY(D1854)=DAY($L$1+1),TRUNC((#REF!),8),E1853)</f>
        <v/>
      </c>
      <c r="F1854" s="49">
        <f>TRUNC(((1+VLOOKUP(A1854,IPCA!$A$2:$C$140,3,0)))^(C1854/(EDATE(D1854-C1854,1)-(D1854-C1854))),8)</f>
        <v/>
      </c>
      <c r="G1854" s="49">
        <f>TRUNC((E1854*F1854),8)</f>
        <v/>
      </c>
      <c r="H1854" s="49">
        <f>ROUND(((1+$H$4)^(30/360))^(C1854/(EDATE(D1854-B1854,1)-(D1854-B1854))),9)</f>
        <v/>
      </c>
      <c r="I1854" s="49">
        <f>TRUNC((G1854*H1854-G1854),8)</f>
        <v/>
      </c>
      <c r="J1854" s="49">
        <f>G1854+I1854</f>
        <v/>
      </c>
      <c r="K1854" s="256" t="n"/>
      <c r="L1854" s="256" t="n"/>
      <c r="M1854" s="256" t="n"/>
      <c r="N1854" s="256" t="n"/>
      <c r="O1854" s="256" t="n"/>
      <c r="P1854" s="256" t="n"/>
      <c r="Q1854" s="256" t="n"/>
    </row>
    <row r="1855">
      <c r="A1855">
        <f>IF(DAY(D1855)=DAY($L$1+1),A1854+1,A1854)</f>
        <v/>
      </c>
      <c r="B1855" s="46">
        <f>IF(DAY(D1855)=DAY($L$1+1),1,B1854+1)</f>
        <v/>
      </c>
      <c r="C1855" s="46">
        <f>IF(DAY(D1855)=DAY($L$1+1),1,C1854+1)</f>
        <v/>
      </c>
      <c r="D1855" s="2">
        <f>D1854+1</f>
        <v/>
      </c>
      <c r="E1855" s="8">
        <f>IF(DAY(D1855)=DAY($L$1+1),TRUNC((#REF!),8),E1854)</f>
        <v/>
      </c>
      <c r="F1855" s="49">
        <f>TRUNC(((1+VLOOKUP(A1855,IPCA!$A$2:$C$140,3,0)))^(C1855/(EDATE(D1855-C1855,1)-(D1855-C1855))),8)</f>
        <v/>
      </c>
      <c r="G1855" s="49">
        <f>TRUNC((E1855*F1855),8)</f>
        <v/>
      </c>
      <c r="H1855" s="49">
        <f>ROUND(((1+$H$4)^(30/360))^(C1855/(EDATE(D1855-B1855,1)-(D1855-B1855))),9)</f>
        <v/>
      </c>
      <c r="I1855" s="49">
        <f>TRUNC((G1855*H1855-G1855),8)</f>
        <v/>
      </c>
      <c r="J1855" s="49">
        <f>G1855+I1855</f>
        <v/>
      </c>
      <c r="K1855" s="256" t="n"/>
      <c r="L1855" s="256" t="n"/>
      <c r="M1855" s="256" t="n"/>
      <c r="N1855" s="256" t="n"/>
      <c r="O1855" s="256" t="n"/>
      <c r="P1855" s="256" t="n"/>
      <c r="Q1855" s="256" t="n"/>
    </row>
    <row r="1856">
      <c r="A1856">
        <f>IF(DAY(D1856)=DAY($L$1+1),A1855+1,A1855)</f>
        <v/>
      </c>
      <c r="B1856" s="46">
        <f>IF(DAY(D1856)=DAY($L$1+1),1,B1855+1)</f>
        <v/>
      </c>
      <c r="C1856" s="46">
        <f>IF(DAY(D1856)=DAY($L$1+1),1,C1855+1)</f>
        <v/>
      </c>
      <c r="D1856" s="2">
        <f>D1855+1</f>
        <v/>
      </c>
      <c r="E1856" s="8">
        <f>IF(DAY(D1856)=DAY($L$1+1),TRUNC((#REF!),8),E1855)</f>
        <v/>
      </c>
      <c r="F1856" s="49">
        <f>TRUNC(((1+VLOOKUP(A1856,IPCA!$A$2:$C$140,3,0)))^(C1856/(EDATE(D1856-C1856,1)-(D1856-C1856))),8)</f>
        <v/>
      </c>
      <c r="G1856" s="49">
        <f>TRUNC((E1856*F1856),8)</f>
        <v/>
      </c>
      <c r="H1856" s="49">
        <f>ROUND(((1+$H$4)^(30/360))^(C1856/(EDATE(D1856-B1856,1)-(D1856-B1856))),9)</f>
        <v/>
      </c>
      <c r="I1856" s="49">
        <f>TRUNC((G1856*H1856-G1856),8)</f>
        <v/>
      </c>
      <c r="J1856" s="49">
        <f>G1856+I1856</f>
        <v/>
      </c>
      <c r="K1856" s="256" t="n"/>
      <c r="L1856" s="256" t="n"/>
      <c r="M1856" s="256" t="n"/>
      <c r="N1856" s="256" t="n"/>
      <c r="O1856" s="256" t="n"/>
      <c r="P1856" s="256" t="n"/>
      <c r="Q1856" s="256" t="n"/>
    </row>
    <row r="1857">
      <c r="A1857">
        <f>IF(DAY(D1857)=DAY($L$1+1),A1856+1,A1856)</f>
        <v/>
      </c>
      <c r="B1857" s="46">
        <f>IF(DAY(D1857)=DAY($L$1+1),1,B1856+1)</f>
        <v/>
      </c>
      <c r="C1857" s="46">
        <f>IF(DAY(D1857)=DAY($L$1+1),1,C1856+1)</f>
        <v/>
      </c>
      <c r="D1857" s="2">
        <f>D1856+1</f>
        <v/>
      </c>
      <c r="E1857" s="8">
        <f>IF(DAY(D1857)=DAY($L$1+1),TRUNC((#REF!),8),E1856)</f>
        <v/>
      </c>
      <c r="F1857" s="49">
        <f>TRUNC(((1+VLOOKUP(A1857,IPCA!$A$2:$C$140,3,0)))^(C1857/(EDATE(D1857-C1857,1)-(D1857-C1857))),8)</f>
        <v/>
      </c>
      <c r="G1857" s="49">
        <f>TRUNC((E1857*F1857),8)</f>
        <v/>
      </c>
      <c r="H1857" s="49">
        <f>ROUND(((1+$H$4)^(30/360))^(C1857/(EDATE(D1857-B1857,1)-(D1857-B1857))),9)</f>
        <v/>
      </c>
      <c r="I1857" s="49">
        <f>TRUNC((G1857*H1857-G1857),8)</f>
        <v/>
      </c>
      <c r="J1857" s="49">
        <f>G1857+I1857</f>
        <v/>
      </c>
      <c r="K1857" s="256" t="n"/>
      <c r="L1857" s="256" t="n"/>
      <c r="M1857" s="256" t="n"/>
      <c r="N1857" s="256" t="n"/>
      <c r="O1857" s="256" t="n"/>
      <c r="P1857" s="256" t="n"/>
      <c r="Q1857" s="256" t="n"/>
    </row>
    <row r="1858">
      <c r="A1858">
        <f>IF(DAY(D1858)=DAY($L$1+1),A1857+1,A1857)</f>
        <v/>
      </c>
      <c r="B1858" s="46">
        <f>IF(DAY(D1858)=DAY($L$1+1),1,B1857+1)</f>
        <v/>
      </c>
      <c r="C1858" s="46">
        <f>IF(DAY(D1858)=DAY($L$1+1),1,C1857+1)</f>
        <v/>
      </c>
      <c r="D1858" s="2">
        <f>D1857+1</f>
        <v/>
      </c>
      <c r="E1858" s="8">
        <f>IF(DAY(D1858)=DAY($L$1+1),TRUNC((#REF!),8),E1857)</f>
        <v/>
      </c>
      <c r="F1858" s="49">
        <f>TRUNC(((1+VLOOKUP(A1858,IPCA!$A$2:$C$140,3,0)))^(C1858/(EDATE(D1858-C1858,1)-(D1858-C1858))),8)</f>
        <v/>
      </c>
      <c r="G1858" s="49">
        <f>TRUNC((E1858*F1858),8)</f>
        <v/>
      </c>
      <c r="H1858" s="49">
        <f>ROUND(((1+$H$4)^(30/360))^(C1858/(EDATE(D1858-B1858,1)-(D1858-B1858))),9)</f>
        <v/>
      </c>
      <c r="I1858" s="49">
        <f>TRUNC((G1858*H1858-G1858),8)</f>
        <v/>
      </c>
      <c r="J1858" s="49">
        <f>G1858+I1858</f>
        <v/>
      </c>
      <c r="K1858" s="256" t="n"/>
      <c r="L1858" s="256" t="n"/>
      <c r="M1858" s="256" t="n"/>
      <c r="N1858" s="256" t="n"/>
      <c r="O1858" s="256" t="n"/>
      <c r="P1858" s="256" t="n"/>
      <c r="Q1858" s="256" t="n"/>
    </row>
    <row r="1859">
      <c r="A1859">
        <f>IF(DAY(D1859)=DAY($L$1+1),A1858+1,A1858)</f>
        <v/>
      </c>
      <c r="B1859" s="46">
        <f>IF(DAY(D1859)=DAY($L$1+1),1,B1858+1)</f>
        <v/>
      </c>
      <c r="C1859" s="46">
        <f>IF(DAY(D1859)=DAY($L$1+1),1,C1858+1)</f>
        <v/>
      </c>
      <c r="D1859" s="2">
        <f>D1858+1</f>
        <v/>
      </c>
      <c r="E1859" s="8">
        <f>IF(DAY(D1859)=DAY($L$1+1),TRUNC((#REF!),8),E1858)</f>
        <v/>
      </c>
      <c r="F1859" s="49">
        <f>TRUNC(((1+VLOOKUP(A1859,IPCA!$A$2:$C$140,3,0)))^(C1859/(EDATE(D1859-C1859,1)-(D1859-C1859))),8)</f>
        <v/>
      </c>
      <c r="G1859" s="49">
        <f>TRUNC((E1859*F1859),8)</f>
        <v/>
      </c>
      <c r="H1859" s="49">
        <f>ROUND(((1+$H$4)^(30/360))^(C1859/(EDATE(D1859-B1859,1)-(D1859-B1859))),9)</f>
        <v/>
      </c>
      <c r="I1859" s="49">
        <f>TRUNC((G1859*H1859-G1859),8)</f>
        <v/>
      </c>
      <c r="J1859" s="49">
        <f>G1859+I1859</f>
        <v/>
      </c>
      <c r="K1859" s="256" t="n"/>
      <c r="L1859" s="256" t="n"/>
      <c r="M1859" s="256" t="n"/>
      <c r="N1859" s="256" t="n"/>
      <c r="O1859" s="256" t="n"/>
      <c r="P1859" s="256" t="n"/>
      <c r="Q1859" s="256" t="n"/>
    </row>
    <row r="1860">
      <c r="A1860">
        <f>IF(DAY(D1860)=DAY($L$1+1),A1859+1,A1859)</f>
        <v/>
      </c>
      <c r="B1860" s="46">
        <f>IF(DAY(D1860)=DAY($L$1+1),1,B1859+1)</f>
        <v/>
      </c>
      <c r="C1860" s="46">
        <f>IF(DAY(D1860)=DAY($L$1+1),1,C1859+1)</f>
        <v/>
      </c>
      <c r="D1860" s="2">
        <f>D1859+1</f>
        <v/>
      </c>
      <c r="E1860" s="8">
        <f>IF(DAY(D1860)=DAY($L$1+1),TRUNC((#REF!),8),E1859)</f>
        <v/>
      </c>
      <c r="F1860" s="49">
        <f>TRUNC(((1+VLOOKUP(A1860,IPCA!$A$2:$C$140,3,0)))^(C1860/(EDATE(D1860-C1860,1)-(D1860-C1860))),8)</f>
        <v/>
      </c>
      <c r="G1860" s="49">
        <f>TRUNC((E1860*F1860),8)</f>
        <v/>
      </c>
      <c r="H1860" s="49">
        <f>ROUND(((1+$H$4)^(30/360))^(C1860/(EDATE(D1860-B1860,1)-(D1860-B1860))),9)</f>
        <v/>
      </c>
      <c r="I1860" s="49">
        <f>TRUNC((G1860*H1860-G1860),8)</f>
        <v/>
      </c>
      <c r="J1860" s="49">
        <f>G1860+I1860</f>
        <v/>
      </c>
      <c r="K1860" s="256" t="n"/>
      <c r="L1860" s="256" t="n"/>
      <c r="M1860" s="256" t="n"/>
      <c r="N1860" s="256" t="n"/>
      <c r="O1860" s="256" t="n"/>
      <c r="P1860" s="256" t="n"/>
      <c r="Q1860" s="256" t="n"/>
    </row>
    <row r="1861">
      <c r="A1861">
        <f>IF(DAY(D1861)=DAY($L$1+1),A1860+1,A1860)</f>
        <v/>
      </c>
      <c r="B1861" s="46">
        <f>IF(DAY(D1861)=DAY($L$1+1),1,B1860+1)</f>
        <v/>
      </c>
      <c r="C1861" s="46">
        <f>IF(DAY(D1861)=DAY($L$1+1),1,C1860+1)</f>
        <v/>
      </c>
      <c r="D1861" s="2">
        <f>D1860+1</f>
        <v/>
      </c>
      <c r="E1861" s="8">
        <f>IF(DAY(D1861)=DAY($L$1+1),TRUNC((#REF!),8),E1860)</f>
        <v/>
      </c>
      <c r="F1861" s="49">
        <f>TRUNC(((1+VLOOKUP(A1861,IPCA!$A$2:$C$140,3,0)))^(C1861/(EDATE(D1861-C1861,1)-(D1861-C1861))),8)</f>
        <v/>
      </c>
      <c r="G1861" s="49">
        <f>TRUNC((E1861*F1861),8)</f>
        <v/>
      </c>
      <c r="H1861" s="49">
        <f>ROUND(((1+$H$4)^(30/360))^(C1861/(EDATE(D1861-B1861,1)-(D1861-B1861))),9)</f>
        <v/>
      </c>
      <c r="I1861" s="49">
        <f>TRUNC((G1861*H1861-G1861),8)</f>
        <v/>
      </c>
      <c r="J1861" s="49">
        <f>G1861+I1861</f>
        <v/>
      </c>
      <c r="K1861" s="256" t="n"/>
      <c r="L1861" s="256" t="n"/>
      <c r="M1861" s="256" t="n"/>
      <c r="N1861" s="256" t="n"/>
      <c r="O1861" s="256" t="n"/>
      <c r="P1861" s="256" t="n"/>
      <c r="Q1861" s="256" t="n"/>
    </row>
    <row r="1862">
      <c r="A1862">
        <f>IF(DAY(D1862)=DAY($L$1+1),A1861+1,A1861)</f>
        <v/>
      </c>
      <c r="B1862" s="46">
        <f>IF(DAY(D1862)=DAY($L$1+1),1,B1861+1)</f>
        <v/>
      </c>
      <c r="C1862" s="46">
        <f>IF(DAY(D1862)=DAY($L$1+1),1,C1861+1)</f>
        <v/>
      </c>
      <c r="D1862" s="2">
        <f>D1861+1</f>
        <v/>
      </c>
      <c r="E1862" s="8">
        <f>IF(DAY(D1862)=DAY($L$1+1),TRUNC((#REF!),8),E1861)</f>
        <v/>
      </c>
      <c r="F1862" s="49">
        <f>TRUNC(((1+VLOOKUP(A1862,IPCA!$A$2:$C$140,3,0)))^(C1862/(EDATE(D1862-C1862,1)-(D1862-C1862))),8)</f>
        <v/>
      </c>
      <c r="G1862" s="49">
        <f>TRUNC((E1862*F1862),8)</f>
        <v/>
      </c>
      <c r="H1862" s="49">
        <f>ROUND(((1+$H$4)^(30/360))^(C1862/(EDATE(D1862-B1862,1)-(D1862-B1862))),9)</f>
        <v/>
      </c>
      <c r="I1862" s="49">
        <f>TRUNC((G1862*H1862-G1862),8)</f>
        <v/>
      </c>
      <c r="J1862" s="49">
        <f>G1862+I1862</f>
        <v/>
      </c>
      <c r="K1862" s="256" t="n"/>
      <c r="L1862" s="256" t="n"/>
      <c r="M1862" s="256" t="n"/>
      <c r="N1862" s="256" t="n"/>
      <c r="O1862" s="256" t="n"/>
      <c r="P1862" s="256" t="n"/>
      <c r="Q1862" s="256" t="n"/>
    </row>
    <row r="1863">
      <c r="A1863">
        <f>IF(DAY(D1863)=DAY($L$1+1),A1862+1,A1862)</f>
        <v/>
      </c>
      <c r="B1863" s="46">
        <f>IF(DAY(D1863)=DAY($L$1+1),1,B1862+1)</f>
        <v/>
      </c>
      <c r="C1863" s="46">
        <f>IF(DAY(D1863)=DAY($L$1+1),1,C1862+1)</f>
        <v/>
      </c>
      <c r="D1863" s="2">
        <f>D1862+1</f>
        <v/>
      </c>
      <c r="E1863" s="8">
        <f>IF(DAY(D1863)=DAY($L$1+1),TRUNC((N1862),8),E1862)</f>
        <v/>
      </c>
      <c r="F1863" s="49">
        <f>TRUNC(((1+VLOOKUP(A1863,IPCA!$A$2:$C$140,3,0)))^(C1863/(EDATE(D1863-C1863,1)-(D1863-C1863))),8)</f>
        <v/>
      </c>
      <c r="G1863" s="49">
        <f>TRUNC((E1863*F1863),8)</f>
        <v/>
      </c>
      <c r="H1863" s="49">
        <f>ROUND(((1+$H$4)^(30/360))^(C1863/(EDATE(D1863-B1863,1)-(D1863-B1863))),9)</f>
        <v/>
      </c>
      <c r="I1863" s="49">
        <f>TRUNC((G1863*H1863-G1863),8)</f>
        <v/>
      </c>
      <c r="J1863" s="49">
        <f>G1863+I1863</f>
        <v/>
      </c>
      <c r="K1863" s="256" t="n"/>
      <c r="L1863" s="256" t="n"/>
      <c r="M1863" s="256" t="n"/>
      <c r="N1863" s="256" t="n"/>
      <c r="O1863" s="256" t="n"/>
      <c r="P1863" s="256" t="n"/>
      <c r="Q1863" s="256" t="n"/>
    </row>
    <row r="1864">
      <c r="A1864">
        <f>IF(DAY(D1864)=DAY($L$1+1),A1863+1,A1863)</f>
        <v/>
      </c>
      <c r="B1864" s="46">
        <f>IF(DAY(D1864)=DAY($L$1+1),1,B1863+1)</f>
        <v/>
      </c>
      <c r="C1864" s="46">
        <f>IF(DAY(D1864)=DAY($L$1+1),1,C1863+1)</f>
        <v/>
      </c>
      <c r="D1864" s="2">
        <f>D1863+1</f>
        <v/>
      </c>
      <c r="E1864" s="8">
        <f>IF(DAY(D1864)=DAY($L$1+1),TRUNC((N1863),8),E1863)</f>
        <v/>
      </c>
      <c r="F1864" s="49">
        <f>TRUNC(((1+VLOOKUP(A1864,IPCA!$A$2:$C$140,3,0)))^(C1864/(EDATE(D1864-C1864,1)-(D1864-C1864))),8)</f>
        <v/>
      </c>
      <c r="G1864" s="49">
        <f>TRUNC((E1864*F1864),8)</f>
        <v/>
      </c>
      <c r="H1864" s="49">
        <f>ROUND(((1+$H$4)^(30/360))^(C1864/(EDATE(D1864-B1864,1)-(D1864-B1864))),9)</f>
        <v/>
      </c>
      <c r="I1864" s="49">
        <f>TRUNC((G1864*H1864-G1864),8)</f>
        <v/>
      </c>
      <c r="J1864" s="49">
        <f>G1864+I1864</f>
        <v/>
      </c>
      <c r="K1864" s="256" t="n"/>
      <c r="L1864" s="256" t="n"/>
      <c r="M1864" s="256" t="n"/>
      <c r="N1864" s="256" t="n"/>
      <c r="O1864" s="256" t="n"/>
      <c r="P1864" s="256" t="n"/>
      <c r="Q1864" s="256" t="n"/>
    </row>
    <row r="1865">
      <c r="A1865">
        <f>IF(DAY(D1865)=DAY($L$1+1),A1864+1,A1864)</f>
        <v/>
      </c>
      <c r="B1865" s="46">
        <f>IF(DAY(D1865)=DAY($L$1+1),1,B1864+1)</f>
        <v/>
      </c>
      <c r="C1865" s="46">
        <f>IF(DAY(D1865)=DAY($L$1+1),1,C1864+1)</f>
        <v/>
      </c>
      <c r="D1865" s="2">
        <f>D1864+1</f>
        <v/>
      </c>
      <c r="E1865" s="8">
        <f>IF(DAY(D1865)=DAY($L$1+1),TRUNC((N1864),8),E1864)</f>
        <v/>
      </c>
      <c r="F1865" s="49">
        <f>TRUNC(((1+VLOOKUP(A1865,IPCA!$A$2:$C$140,3,0)))^(C1865/(EDATE(D1865-C1865,1)-(D1865-C1865))),8)</f>
        <v/>
      </c>
      <c r="G1865" s="49">
        <f>TRUNC((E1865*F1865),8)</f>
        <v/>
      </c>
      <c r="H1865" s="49">
        <f>ROUND(((1+$H$4)^(30/360))^(C1865/(EDATE(D1865-B1865,1)-(D1865-B1865))),9)</f>
        <v/>
      </c>
      <c r="I1865" s="49">
        <f>TRUNC((G1865*H1865-G1865),8)</f>
        <v/>
      </c>
      <c r="J1865" s="49">
        <f>G1865+I1865</f>
        <v/>
      </c>
      <c r="K1865" s="256" t="n"/>
      <c r="L1865" s="256" t="n"/>
      <c r="M1865" s="256" t="n"/>
      <c r="N1865" s="256" t="n"/>
      <c r="O1865" s="256" t="n"/>
      <c r="P1865" s="256" t="n"/>
      <c r="Q1865" s="256" t="n"/>
    </row>
    <row r="1866">
      <c r="A1866">
        <f>IF(DAY(D1866)=DAY($L$1+1),A1865+1,A1865)</f>
        <v/>
      </c>
      <c r="B1866" s="46">
        <f>IF(DAY(D1866)=DAY($L$1+1),1,B1865+1)</f>
        <v/>
      </c>
      <c r="C1866" s="46">
        <f>IF(DAY(D1866)=DAY($L$1+1),1,C1865+1)</f>
        <v/>
      </c>
      <c r="D1866" s="2">
        <f>D1865+1</f>
        <v/>
      </c>
      <c r="E1866" s="8">
        <f>IF(DAY(D1866)=DAY($L$1+1),TRUNC((N1865),8),E1865)</f>
        <v/>
      </c>
      <c r="F1866" s="49">
        <f>TRUNC(((1+VLOOKUP(A1866,IPCA!$A$2:$C$140,3,0)))^(C1866/(EDATE(D1866-C1866,1)-(D1866-C1866))),8)</f>
        <v/>
      </c>
      <c r="G1866" s="49">
        <f>TRUNC((E1866*F1866),8)</f>
        <v/>
      </c>
      <c r="H1866" s="49">
        <f>ROUND(((1+$H$4)^(30/360))^(C1866/(EDATE(D1866-B1866,1)-(D1866-B1866))),9)</f>
        <v/>
      </c>
      <c r="I1866" s="49">
        <f>TRUNC((G1866*H1866-G1866),8)</f>
        <v/>
      </c>
      <c r="J1866" s="49">
        <f>G1866+I1866</f>
        <v/>
      </c>
      <c r="K1866" s="256" t="n"/>
      <c r="L1866" s="256" t="n"/>
      <c r="M1866" s="256" t="n"/>
      <c r="N1866" s="256" t="n"/>
      <c r="O1866" s="256" t="n"/>
      <c r="P1866" s="256" t="n"/>
      <c r="Q1866" s="256" t="n"/>
    </row>
    <row r="1867">
      <c r="A1867">
        <f>IF(DAY(D1867)=DAY($L$1+1),A1866+1,A1866)</f>
        <v/>
      </c>
      <c r="B1867" s="46">
        <f>IF(DAY(D1867)=DAY($L$1+1),1,B1866+1)</f>
        <v/>
      </c>
      <c r="C1867" s="46">
        <f>IF(DAY(D1867)=DAY($L$1+1),1,C1866+1)</f>
        <v/>
      </c>
      <c r="D1867" s="2">
        <f>D1866+1</f>
        <v/>
      </c>
      <c r="E1867" s="8">
        <f>IF(DAY(D1867)=DAY($L$1+1),TRUNC((N1866),8),E1866)</f>
        <v/>
      </c>
      <c r="F1867" s="49">
        <f>TRUNC(((1+VLOOKUP(A1867,IPCA!$A$2:$C$140,3,0)))^(C1867/(EDATE(D1867-C1867,1)-(D1867-C1867))),8)</f>
        <v/>
      </c>
      <c r="G1867" s="49">
        <f>TRUNC((E1867*F1867),8)</f>
        <v/>
      </c>
      <c r="H1867" s="49">
        <f>ROUND(((1+$H$4)^(30/360))^(C1867/(EDATE(D1867-B1867,1)-(D1867-B1867))),9)</f>
        <v/>
      </c>
      <c r="I1867" s="49">
        <f>TRUNC((G1867*H1867-G1867),8)</f>
        <v/>
      </c>
      <c r="J1867" s="49">
        <f>G1867+I1867</f>
        <v/>
      </c>
      <c r="K1867" s="256" t="n"/>
      <c r="L1867" s="256" t="n"/>
      <c r="M1867" s="256" t="n"/>
      <c r="N1867" s="256" t="n"/>
      <c r="O1867" s="256" t="n"/>
      <c r="P1867" s="256" t="n"/>
      <c r="Q1867" s="256" t="n"/>
    </row>
    <row r="1868">
      <c r="A1868">
        <f>IF(DAY(D1868)=DAY($L$1+1),A1867+1,A1867)</f>
        <v/>
      </c>
      <c r="B1868" s="46">
        <f>IF(DAY(D1868)=DAY($L$1+1),1,B1867+1)</f>
        <v/>
      </c>
      <c r="C1868" s="46">
        <f>IF(DAY(D1868)=DAY($L$1+1),1,C1867+1)</f>
        <v/>
      </c>
      <c r="D1868" s="2">
        <f>D1867+1</f>
        <v/>
      </c>
      <c r="E1868" s="8">
        <f>IF(DAY(D1868)=DAY($L$1+1),TRUNC((N1867),8),E1867)</f>
        <v/>
      </c>
      <c r="F1868" s="49">
        <f>TRUNC(((1+VLOOKUP(A1868,IPCA!$A$2:$C$140,3,0)))^(C1868/(EDATE(D1868-C1868,1)-(D1868-C1868))),8)</f>
        <v/>
      </c>
      <c r="G1868" s="49">
        <f>TRUNC((E1868*F1868),8)</f>
        <v/>
      </c>
      <c r="H1868" s="49">
        <f>ROUND(((1+$H$4)^(30/360))^(C1868/(EDATE(D1868-B1868,1)-(D1868-B1868))),9)</f>
        <v/>
      </c>
      <c r="I1868" s="49">
        <f>TRUNC((G1868*H1868-G1868),8)</f>
        <v/>
      </c>
      <c r="J1868" s="49">
        <f>G1868+I1868</f>
        <v/>
      </c>
      <c r="K1868" s="256" t="n"/>
      <c r="L1868" s="256" t="n"/>
      <c r="M1868" s="256" t="n"/>
      <c r="N1868" s="256" t="n"/>
      <c r="O1868" s="256" t="n"/>
      <c r="P1868" s="256" t="n"/>
      <c r="Q1868" s="256" t="n"/>
    </row>
    <row r="1869">
      <c r="A1869">
        <f>IF(DAY(D1869)=DAY($L$1+1),A1868+1,A1868)</f>
        <v/>
      </c>
      <c r="B1869" s="46">
        <f>IF(DAY(D1869)=DAY($L$1+1),1,B1868+1)</f>
        <v/>
      </c>
      <c r="C1869" s="46">
        <f>IF(DAY(D1869)=DAY($L$1+1),1,C1868+1)</f>
        <v/>
      </c>
      <c r="D1869" s="2">
        <f>D1868+1</f>
        <v/>
      </c>
      <c r="E1869" s="8">
        <f>IF(DAY(D1869)=DAY($L$1+1),TRUNC((N1868),8),E1868)</f>
        <v/>
      </c>
      <c r="F1869" s="49">
        <f>TRUNC(((1+VLOOKUP(A1869,IPCA!$A$2:$C$140,3,0)))^(C1869/(EDATE(D1869-C1869,1)-(D1869-C1869))),8)</f>
        <v/>
      </c>
      <c r="G1869" s="49">
        <f>TRUNC((E1869*F1869),8)</f>
        <v/>
      </c>
      <c r="H1869" s="49">
        <f>ROUND(((1+$H$4)^(30/360))^(C1869/(EDATE(D1869-B1869,1)-(D1869-B1869))),9)</f>
        <v/>
      </c>
      <c r="I1869" s="49">
        <f>TRUNC((G1869*H1869-G1869),8)</f>
        <v/>
      </c>
      <c r="J1869" s="49">
        <f>G1869+I1869</f>
        <v/>
      </c>
      <c r="K1869" s="256" t="n"/>
      <c r="L1869" s="256" t="n"/>
      <c r="M1869" s="256" t="n"/>
      <c r="N1869" s="256" t="n"/>
      <c r="O1869" s="256" t="n"/>
      <c r="P1869" s="256" t="n"/>
      <c r="Q1869" s="256" t="n"/>
    </row>
    <row r="1870">
      <c r="A1870">
        <f>IF(DAY(D1870)=DAY($L$1+1),A1869+1,A1869)</f>
        <v/>
      </c>
      <c r="B1870" s="46">
        <f>IF(DAY(D1870)=DAY($L$1+1),1,B1869+1)</f>
        <v/>
      </c>
      <c r="C1870" s="46">
        <f>IF(DAY(D1870)=DAY($L$1+1),1,C1869+1)</f>
        <v/>
      </c>
      <c r="D1870" s="2">
        <f>D1869+1</f>
        <v/>
      </c>
      <c r="E1870" s="8">
        <f>IF(DAY(D1870)=DAY($L$1+1),TRUNC((N1869),8),E1869)</f>
        <v/>
      </c>
      <c r="F1870" s="49">
        <f>TRUNC(((1+VLOOKUP(A1870,IPCA!$A$2:$C$140,3,0)))^(C1870/(EDATE(D1870-C1870,1)-(D1870-C1870))),8)</f>
        <v/>
      </c>
      <c r="G1870" s="49">
        <f>TRUNC((E1870*F1870),8)</f>
        <v/>
      </c>
      <c r="H1870" s="49">
        <f>ROUND(((1+$H$4)^(30/360))^(C1870/(EDATE(D1870-B1870,1)-(D1870-B1870))),9)</f>
        <v/>
      </c>
      <c r="I1870" s="49">
        <f>TRUNC((G1870*H1870-G1870),8)</f>
        <v/>
      </c>
      <c r="J1870" s="49">
        <f>G1870+I1870</f>
        <v/>
      </c>
      <c r="K1870" s="256" t="n"/>
      <c r="L1870" s="256" t="n"/>
      <c r="M1870" s="256" t="n"/>
      <c r="N1870" s="256" t="n"/>
      <c r="O1870" s="256" t="n"/>
      <c r="P1870" s="256" t="n"/>
      <c r="Q1870" s="256" t="n"/>
    </row>
    <row r="1871">
      <c r="A1871">
        <f>IF(DAY(D1871)=DAY($L$1+1),A1870+1,A1870)</f>
        <v/>
      </c>
      <c r="B1871" s="46">
        <f>IF(DAY(D1871)=DAY($L$1+1),1,B1870+1)</f>
        <v/>
      </c>
      <c r="C1871" s="46">
        <f>IF(DAY(D1871)=DAY($L$1+1),1,C1870+1)</f>
        <v/>
      </c>
      <c r="D1871" s="2">
        <f>D1870+1</f>
        <v/>
      </c>
      <c r="E1871" s="8">
        <f>IF(DAY(D1871)=DAY($L$1+1),TRUNC((N1870),8),E1870)</f>
        <v/>
      </c>
      <c r="F1871" s="49">
        <f>TRUNC(((1+VLOOKUP(A1871,IPCA!$A$2:$C$140,3,0)))^(C1871/(EDATE(D1871-C1871,1)-(D1871-C1871))),8)</f>
        <v/>
      </c>
      <c r="G1871" s="49">
        <f>TRUNC((E1871*F1871),8)</f>
        <v/>
      </c>
      <c r="H1871" s="49">
        <f>ROUND(((1+$H$4)^(30/360))^(C1871/(EDATE(D1871-B1871,1)-(D1871-B1871))),9)</f>
        <v/>
      </c>
      <c r="I1871" s="49">
        <f>TRUNC((G1871*H1871-G1871),8)</f>
        <v/>
      </c>
      <c r="J1871" s="49">
        <f>G1871+I1871</f>
        <v/>
      </c>
      <c r="K1871" s="256" t="n"/>
      <c r="L1871" s="256" t="n"/>
      <c r="M1871" s="256" t="n"/>
      <c r="N1871" s="256" t="n"/>
      <c r="O1871" s="256" t="n"/>
      <c r="P1871" s="256" t="n"/>
      <c r="Q1871" s="256" t="n"/>
    </row>
    <row r="1872">
      <c r="A1872">
        <f>IF(DAY(D1872)=DAY($L$1+1),A1871+1,A1871)</f>
        <v/>
      </c>
      <c r="B1872" s="46">
        <f>IF(DAY(D1872)=DAY($L$1+1),1,B1871+1)</f>
        <v/>
      </c>
      <c r="C1872" s="46">
        <f>IF(DAY(D1872)=DAY($L$1+1),1,C1871+1)</f>
        <v/>
      </c>
      <c r="D1872" s="2">
        <f>D1871+1</f>
        <v/>
      </c>
      <c r="E1872" s="8">
        <f>IF(DAY(D1872)=DAY($L$1+1),TRUNC((N1871),8),E1871)</f>
        <v/>
      </c>
      <c r="F1872" s="49">
        <f>TRUNC(((1+VLOOKUP(A1872,IPCA!$A$2:$C$140,3,0)))^(C1872/(EDATE(D1872-C1872,1)-(D1872-C1872))),8)</f>
        <v/>
      </c>
      <c r="G1872" s="49">
        <f>TRUNC((E1872*F1872),8)</f>
        <v/>
      </c>
      <c r="H1872" s="49">
        <f>ROUND(((1+$H$4)^(30/360))^(C1872/(EDATE(D1872-B1872,1)-(D1872-B1872))),9)</f>
        <v/>
      </c>
      <c r="I1872" s="49">
        <f>TRUNC((G1872*H1872-G1872),8)</f>
        <v/>
      </c>
      <c r="J1872" s="49">
        <f>G1872+I1872</f>
        <v/>
      </c>
      <c r="K1872" s="256" t="n"/>
      <c r="L1872" s="256" t="n"/>
      <c r="M1872" s="256" t="n"/>
      <c r="N1872" s="256" t="n"/>
      <c r="O1872" s="256" t="n"/>
      <c r="P1872" s="256" t="n"/>
      <c r="Q1872" s="256" t="n"/>
    </row>
    <row r="1873">
      <c r="A1873">
        <f>IF(DAY(D1873)=DAY($L$1+1),A1872+1,A1872)</f>
        <v/>
      </c>
      <c r="B1873" s="46">
        <f>IF(DAY(D1873)=DAY($L$1+1),1,B1872+1)</f>
        <v/>
      </c>
      <c r="C1873" s="46">
        <f>IF(DAY(D1873)=DAY($L$1+1),1,C1872+1)</f>
        <v/>
      </c>
      <c r="D1873" s="2">
        <f>D1872+1</f>
        <v/>
      </c>
      <c r="E1873" s="8">
        <f>IF(DAY(D1873)=DAY($L$1+1),TRUNC((N1872),8),E1872)</f>
        <v/>
      </c>
      <c r="F1873" s="49">
        <f>TRUNC(((1+VLOOKUP(A1873,IPCA!$A$2:$C$140,3,0)))^(C1873/(EDATE(D1873-C1873,1)-(D1873-C1873))),8)</f>
        <v/>
      </c>
      <c r="G1873" s="49">
        <f>TRUNC((E1873*F1873),8)</f>
        <v/>
      </c>
      <c r="H1873" s="49">
        <f>ROUND(((1+$H$4)^(30/360))^(C1873/(EDATE(D1873-B1873,1)-(D1873-B1873))),9)</f>
        <v/>
      </c>
      <c r="I1873" s="49">
        <f>TRUNC((G1873*H1873-G1873),8)</f>
        <v/>
      </c>
      <c r="J1873" s="49">
        <f>G1873+I1873</f>
        <v/>
      </c>
      <c r="K1873" s="256" t="n"/>
      <c r="L1873" s="256" t="n"/>
      <c r="M1873" s="256" t="n"/>
      <c r="N1873" s="256" t="n"/>
      <c r="O1873" s="256" t="n"/>
      <c r="P1873" s="256" t="n"/>
      <c r="Q1873" s="256" t="n"/>
    </row>
    <row r="1874">
      <c r="A1874">
        <f>IF(DAY(D1874)=DAY($L$1+1),A1873+1,A1873)</f>
        <v/>
      </c>
      <c r="B1874" s="46">
        <f>IF(DAY(D1874)=DAY($L$1+1),1,B1873+1)</f>
        <v/>
      </c>
      <c r="C1874" s="46">
        <f>IF(DAY(D1874)=DAY($L$1+1),1,C1873+1)</f>
        <v/>
      </c>
      <c r="D1874" s="2">
        <f>D1873+1</f>
        <v/>
      </c>
      <c r="E1874" s="8">
        <f>IF(DAY(D1874)=DAY($L$1+1),TRUNC((N1873),8),E1873)</f>
        <v/>
      </c>
      <c r="F1874" s="49">
        <f>TRUNC(((1+VLOOKUP(A1874,IPCA!$A$2:$C$140,3,0)))^(C1874/(EDATE(D1874-C1874,1)-(D1874-C1874))),8)</f>
        <v/>
      </c>
      <c r="G1874" s="49">
        <f>TRUNC((E1874*F1874),8)</f>
        <v/>
      </c>
      <c r="H1874" s="49">
        <f>ROUND(((1+$H$4)^(30/360))^(C1874/(EDATE(D1874-B1874,1)-(D1874-B1874))),9)</f>
        <v/>
      </c>
      <c r="I1874" s="49">
        <f>TRUNC((G1874*H1874-G1874),8)</f>
        <v/>
      </c>
      <c r="J1874" s="49">
        <f>G1874+I1874</f>
        <v/>
      </c>
      <c r="K1874" s="256" t="inlineStr">
        <is>
          <t>Cri Integralizado</t>
        </is>
      </c>
      <c r="L1874" s="270">
        <f>L1843</f>
        <v/>
      </c>
      <c r="M1874" s="256" t="n"/>
      <c r="N1874" s="256" t="n"/>
      <c r="O1874" s="256" t="n"/>
      <c r="P1874" s="256" t="n"/>
      <c r="Q1874" s="256" t="n"/>
    </row>
    <row r="1875">
      <c r="A1875">
        <f>IF(DAY(D1875)=DAY($L$1+1),A1874+1,A1874)</f>
        <v/>
      </c>
      <c r="B1875" s="46">
        <f>IF(DAY(D1875)=DAY($L$1+1),1,B1874+1)</f>
        <v/>
      </c>
      <c r="C1875" s="46">
        <f>IF(DAY(D1875)=DAY($L$1+1),1,C1874+1)</f>
        <v/>
      </c>
      <c r="D1875" s="47">
        <f>D1874+1</f>
        <v/>
      </c>
      <c r="E1875" s="8">
        <f>IF(DAY(D1875)=DAY($L$1+1),TRUNC((N1874),8),E1874)</f>
        <v/>
      </c>
      <c r="F1875" s="49">
        <f>TRUNC(((1+VLOOKUP(A1875,IPCA!$A$2:$C$140,3,0)))^(C1875/(EDATE(D1875-C1875,1)-(D1875-C1875))),8)</f>
        <v/>
      </c>
      <c r="G1875" s="49">
        <f>TRUNC((E1875*F1875),8)</f>
        <v/>
      </c>
      <c r="H1875" s="49">
        <f>ROUND(((1+$H$4)^(30/360))^(C1875/(EDATE(D1875-B1875,1)-(D1875-B1875))),9)</f>
        <v/>
      </c>
      <c r="I1875" s="49">
        <f>TRUNC((G1875*H1875-G1875),8)</f>
        <v/>
      </c>
      <c r="J1875" s="49">
        <f>G1875+I1875</f>
        <v/>
      </c>
      <c r="K1875" s="118" t="inlineStr">
        <is>
          <t>JUROS</t>
        </is>
      </c>
      <c r="L1875" s="118" t="inlineStr">
        <is>
          <t>AMORTIZAÇÃO</t>
        </is>
      </c>
      <c r="M1875" s="118" t="inlineStr">
        <is>
          <t>AMEX</t>
        </is>
      </c>
      <c r="N1875" s="118" t="inlineStr">
        <is>
          <t>RESIDUAL</t>
        </is>
      </c>
      <c r="O1875" s="256" t="n"/>
      <c r="P1875" s="256" t="n"/>
      <c r="Q1875" s="256" t="n"/>
    </row>
    <row r="1876">
      <c r="A1876">
        <f>IF(DAY(D1876)=DAY($L$1+1),A1875+1,A1875)</f>
        <v/>
      </c>
      <c r="B1876" s="111">
        <f>IF(DAY(D1876)=DAY($L$1+1),1,B1875+1)</f>
        <v/>
      </c>
      <c r="C1876" s="111">
        <f>IF(DAY(D1876)=DAY($L$1+1),1,C1875+1)</f>
        <v/>
      </c>
      <c r="D1876" s="112">
        <f>D1875+1</f>
        <v/>
      </c>
      <c r="E1876" s="113">
        <f>IF(DAY(D1876)=DAY($L$1+1),TRUNC((N1875),8),E1875)</f>
        <v/>
      </c>
      <c r="F1876" s="114">
        <f>TRUNC(((1+VLOOKUP(A1876,IPCA!$A$2:$C$140,3,0)))^(C1876/(EDATE(D1876-C1876,1)-(D1876-C1876))),8)</f>
        <v/>
      </c>
      <c r="G1876" s="114">
        <f>TRUNC((E1876*F1876),8)</f>
        <v/>
      </c>
      <c r="H1876" s="114">
        <f>ROUND(((1+$H$4)^(30/360))^(C1876/(EDATE(D1876-B1876,1)-(D1876-B1876))),9)</f>
        <v/>
      </c>
      <c r="I1876" s="114">
        <f>TRUNC((G1876*H1876-G1876),8)</f>
        <v/>
      </c>
      <c r="J1876" s="114">
        <f>G1876+I1876</f>
        <v/>
      </c>
      <c r="K1876" s="119">
        <f>I1876</f>
        <v/>
      </c>
      <c r="L1876" s="120">
        <f>TRUNC(G1876*VLOOKUP(D1876,'Amort TS'!$G$3:$H$140,2,0),8)</f>
        <v/>
      </c>
      <c r="M1876" s="120" t="n">
        <v>0</v>
      </c>
      <c r="N1876" s="120">
        <f>J1876-K1876-L1876-M1876</f>
        <v/>
      </c>
      <c r="O1876" s="256" t="n"/>
      <c r="P1876" s="256" t="n"/>
      <c r="Q1876" s="256" t="n"/>
    </row>
    <row r="1877">
      <c r="A1877">
        <f>IF(DAY(D1877)=DAY($L$1+1),A1876+1,A1876)</f>
        <v/>
      </c>
      <c r="B1877" s="46">
        <f>IF(DAY(D1877)=DAY($L$1+1),1,B1876+1)</f>
        <v/>
      </c>
      <c r="C1877" s="46">
        <f>IF(DAY(D1877)=DAY($L$1+1),1,C1876+1)</f>
        <v/>
      </c>
      <c r="D1877" s="2">
        <f>D1876+1</f>
        <v/>
      </c>
      <c r="E1877" s="8">
        <f>IF(DAY(D1877)=DAY($L$1+1),TRUNC((N1876),8),E1876)</f>
        <v/>
      </c>
      <c r="F1877" s="49">
        <f>TRUNC(((1+VLOOKUP(A1877,IPCA!$A$2:$C$140,3,0)))^(C1877/(EDATE(D1877-C1877,1)-(D1877-C1877))),8)</f>
        <v/>
      </c>
      <c r="G1877" s="49">
        <f>TRUNC((E1877*F1877),8)</f>
        <v/>
      </c>
      <c r="H1877" s="49">
        <f>ROUND(((1+$H$4)^(30/360))^(C1877/(EDATE(D1877-B1877,1)-(D1877-B1877))),9)</f>
        <v/>
      </c>
      <c r="I1877" s="49">
        <f>TRUNC((G1877*H1877-G1877),8)</f>
        <v/>
      </c>
      <c r="J1877" s="49">
        <f>G1877+I1877</f>
        <v/>
      </c>
      <c r="K1877" s="121">
        <f>K1876*L1874</f>
        <v/>
      </c>
      <c r="L1877" s="121">
        <f>L1876*L1874</f>
        <v/>
      </c>
      <c r="M1877" s="121">
        <f>M1876*L1874</f>
        <v/>
      </c>
      <c r="N1877" s="121">
        <f>N1876*L1874</f>
        <v/>
      </c>
      <c r="O1877" s="256" t="n"/>
      <c r="P1877" s="256" t="n"/>
      <c r="Q1877" s="256" t="n"/>
    </row>
    <row r="1878">
      <c r="A1878">
        <f>IF(DAY(D1878)=DAY($L$1+1),A1877+1,A1877)</f>
        <v/>
      </c>
      <c r="B1878" s="46">
        <f>IF(DAY(D1878)=DAY($L$1+1),1,B1877+1)</f>
        <v/>
      </c>
      <c r="C1878" s="46">
        <f>IF(DAY(D1878)=DAY($L$1+1),1,C1877+1)</f>
        <v/>
      </c>
      <c r="D1878" s="47">
        <f>D1877+1</f>
        <v/>
      </c>
      <c r="E1878" s="8">
        <f>IF(DAY(D1878)=DAY($L$1+1),TRUNC((N1877),8),E1877)</f>
        <v/>
      </c>
      <c r="F1878" s="49">
        <f>TRUNC(((1+VLOOKUP(A1878,IPCA!$A$2:$C$140,3,0)))^(C1878/(EDATE(D1878-C1878,1)-(D1878-C1878))),8)</f>
        <v/>
      </c>
      <c r="G1878" s="49">
        <f>TRUNC((E1878*F1878),8)</f>
        <v/>
      </c>
      <c r="H1878" s="49">
        <f>ROUND(((1+$H$4)^(30/360))^(C1878/(EDATE(D1878-B1878,1)-(D1878-B1878))),9)</f>
        <v/>
      </c>
      <c r="I1878" s="49">
        <f>TRUNC((G1878*H1878-G1878),8)</f>
        <v/>
      </c>
      <c r="J1878" s="49">
        <f>G1878+I1878</f>
        <v/>
      </c>
      <c r="K1878" s="256" t="n"/>
      <c r="L1878" s="256" t="n"/>
      <c r="M1878" s="256" t="n"/>
      <c r="N1878" s="256" t="n"/>
      <c r="O1878" s="256" t="n"/>
      <c r="P1878" s="256" t="n"/>
      <c r="Q1878" s="256" t="n"/>
    </row>
    <row r="1879">
      <c r="A1879">
        <f>IF(DAY(D1879)=DAY($L$1+1),A1878+1,A1878)</f>
        <v/>
      </c>
      <c r="B1879" s="46">
        <f>IF(DAY(D1879)=DAY($L$1+1),1,B1878+1)</f>
        <v/>
      </c>
      <c r="C1879" s="46">
        <f>IF(DAY(D1879)=DAY($L$1+1),1,C1878+1)</f>
        <v/>
      </c>
      <c r="D1879" s="2">
        <f>D1878+1</f>
        <v/>
      </c>
      <c r="E1879" s="8">
        <f>IF(DAY(D1879)=DAY($L$1+1),TRUNC((#REF!),8),E1878)</f>
        <v/>
      </c>
      <c r="F1879" s="49">
        <f>TRUNC(((1+VLOOKUP(A1879,IPCA!$A$2:$C$140,3,0)))^(C1879/(EDATE(D1879-C1879,1)-(D1879-C1879))),8)</f>
        <v/>
      </c>
      <c r="G1879" s="49">
        <f>TRUNC((E1879*F1879),8)</f>
        <v/>
      </c>
      <c r="H1879" s="49">
        <f>ROUND(((1+$H$4)^(30/360))^(C1879/(EDATE(D1879-B1879,1)-(D1879-B1879))),9)</f>
        <v/>
      </c>
      <c r="I1879" s="49">
        <f>TRUNC((G1879*H1879-G1879),8)</f>
        <v/>
      </c>
      <c r="J1879" s="49">
        <f>G1879+I1879</f>
        <v/>
      </c>
      <c r="K1879" s="256" t="n"/>
      <c r="L1879" s="256" t="n"/>
      <c r="M1879" s="256" t="n"/>
      <c r="N1879" s="256" t="n"/>
      <c r="O1879" s="256" t="n"/>
      <c r="P1879" s="256" t="n"/>
      <c r="Q1879" s="256" t="n"/>
    </row>
    <row r="1880">
      <c r="A1880">
        <f>IF(DAY(D1880)=DAY($L$1+1),A1879+1,A1879)</f>
        <v/>
      </c>
      <c r="B1880" s="46">
        <f>IF(DAY(D1880)=DAY($L$1+1),1,B1879+1)</f>
        <v/>
      </c>
      <c r="C1880" s="46">
        <f>IF(DAY(D1880)=DAY($L$1+1),1,C1879+1)</f>
        <v/>
      </c>
      <c r="D1880" s="2">
        <f>D1879+1</f>
        <v/>
      </c>
      <c r="E1880" s="8">
        <f>IF(DAY(D1880)=DAY($L$1+1),TRUNC((#REF!),8),E1879)</f>
        <v/>
      </c>
      <c r="F1880" s="49">
        <f>TRUNC(((1+VLOOKUP(A1880,IPCA!$A$2:$C$140,3,0)))^(C1880/(EDATE(D1880-C1880,1)-(D1880-C1880))),8)</f>
        <v/>
      </c>
      <c r="G1880" s="49">
        <f>TRUNC((E1880*F1880),8)</f>
        <v/>
      </c>
      <c r="H1880" s="49">
        <f>ROUND(((1+$H$4)^(30/360))^(C1880/(EDATE(D1880-B1880,1)-(D1880-B1880))),9)</f>
        <v/>
      </c>
      <c r="I1880" s="49">
        <f>TRUNC((G1880*H1880-G1880),8)</f>
        <v/>
      </c>
      <c r="J1880" s="49">
        <f>G1880+I1880</f>
        <v/>
      </c>
      <c r="K1880" s="256" t="n"/>
      <c r="L1880" s="256" t="n"/>
      <c r="M1880" s="256" t="n"/>
      <c r="N1880" s="256" t="n"/>
      <c r="O1880" s="256" t="n"/>
      <c r="P1880" s="256" t="n"/>
      <c r="Q1880" s="256" t="n"/>
    </row>
    <row r="1881">
      <c r="A1881">
        <f>IF(DAY(D1881)=DAY($L$1+1),A1880+1,A1880)</f>
        <v/>
      </c>
      <c r="B1881" s="46">
        <f>IF(DAY(D1881)=DAY($L$1+1),1,B1880+1)</f>
        <v/>
      </c>
      <c r="C1881" s="46">
        <f>IF(DAY(D1881)=DAY($L$1+1),1,C1880+1)</f>
        <v/>
      </c>
      <c r="D1881" s="2">
        <f>D1880+1</f>
        <v/>
      </c>
      <c r="E1881" s="8">
        <f>IF(DAY(D1881)=DAY($L$1+1),TRUNC((#REF!),8),E1880)</f>
        <v/>
      </c>
      <c r="F1881" s="49">
        <f>TRUNC(((1+VLOOKUP(A1881,IPCA!$A$2:$C$140,3,0)))^(C1881/(EDATE(D1881-C1881,1)-(D1881-C1881))),8)</f>
        <v/>
      </c>
      <c r="G1881" s="49">
        <f>TRUNC((E1881*F1881),8)</f>
        <v/>
      </c>
      <c r="H1881" s="49">
        <f>ROUND(((1+$H$4)^(30/360))^(C1881/(EDATE(D1881-B1881,1)-(D1881-B1881))),9)</f>
        <v/>
      </c>
      <c r="I1881" s="49">
        <f>TRUNC((G1881*H1881-G1881),8)</f>
        <v/>
      </c>
      <c r="J1881" s="49">
        <f>G1881+I1881</f>
        <v/>
      </c>
      <c r="K1881" s="256" t="n"/>
      <c r="L1881" s="256" t="n"/>
      <c r="M1881" s="256" t="n"/>
      <c r="N1881" s="256" t="n"/>
      <c r="O1881" s="256" t="n"/>
      <c r="P1881" s="256" t="n"/>
      <c r="Q1881" s="256" t="n"/>
    </row>
    <row r="1882">
      <c r="A1882">
        <f>IF(DAY(D1882)=DAY($L$1+1),A1881+1,A1881)</f>
        <v/>
      </c>
      <c r="B1882" s="46">
        <f>IF(DAY(D1882)=DAY($L$1+1),1,B1881+1)</f>
        <v/>
      </c>
      <c r="C1882" s="46">
        <f>IF(DAY(D1882)=DAY($L$1+1),1,C1881+1)</f>
        <v/>
      </c>
      <c r="D1882" s="2">
        <f>D1881+1</f>
        <v/>
      </c>
      <c r="E1882" s="8">
        <f>IF(DAY(D1882)=DAY($L$1+1),TRUNC((#REF!),8),E1881)</f>
        <v/>
      </c>
      <c r="F1882" s="49">
        <f>TRUNC(((1+VLOOKUP(A1882,IPCA!$A$2:$C$140,3,0)))^(C1882/(EDATE(D1882-C1882,1)-(D1882-C1882))),8)</f>
        <v/>
      </c>
      <c r="G1882" s="49">
        <f>TRUNC((E1882*F1882),8)</f>
        <v/>
      </c>
      <c r="H1882" s="49">
        <f>ROUND(((1+$H$4)^(30/360))^(C1882/(EDATE(D1882-B1882,1)-(D1882-B1882))),9)</f>
        <v/>
      </c>
      <c r="I1882" s="49">
        <f>TRUNC((G1882*H1882-G1882),8)</f>
        <v/>
      </c>
      <c r="J1882" s="49">
        <f>G1882+I1882</f>
        <v/>
      </c>
      <c r="K1882" s="256" t="n"/>
      <c r="L1882" s="256" t="n"/>
      <c r="M1882" s="256" t="n"/>
      <c r="N1882" s="256" t="n"/>
      <c r="O1882" s="256" t="n"/>
      <c r="P1882" s="256" t="n"/>
      <c r="Q1882" s="256" t="n"/>
    </row>
    <row r="1883">
      <c r="A1883">
        <f>IF(DAY(D1883)=DAY($L$1+1),A1882+1,A1882)</f>
        <v/>
      </c>
      <c r="B1883" s="46">
        <f>IF(DAY(D1883)=DAY($L$1+1),1,B1882+1)</f>
        <v/>
      </c>
      <c r="C1883" s="46">
        <f>IF(DAY(D1883)=DAY($L$1+1),1,C1882+1)</f>
        <v/>
      </c>
      <c r="D1883" s="2">
        <f>D1882+1</f>
        <v/>
      </c>
      <c r="E1883" s="8">
        <f>IF(DAY(D1883)=DAY($L$1+1),TRUNC((#REF!),8),E1882)</f>
        <v/>
      </c>
      <c r="F1883" s="49">
        <f>TRUNC(((1+VLOOKUP(A1883,IPCA!$A$2:$C$140,3,0)))^(C1883/(EDATE(D1883-C1883,1)-(D1883-C1883))),8)</f>
        <v/>
      </c>
      <c r="G1883" s="49">
        <f>TRUNC((E1883*F1883),8)</f>
        <v/>
      </c>
      <c r="H1883" s="49">
        <f>ROUND(((1+$H$4)^(30/360))^(C1883/(EDATE(D1883-B1883,1)-(D1883-B1883))),9)</f>
        <v/>
      </c>
      <c r="I1883" s="49">
        <f>TRUNC((G1883*H1883-G1883),8)</f>
        <v/>
      </c>
      <c r="J1883" s="49">
        <f>G1883+I1883</f>
        <v/>
      </c>
      <c r="K1883" s="256" t="n"/>
      <c r="L1883" s="256" t="n"/>
      <c r="M1883" s="256" t="n"/>
      <c r="N1883" s="256" t="n"/>
      <c r="O1883" s="256" t="n"/>
      <c r="P1883" s="256" t="n"/>
      <c r="Q1883" s="256" t="n"/>
    </row>
    <row r="1884">
      <c r="A1884">
        <f>IF(DAY(D1884)=DAY($L$1+1),A1883+1,A1883)</f>
        <v/>
      </c>
      <c r="B1884" s="46">
        <f>IF(DAY(D1884)=DAY($L$1+1),1,B1883+1)</f>
        <v/>
      </c>
      <c r="C1884" s="46">
        <f>IF(DAY(D1884)=DAY($L$1+1),1,C1883+1)</f>
        <v/>
      </c>
      <c r="D1884" s="2">
        <f>D1883+1</f>
        <v/>
      </c>
      <c r="E1884" s="8">
        <f>IF(DAY(D1884)=DAY($L$1+1),TRUNC((#REF!),8),E1883)</f>
        <v/>
      </c>
      <c r="F1884" s="49">
        <f>TRUNC(((1+VLOOKUP(A1884,IPCA!$A$2:$C$140,3,0)))^(C1884/(EDATE(D1884-C1884,1)-(D1884-C1884))),8)</f>
        <v/>
      </c>
      <c r="G1884" s="49">
        <f>TRUNC((E1884*F1884),8)</f>
        <v/>
      </c>
      <c r="H1884" s="49">
        <f>ROUND(((1+$H$4)^(30/360))^(C1884/(EDATE(D1884-B1884,1)-(D1884-B1884))),9)</f>
        <v/>
      </c>
      <c r="I1884" s="49">
        <f>TRUNC((G1884*H1884-G1884),8)</f>
        <v/>
      </c>
      <c r="J1884" s="49">
        <f>G1884+I1884</f>
        <v/>
      </c>
      <c r="K1884" s="256" t="n"/>
      <c r="L1884" s="256" t="n"/>
      <c r="M1884" s="256" t="n"/>
      <c r="N1884" s="256" t="n"/>
      <c r="O1884" s="256" t="n"/>
      <c r="P1884" s="256" t="n"/>
      <c r="Q1884" s="256" t="n"/>
    </row>
    <row r="1885">
      <c r="A1885">
        <f>IF(DAY(D1885)=DAY($L$1+1),A1884+1,A1884)</f>
        <v/>
      </c>
      <c r="B1885" s="46">
        <f>IF(DAY(D1885)=DAY($L$1+1),1,B1884+1)</f>
        <v/>
      </c>
      <c r="C1885" s="46">
        <f>IF(DAY(D1885)=DAY($L$1+1),1,C1884+1)</f>
        <v/>
      </c>
      <c r="D1885" s="2">
        <f>D1884+1</f>
        <v/>
      </c>
      <c r="E1885" s="8">
        <f>IF(DAY(D1885)=DAY($L$1+1),TRUNC((#REF!),8),E1884)</f>
        <v/>
      </c>
      <c r="F1885" s="49">
        <f>TRUNC(((1+VLOOKUP(A1885,IPCA!$A$2:$C$140,3,0)))^(C1885/(EDATE(D1885-C1885,1)-(D1885-C1885))),8)</f>
        <v/>
      </c>
      <c r="G1885" s="49">
        <f>TRUNC((E1885*F1885),8)</f>
        <v/>
      </c>
      <c r="H1885" s="49">
        <f>ROUND(((1+$H$4)^(30/360))^(C1885/(EDATE(D1885-B1885,1)-(D1885-B1885))),9)</f>
        <v/>
      </c>
      <c r="I1885" s="49">
        <f>TRUNC((G1885*H1885-G1885),8)</f>
        <v/>
      </c>
      <c r="J1885" s="49">
        <f>G1885+I1885</f>
        <v/>
      </c>
      <c r="K1885" s="256" t="n"/>
      <c r="L1885" s="256" t="n"/>
      <c r="M1885" s="256" t="n"/>
      <c r="N1885" s="256" t="n"/>
      <c r="O1885" s="256" t="n"/>
      <c r="P1885" s="256" t="n"/>
      <c r="Q1885" s="256" t="n"/>
    </row>
    <row r="1886">
      <c r="A1886">
        <f>IF(DAY(D1886)=DAY($L$1+1),A1885+1,A1885)</f>
        <v/>
      </c>
      <c r="B1886" s="46">
        <f>IF(DAY(D1886)=DAY($L$1+1),1,B1885+1)</f>
        <v/>
      </c>
      <c r="C1886" s="46">
        <f>IF(DAY(D1886)=DAY($L$1+1),1,C1885+1)</f>
        <v/>
      </c>
      <c r="D1886" s="2">
        <f>D1885+1</f>
        <v/>
      </c>
      <c r="E1886" s="8">
        <f>IF(DAY(D1886)=DAY($L$1+1),TRUNC((#REF!),8),E1885)</f>
        <v/>
      </c>
      <c r="F1886" s="49">
        <f>TRUNC(((1+VLOOKUP(A1886,IPCA!$A$2:$C$140,3,0)))^(C1886/(EDATE(D1886-C1886,1)-(D1886-C1886))),8)</f>
        <v/>
      </c>
      <c r="G1886" s="49">
        <f>TRUNC((E1886*F1886),8)</f>
        <v/>
      </c>
      <c r="H1886" s="49">
        <f>ROUND(((1+$H$4)^(30/360))^(C1886/(EDATE(D1886-B1886,1)-(D1886-B1886))),9)</f>
        <v/>
      </c>
      <c r="I1886" s="49">
        <f>TRUNC((G1886*H1886-G1886),8)</f>
        <v/>
      </c>
      <c r="J1886" s="49">
        <f>G1886+I1886</f>
        <v/>
      </c>
      <c r="K1886" s="256" t="n"/>
      <c r="L1886" s="256" t="n"/>
      <c r="M1886" s="256" t="n"/>
      <c r="N1886" s="256" t="n"/>
      <c r="O1886" s="256" t="n"/>
      <c r="P1886" s="256" t="n"/>
      <c r="Q1886" s="256" t="n"/>
    </row>
    <row r="1887">
      <c r="A1887">
        <f>IF(DAY(D1887)=DAY($L$1+1),A1886+1,A1886)</f>
        <v/>
      </c>
      <c r="B1887" s="46">
        <f>IF(DAY(D1887)=DAY($L$1+1),1,B1886+1)</f>
        <v/>
      </c>
      <c r="C1887" s="46">
        <f>IF(DAY(D1887)=DAY($L$1+1),1,C1886+1)</f>
        <v/>
      </c>
      <c r="D1887" s="2">
        <f>D1886+1</f>
        <v/>
      </c>
      <c r="E1887" s="8">
        <f>IF(DAY(D1887)=DAY($L$1+1),TRUNC((#REF!),8),E1886)</f>
        <v/>
      </c>
      <c r="F1887" s="49">
        <f>TRUNC(((1+VLOOKUP(A1887,IPCA!$A$2:$C$140,3,0)))^(C1887/(EDATE(D1887-C1887,1)-(D1887-C1887))),8)</f>
        <v/>
      </c>
      <c r="G1887" s="49">
        <f>TRUNC((E1887*F1887),8)</f>
        <v/>
      </c>
      <c r="H1887" s="49">
        <f>ROUND(((1+$H$4)^(30/360))^(C1887/(EDATE(D1887-B1887,1)-(D1887-B1887))),9)</f>
        <v/>
      </c>
      <c r="I1887" s="49">
        <f>TRUNC((G1887*H1887-G1887),8)</f>
        <v/>
      </c>
      <c r="J1887" s="49">
        <f>G1887+I1887</f>
        <v/>
      </c>
      <c r="K1887" s="256" t="n"/>
      <c r="L1887" s="256" t="n"/>
      <c r="M1887" s="256" t="n"/>
      <c r="N1887" s="256" t="n"/>
      <c r="O1887" s="256" t="n"/>
      <c r="P1887" s="256" t="n"/>
      <c r="Q1887" s="256" t="n"/>
    </row>
    <row r="1888">
      <c r="A1888">
        <f>IF(DAY(D1888)=DAY($L$1+1),A1887+1,A1887)</f>
        <v/>
      </c>
      <c r="B1888" s="46">
        <f>IF(DAY(D1888)=DAY($L$1+1),1,B1887+1)</f>
        <v/>
      </c>
      <c r="C1888" s="46">
        <f>IF(DAY(D1888)=DAY($L$1+1),1,C1887+1)</f>
        <v/>
      </c>
      <c r="D1888" s="2">
        <f>D1887+1</f>
        <v/>
      </c>
      <c r="E1888" s="8">
        <f>IF(DAY(D1888)=DAY($L$1+1),TRUNC((#REF!),8),E1887)</f>
        <v/>
      </c>
      <c r="F1888" s="49">
        <f>TRUNC(((1+VLOOKUP(A1888,IPCA!$A$2:$C$140,3,0)))^(C1888/(EDATE(D1888-C1888,1)-(D1888-C1888))),8)</f>
        <v/>
      </c>
      <c r="G1888" s="49">
        <f>TRUNC((E1888*F1888),8)</f>
        <v/>
      </c>
      <c r="H1888" s="49">
        <f>ROUND(((1+$H$4)^(30/360))^(C1888/(EDATE(D1888-B1888,1)-(D1888-B1888))),9)</f>
        <v/>
      </c>
      <c r="I1888" s="49">
        <f>TRUNC((G1888*H1888-G1888),8)</f>
        <v/>
      </c>
      <c r="J1888" s="49">
        <f>G1888+I1888</f>
        <v/>
      </c>
      <c r="K1888" s="256" t="n"/>
      <c r="L1888" s="256" t="n"/>
      <c r="M1888" s="256" t="n"/>
      <c r="N1888" s="256" t="n"/>
      <c r="O1888" s="256" t="n"/>
      <c r="P1888" s="256" t="n"/>
      <c r="Q1888" s="256" t="n"/>
    </row>
    <row r="1889">
      <c r="A1889">
        <f>IF(DAY(D1889)=DAY($L$1+1),A1888+1,A1888)</f>
        <v/>
      </c>
      <c r="B1889" s="46">
        <f>IF(DAY(D1889)=DAY($L$1+1),1,B1888+1)</f>
        <v/>
      </c>
      <c r="C1889" s="46">
        <f>IF(DAY(D1889)=DAY($L$1+1),1,C1888+1)</f>
        <v/>
      </c>
      <c r="D1889" s="2">
        <f>D1888+1</f>
        <v/>
      </c>
      <c r="E1889" s="8">
        <f>IF(DAY(D1889)=DAY($L$1+1),TRUNC((N1888),8),E1888)</f>
        <v/>
      </c>
      <c r="F1889" s="49">
        <f>TRUNC(((1+VLOOKUP(A1889,IPCA!$A$2:$C$140,3,0)))^(C1889/(EDATE(D1889-C1889,1)-(D1889-C1889))),8)</f>
        <v/>
      </c>
      <c r="G1889" s="49">
        <f>TRUNC((E1889*F1889),8)</f>
        <v/>
      </c>
      <c r="H1889" s="49">
        <f>ROUND(((1+$H$4)^(30/360))^(C1889/(EDATE(D1889-B1889,1)-(D1889-B1889))),9)</f>
        <v/>
      </c>
      <c r="I1889" s="49">
        <f>TRUNC((G1889*H1889-G1889),8)</f>
        <v/>
      </c>
      <c r="J1889" s="49">
        <f>G1889+I1889</f>
        <v/>
      </c>
      <c r="K1889" s="256" t="n"/>
      <c r="L1889" s="256" t="n"/>
      <c r="M1889" s="256" t="n"/>
      <c r="N1889" s="256" t="n"/>
      <c r="O1889" s="256" t="n"/>
      <c r="P1889" s="256" t="n"/>
      <c r="Q1889" s="256" t="n"/>
    </row>
    <row r="1890">
      <c r="A1890">
        <f>IF(DAY(D1890)=DAY($L$1+1),A1889+1,A1889)</f>
        <v/>
      </c>
      <c r="B1890" s="46">
        <f>IF(DAY(D1890)=DAY($L$1+1),1,B1889+1)</f>
        <v/>
      </c>
      <c r="C1890" s="46">
        <f>IF(DAY(D1890)=DAY($L$1+1),1,C1889+1)</f>
        <v/>
      </c>
      <c r="D1890" s="2">
        <f>D1889+1</f>
        <v/>
      </c>
      <c r="E1890" s="8">
        <f>IF(DAY(D1890)=DAY($L$1+1),TRUNC((N1889),8),E1889)</f>
        <v/>
      </c>
      <c r="F1890" s="49">
        <f>TRUNC(((1+VLOOKUP(A1890,IPCA!$A$2:$C$140,3,0)))^(C1890/(EDATE(D1890-C1890,1)-(D1890-C1890))),8)</f>
        <v/>
      </c>
      <c r="G1890" s="49">
        <f>TRUNC((E1890*F1890),8)</f>
        <v/>
      </c>
      <c r="H1890" s="49">
        <f>ROUND(((1+$H$4)^(30/360))^(C1890/(EDATE(D1890-B1890,1)-(D1890-B1890))),9)</f>
        <v/>
      </c>
      <c r="I1890" s="49">
        <f>TRUNC((G1890*H1890-G1890),8)</f>
        <v/>
      </c>
      <c r="J1890" s="49">
        <f>G1890+I1890</f>
        <v/>
      </c>
      <c r="K1890" s="256" t="n"/>
      <c r="L1890" s="256" t="n"/>
      <c r="M1890" s="256" t="n"/>
      <c r="N1890" s="256" t="n"/>
      <c r="O1890" s="256" t="n"/>
      <c r="P1890" s="256" t="n"/>
      <c r="Q1890" s="256" t="n"/>
    </row>
    <row r="1891">
      <c r="A1891">
        <f>IF(DAY(D1891)=DAY($L$1+1),A1890+1,A1890)</f>
        <v/>
      </c>
      <c r="B1891" s="46">
        <f>IF(DAY(D1891)=DAY($L$1+1),1,B1890+1)</f>
        <v/>
      </c>
      <c r="C1891" s="46">
        <f>IF(DAY(D1891)=DAY($L$1+1),1,C1890+1)</f>
        <v/>
      </c>
      <c r="D1891" s="2">
        <f>D1890+1</f>
        <v/>
      </c>
      <c r="E1891" s="8">
        <f>IF(DAY(D1891)=DAY($L$1+1),TRUNC((N1890),8),E1890)</f>
        <v/>
      </c>
      <c r="F1891" s="49">
        <f>TRUNC(((1+VLOOKUP(A1891,IPCA!$A$2:$C$140,3,0)))^(C1891/(EDATE(D1891-C1891,1)-(D1891-C1891))),8)</f>
        <v/>
      </c>
      <c r="G1891" s="49">
        <f>TRUNC((E1891*F1891),8)</f>
        <v/>
      </c>
      <c r="H1891" s="49">
        <f>ROUND(((1+$H$4)^(30/360))^(C1891/(EDATE(D1891-B1891,1)-(D1891-B1891))),9)</f>
        <v/>
      </c>
      <c r="I1891" s="49">
        <f>TRUNC((G1891*H1891-G1891),8)</f>
        <v/>
      </c>
      <c r="J1891" s="49">
        <f>G1891+I1891</f>
        <v/>
      </c>
      <c r="K1891" s="256" t="n"/>
      <c r="L1891" s="256" t="n"/>
      <c r="M1891" s="256" t="n"/>
      <c r="N1891" s="256" t="n"/>
      <c r="O1891" s="256" t="n"/>
      <c r="P1891" s="256" t="n"/>
      <c r="Q1891" s="256" t="n"/>
    </row>
    <row r="1892">
      <c r="A1892">
        <f>IF(DAY(D1892)=DAY($L$1+1),A1891+1,A1891)</f>
        <v/>
      </c>
      <c r="B1892" s="46">
        <f>IF(DAY(D1892)=DAY($L$1+1),1,B1891+1)</f>
        <v/>
      </c>
      <c r="C1892" s="46">
        <f>IF(DAY(D1892)=DAY($L$1+1),1,C1891+1)</f>
        <v/>
      </c>
      <c r="D1892" s="2">
        <f>D1891+1</f>
        <v/>
      </c>
      <c r="E1892" s="8">
        <f>IF(DAY(D1892)=DAY($L$1+1),TRUNC((N1891),8),E1891)</f>
        <v/>
      </c>
      <c r="F1892" s="49">
        <f>TRUNC(((1+VLOOKUP(A1892,IPCA!$A$2:$C$140,3,0)))^(C1892/(EDATE(D1892-C1892,1)-(D1892-C1892))),8)</f>
        <v/>
      </c>
      <c r="G1892" s="49">
        <f>TRUNC((E1892*F1892),8)</f>
        <v/>
      </c>
      <c r="H1892" s="49">
        <f>ROUND(((1+$H$4)^(30/360))^(C1892/(EDATE(D1892-B1892,1)-(D1892-B1892))),9)</f>
        <v/>
      </c>
      <c r="I1892" s="49">
        <f>TRUNC((G1892*H1892-G1892),8)</f>
        <v/>
      </c>
      <c r="J1892" s="49">
        <f>G1892+I1892</f>
        <v/>
      </c>
      <c r="K1892" s="123" t="n"/>
      <c r="L1892" s="271" t="n"/>
      <c r="M1892" s="256" t="n"/>
      <c r="N1892" s="256" t="n"/>
      <c r="O1892" s="256" t="n"/>
      <c r="P1892" s="256" t="n"/>
      <c r="Q1892" s="256" t="n"/>
    </row>
    <row r="1893">
      <c r="A1893">
        <f>IF(DAY(D1893)=DAY($L$1+1),A1892+1,A1892)</f>
        <v/>
      </c>
      <c r="B1893" s="46">
        <f>IF(DAY(D1893)=DAY($L$1+1),1,B1892+1)</f>
        <v/>
      </c>
      <c r="C1893" s="46">
        <f>IF(DAY(D1893)=DAY($L$1+1),1,C1892+1)</f>
        <v/>
      </c>
      <c r="D1893" s="2">
        <f>D1892+1</f>
        <v/>
      </c>
      <c r="E1893" s="8">
        <f>IF(DAY(D1893)=DAY($L$1+1),TRUNC((N1892),8),E1892)</f>
        <v/>
      </c>
      <c r="F1893" s="49">
        <f>TRUNC(((1+VLOOKUP(A1893,IPCA!$A$2:$C$140,3,0)))^(C1893/(EDATE(D1893-C1893,1)-(D1893-C1893))),8)</f>
        <v/>
      </c>
      <c r="G1893" s="49">
        <f>TRUNC((E1893*F1893),8)</f>
        <v/>
      </c>
      <c r="H1893" s="49">
        <f>ROUND(((1+$H$4)^(30/360))^(C1893/(EDATE(D1893-B1893,1)-(D1893-B1893))),9)</f>
        <v/>
      </c>
      <c r="I1893" s="49">
        <f>TRUNC((G1893*H1893-G1893),8)</f>
        <v/>
      </c>
      <c r="J1893" s="49">
        <f>G1893+I1893</f>
        <v/>
      </c>
      <c r="K1893" s="256" t="n"/>
      <c r="L1893" s="256" t="n"/>
      <c r="M1893" s="256" t="n"/>
      <c r="N1893" s="256" t="n"/>
      <c r="O1893" s="256" t="n"/>
      <c r="P1893" s="256" t="n"/>
      <c r="Q1893" s="256" t="n"/>
    </row>
    <row r="1894">
      <c r="A1894">
        <f>IF(DAY(D1894)=DAY($L$1+1),A1893+1,A1893)</f>
        <v/>
      </c>
      <c r="B1894" s="46">
        <f>IF(DAY(D1894)=DAY($L$1+1),1,B1893+1)</f>
        <v/>
      </c>
      <c r="C1894" s="46">
        <f>IF(DAY(D1894)=DAY($L$1+1),1,C1893+1)</f>
        <v/>
      </c>
      <c r="D1894" s="2">
        <f>D1893+1</f>
        <v/>
      </c>
      <c r="E1894" s="8">
        <f>IF(DAY(D1894)=DAY($L$1+1),TRUNC((N1893),8),E1893)</f>
        <v/>
      </c>
      <c r="F1894" s="49">
        <f>TRUNC(((1+VLOOKUP(A1894,IPCA!$A$2:$C$140,3,0)))^(C1894/(EDATE(D1894-C1894,1)-(D1894-C1894))),8)</f>
        <v/>
      </c>
      <c r="G1894" s="49">
        <f>TRUNC((E1894*F1894),8)</f>
        <v/>
      </c>
      <c r="H1894" s="49">
        <f>ROUND(((1+$H$4)^(30/360))^(C1894/(EDATE(D1894-B1894,1)-(D1894-B1894))),9)</f>
        <v/>
      </c>
      <c r="I1894" s="49">
        <f>TRUNC((G1894*H1894-G1894),8)</f>
        <v/>
      </c>
      <c r="J1894" s="49">
        <f>G1894+I1894</f>
        <v/>
      </c>
      <c r="K1894" s="256" t="n"/>
      <c r="L1894" s="256" t="n"/>
      <c r="M1894" s="256" t="n"/>
      <c r="N1894" s="256" t="n"/>
      <c r="O1894" s="256" t="n"/>
      <c r="P1894" s="256" t="n"/>
      <c r="Q1894" s="256" t="n"/>
    </row>
    <row r="1895">
      <c r="A1895">
        <f>IF(DAY(D1895)=DAY($L$1+1),A1894+1,A1894)</f>
        <v/>
      </c>
      <c r="B1895" s="46">
        <f>IF(DAY(D1895)=DAY($L$1+1),1,B1894+1)</f>
        <v/>
      </c>
      <c r="C1895" s="46">
        <f>IF(DAY(D1895)=DAY($L$1+1),1,C1894+1)</f>
        <v/>
      </c>
      <c r="D1895" s="2">
        <f>D1894+1</f>
        <v/>
      </c>
      <c r="E1895" s="8">
        <f>IF(DAY(D1895)=DAY($L$1+1),TRUNC((N1894),8),E1894)</f>
        <v/>
      </c>
      <c r="F1895" s="49">
        <f>TRUNC(((1+VLOOKUP(A1895,IPCA!$A$2:$C$140,3,0)))^(C1895/(EDATE(D1895-C1895,1)-(D1895-C1895))),8)</f>
        <v/>
      </c>
      <c r="G1895" s="49">
        <f>TRUNC((E1895*F1895),8)</f>
        <v/>
      </c>
      <c r="H1895" s="49">
        <f>ROUND(((1+$H$4)^(30/360))^(C1895/(EDATE(D1895-B1895,1)-(D1895-B1895))),9)</f>
        <v/>
      </c>
      <c r="I1895" s="49">
        <f>TRUNC((G1895*H1895-G1895),8)</f>
        <v/>
      </c>
      <c r="J1895" s="49">
        <f>G1895+I1895</f>
        <v/>
      </c>
      <c r="K1895" s="256" t="n"/>
      <c r="L1895" s="256" t="n"/>
      <c r="M1895" s="256" t="n"/>
      <c r="N1895" s="256" t="n"/>
      <c r="O1895" s="256" t="n"/>
      <c r="P1895" s="256" t="n"/>
      <c r="Q1895" s="256" t="n"/>
    </row>
    <row r="1896">
      <c r="A1896">
        <f>IF(DAY(D1896)=DAY($L$1+1),A1895+1,A1895)</f>
        <v/>
      </c>
      <c r="B1896" s="46">
        <f>IF(DAY(D1896)=DAY($L$1+1),1,B1895+1)</f>
        <v/>
      </c>
      <c r="C1896" s="46">
        <f>IF(DAY(D1896)=DAY($L$1+1),1,C1895+1)</f>
        <v/>
      </c>
      <c r="D1896" s="2">
        <f>D1895+1</f>
        <v/>
      </c>
      <c r="E1896" s="8">
        <f>IF(DAY(D1896)=DAY($L$1+1),TRUNC((N1895),8),E1895)</f>
        <v/>
      </c>
      <c r="F1896" s="49">
        <f>TRUNC(((1+VLOOKUP(A1896,IPCA!$A$2:$C$140,3,0)))^(C1896/(EDATE(D1896-C1896,1)-(D1896-C1896))),8)</f>
        <v/>
      </c>
      <c r="G1896" s="49">
        <f>TRUNC((E1896*F1896),8)</f>
        <v/>
      </c>
      <c r="H1896" s="49">
        <f>ROUND(((1+$H$4)^(30/360))^(C1896/(EDATE(D1896-B1896,1)-(D1896-B1896))),9)</f>
        <v/>
      </c>
      <c r="I1896" s="49">
        <f>TRUNC((G1896*H1896-G1896),8)</f>
        <v/>
      </c>
      <c r="J1896" s="49">
        <f>G1896+I1896</f>
        <v/>
      </c>
      <c r="K1896" s="256" t="n"/>
      <c r="L1896" s="256" t="n"/>
      <c r="M1896" s="256" t="n"/>
      <c r="N1896" s="256" t="n"/>
      <c r="O1896" s="256" t="n"/>
      <c r="P1896" s="256" t="n"/>
      <c r="Q1896" s="256" t="n"/>
    </row>
    <row r="1897">
      <c r="A1897">
        <f>IF(DAY(D1897)=DAY($L$1+1),A1896+1,A1896)</f>
        <v/>
      </c>
      <c r="B1897" s="46">
        <f>IF(DAY(D1897)=DAY($L$1+1),1,B1896+1)</f>
        <v/>
      </c>
      <c r="C1897" s="46">
        <f>IF(DAY(D1897)=DAY($L$1+1),1,C1896+1)</f>
        <v/>
      </c>
      <c r="D1897" s="2">
        <f>D1896+1</f>
        <v/>
      </c>
      <c r="E1897" s="8">
        <f>IF(DAY(D1897)=DAY($L$1+1),TRUNC((N1896),8),E1896)</f>
        <v/>
      </c>
      <c r="F1897" s="49">
        <f>TRUNC(((1+VLOOKUP(A1897,IPCA!$A$2:$C$140,3,0)))^(C1897/(EDATE(D1897-C1897,1)-(D1897-C1897))),8)</f>
        <v/>
      </c>
      <c r="G1897" s="49">
        <f>TRUNC((E1897*F1897),8)</f>
        <v/>
      </c>
      <c r="H1897" s="49">
        <f>ROUND(((1+$H$4)^(30/360))^(C1897/(EDATE(D1897-B1897,1)-(D1897-B1897))),9)</f>
        <v/>
      </c>
      <c r="I1897" s="49">
        <f>TRUNC((G1897*H1897-G1897),8)</f>
        <v/>
      </c>
      <c r="J1897" s="49">
        <f>G1897+I1897</f>
        <v/>
      </c>
      <c r="K1897" s="256" t="n"/>
      <c r="L1897" s="256" t="n"/>
      <c r="M1897" s="256" t="n"/>
      <c r="N1897" s="256" t="n"/>
      <c r="O1897" s="256" t="n"/>
      <c r="P1897" s="256" t="n"/>
      <c r="Q1897" s="256" t="n"/>
    </row>
    <row r="1898">
      <c r="A1898">
        <f>IF(DAY(D1898)=DAY($L$1+1),A1897+1,A1897)</f>
        <v/>
      </c>
      <c r="B1898" s="46">
        <f>IF(DAY(D1898)=DAY($L$1+1),1,B1897+1)</f>
        <v/>
      </c>
      <c r="C1898" s="46">
        <f>IF(DAY(D1898)=DAY($L$1+1),1,C1897+1)</f>
        <v/>
      </c>
      <c r="D1898" s="2">
        <f>D1897+1</f>
        <v/>
      </c>
      <c r="E1898" s="8">
        <f>IF(DAY(D1898)=DAY($L$1+1),TRUNC((N1897),8),E1897)</f>
        <v/>
      </c>
      <c r="F1898" s="49">
        <f>TRUNC(((1+VLOOKUP(A1898,IPCA!$A$2:$C$140,3,0)))^(C1898/(EDATE(D1898-C1898,1)-(D1898-C1898))),8)</f>
        <v/>
      </c>
      <c r="G1898" s="49">
        <f>TRUNC((E1898*F1898),8)</f>
        <v/>
      </c>
      <c r="H1898" s="49">
        <f>ROUND(((1+$H$4)^(30/360))^(C1898/(EDATE(D1898-B1898,1)-(D1898-B1898))),9)</f>
        <v/>
      </c>
      <c r="I1898" s="49">
        <f>TRUNC((G1898*H1898-G1898),8)</f>
        <v/>
      </c>
      <c r="J1898" s="49">
        <f>G1898+I1898</f>
        <v/>
      </c>
      <c r="K1898" s="256" t="n"/>
      <c r="L1898" s="256" t="n"/>
      <c r="M1898" s="256" t="n"/>
      <c r="N1898" s="256" t="n"/>
      <c r="O1898" s="256" t="n"/>
      <c r="P1898" s="256" t="n"/>
      <c r="Q1898" s="256" t="n"/>
    </row>
    <row r="1899">
      <c r="A1899">
        <f>IF(DAY(D1899)=DAY($L$1+1),A1898+1,A1898)</f>
        <v/>
      </c>
      <c r="B1899" s="46">
        <f>IF(DAY(D1899)=DAY($L$1+1),1,B1898+1)</f>
        <v/>
      </c>
      <c r="C1899" s="46">
        <f>IF(DAY(D1899)=DAY($L$1+1),1,C1898+1)</f>
        <v/>
      </c>
      <c r="D1899" s="2">
        <f>D1898+1</f>
        <v/>
      </c>
      <c r="E1899" s="8">
        <f>IF(DAY(D1899)=DAY($L$1+1),TRUNC((N1898),8),E1898)</f>
        <v/>
      </c>
      <c r="F1899" s="49">
        <f>TRUNC(((1+VLOOKUP(A1899,IPCA!$A$2:$C$140,3,0)))^(C1899/(EDATE(D1899-C1899,1)-(D1899-C1899))),8)</f>
        <v/>
      </c>
      <c r="G1899" s="49">
        <f>TRUNC((E1899*F1899),8)</f>
        <v/>
      </c>
      <c r="H1899" s="49">
        <f>ROUND(((1+$H$4)^(30/360))^(C1899/(EDATE(D1899-B1899,1)-(D1899-B1899))),9)</f>
        <v/>
      </c>
      <c r="I1899" s="49">
        <f>TRUNC((G1899*H1899-G1899),8)</f>
        <v/>
      </c>
      <c r="J1899" s="49">
        <f>G1899+I1899</f>
        <v/>
      </c>
      <c r="K1899" s="256" t="n"/>
      <c r="L1899" s="256" t="n"/>
      <c r="M1899" s="256" t="n"/>
      <c r="N1899" s="256" t="n"/>
      <c r="O1899" s="256" t="n"/>
      <c r="P1899" s="256" t="n"/>
      <c r="Q1899" s="256" t="n"/>
    </row>
    <row r="1900">
      <c r="A1900">
        <f>IF(DAY(D1900)=DAY($L$1+1),A1899+1,A1899)</f>
        <v/>
      </c>
      <c r="B1900" s="46">
        <f>IF(DAY(D1900)=DAY($L$1+1),1,B1899+1)</f>
        <v/>
      </c>
      <c r="C1900" s="46">
        <f>IF(DAY(D1900)=DAY($L$1+1),1,C1899+1)</f>
        <v/>
      </c>
      <c r="D1900" s="2">
        <f>D1899+1</f>
        <v/>
      </c>
      <c r="E1900" s="8">
        <f>IF(DAY(D1900)=DAY($L$1+1),TRUNC((N1899),8),E1899)</f>
        <v/>
      </c>
      <c r="F1900" s="49">
        <f>TRUNC(((1+VLOOKUP(A1900,IPCA!$A$2:$C$140,3,0)))^(C1900/(EDATE(D1900-C1900,1)-(D1900-C1900))),8)</f>
        <v/>
      </c>
      <c r="G1900" s="49">
        <f>TRUNC((E1900*F1900),8)</f>
        <v/>
      </c>
      <c r="H1900" s="49">
        <f>ROUND(((1+$H$4)^(30/360))^(C1900/(EDATE(D1900-B1900,1)-(D1900-B1900))),9)</f>
        <v/>
      </c>
      <c r="I1900" s="49">
        <f>TRUNC((G1900*H1900-G1900),8)</f>
        <v/>
      </c>
      <c r="J1900" s="49">
        <f>G1900+I1900</f>
        <v/>
      </c>
      <c r="K1900" s="256" t="n"/>
      <c r="L1900" s="256" t="n"/>
      <c r="M1900" s="256" t="n"/>
      <c r="N1900" s="256" t="n"/>
      <c r="O1900" s="256" t="n"/>
      <c r="P1900" s="256" t="n"/>
      <c r="Q1900" s="256" t="n"/>
    </row>
    <row r="1901">
      <c r="A1901">
        <f>IF(DAY(D1901)=DAY($L$1+1),A1900+1,A1900)</f>
        <v/>
      </c>
      <c r="B1901" s="46">
        <f>IF(DAY(D1901)=DAY($L$1+1),1,B1900+1)</f>
        <v/>
      </c>
      <c r="C1901" s="46">
        <f>IF(DAY(D1901)=DAY($L$1+1),1,C1900+1)</f>
        <v/>
      </c>
      <c r="D1901" s="2">
        <f>D1900+1</f>
        <v/>
      </c>
      <c r="E1901" s="8">
        <f>IF(DAY(D1901)=DAY($L$1+1),TRUNC((N1900),8),E1900)</f>
        <v/>
      </c>
      <c r="F1901" s="49">
        <f>TRUNC(((1+VLOOKUP(A1901,IPCA!$A$2:$C$140,3,0)))^(C1901/(EDATE(D1901-C1901,1)-(D1901-C1901))),8)</f>
        <v/>
      </c>
      <c r="G1901" s="49">
        <f>TRUNC((E1901*F1901),8)</f>
        <v/>
      </c>
      <c r="H1901" s="49">
        <f>ROUND(((1+$H$4)^(30/360))^(C1901/(EDATE(D1901-B1901,1)-(D1901-B1901))),9)</f>
        <v/>
      </c>
      <c r="I1901" s="49">
        <f>TRUNC((G1901*H1901-G1901),8)</f>
        <v/>
      </c>
      <c r="J1901" s="49">
        <f>G1901+I1901</f>
        <v/>
      </c>
      <c r="K1901" s="256" t="n"/>
      <c r="L1901" s="256" t="n"/>
      <c r="M1901" s="256" t="n"/>
      <c r="N1901" s="256" t="n"/>
      <c r="O1901" s="256" t="n"/>
      <c r="P1901" s="256" t="n"/>
      <c r="Q1901" s="256" t="n"/>
    </row>
    <row r="1902">
      <c r="A1902">
        <f>IF(DAY(D1902)=DAY($L$1+1),A1901+1,A1901)</f>
        <v/>
      </c>
      <c r="B1902" s="46">
        <f>IF(DAY(D1902)=DAY($L$1+1),1,B1901+1)</f>
        <v/>
      </c>
      <c r="C1902" s="46">
        <f>IF(DAY(D1902)=DAY($L$1+1),1,C1901+1)</f>
        <v/>
      </c>
      <c r="D1902" s="2">
        <f>D1901+1</f>
        <v/>
      </c>
      <c r="E1902" s="8">
        <f>IF(DAY(D1902)=DAY($L$1+1),TRUNC((N1901),8),E1901)</f>
        <v/>
      </c>
      <c r="F1902" s="49">
        <f>TRUNC(((1+VLOOKUP(A1902,IPCA!$A$2:$C$140,3,0)))^(C1902/(EDATE(D1902-C1902,1)-(D1902-C1902))),8)</f>
        <v/>
      </c>
      <c r="G1902" s="49">
        <f>TRUNC((E1902*F1902),8)</f>
        <v/>
      </c>
      <c r="H1902" s="49">
        <f>ROUND(((1+$H$4)^(30/360))^(C1902/(EDATE(D1902-B1902,1)-(D1902-B1902))),9)</f>
        <v/>
      </c>
      <c r="I1902" s="49">
        <f>TRUNC((G1902*H1902-G1902),8)</f>
        <v/>
      </c>
      <c r="J1902" s="49">
        <f>G1902+I1902</f>
        <v/>
      </c>
      <c r="K1902" s="256" t="n"/>
      <c r="L1902" s="256" t="n"/>
      <c r="M1902" s="256" t="n"/>
      <c r="N1902" s="256" t="n"/>
      <c r="O1902" s="256" t="n"/>
      <c r="P1902" s="256" t="n"/>
      <c r="Q1902" s="256" t="n"/>
    </row>
    <row r="1903">
      <c r="A1903">
        <f>IF(DAY(D1903)=DAY($L$1+1),A1902+1,A1902)</f>
        <v/>
      </c>
      <c r="B1903" s="46">
        <f>IF(DAY(D1903)=DAY($L$1+1),1,B1902+1)</f>
        <v/>
      </c>
      <c r="C1903" s="46">
        <f>IF(DAY(D1903)=DAY($L$1+1),1,C1902+1)</f>
        <v/>
      </c>
      <c r="D1903" s="2">
        <f>D1902+1</f>
        <v/>
      </c>
      <c r="E1903" s="8">
        <f>IF(DAY(D1903)=DAY($L$1+1),TRUNC((N1902),8),E1902)</f>
        <v/>
      </c>
      <c r="F1903" s="49">
        <f>TRUNC(((1+VLOOKUP(A1903,IPCA!$A$2:$C$140,3,0)))^(C1903/(EDATE(D1903-C1903,1)-(D1903-C1903))),8)</f>
        <v/>
      </c>
      <c r="G1903" s="49">
        <f>TRUNC((E1903*F1903),8)</f>
        <v/>
      </c>
      <c r="H1903" s="49">
        <f>ROUND(((1+$H$4)^(30/360))^(C1903/(EDATE(D1903-B1903,1)-(D1903-B1903))),9)</f>
        <v/>
      </c>
      <c r="I1903" s="49">
        <f>TRUNC((G1903*H1903-G1903),8)</f>
        <v/>
      </c>
      <c r="J1903" s="49">
        <f>G1903+I1903</f>
        <v/>
      </c>
      <c r="K1903" s="256" t="n"/>
      <c r="L1903" s="256" t="n"/>
      <c r="M1903" s="256" t="n"/>
      <c r="N1903" s="256" t="n"/>
      <c r="O1903" s="256" t="n"/>
      <c r="P1903" s="256" t="n"/>
      <c r="Q1903" s="256" t="n"/>
    </row>
    <row r="1904">
      <c r="A1904">
        <f>IF(DAY(D1904)=DAY($L$1+1),A1903+1,A1903)</f>
        <v/>
      </c>
      <c r="B1904" s="46">
        <f>IF(DAY(D1904)=DAY($L$1+1),1,B1903+1)</f>
        <v/>
      </c>
      <c r="C1904" s="46">
        <f>IF(DAY(D1904)=DAY($L$1+1),1,C1903+1)</f>
        <v/>
      </c>
      <c r="D1904" s="2">
        <f>D1903+1</f>
        <v/>
      </c>
      <c r="E1904" s="8">
        <f>IF(DAY(D1904)=DAY($L$1+1),TRUNC((N1903),8),E1903)</f>
        <v/>
      </c>
      <c r="F1904" s="49">
        <f>TRUNC(((1+VLOOKUP(A1904,IPCA!$A$2:$C$140,3,0)))^(C1904/(EDATE(D1904-C1904,1)-(D1904-C1904))),8)</f>
        <v/>
      </c>
      <c r="G1904" s="49">
        <f>TRUNC((E1904*F1904),8)</f>
        <v/>
      </c>
      <c r="H1904" s="49">
        <f>ROUND(((1+$H$4)^(30/360))^(C1904/(EDATE(D1904-B1904,1)-(D1904-B1904))),9)</f>
        <v/>
      </c>
      <c r="I1904" s="49">
        <f>TRUNC((G1904*H1904-G1904),8)</f>
        <v/>
      </c>
      <c r="J1904" s="49">
        <f>G1904+I1904</f>
        <v/>
      </c>
      <c r="K1904" s="256" t="n"/>
      <c r="L1904" s="256" t="n"/>
      <c r="M1904" s="256" t="n"/>
      <c r="N1904" s="256" t="n"/>
      <c r="O1904" s="256" t="n"/>
      <c r="P1904" s="256" t="n"/>
      <c r="Q1904" s="256" t="n"/>
    </row>
    <row r="1905">
      <c r="A1905">
        <f>IF(DAY(D1905)=DAY($L$1+1),A1904+1,A1904)</f>
        <v/>
      </c>
      <c r="B1905" s="46">
        <f>IF(DAY(D1905)=DAY($L$1+1),1,B1904+1)</f>
        <v/>
      </c>
      <c r="C1905" s="46">
        <f>IF(DAY(D1905)=DAY($L$1+1),1,C1904+1)</f>
        <v/>
      </c>
      <c r="D1905" s="2">
        <f>D1904+1</f>
        <v/>
      </c>
      <c r="E1905" s="8">
        <f>IF(DAY(D1905)=DAY($L$1+1),TRUNC((N1904),8),E1904)</f>
        <v/>
      </c>
      <c r="F1905" s="49">
        <f>TRUNC(((1+VLOOKUP(A1905,IPCA!$A$2:$C$140,3,0)))^(C1905/(EDATE(D1905-C1905,1)-(D1905-C1905))),8)</f>
        <v/>
      </c>
      <c r="G1905" s="49">
        <f>TRUNC((E1905*F1905),8)</f>
        <v/>
      </c>
      <c r="H1905" s="49">
        <f>ROUND(((1+$H$4)^(30/360))^(C1905/(EDATE(D1905-B1905,1)-(D1905-B1905))),9)</f>
        <v/>
      </c>
      <c r="I1905" s="49">
        <f>TRUNC((G1905*H1905-G1905),8)</f>
        <v/>
      </c>
      <c r="J1905" s="49">
        <f>G1905+I1905</f>
        <v/>
      </c>
      <c r="K1905" s="256" t="inlineStr">
        <is>
          <t>Cri Integralizado</t>
        </is>
      </c>
      <c r="L1905" s="270">
        <f>L1874</f>
        <v/>
      </c>
      <c r="M1905" s="256" t="n"/>
      <c r="N1905" s="256" t="n"/>
      <c r="O1905" s="256" t="n"/>
      <c r="P1905" s="256" t="n"/>
      <c r="Q1905" s="256" t="n"/>
    </row>
    <row r="1906">
      <c r="A1906">
        <f>IF(DAY(D1906)=DAY($L$1+1),A1905+1,A1905)</f>
        <v/>
      </c>
      <c r="B1906" s="46">
        <f>IF(DAY(D1906)=DAY($L$1+1),1,B1905+1)</f>
        <v/>
      </c>
      <c r="C1906" s="46">
        <f>IF(DAY(D1906)=DAY($L$1+1),1,C1905+1)</f>
        <v/>
      </c>
      <c r="D1906" s="47">
        <f>D1905+1</f>
        <v/>
      </c>
      <c r="E1906" s="8">
        <f>IF(DAY(D1906)=DAY($L$1+1),TRUNC((N1905),8),E1905)</f>
        <v/>
      </c>
      <c r="F1906" s="49">
        <f>TRUNC(((1+VLOOKUP(A1906,IPCA!$A$2:$C$140,3,0)))^(C1906/(EDATE(D1906-C1906,1)-(D1906-C1906))),8)</f>
        <v/>
      </c>
      <c r="G1906" s="49">
        <f>TRUNC((E1906*F1906),8)</f>
        <v/>
      </c>
      <c r="H1906" s="49">
        <f>ROUND(((1+$H$4)^(30/360))^(C1906/(EDATE(D1906-B1906,1)-(D1906-B1906))),9)</f>
        <v/>
      </c>
      <c r="I1906" s="49">
        <f>TRUNC((G1906*H1906-G1906),8)</f>
        <v/>
      </c>
      <c r="J1906" s="49">
        <f>G1906+I1906</f>
        <v/>
      </c>
      <c r="K1906" s="118" t="inlineStr">
        <is>
          <t>JUROS</t>
        </is>
      </c>
      <c r="L1906" s="118" t="inlineStr">
        <is>
          <t>AMORTIZAÇÃO</t>
        </is>
      </c>
      <c r="M1906" s="118" t="inlineStr">
        <is>
          <t>AMEX</t>
        </is>
      </c>
      <c r="N1906" s="118" t="inlineStr">
        <is>
          <t>RESIDUAL</t>
        </is>
      </c>
      <c r="O1906" s="256" t="n"/>
      <c r="P1906" s="256" t="n"/>
      <c r="Q1906" s="256" t="n"/>
    </row>
    <row r="1907">
      <c r="A1907">
        <f>IF(DAY(D1907)=DAY($L$1+1),A1906+1,A1906)</f>
        <v/>
      </c>
      <c r="B1907" s="111">
        <f>IF(DAY(D1907)=DAY($L$1+1),1,B1906+1)</f>
        <v/>
      </c>
      <c r="C1907" s="111">
        <f>IF(DAY(D1907)=DAY($L$1+1),1,C1906+1)</f>
        <v/>
      </c>
      <c r="D1907" s="112">
        <f>D1906+1</f>
        <v/>
      </c>
      <c r="E1907" s="113">
        <f>IF(DAY(D1907)=DAY($L$1+1),TRUNC((N1906),8),E1906)</f>
        <v/>
      </c>
      <c r="F1907" s="114">
        <f>TRUNC(((1+VLOOKUP(A1907,IPCA!$A$2:$C$140,3,0)))^(C1907/(EDATE(D1907-C1907,1)-(D1907-C1907))),8)</f>
        <v/>
      </c>
      <c r="G1907" s="114">
        <f>TRUNC((E1907*F1907),8)</f>
        <v/>
      </c>
      <c r="H1907" s="114">
        <f>ROUND(((1+$H$4)^(30/360))^(C1907/(EDATE(D1907-B1907,1)-(D1907-B1907))),9)</f>
        <v/>
      </c>
      <c r="I1907" s="114">
        <f>TRUNC((G1907*H1907-G1907),8)</f>
        <v/>
      </c>
      <c r="J1907" s="114">
        <f>G1907+I1907</f>
        <v/>
      </c>
      <c r="K1907" s="119">
        <f>I1907</f>
        <v/>
      </c>
      <c r="L1907" s="120">
        <f>TRUNC(G1907*VLOOKUP(D1907,'Amort TS'!$G$3:$H$140,2,0),8)</f>
        <v/>
      </c>
      <c r="M1907" s="120" t="n">
        <v>0</v>
      </c>
      <c r="N1907" s="120">
        <f>J1907-K1907-L1907-M1907</f>
        <v/>
      </c>
      <c r="O1907" s="256" t="n"/>
      <c r="P1907" s="256" t="n"/>
      <c r="Q1907" s="256" t="n"/>
    </row>
    <row r="1908">
      <c r="A1908">
        <f>IF(DAY(D1908)=DAY($L$1+1),A1907+1,A1907)</f>
        <v/>
      </c>
      <c r="B1908" s="46">
        <f>IF(DAY(D1908)=DAY($L$1+1),1,B1907+1)</f>
        <v/>
      </c>
      <c r="C1908" s="46">
        <f>IF(DAY(D1908)=DAY($L$1+1),1,C1907+1)</f>
        <v/>
      </c>
      <c r="D1908" s="2">
        <f>D1907+1</f>
        <v/>
      </c>
      <c r="E1908" s="8">
        <f>IF(DAY(D1908)=DAY($L$1+1),TRUNC((N1907),8),E1907)</f>
        <v/>
      </c>
      <c r="F1908" s="49">
        <f>TRUNC(((1+VLOOKUP(A1908,IPCA!$A$2:$C$140,3,0)))^(C1908/(EDATE(D1908-C1908,1)-(D1908-C1908))),8)</f>
        <v/>
      </c>
      <c r="G1908" s="49">
        <f>TRUNC((E1908*F1908),8)</f>
        <v/>
      </c>
      <c r="H1908" s="49">
        <f>ROUND(((1+$H$4)^(30/360))^(C1908/(EDATE(D1908-B1908,1)-(D1908-B1908))),9)</f>
        <v/>
      </c>
      <c r="I1908" s="49">
        <f>TRUNC((G1908*H1908-G1908),8)</f>
        <v/>
      </c>
      <c r="J1908" s="49">
        <f>G1908+I1908</f>
        <v/>
      </c>
      <c r="K1908" s="121">
        <f>K1907*L1905</f>
        <v/>
      </c>
      <c r="L1908" s="121">
        <f>L1907*L1905</f>
        <v/>
      </c>
      <c r="M1908" s="121">
        <f>M1907*L1905</f>
        <v/>
      </c>
      <c r="N1908" s="121">
        <f>N1907*L1905</f>
        <v/>
      </c>
      <c r="O1908" s="256" t="n"/>
      <c r="P1908" s="256" t="n"/>
      <c r="Q1908" s="256" t="n"/>
    </row>
    <row r="1909">
      <c r="A1909">
        <f>IF(DAY(D1909)=DAY($L$1+1),A1908+1,A1908)</f>
        <v/>
      </c>
      <c r="B1909" s="46">
        <f>IF(DAY(D1909)=DAY($L$1+1),1,B1908+1)</f>
        <v/>
      </c>
      <c r="C1909" s="46">
        <f>IF(DAY(D1909)=DAY($L$1+1),1,C1908+1)</f>
        <v/>
      </c>
      <c r="D1909" s="47">
        <f>D1908+1</f>
        <v/>
      </c>
      <c r="E1909" s="8">
        <f>IF(DAY(D1909)=DAY($L$1+1),TRUNC((N1908),8),E1908)</f>
        <v/>
      </c>
      <c r="F1909" s="49">
        <f>TRUNC(((1+VLOOKUP(A1909,IPCA!$A$2:$C$140,3,0)))^(C1909/(EDATE(D1909-C1909,1)-(D1909-C1909))),8)</f>
        <v/>
      </c>
      <c r="G1909" s="49">
        <f>TRUNC((E1909*F1909),8)</f>
        <v/>
      </c>
      <c r="H1909" s="49">
        <f>ROUND(((1+$H$4)^(30/360))^(C1909/(EDATE(D1909-B1909,1)-(D1909-B1909))),9)</f>
        <v/>
      </c>
      <c r="I1909" s="49">
        <f>TRUNC((G1909*H1909-G1909),8)</f>
        <v/>
      </c>
      <c r="J1909" s="49">
        <f>G1909+I1909</f>
        <v/>
      </c>
      <c r="K1909" s="256" t="n"/>
      <c r="L1909" s="256" t="n"/>
      <c r="M1909" s="256" t="n"/>
      <c r="N1909" s="256" t="n"/>
      <c r="O1909" s="256" t="n"/>
      <c r="P1909" s="256" t="n"/>
      <c r="Q1909" s="256" t="n"/>
    </row>
    <row r="1910">
      <c r="A1910">
        <f>IF(DAY(D1910)=DAY($L$1+1),A1909+1,A1909)</f>
        <v/>
      </c>
      <c r="B1910" s="46">
        <f>IF(DAY(D1910)=DAY($L$1+1),1,B1909+1)</f>
        <v/>
      </c>
      <c r="C1910" s="46">
        <f>IF(DAY(D1910)=DAY($L$1+1),1,C1909+1)</f>
        <v/>
      </c>
      <c r="D1910" s="2">
        <f>D1909+1</f>
        <v/>
      </c>
      <c r="E1910" s="8">
        <f>IF(DAY(D1910)=DAY($L$1+1),TRUNC((#REF!),8),E1909)</f>
        <v/>
      </c>
      <c r="F1910" s="49">
        <f>TRUNC(((1+VLOOKUP(A1910,IPCA!$A$2:$C$140,3,0)))^(C1910/(EDATE(D1910-C1910,1)-(D1910-C1910))),8)</f>
        <v/>
      </c>
      <c r="G1910" s="49">
        <f>TRUNC((E1910*F1910),8)</f>
        <v/>
      </c>
      <c r="H1910" s="49">
        <f>ROUND(((1+$H$4)^(30/360))^(C1910/(EDATE(D1910-B1910,1)-(D1910-B1910))),9)</f>
        <v/>
      </c>
      <c r="I1910" s="49">
        <f>TRUNC((G1910*H1910-G1910),8)</f>
        <v/>
      </c>
      <c r="J1910" s="49">
        <f>G1910+I1910</f>
        <v/>
      </c>
      <c r="K1910" s="256" t="n"/>
      <c r="L1910" s="256" t="n"/>
      <c r="M1910" s="256" t="n"/>
      <c r="N1910" s="256" t="n"/>
      <c r="O1910" s="256" t="n"/>
      <c r="P1910" s="256" t="n"/>
      <c r="Q1910" s="256" t="n"/>
    </row>
    <row r="1911">
      <c r="A1911">
        <f>IF(DAY(D1911)=DAY($L$1+1),A1910+1,A1910)</f>
        <v/>
      </c>
      <c r="B1911" s="46">
        <f>IF(DAY(D1911)=DAY($L$1+1),1,B1910+1)</f>
        <v/>
      </c>
      <c r="C1911" s="46">
        <f>IF(DAY(D1911)=DAY($L$1+1),1,C1910+1)</f>
        <v/>
      </c>
      <c r="D1911" s="2">
        <f>D1910+1</f>
        <v/>
      </c>
      <c r="E1911" s="8">
        <f>IF(DAY(D1911)=DAY($L$1+1),TRUNC((#REF!),8),E1910)</f>
        <v/>
      </c>
      <c r="F1911" s="49">
        <f>TRUNC(((1+VLOOKUP(A1911,IPCA!$A$2:$C$140,3,0)))^(C1911/(EDATE(D1911-C1911,1)-(D1911-C1911))),8)</f>
        <v/>
      </c>
      <c r="G1911" s="49">
        <f>TRUNC((E1911*F1911),8)</f>
        <v/>
      </c>
      <c r="H1911" s="49">
        <f>ROUND(((1+$H$4)^(30/360))^(C1911/(EDATE(D1911-B1911,1)-(D1911-B1911))),9)</f>
        <v/>
      </c>
      <c r="I1911" s="49">
        <f>TRUNC((G1911*H1911-G1911),8)</f>
        <v/>
      </c>
      <c r="J1911" s="49">
        <f>G1911+I1911</f>
        <v/>
      </c>
      <c r="K1911" s="256" t="n"/>
      <c r="L1911" s="256" t="n"/>
      <c r="M1911" s="256" t="n"/>
      <c r="N1911" s="256" t="n"/>
      <c r="O1911" s="256" t="n"/>
      <c r="P1911" s="256" t="n"/>
      <c r="Q1911" s="256" t="n"/>
    </row>
    <row r="1912">
      <c r="A1912">
        <f>IF(DAY(D1912)=DAY($L$1+1),A1911+1,A1911)</f>
        <v/>
      </c>
      <c r="B1912" s="46">
        <f>IF(DAY(D1912)=DAY($L$1+1),1,B1911+1)</f>
        <v/>
      </c>
      <c r="C1912" s="46">
        <f>IF(DAY(D1912)=DAY($L$1+1),1,C1911+1)</f>
        <v/>
      </c>
      <c r="D1912" s="2">
        <f>D1911+1</f>
        <v/>
      </c>
      <c r="E1912" s="8">
        <f>IF(DAY(D1912)=DAY($L$1+1),TRUNC((#REF!),8),E1911)</f>
        <v/>
      </c>
      <c r="F1912" s="49">
        <f>TRUNC(((1+VLOOKUP(A1912,IPCA!$A$2:$C$140,3,0)))^(C1912/(EDATE(D1912-C1912,1)-(D1912-C1912))),8)</f>
        <v/>
      </c>
      <c r="G1912" s="49">
        <f>TRUNC((E1912*F1912),8)</f>
        <v/>
      </c>
      <c r="H1912" s="49">
        <f>ROUND(((1+$H$4)^(30/360))^(C1912/(EDATE(D1912-B1912,1)-(D1912-B1912))),9)</f>
        <v/>
      </c>
      <c r="I1912" s="49">
        <f>TRUNC((G1912*H1912-G1912),8)</f>
        <v/>
      </c>
      <c r="J1912" s="49">
        <f>G1912+I1912</f>
        <v/>
      </c>
      <c r="K1912" s="256" t="n"/>
      <c r="L1912" s="256" t="n"/>
      <c r="M1912" s="256" t="n"/>
      <c r="N1912" s="256" t="n"/>
      <c r="O1912" s="256" t="n"/>
      <c r="P1912" s="256" t="n"/>
      <c r="Q1912" s="256" t="n"/>
    </row>
    <row r="1913">
      <c r="A1913">
        <f>IF(DAY(D1913)=DAY($L$1+1),A1912+1,A1912)</f>
        <v/>
      </c>
      <c r="B1913" s="46">
        <f>IF(DAY(D1913)=DAY($L$1+1),1,B1912+1)</f>
        <v/>
      </c>
      <c r="C1913" s="46">
        <f>IF(DAY(D1913)=DAY($L$1+1),1,C1912+1)</f>
        <v/>
      </c>
      <c r="D1913" s="2">
        <f>D1912+1</f>
        <v/>
      </c>
      <c r="E1913" s="8">
        <f>IF(DAY(D1913)=DAY($L$1+1),TRUNC((#REF!),8),E1912)</f>
        <v/>
      </c>
      <c r="F1913" s="49">
        <f>TRUNC(((1+VLOOKUP(A1913,IPCA!$A$2:$C$140,3,0)))^(C1913/(EDATE(D1913-C1913,1)-(D1913-C1913))),8)</f>
        <v/>
      </c>
      <c r="G1913" s="49">
        <f>TRUNC((E1913*F1913),8)</f>
        <v/>
      </c>
      <c r="H1913" s="49">
        <f>ROUND(((1+$H$4)^(30/360))^(C1913/(EDATE(D1913-B1913,1)-(D1913-B1913))),9)</f>
        <v/>
      </c>
      <c r="I1913" s="49">
        <f>TRUNC((G1913*H1913-G1913),8)</f>
        <v/>
      </c>
      <c r="J1913" s="49">
        <f>G1913+I1913</f>
        <v/>
      </c>
      <c r="K1913" s="256" t="n"/>
      <c r="L1913" s="256" t="n"/>
      <c r="M1913" s="256" t="n"/>
      <c r="N1913" s="256" t="n"/>
      <c r="O1913" s="256" t="n"/>
      <c r="P1913" s="256" t="n"/>
      <c r="Q1913" s="256" t="n"/>
    </row>
    <row r="1914">
      <c r="A1914">
        <f>IF(DAY(D1914)=DAY($L$1+1),A1913+1,A1913)</f>
        <v/>
      </c>
      <c r="B1914" s="46">
        <f>IF(DAY(D1914)=DAY($L$1+1),1,B1913+1)</f>
        <v/>
      </c>
      <c r="C1914" s="46">
        <f>IF(DAY(D1914)=DAY($L$1+1),1,C1913+1)</f>
        <v/>
      </c>
      <c r="D1914" s="2">
        <f>D1913+1</f>
        <v/>
      </c>
      <c r="E1914" s="8">
        <f>IF(DAY(D1914)=DAY($L$1+1),TRUNC((#REF!),8),E1913)</f>
        <v/>
      </c>
      <c r="F1914" s="49">
        <f>TRUNC(((1+VLOOKUP(A1914,IPCA!$A$2:$C$140,3,0)))^(C1914/(EDATE(D1914-C1914,1)-(D1914-C1914))),8)</f>
        <v/>
      </c>
      <c r="G1914" s="49">
        <f>TRUNC((E1914*F1914),8)</f>
        <v/>
      </c>
      <c r="H1914" s="49">
        <f>ROUND(((1+$H$4)^(30/360))^(C1914/(EDATE(D1914-B1914,1)-(D1914-B1914))),9)</f>
        <v/>
      </c>
      <c r="I1914" s="49">
        <f>TRUNC((G1914*H1914-G1914),8)</f>
        <v/>
      </c>
      <c r="J1914" s="49">
        <f>G1914+I1914</f>
        <v/>
      </c>
      <c r="K1914" s="256" t="n"/>
      <c r="L1914" s="256" t="n"/>
      <c r="M1914" s="256" t="n"/>
      <c r="N1914" s="256" t="n"/>
      <c r="O1914" s="256" t="n"/>
      <c r="P1914" s="256" t="n"/>
      <c r="Q1914" s="256" t="n"/>
    </row>
    <row r="1915">
      <c r="A1915">
        <f>IF(DAY(D1915)=DAY($L$1+1),A1914+1,A1914)</f>
        <v/>
      </c>
      <c r="B1915" s="46">
        <f>IF(DAY(D1915)=DAY($L$1+1),1,B1914+1)</f>
        <v/>
      </c>
      <c r="C1915" s="46">
        <f>IF(DAY(D1915)=DAY($L$1+1),1,C1914+1)</f>
        <v/>
      </c>
      <c r="D1915" s="2">
        <f>D1914+1</f>
        <v/>
      </c>
      <c r="E1915" s="8">
        <f>IF(DAY(D1915)=DAY($L$1+1),TRUNC((#REF!),8),E1914)</f>
        <v/>
      </c>
      <c r="F1915" s="49">
        <f>TRUNC(((1+VLOOKUP(A1915,IPCA!$A$2:$C$140,3,0)))^(C1915/(EDATE(D1915-C1915,1)-(D1915-C1915))),8)</f>
        <v/>
      </c>
      <c r="G1915" s="49">
        <f>TRUNC((E1915*F1915),8)</f>
        <v/>
      </c>
      <c r="H1915" s="49">
        <f>ROUND(((1+$H$4)^(30/360))^(C1915/(EDATE(D1915-B1915,1)-(D1915-B1915))),9)</f>
        <v/>
      </c>
      <c r="I1915" s="49">
        <f>TRUNC((G1915*H1915-G1915),8)</f>
        <v/>
      </c>
      <c r="J1915" s="49">
        <f>G1915+I1915</f>
        <v/>
      </c>
      <c r="K1915" s="256" t="n"/>
      <c r="L1915" s="256" t="n"/>
      <c r="M1915" s="256" t="n"/>
      <c r="N1915" s="256" t="n"/>
      <c r="O1915" s="256" t="n"/>
      <c r="P1915" s="256" t="n"/>
      <c r="Q1915" s="256" t="n"/>
    </row>
    <row r="1916">
      <c r="A1916">
        <f>IF(DAY(D1916)=DAY($L$1+1),A1915+1,A1915)</f>
        <v/>
      </c>
      <c r="B1916" s="46">
        <f>IF(DAY(D1916)=DAY($L$1+1),1,B1915+1)</f>
        <v/>
      </c>
      <c r="C1916" s="46">
        <f>IF(DAY(D1916)=DAY($L$1+1),1,C1915+1)</f>
        <v/>
      </c>
      <c r="D1916" s="2">
        <f>D1915+1</f>
        <v/>
      </c>
      <c r="E1916" s="8">
        <f>IF(DAY(D1916)=DAY($L$1+1),TRUNC((#REF!),8),E1915)</f>
        <v/>
      </c>
      <c r="F1916" s="49">
        <f>TRUNC(((1+VLOOKUP(A1916,IPCA!$A$2:$C$140,3,0)))^(C1916/(EDATE(D1916-C1916,1)-(D1916-C1916))),8)</f>
        <v/>
      </c>
      <c r="G1916" s="49">
        <f>TRUNC((E1916*F1916),8)</f>
        <v/>
      </c>
      <c r="H1916" s="49">
        <f>ROUND(((1+$H$4)^(30/360))^(C1916/(EDATE(D1916-B1916,1)-(D1916-B1916))),9)</f>
        <v/>
      </c>
      <c r="I1916" s="49">
        <f>TRUNC((G1916*H1916-G1916),8)</f>
        <v/>
      </c>
      <c r="J1916" s="49">
        <f>G1916+I1916</f>
        <v/>
      </c>
      <c r="K1916" s="256" t="n"/>
      <c r="L1916" s="256" t="n"/>
      <c r="M1916" s="256" t="n"/>
      <c r="N1916" s="256" t="n"/>
      <c r="O1916" s="256" t="n"/>
      <c r="P1916" s="256" t="n"/>
      <c r="Q1916" s="256" t="n"/>
    </row>
    <row r="1917">
      <c r="A1917">
        <f>IF(DAY(D1917)=DAY($L$1+1),A1916+1,A1916)</f>
        <v/>
      </c>
      <c r="B1917" s="46">
        <f>IF(DAY(D1917)=DAY($L$1+1),1,B1916+1)</f>
        <v/>
      </c>
      <c r="C1917" s="46">
        <f>IF(DAY(D1917)=DAY($L$1+1),1,C1916+1)</f>
        <v/>
      </c>
      <c r="D1917" s="2">
        <f>D1916+1</f>
        <v/>
      </c>
      <c r="E1917" s="8">
        <f>IF(DAY(D1917)=DAY($L$1+1),TRUNC((#REF!),8),E1916)</f>
        <v/>
      </c>
      <c r="F1917" s="49">
        <f>TRUNC(((1+VLOOKUP(A1917,IPCA!$A$2:$C$140,3,0)))^(C1917/(EDATE(D1917-C1917,1)-(D1917-C1917))),8)</f>
        <v/>
      </c>
      <c r="G1917" s="49">
        <f>TRUNC((E1917*F1917),8)</f>
        <v/>
      </c>
      <c r="H1917" s="49">
        <f>ROUND(((1+$H$4)^(30/360))^(C1917/(EDATE(D1917-B1917,1)-(D1917-B1917))),9)</f>
        <v/>
      </c>
      <c r="I1917" s="49">
        <f>TRUNC((G1917*H1917-G1917),8)</f>
        <v/>
      </c>
      <c r="J1917" s="49">
        <f>G1917+I1917</f>
        <v/>
      </c>
      <c r="K1917" s="256" t="n"/>
      <c r="L1917" s="256" t="n"/>
      <c r="M1917" s="256" t="n"/>
      <c r="N1917" s="256" t="n"/>
      <c r="O1917" s="256" t="n"/>
      <c r="P1917" s="256" t="n"/>
      <c r="Q1917" s="256" t="n"/>
    </row>
    <row r="1918">
      <c r="A1918">
        <f>IF(DAY(D1918)=DAY($L$1+1),A1917+1,A1917)</f>
        <v/>
      </c>
      <c r="B1918" s="46">
        <f>IF(DAY(D1918)=DAY($L$1+1),1,B1917+1)</f>
        <v/>
      </c>
      <c r="C1918" s="46">
        <f>IF(DAY(D1918)=DAY($L$1+1),1,C1917+1)</f>
        <v/>
      </c>
      <c r="D1918" s="2">
        <f>D1917+1</f>
        <v/>
      </c>
      <c r="E1918" s="8">
        <f>IF(DAY(D1918)=DAY($L$1+1),TRUNC((#REF!),8),E1917)</f>
        <v/>
      </c>
      <c r="F1918" s="49">
        <f>TRUNC(((1+VLOOKUP(A1918,IPCA!$A$2:$C$140,3,0)))^(C1918/(EDATE(D1918-C1918,1)-(D1918-C1918))),8)</f>
        <v/>
      </c>
      <c r="G1918" s="49">
        <f>TRUNC((E1918*F1918),8)</f>
        <v/>
      </c>
      <c r="H1918" s="49">
        <f>ROUND(((1+$H$4)^(30/360))^(C1918/(EDATE(D1918-B1918,1)-(D1918-B1918))),9)</f>
        <v/>
      </c>
      <c r="I1918" s="49">
        <f>TRUNC((G1918*H1918-G1918),8)</f>
        <v/>
      </c>
      <c r="J1918" s="49">
        <f>G1918+I1918</f>
        <v/>
      </c>
      <c r="K1918" s="256" t="n"/>
      <c r="L1918" s="256" t="n"/>
      <c r="M1918" s="256" t="n"/>
      <c r="N1918" s="256" t="n"/>
      <c r="O1918" s="256" t="n"/>
      <c r="P1918" s="256" t="n"/>
      <c r="Q1918" s="256" t="n"/>
    </row>
    <row r="1919">
      <c r="A1919">
        <f>IF(DAY(D1919)=DAY($L$1+1),A1918+1,A1918)</f>
        <v/>
      </c>
      <c r="B1919" s="46">
        <f>IF(DAY(D1919)=DAY($L$1+1),1,B1918+1)</f>
        <v/>
      </c>
      <c r="C1919" s="46">
        <f>IF(DAY(D1919)=DAY($L$1+1),1,C1918+1)</f>
        <v/>
      </c>
      <c r="D1919" s="2">
        <f>D1918+1</f>
        <v/>
      </c>
      <c r="E1919" s="8">
        <f>IF(DAY(D1919)=DAY($L$1+1),TRUNC((#REF!),8),E1918)</f>
        <v/>
      </c>
      <c r="F1919" s="49">
        <f>TRUNC(((1+VLOOKUP(A1919,IPCA!$A$2:$C$140,3,0)))^(C1919/(EDATE(D1919-C1919,1)-(D1919-C1919))),8)</f>
        <v/>
      </c>
      <c r="G1919" s="49">
        <f>TRUNC((E1919*F1919),8)</f>
        <v/>
      </c>
      <c r="H1919" s="49">
        <f>ROUND(((1+$H$4)^(30/360))^(C1919/(EDATE(D1919-B1919,1)-(D1919-B1919))),9)</f>
        <v/>
      </c>
      <c r="I1919" s="49">
        <f>TRUNC((G1919*H1919-G1919),8)</f>
        <v/>
      </c>
      <c r="J1919" s="49">
        <f>G1919+I1919</f>
        <v/>
      </c>
      <c r="K1919" s="256" t="n"/>
      <c r="L1919" s="256" t="n"/>
      <c r="M1919" s="256" t="n"/>
      <c r="N1919" s="256" t="n"/>
      <c r="O1919" s="256" t="n"/>
      <c r="P1919" s="256" t="n"/>
      <c r="Q1919" s="256" t="n"/>
    </row>
    <row r="1920">
      <c r="A1920">
        <f>IF(DAY(D1920)=DAY($L$1+1),A1919+1,A1919)</f>
        <v/>
      </c>
      <c r="B1920" s="46">
        <f>IF(DAY(D1920)=DAY($L$1+1),1,B1919+1)</f>
        <v/>
      </c>
      <c r="C1920" s="46">
        <f>IF(DAY(D1920)=DAY($L$1+1),1,C1919+1)</f>
        <v/>
      </c>
      <c r="D1920" s="2">
        <f>D1919+1</f>
        <v/>
      </c>
      <c r="E1920" s="8">
        <f>IF(DAY(D1920)=DAY($L$1+1),TRUNC((#REF!),8),E1919)</f>
        <v/>
      </c>
      <c r="F1920" s="49">
        <f>TRUNC(((1+VLOOKUP(A1920,IPCA!$A$2:$C$140,3,0)))^(C1920/(EDATE(D1920-C1920,1)-(D1920-C1920))),8)</f>
        <v/>
      </c>
      <c r="G1920" s="49">
        <f>TRUNC((E1920*F1920),8)</f>
        <v/>
      </c>
      <c r="H1920" s="49">
        <f>ROUND(((1+$H$4)^(30/360))^(C1920/(EDATE(D1920-B1920,1)-(D1920-B1920))),9)</f>
        <v/>
      </c>
      <c r="I1920" s="49">
        <f>TRUNC((G1920*H1920-G1920),8)</f>
        <v/>
      </c>
      <c r="J1920" s="49">
        <f>G1920+I1920</f>
        <v/>
      </c>
      <c r="K1920" s="256" t="n"/>
      <c r="L1920" s="256" t="n"/>
      <c r="M1920" s="256" t="n"/>
      <c r="N1920" s="256" t="n"/>
      <c r="O1920" s="256" t="n"/>
      <c r="P1920" s="256" t="n"/>
      <c r="Q1920" s="256" t="n"/>
    </row>
    <row r="1921">
      <c r="A1921">
        <f>IF(DAY(D1921)=DAY($L$1+1),A1920+1,A1920)</f>
        <v/>
      </c>
      <c r="B1921" s="46">
        <f>IF(DAY(D1921)=DAY($L$1+1),1,B1920+1)</f>
        <v/>
      </c>
      <c r="C1921" s="46">
        <f>IF(DAY(D1921)=DAY($L$1+1),1,C1920+1)</f>
        <v/>
      </c>
      <c r="D1921" s="2">
        <f>D1920+1</f>
        <v/>
      </c>
      <c r="E1921" s="8">
        <f>IF(DAY(D1921)=DAY($L$1+1),TRUNC((#REF!),8),E1920)</f>
        <v/>
      </c>
      <c r="F1921" s="49">
        <f>TRUNC(((1+VLOOKUP(A1921,IPCA!$A$2:$C$140,3,0)))^(C1921/(EDATE(D1921-C1921,1)-(D1921-C1921))),8)</f>
        <v/>
      </c>
      <c r="G1921" s="49">
        <f>TRUNC((E1921*F1921),8)</f>
        <v/>
      </c>
      <c r="H1921" s="49">
        <f>ROUND(((1+$H$4)^(30/360))^(C1921/(EDATE(D1921-B1921,1)-(D1921-B1921))),9)</f>
        <v/>
      </c>
      <c r="I1921" s="49">
        <f>TRUNC((G1921*H1921-G1921),8)</f>
        <v/>
      </c>
      <c r="J1921" s="49">
        <f>G1921+I1921</f>
        <v/>
      </c>
      <c r="K1921" s="256" t="n"/>
      <c r="L1921" s="256" t="n"/>
      <c r="M1921" s="256" t="n"/>
      <c r="N1921" s="256" t="n"/>
      <c r="O1921" s="256" t="n"/>
      <c r="P1921" s="256" t="n"/>
      <c r="Q1921" s="256" t="n"/>
    </row>
    <row r="1922">
      <c r="A1922">
        <f>IF(DAY(D1922)=DAY($L$1+1),A1921+1,A1921)</f>
        <v/>
      </c>
      <c r="B1922" s="46">
        <f>IF(DAY(D1922)=DAY($L$1+1),1,B1921+1)</f>
        <v/>
      </c>
      <c r="C1922" s="46">
        <f>IF(DAY(D1922)=DAY($L$1+1),1,C1921+1)</f>
        <v/>
      </c>
      <c r="D1922" s="2">
        <f>D1921+1</f>
        <v/>
      </c>
      <c r="E1922" s="8">
        <f>IF(DAY(D1922)=DAY($L$1+1),TRUNC((N1921),8),E1921)</f>
        <v/>
      </c>
      <c r="F1922" s="49">
        <f>TRUNC(((1+VLOOKUP(A1922,IPCA!$A$2:$C$140,3,0)))^(C1922/(EDATE(D1922-C1922,1)-(D1922-C1922))),8)</f>
        <v/>
      </c>
      <c r="G1922" s="49">
        <f>TRUNC((E1922*F1922),8)</f>
        <v/>
      </c>
      <c r="H1922" s="49">
        <f>ROUND(((1+$H$4)^(30/360))^(C1922/(EDATE(D1922-B1922,1)-(D1922-B1922))),9)</f>
        <v/>
      </c>
      <c r="I1922" s="49">
        <f>TRUNC((G1922*H1922-G1922),8)</f>
        <v/>
      </c>
      <c r="J1922" s="49">
        <f>G1922+I1922</f>
        <v/>
      </c>
      <c r="K1922" s="123" t="n"/>
      <c r="L1922" s="271" t="n"/>
      <c r="M1922" s="256" t="n"/>
      <c r="N1922" s="256" t="n"/>
      <c r="O1922" s="256" t="n"/>
      <c r="P1922" s="256" t="n"/>
      <c r="Q1922" s="256" t="n"/>
    </row>
    <row r="1923" ht="11.25" customHeight="1" s="260">
      <c r="A1923">
        <f>IF(DAY(D1923)=DAY($L$1+1),A1922+1,A1922)</f>
        <v/>
      </c>
      <c r="B1923" s="46">
        <f>IF(DAY(D1923)=DAY($L$1+1),1,B1922+1)</f>
        <v/>
      </c>
      <c r="C1923" s="46">
        <f>IF(DAY(D1923)=DAY($L$1+1),1,C1922+1)</f>
        <v/>
      </c>
      <c r="D1923" s="2">
        <f>D1922+1</f>
        <v/>
      </c>
      <c r="E1923" s="8">
        <f>IF(DAY(D1923)=DAY($L$1+1),TRUNC((N1922),8),E1922)</f>
        <v/>
      </c>
      <c r="F1923" s="49">
        <f>TRUNC(((1+VLOOKUP(A1923,IPCA!$A$2:$C$140,3,0)))^(C1923/(EDATE(D1923-C1923,1)-(D1923-C1923))),8)</f>
        <v/>
      </c>
      <c r="G1923" s="49">
        <f>TRUNC((E1923*F1923),8)</f>
        <v/>
      </c>
      <c r="H1923" s="49">
        <f>ROUND(((1+$H$4)^(30/360))^(C1923/(EDATE(D1923-B1923,1)-(D1923-B1923))),9)</f>
        <v/>
      </c>
      <c r="I1923" s="49">
        <f>TRUNC((G1923*H1923-G1923),8)</f>
        <v/>
      </c>
      <c r="J1923" s="49">
        <f>G1923+I1923</f>
        <v/>
      </c>
      <c r="K1923" s="256" t="n"/>
      <c r="L1923" s="256" t="n"/>
      <c r="M1923" s="256" t="n"/>
      <c r="N1923" s="256" t="n"/>
      <c r="O1923" s="256" t="n"/>
      <c r="P1923" s="256" t="n"/>
      <c r="Q1923" s="256" t="n"/>
    </row>
    <row r="1924">
      <c r="A1924">
        <f>IF(DAY(D1924)=DAY($L$1+1),A1923+1,A1923)</f>
        <v/>
      </c>
      <c r="B1924" s="46">
        <f>IF(DAY(D1924)=DAY($L$1+1),1,B1923+1)</f>
        <v/>
      </c>
      <c r="C1924" s="46">
        <f>IF(DAY(D1924)=DAY($L$1+1),1,C1923+1)</f>
        <v/>
      </c>
      <c r="D1924" s="2">
        <f>D1923+1</f>
        <v/>
      </c>
      <c r="E1924" s="8">
        <f>IF(DAY(D1924)=DAY($L$1+1),TRUNC((N1923),8),E1923)</f>
        <v/>
      </c>
      <c r="F1924" s="49">
        <f>TRUNC(((1+VLOOKUP(A1924,IPCA!$A$2:$C$140,3,0)))^(C1924/(EDATE(D1924-C1924,1)-(D1924-C1924))),8)</f>
        <v/>
      </c>
      <c r="G1924" s="49">
        <f>TRUNC((E1924*F1924),8)</f>
        <v/>
      </c>
      <c r="H1924" s="49">
        <f>ROUND(((1+$H$4)^(30/360))^(C1924/(EDATE(D1924-B1924,1)-(D1924-B1924))),9)</f>
        <v/>
      </c>
      <c r="I1924" s="49">
        <f>TRUNC((G1924*H1924-G1924),8)</f>
        <v/>
      </c>
      <c r="J1924" s="49">
        <f>G1924+I1924</f>
        <v/>
      </c>
      <c r="K1924" s="256" t="n"/>
      <c r="L1924" s="256" t="n"/>
      <c r="M1924" s="256" t="n"/>
      <c r="N1924" s="256" t="n"/>
      <c r="O1924" s="256" t="n"/>
      <c r="P1924" s="256" t="n"/>
      <c r="Q1924" s="256" t="n"/>
    </row>
    <row r="1925">
      <c r="A1925">
        <f>IF(DAY(D1925)=DAY($L$1+1),A1924+1,A1924)</f>
        <v/>
      </c>
      <c r="B1925" s="46">
        <f>IF(DAY(D1925)=DAY($L$1+1),1,B1924+1)</f>
        <v/>
      </c>
      <c r="C1925" s="46">
        <f>IF(DAY(D1925)=DAY($L$1+1),1,C1924+1)</f>
        <v/>
      </c>
      <c r="D1925" s="2">
        <f>D1924+1</f>
        <v/>
      </c>
      <c r="E1925" s="8">
        <f>IF(DAY(D1925)=DAY($L$1+1),TRUNC((N1924),8),E1924)</f>
        <v/>
      </c>
      <c r="F1925" s="49">
        <f>TRUNC(((1+VLOOKUP(A1925,IPCA!$A$2:$C$140,3,0)))^(C1925/(EDATE(D1925-C1925,1)-(D1925-C1925))),8)</f>
        <v/>
      </c>
      <c r="G1925" s="49">
        <f>TRUNC((E1925*F1925),8)</f>
        <v/>
      </c>
      <c r="H1925" s="49">
        <f>ROUND(((1+$H$4)^(30/360))^(C1925/(EDATE(D1925-B1925,1)-(D1925-B1925))),9)</f>
        <v/>
      </c>
      <c r="I1925" s="49">
        <f>TRUNC((G1925*H1925-G1925),8)</f>
        <v/>
      </c>
      <c r="J1925" s="49">
        <f>G1925+I1925</f>
        <v/>
      </c>
      <c r="K1925" s="256" t="n"/>
      <c r="L1925" s="256" t="n"/>
      <c r="M1925" s="256" t="n"/>
      <c r="N1925" s="256" t="n"/>
      <c r="O1925" s="256" t="n"/>
      <c r="P1925" s="256" t="n"/>
      <c r="Q1925" s="256" t="n"/>
    </row>
    <row r="1926">
      <c r="A1926">
        <f>IF(DAY(D1926)=DAY($L$1+1),A1925+1,A1925)</f>
        <v/>
      </c>
      <c r="B1926" s="46">
        <f>IF(DAY(D1926)=DAY($L$1+1),1,B1925+1)</f>
        <v/>
      </c>
      <c r="C1926" s="46">
        <f>IF(DAY(D1926)=DAY($L$1+1),1,C1925+1)</f>
        <v/>
      </c>
      <c r="D1926" s="2">
        <f>D1925+1</f>
        <v/>
      </c>
      <c r="E1926" s="8">
        <f>IF(DAY(D1926)=DAY($L$1+1),TRUNC((N1925),8),E1925)</f>
        <v/>
      </c>
      <c r="F1926" s="49">
        <f>TRUNC(((1+VLOOKUP(A1926,IPCA!$A$2:$C$140,3,0)))^(C1926/(EDATE(D1926-C1926,1)-(D1926-C1926))),8)</f>
        <v/>
      </c>
      <c r="G1926" s="49">
        <f>TRUNC((E1926*F1926),8)</f>
        <v/>
      </c>
      <c r="H1926" s="49">
        <f>ROUND(((1+$H$4)^(30/360))^(C1926/(EDATE(D1926-B1926,1)-(D1926-B1926))),9)</f>
        <v/>
      </c>
      <c r="I1926" s="49">
        <f>TRUNC((G1926*H1926-G1926),8)</f>
        <v/>
      </c>
      <c r="J1926" s="49">
        <f>G1926+I1926</f>
        <v/>
      </c>
      <c r="K1926" s="256" t="n"/>
      <c r="L1926" s="256" t="n"/>
      <c r="M1926" s="256" t="n"/>
      <c r="N1926" s="256" t="n"/>
      <c r="O1926" s="256" t="n"/>
      <c r="P1926" s="256" t="n"/>
      <c r="Q1926" s="256" t="n"/>
    </row>
    <row r="1927">
      <c r="A1927">
        <f>IF(DAY(D1927)=DAY($L$1+1),A1926+1,A1926)</f>
        <v/>
      </c>
      <c r="B1927" s="46">
        <f>IF(DAY(D1927)=DAY($L$1+1),1,B1926+1)</f>
        <v/>
      </c>
      <c r="C1927" s="46">
        <f>IF(DAY(D1927)=DAY($L$1+1),1,C1926+1)</f>
        <v/>
      </c>
      <c r="D1927" s="2">
        <f>D1926+1</f>
        <v/>
      </c>
      <c r="E1927" s="8">
        <f>IF(DAY(D1927)=DAY($L$1+1),TRUNC((N1926),8),E1926)</f>
        <v/>
      </c>
      <c r="F1927" s="49">
        <f>TRUNC(((1+VLOOKUP(A1927,IPCA!$A$2:$C$140,3,0)))^(C1927/(EDATE(D1927-C1927,1)-(D1927-C1927))),8)</f>
        <v/>
      </c>
      <c r="G1927" s="49">
        <f>TRUNC((E1927*F1927),8)</f>
        <v/>
      </c>
      <c r="H1927" s="49">
        <f>ROUND(((1+$H$4)^(30/360))^(C1927/(EDATE(D1927-B1927,1)-(D1927-B1927))),9)</f>
        <v/>
      </c>
      <c r="I1927" s="49">
        <f>TRUNC((G1927*H1927-G1927),8)</f>
        <v/>
      </c>
      <c r="J1927" s="49">
        <f>G1927+I1927</f>
        <v/>
      </c>
      <c r="K1927" s="256" t="n"/>
      <c r="L1927" s="256" t="n"/>
      <c r="M1927" s="256" t="n"/>
      <c r="N1927" s="256" t="n"/>
      <c r="O1927" s="256" t="n"/>
      <c r="P1927" s="256" t="n"/>
      <c r="Q1927" s="256" t="n"/>
    </row>
    <row r="1928">
      <c r="A1928">
        <f>IF(DAY(D1928)=DAY($L$1+1),A1927+1,A1927)</f>
        <v/>
      </c>
      <c r="B1928" s="46">
        <f>IF(DAY(D1928)=DAY($L$1+1),1,B1927+1)</f>
        <v/>
      </c>
      <c r="C1928" s="46">
        <f>IF(DAY(D1928)=DAY($L$1+1),1,C1927+1)</f>
        <v/>
      </c>
      <c r="D1928" s="2">
        <f>D1927+1</f>
        <v/>
      </c>
      <c r="E1928" s="8">
        <f>IF(DAY(D1928)=DAY($L$1+1),TRUNC((N1927),8),E1927)</f>
        <v/>
      </c>
      <c r="F1928" s="49">
        <f>TRUNC(((1+VLOOKUP(A1928,IPCA!$A$2:$C$140,3,0)))^(C1928/(EDATE(D1928-C1928,1)-(D1928-C1928))),8)</f>
        <v/>
      </c>
      <c r="G1928" s="49">
        <f>TRUNC((E1928*F1928),8)</f>
        <v/>
      </c>
      <c r="H1928" s="49">
        <f>ROUND(((1+$H$4)^(30/360))^(C1928/(EDATE(D1928-B1928,1)-(D1928-B1928))),9)</f>
        <v/>
      </c>
      <c r="I1928" s="49">
        <f>TRUNC((G1928*H1928-G1928),8)</f>
        <v/>
      </c>
      <c r="J1928" s="49">
        <f>G1928+I1928</f>
        <v/>
      </c>
      <c r="K1928" s="256" t="n"/>
      <c r="L1928" s="256" t="n"/>
      <c r="M1928" s="256" t="n"/>
      <c r="N1928" s="256" t="n"/>
      <c r="O1928" s="256" t="n"/>
      <c r="P1928" s="256" t="n"/>
      <c r="Q1928" s="256" t="n"/>
    </row>
    <row r="1929">
      <c r="A1929">
        <f>IF(DAY(D1929)=DAY($L$1+1),A1928+1,A1928)</f>
        <v/>
      </c>
      <c r="B1929" s="46">
        <f>IF(DAY(D1929)=DAY($L$1+1),1,B1928+1)</f>
        <v/>
      </c>
      <c r="C1929" s="46">
        <f>IF(DAY(D1929)=DAY($L$1+1),1,C1928+1)</f>
        <v/>
      </c>
      <c r="D1929" s="2">
        <f>D1928+1</f>
        <v/>
      </c>
      <c r="E1929" s="8">
        <f>IF(DAY(D1929)=DAY($L$1+1),TRUNC((N1928),8),E1928)</f>
        <v/>
      </c>
      <c r="F1929" s="49">
        <f>TRUNC(((1+VLOOKUP(A1929,IPCA!$A$2:$C$140,3,0)))^(C1929/(EDATE(D1929-C1929,1)-(D1929-C1929))),8)</f>
        <v/>
      </c>
      <c r="G1929" s="49">
        <f>TRUNC((E1929*F1929),8)</f>
        <v/>
      </c>
      <c r="H1929" s="49">
        <f>ROUND(((1+$H$4)^(30/360))^(C1929/(EDATE(D1929-B1929,1)-(D1929-B1929))),9)</f>
        <v/>
      </c>
      <c r="I1929" s="49">
        <f>TRUNC((G1929*H1929-G1929),8)</f>
        <v/>
      </c>
      <c r="J1929" s="49">
        <f>G1929+I1929</f>
        <v/>
      </c>
      <c r="K1929" s="256" t="n"/>
      <c r="L1929" s="256" t="n"/>
      <c r="M1929" s="256" t="n"/>
      <c r="N1929" s="256" t="n"/>
      <c r="O1929" s="256" t="n"/>
      <c r="P1929" s="256" t="n"/>
      <c r="Q1929" s="256" t="n"/>
    </row>
    <row r="1930">
      <c r="A1930">
        <f>IF(DAY(D1930)=DAY($L$1+1),A1929+1,A1929)</f>
        <v/>
      </c>
      <c r="B1930" s="46">
        <f>IF(DAY(D1930)=DAY($L$1+1),1,B1929+1)</f>
        <v/>
      </c>
      <c r="C1930" s="46">
        <f>IF(DAY(D1930)=DAY($L$1+1),1,C1929+1)</f>
        <v/>
      </c>
      <c r="D1930" s="2">
        <f>D1929+1</f>
        <v/>
      </c>
      <c r="E1930" s="8">
        <f>IF(DAY(D1930)=DAY($L$1+1),TRUNC((N1929),8),E1929)</f>
        <v/>
      </c>
      <c r="F1930" s="49">
        <f>TRUNC(((1+VLOOKUP(A1930,IPCA!$A$2:$C$140,3,0)))^(C1930/(EDATE(D1930-C1930,1)-(D1930-C1930))),8)</f>
        <v/>
      </c>
      <c r="G1930" s="49">
        <f>TRUNC((E1930*F1930),8)</f>
        <v/>
      </c>
      <c r="H1930" s="49">
        <f>ROUND(((1+$H$4)^(30/360))^(C1930/(EDATE(D1930-B1930,1)-(D1930-B1930))),9)</f>
        <v/>
      </c>
      <c r="I1930" s="49">
        <f>TRUNC((G1930*H1930-G1930),8)</f>
        <v/>
      </c>
      <c r="J1930" s="49">
        <f>G1930+I1930</f>
        <v/>
      </c>
      <c r="K1930" s="256" t="n"/>
      <c r="L1930" s="256" t="n"/>
      <c r="M1930" s="256" t="n"/>
      <c r="N1930" s="256" t="n"/>
      <c r="O1930" s="256" t="n"/>
      <c r="P1930" s="256" t="n"/>
      <c r="Q1930" s="256" t="n"/>
    </row>
    <row r="1931">
      <c r="A1931">
        <f>IF(DAY(D1931)=DAY($L$1+1),A1930+1,A1930)</f>
        <v/>
      </c>
      <c r="B1931" s="46">
        <f>IF(DAY(D1931)=DAY($L$1+1),1,B1930+1)</f>
        <v/>
      </c>
      <c r="C1931" s="46">
        <f>IF(DAY(D1931)=DAY($L$1+1),1,C1930+1)</f>
        <v/>
      </c>
      <c r="D1931" s="2">
        <f>D1930+1</f>
        <v/>
      </c>
      <c r="E1931" s="8">
        <f>IF(DAY(D1931)=DAY($L$1+1),TRUNC((N1930),8),E1930)</f>
        <v/>
      </c>
      <c r="F1931" s="49">
        <f>TRUNC(((1+VLOOKUP(A1931,IPCA!$A$2:$C$140,3,0)))^(C1931/(EDATE(D1931-C1931,1)-(D1931-C1931))),8)</f>
        <v/>
      </c>
      <c r="G1931" s="49">
        <f>TRUNC((E1931*F1931),8)</f>
        <v/>
      </c>
      <c r="H1931" s="49">
        <f>ROUND(((1+$H$4)^(30/360))^(C1931/(EDATE(D1931-B1931,1)-(D1931-B1931))),9)</f>
        <v/>
      </c>
      <c r="I1931" s="49">
        <f>TRUNC((G1931*H1931-G1931),8)</f>
        <v/>
      </c>
      <c r="J1931" s="49">
        <f>G1931+I1931</f>
        <v/>
      </c>
      <c r="K1931" s="256" t="n"/>
      <c r="L1931" s="256" t="n"/>
      <c r="M1931" s="256" t="n"/>
      <c r="N1931" s="256" t="n"/>
      <c r="O1931" s="256" t="n"/>
      <c r="P1931" s="256" t="n"/>
      <c r="Q1931" s="256" t="n"/>
    </row>
    <row r="1932">
      <c r="A1932">
        <f>IF(DAY(D1932)=DAY($L$1+1),A1931+1,A1931)</f>
        <v/>
      </c>
      <c r="B1932" s="46">
        <f>IF(DAY(D1932)=DAY($L$1+1),1,B1931+1)</f>
        <v/>
      </c>
      <c r="C1932" s="46">
        <f>IF(DAY(D1932)=DAY($L$1+1),1,C1931+1)</f>
        <v/>
      </c>
      <c r="D1932" s="2">
        <f>D1931+1</f>
        <v/>
      </c>
      <c r="E1932" s="8">
        <f>IF(DAY(D1932)=DAY($L$1+1),TRUNC((N1931),8),E1931)</f>
        <v/>
      </c>
      <c r="F1932" s="49">
        <f>TRUNC(((1+VLOOKUP(A1932,IPCA!$A$2:$C$140,3,0)))^(C1932/(EDATE(D1932-C1932,1)-(D1932-C1932))),8)</f>
        <v/>
      </c>
      <c r="G1932" s="49">
        <f>TRUNC((E1932*F1932),8)</f>
        <v/>
      </c>
      <c r="H1932" s="49">
        <f>ROUND(((1+$H$4)^(30/360))^(C1932/(EDATE(D1932-B1932,1)-(D1932-B1932))),9)</f>
        <v/>
      </c>
      <c r="I1932" s="49">
        <f>TRUNC((G1932*H1932-G1932),8)</f>
        <v/>
      </c>
      <c r="J1932" s="49">
        <f>G1932+I1932</f>
        <v/>
      </c>
      <c r="K1932" s="256" t="n"/>
      <c r="L1932" s="256" t="n"/>
      <c r="M1932" s="256" t="n"/>
      <c r="N1932" s="256" t="n"/>
      <c r="O1932" s="256" t="n"/>
      <c r="P1932" s="256" t="n"/>
      <c r="Q1932" s="256" t="n"/>
    </row>
    <row r="1933">
      <c r="A1933">
        <f>IF(DAY(D1933)=DAY($L$1+1),A1932+1,A1932)</f>
        <v/>
      </c>
      <c r="B1933" s="46">
        <f>IF(DAY(D1933)=DAY($L$1+1),1,B1932+1)</f>
        <v/>
      </c>
      <c r="C1933" s="46">
        <f>IF(DAY(D1933)=DAY($L$1+1),1,C1932+1)</f>
        <v/>
      </c>
      <c r="D1933" s="2">
        <f>D1932+1</f>
        <v/>
      </c>
      <c r="E1933" s="8">
        <f>IF(DAY(D1933)=DAY($L$1+1),TRUNC((N1932),8),E1932)</f>
        <v/>
      </c>
      <c r="F1933" s="49">
        <f>TRUNC(((1+VLOOKUP(A1933,IPCA!$A$2:$C$140,3,0)))^(C1933/(EDATE(D1933-C1933,1)-(D1933-C1933))),8)</f>
        <v/>
      </c>
      <c r="G1933" s="49">
        <f>TRUNC((E1933*F1933),8)</f>
        <v/>
      </c>
      <c r="H1933" s="49">
        <f>ROUND(((1+$H$4)^(30/360))^(C1933/(EDATE(D1933-B1933,1)-(D1933-B1933))),9)</f>
        <v/>
      </c>
      <c r="I1933" s="49">
        <f>TRUNC((G1933*H1933-G1933),8)</f>
        <v/>
      </c>
      <c r="J1933" s="49">
        <f>G1933+I1933</f>
        <v/>
      </c>
      <c r="K1933" s="256" t="n"/>
      <c r="L1933" s="256" t="n"/>
      <c r="M1933" s="256" t="n"/>
      <c r="N1933" s="256" t="n"/>
      <c r="O1933" s="256" t="n"/>
      <c r="P1933" s="256" t="n"/>
      <c r="Q1933" s="256" t="n"/>
    </row>
    <row r="1934">
      <c r="A1934">
        <f>IF(DAY(D1934)=DAY($L$1+1),A1933+1,A1933)</f>
        <v/>
      </c>
      <c r="B1934" s="46">
        <f>IF(DAY(D1934)=DAY($L$1+1),1,B1933+1)</f>
        <v/>
      </c>
      <c r="C1934" s="46">
        <f>IF(DAY(D1934)=DAY($L$1+1),1,C1933+1)</f>
        <v/>
      </c>
      <c r="D1934" s="2">
        <f>D1933+1</f>
        <v/>
      </c>
      <c r="E1934" s="8">
        <f>IF(DAY(D1934)=DAY($L$1+1),TRUNC((N1933),8),E1933)</f>
        <v/>
      </c>
      <c r="F1934" s="49">
        <f>TRUNC(((1+VLOOKUP(A1934,IPCA!$A$2:$C$140,3,0)))^(C1934/(EDATE(D1934-C1934,1)-(D1934-C1934))),8)</f>
        <v/>
      </c>
      <c r="G1934" s="49">
        <f>TRUNC((E1934*F1934),8)</f>
        <v/>
      </c>
      <c r="H1934" s="49">
        <f>ROUND(((1+$H$4)^(30/360))^(C1934/(EDATE(D1934-B1934,1)-(D1934-B1934))),9)</f>
        <v/>
      </c>
      <c r="I1934" s="49">
        <f>TRUNC((G1934*H1934-G1934),8)</f>
        <v/>
      </c>
      <c r="J1934" s="49">
        <f>G1934+I1934</f>
        <v/>
      </c>
      <c r="K1934" s="256" t="n"/>
      <c r="L1934" s="256" t="n"/>
      <c r="M1934" s="256" t="n"/>
      <c r="N1934" s="256" t="n"/>
      <c r="O1934" s="256" t="n"/>
      <c r="P1934" s="256" t="n"/>
      <c r="Q1934" s="256" t="n"/>
    </row>
    <row r="1935">
      <c r="A1935">
        <f>IF(DAY(D1935)=DAY($L$1+1),A1934+1,A1934)</f>
        <v/>
      </c>
      <c r="B1935" s="46">
        <f>IF(DAY(D1935)=DAY($L$1+1),1,B1934+1)</f>
        <v/>
      </c>
      <c r="C1935" s="46">
        <f>IF(DAY(D1935)=DAY($L$1+1),1,C1934+1)</f>
        <v/>
      </c>
      <c r="D1935" s="2">
        <f>D1934+1</f>
        <v/>
      </c>
      <c r="E1935" s="8">
        <f>IF(DAY(D1935)=DAY($L$1+1),TRUNC((N1934),8),E1934)</f>
        <v/>
      </c>
      <c r="F1935" s="49">
        <f>TRUNC(((1+VLOOKUP(A1935,IPCA!$A$2:$C$140,3,0)))^(C1935/(EDATE(D1935-C1935,1)-(D1935-C1935))),8)</f>
        <v/>
      </c>
      <c r="G1935" s="49">
        <f>TRUNC((E1935*F1935),8)</f>
        <v/>
      </c>
      <c r="H1935" s="49">
        <f>ROUND(((1+$H$4)^(30/360))^(C1935/(EDATE(D1935-B1935,1)-(D1935-B1935))),9)</f>
        <v/>
      </c>
      <c r="I1935" s="49">
        <f>TRUNC((G1935*H1935-G1935),8)</f>
        <v/>
      </c>
      <c r="J1935" s="49">
        <f>G1935+I1935</f>
        <v/>
      </c>
      <c r="K1935" s="256" t="inlineStr">
        <is>
          <t>Cri Integralizado</t>
        </is>
      </c>
      <c r="L1935" s="270">
        <f>L1905</f>
        <v/>
      </c>
      <c r="M1935" s="256" t="n"/>
      <c r="N1935" s="256" t="n"/>
      <c r="O1935" s="256" t="n"/>
      <c r="P1935" s="256" t="n"/>
      <c r="Q1935" s="256" t="n"/>
    </row>
    <row r="1936">
      <c r="A1936">
        <f>IF(DAY(D1936)=DAY($L$1+1),A1935+1,A1935)</f>
        <v/>
      </c>
      <c r="B1936" s="46">
        <f>IF(DAY(D1936)=DAY($L$1+1),1,B1935+1)</f>
        <v/>
      </c>
      <c r="C1936" s="46">
        <f>IF(DAY(D1936)=DAY($L$1+1),1,C1935+1)</f>
        <v/>
      </c>
      <c r="D1936" s="47">
        <f>D1935+1</f>
        <v/>
      </c>
      <c r="E1936" s="8">
        <f>IF(DAY(D1936)=DAY($L$1+1),TRUNC((N1935),8),E1935)</f>
        <v/>
      </c>
      <c r="F1936" s="49">
        <f>TRUNC(((1+VLOOKUP(A1936,IPCA!$A$2:$C$140,3,0)))^(C1936/(EDATE(D1936-C1936,1)-(D1936-C1936))),8)</f>
        <v/>
      </c>
      <c r="G1936" s="49">
        <f>TRUNC((E1936*F1936),8)</f>
        <v/>
      </c>
      <c r="H1936" s="49">
        <f>ROUND(((1+$H$4)^(30/360))^(C1936/(EDATE(D1936-B1936,1)-(D1936-B1936))),9)</f>
        <v/>
      </c>
      <c r="I1936" s="49">
        <f>TRUNC((G1936*H1936-G1936),8)</f>
        <v/>
      </c>
      <c r="J1936" s="49">
        <f>G1936+I1936</f>
        <v/>
      </c>
      <c r="K1936" s="118" t="inlineStr">
        <is>
          <t>JUROS</t>
        </is>
      </c>
      <c r="L1936" s="118" t="inlineStr">
        <is>
          <t>AMORTIZAÇÃO</t>
        </is>
      </c>
      <c r="M1936" s="118" t="inlineStr">
        <is>
          <t>AMEX</t>
        </is>
      </c>
      <c r="N1936" s="118" t="inlineStr">
        <is>
          <t>RESIDUAL</t>
        </is>
      </c>
      <c r="O1936" s="256" t="n"/>
      <c r="P1936" s="256" t="n"/>
      <c r="Q1936" s="256" t="n"/>
    </row>
    <row r="1937">
      <c r="A1937">
        <f>IF(DAY(D1937)=DAY($L$1+1),A1936+1,A1936)</f>
        <v/>
      </c>
      <c r="B1937" s="111">
        <f>IF(DAY(D1937)=DAY($L$1+1),1,B1936+1)</f>
        <v/>
      </c>
      <c r="C1937" s="111">
        <f>IF(DAY(D1937)=DAY($L$1+1),1,C1936+1)</f>
        <v/>
      </c>
      <c r="D1937" s="112">
        <f>D1936+1</f>
        <v/>
      </c>
      <c r="E1937" s="113">
        <f>IF(DAY(D1937)=DAY($L$1+1),TRUNC((N1936),8),E1936)</f>
        <v/>
      </c>
      <c r="F1937" s="114">
        <f>TRUNC(((1+VLOOKUP(A1937,IPCA!$A$2:$C$140,3,0)))^(C1937/(EDATE(D1937-C1937,1)-(D1937-C1937))),8)</f>
        <v/>
      </c>
      <c r="G1937" s="114">
        <f>TRUNC((E1937*F1937),8)</f>
        <v/>
      </c>
      <c r="H1937" s="114">
        <f>ROUND(((1+$H$4)^(30/360))^(C1937/(EDATE(D1937-B1937,1)-(D1937-B1937))),9)</f>
        <v/>
      </c>
      <c r="I1937" s="114">
        <f>TRUNC((G1937*H1937-G1937),8)</f>
        <v/>
      </c>
      <c r="J1937" s="114">
        <f>G1937+I1937</f>
        <v/>
      </c>
      <c r="K1937" s="119">
        <f>I1937</f>
        <v/>
      </c>
      <c r="L1937" s="120">
        <f>TRUNC(G1937*VLOOKUP(D1937,'Amort TS'!$G$3:$H$140,2,0),8)</f>
        <v/>
      </c>
      <c r="M1937" s="120" t="n">
        <v>0</v>
      </c>
      <c r="N1937" s="120">
        <f>J1937-K1937-L1937-M1937</f>
        <v/>
      </c>
      <c r="O1937" s="256" t="n"/>
      <c r="P1937" s="256" t="n"/>
      <c r="Q1937" s="256" t="n"/>
    </row>
    <row r="1938">
      <c r="A1938">
        <f>IF(DAY(D1938)=DAY($L$1+1),A1937+1,A1937)</f>
        <v/>
      </c>
      <c r="B1938" s="46">
        <f>IF(DAY(D1938)=DAY($L$1+1),1,B1937+1)</f>
        <v/>
      </c>
      <c r="C1938" s="46">
        <f>IF(DAY(D1938)=DAY($L$1+1),1,C1937+1)</f>
        <v/>
      </c>
      <c r="D1938" s="2">
        <f>D1937+1</f>
        <v/>
      </c>
      <c r="E1938" s="8">
        <f>IF(DAY(D1938)=DAY($L$1+1),TRUNC((N1937),8),E1937)</f>
        <v/>
      </c>
      <c r="F1938" s="49">
        <f>TRUNC(((1+VLOOKUP(A1938,IPCA!$A$2:$C$140,3,0)))^(C1938/(EDATE(D1938-C1938,1)-(D1938-C1938))),8)</f>
        <v/>
      </c>
      <c r="G1938" s="49">
        <f>TRUNC((E1938*F1938),8)</f>
        <v/>
      </c>
      <c r="H1938" s="49">
        <f>ROUND(((1+$H$4)^(30/360))^(C1938/(EDATE(D1938-B1938,1)-(D1938-B1938))),9)</f>
        <v/>
      </c>
      <c r="I1938" s="49">
        <f>TRUNC((G1938*H1938-G1938),8)</f>
        <v/>
      </c>
      <c r="J1938" s="49">
        <f>G1938+I1938</f>
        <v/>
      </c>
      <c r="K1938" s="121">
        <f>K1937*L1935</f>
        <v/>
      </c>
      <c r="L1938" s="121">
        <f>L1937*L1935</f>
        <v/>
      </c>
      <c r="M1938" s="121">
        <f>M1937*L1935</f>
        <v/>
      </c>
      <c r="N1938" s="121">
        <f>N1937*L1935</f>
        <v/>
      </c>
      <c r="O1938" s="256" t="n"/>
      <c r="P1938" s="256" t="n"/>
      <c r="Q1938" s="256" t="n"/>
    </row>
    <row r="1939">
      <c r="A1939">
        <f>IF(DAY(D1939)=DAY($L$1+1),A1938+1,A1938)</f>
        <v/>
      </c>
      <c r="B1939" s="46">
        <f>IF(DAY(D1939)=DAY($L$1+1),1,B1938+1)</f>
        <v/>
      </c>
      <c r="C1939" s="46">
        <f>IF(DAY(D1939)=DAY($L$1+1),1,C1938+1)</f>
        <v/>
      </c>
      <c r="D1939" s="47">
        <f>D1938+1</f>
        <v/>
      </c>
      <c r="E1939" s="8">
        <f>IF(DAY(D1939)=DAY($L$1+1),TRUNC((N1938),8),E1938)</f>
        <v/>
      </c>
      <c r="F1939" s="49">
        <f>TRUNC(((1+VLOOKUP(A1939,IPCA!$A$2:$C$140,3,0)))^(C1939/(EDATE(D1939-C1939,1)-(D1939-C1939))),8)</f>
        <v/>
      </c>
      <c r="G1939" s="49">
        <f>TRUNC((E1939*F1939),8)</f>
        <v/>
      </c>
      <c r="H1939" s="49">
        <f>ROUND(((1+$H$4)^(30/360))^(C1939/(EDATE(D1939-B1939,1)-(D1939-B1939))),9)</f>
        <v/>
      </c>
      <c r="I1939" s="49">
        <f>TRUNC((G1939*H1939-G1939),8)</f>
        <v/>
      </c>
      <c r="J1939" s="49">
        <f>G1939+I1939</f>
        <v/>
      </c>
      <c r="K1939" s="256" t="n"/>
      <c r="L1939" s="256" t="n"/>
      <c r="M1939" s="256" t="n"/>
      <c r="N1939" s="256" t="n"/>
      <c r="O1939" s="256" t="n"/>
      <c r="P1939" s="256" t="n"/>
      <c r="Q1939" s="256" t="n"/>
    </row>
    <row r="1940">
      <c r="A1940">
        <f>IF(DAY(D1940)=DAY($L$1+1),A1939+1,A1939)</f>
        <v/>
      </c>
      <c r="B1940" s="46">
        <f>IF(DAY(D1940)=DAY($L$1+1),1,B1939+1)</f>
        <v/>
      </c>
      <c r="C1940" s="46">
        <f>IF(DAY(D1940)=DAY($L$1+1),1,C1939+1)</f>
        <v/>
      </c>
      <c r="D1940" s="2">
        <f>D1939+1</f>
        <v/>
      </c>
      <c r="E1940" s="8">
        <f>IF(DAY(D1940)=DAY($L$1+1),TRUNC((#REF!),8),E1939)</f>
        <v/>
      </c>
      <c r="F1940" s="49">
        <f>TRUNC(((1+VLOOKUP(A1940,IPCA!$A$2:$C$140,3,0)))^(C1940/(EDATE(D1940-C1940,1)-(D1940-C1940))),8)</f>
        <v/>
      </c>
      <c r="G1940" s="49">
        <f>TRUNC((E1940*F1940),8)</f>
        <v/>
      </c>
      <c r="H1940" s="49">
        <f>ROUND(((1+$H$4)^(30/360))^(C1940/(EDATE(D1940-B1940,1)-(D1940-B1940))),9)</f>
        <v/>
      </c>
      <c r="I1940" s="49">
        <f>TRUNC((G1940*H1940-G1940),8)</f>
        <v/>
      </c>
      <c r="J1940" s="49">
        <f>G1940+I1940</f>
        <v/>
      </c>
      <c r="K1940" s="256" t="n"/>
      <c r="L1940" s="256" t="n"/>
      <c r="M1940" s="256" t="n"/>
      <c r="N1940" s="256" t="n"/>
      <c r="O1940" s="256" t="n"/>
      <c r="P1940" s="256" t="n"/>
      <c r="Q1940" s="256" t="n"/>
    </row>
    <row r="1941">
      <c r="A1941">
        <f>IF(DAY(D1941)=DAY($L$1+1),A1940+1,A1940)</f>
        <v/>
      </c>
      <c r="B1941" s="46">
        <f>IF(DAY(D1941)=DAY($L$1+1),1,B1940+1)</f>
        <v/>
      </c>
      <c r="C1941" s="46">
        <f>IF(DAY(D1941)=DAY($L$1+1),1,C1940+1)</f>
        <v/>
      </c>
      <c r="D1941" s="2">
        <f>D1940+1</f>
        <v/>
      </c>
      <c r="E1941" s="8">
        <f>IF(DAY(D1941)=DAY($L$1+1),TRUNC((#REF!),8),E1940)</f>
        <v/>
      </c>
      <c r="F1941" s="49">
        <f>TRUNC(((1+VLOOKUP(A1941,IPCA!$A$2:$C$140,3,0)))^(C1941/(EDATE(D1941-C1941,1)-(D1941-C1941))),8)</f>
        <v/>
      </c>
      <c r="G1941" s="49">
        <f>TRUNC((E1941*F1941),8)</f>
        <v/>
      </c>
      <c r="H1941" s="49">
        <f>ROUND(((1+$H$4)^(30/360))^(C1941/(EDATE(D1941-B1941,1)-(D1941-B1941))),9)</f>
        <v/>
      </c>
      <c r="I1941" s="49">
        <f>TRUNC((G1941*H1941-G1941),8)</f>
        <v/>
      </c>
      <c r="J1941" s="49">
        <f>G1941+I1941</f>
        <v/>
      </c>
      <c r="K1941" s="256" t="n"/>
      <c r="L1941" s="256" t="n"/>
      <c r="M1941" s="256" t="n"/>
      <c r="N1941" s="256" t="n"/>
      <c r="O1941" s="256" t="n"/>
      <c r="P1941" s="256" t="n"/>
      <c r="Q1941" s="256" t="n"/>
    </row>
    <row r="1942">
      <c r="A1942">
        <f>IF(DAY(D1942)=DAY($L$1+1),A1941+1,A1941)</f>
        <v/>
      </c>
      <c r="B1942" s="46">
        <f>IF(DAY(D1942)=DAY($L$1+1),1,B1941+1)</f>
        <v/>
      </c>
      <c r="C1942" s="46">
        <f>IF(DAY(D1942)=DAY($L$1+1),1,C1941+1)</f>
        <v/>
      </c>
      <c r="D1942" s="2">
        <f>D1941+1</f>
        <v/>
      </c>
      <c r="E1942" s="8">
        <f>IF(DAY(D1942)=DAY($L$1+1),TRUNC((#REF!),8),E1941)</f>
        <v/>
      </c>
      <c r="F1942" s="49">
        <f>TRUNC(((1+VLOOKUP(A1942,IPCA!$A$2:$C$140,3,0)))^(C1942/(EDATE(D1942-C1942,1)-(D1942-C1942))),8)</f>
        <v/>
      </c>
      <c r="G1942" s="49">
        <f>TRUNC((E1942*F1942),8)</f>
        <v/>
      </c>
      <c r="H1942" s="49">
        <f>ROUND(((1+$H$4)^(30/360))^(C1942/(EDATE(D1942-B1942,1)-(D1942-B1942))),9)</f>
        <v/>
      </c>
      <c r="I1942" s="49">
        <f>TRUNC((G1942*H1942-G1942),8)</f>
        <v/>
      </c>
      <c r="J1942" s="49">
        <f>G1942+I1942</f>
        <v/>
      </c>
      <c r="K1942" s="256" t="n"/>
      <c r="L1942" s="256" t="n"/>
      <c r="M1942" s="256" t="n"/>
      <c r="N1942" s="256" t="n"/>
      <c r="O1942" s="256" t="n"/>
      <c r="P1942" s="256" t="n"/>
      <c r="Q1942" s="256" t="n"/>
    </row>
    <row r="1943">
      <c r="A1943">
        <f>IF(DAY(D1943)=DAY($L$1+1),A1942+1,A1942)</f>
        <v/>
      </c>
      <c r="B1943" s="46">
        <f>IF(DAY(D1943)=DAY($L$1+1),1,B1942+1)</f>
        <v/>
      </c>
      <c r="C1943" s="46">
        <f>IF(DAY(D1943)=DAY($L$1+1),1,C1942+1)</f>
        <v/>
      </c>
      <c r="D1943" s="2">
        <f>D1942+1</f>
        <v/>
      </c>
      <c r="E1943" s="8">
        <f>IF(DAY(D1943)=DAY($L$1+1),TRUNC((#REF!),8),E1942)</f>
        <v/>
      </c>
      <c r="F1943" s="49">
        <f>TRUNC(((1+VLOOKUP(A1943,IPCA!$A$2:$C$140,3,0)))^(C1943/(EDATE(D1943-C1943,1)-(D1943-C1943))),8)</f>
        <v/>
      </c>
      <c r="G1943" s="49">
        <f>TRUNC((E1943*F1943),8)</f>
        <v/>
      </c>
      <c r="H1943" s="49">
        <f>ROUND(((1+$H$4)^(30/360))^(C1943/(EDATE(D1943-B1943,1)-(D1943-B1943))),9)</f>
        <v/>
      </c>
      <c r="I1943" s="49">
        <f>TRUNC((G1943*H1943-G1943),8)</f>
        <v/>
      </c>
      <c r="J1943" s="49">
        <f>G1943+I1943</f>
        <v/>
      </c>
      <c r="K1943" s="256" t="n"/>
      <c r="L1943" s="256" t="n"/>
      <c r="M1943" s="256" t="n"/>
      <c r="N1943" s="256" t="n"/>
      <c r="O1943" s="256" t="n"/>
      <c r="P1943" s="256" t="n"/>
      <c r="Q1943" s="256" t="n"/>
    </row>
    <row r="1944">
      <c r="A1944">
        <f>IF(DAY(D1944)=DAY($L$1+1),A1943+1,A1943)</f>
        <v/>
      </c>
      <c r="B1944" s="46">
        <f>IF(DAY(D1944)=DAY($L$1+1),1,B1943+1)</f>
        <v/>
      </c>
      <c r="C1944" s="46">
        <f>IF(DAY(D1944)=DAY($L$1+1),1,C1943+1)</f>
        <v/>
      </c>
      <c r="D1944" s="2">
        <f>D1943+1</f>
        <v/>
      </c>
      <c r="E1944" s="8">
        <f>IF(DAY(D1944)=DAY($L$1+1),TRUNC((#REF!),8),E1943)</f>
        <v/>
      </c>
      <c r="F1944" s="49">
        <f>TRUNC(((1+VLOOKUP(A1944,IPCA!$A$2:$C$140,3,0)))^(C1944/(EDATE(D1944-C1944,1)-(D1944-C1944))),8)</f>
        <v/>
      </c>
      <c r="G1944" s="49">
        <f>TRUNC((E1944*F1944),8)</f>
        <v/>
      </c>
      <c r="H1944" s="49">
        <f>ROUND(((1+$H$4)^(30/360))^(C1944/(EDATE(D1944-B1944,1)-(D1944-B1944))),9)</f>
        <v/>
      </c>
      <c r="I1944" s="49">
        <f>TRUNC((G1944*H1944-G1944),8)</f>
        <v/>
      </c>
      <c r="J1944" s="49">
        <f>G1944+I1944</f>
        <v/>
      </c>
      <c r="K1944" s="256" t="n"/>
      <c r="L1944" s="256" t="n"/>
      <c r="M1944" s="256" t="n"/>
      <c r="N1944" s="256" t="n"/>
      <c r="O1944" s="256" t="n"/>
      <c r="P1944" s="256" t="n"/>
      <c r="Q1944" s="256" t="n"/>
    </row>
    <row r="1945">
      <c r="A1945">
        <f>IF(DAY(D1945)=DAY($L$1+1),A1944+1,A1944)</f>
        <v/>
      </c>
      <c r="B1945" s="46">
        <f>IF(DAY(D1945)=DAY($L$1+1),1,B1944+1)</f>
        <v/>
      </c>
      <c r="C1945" s="46">
        <f>IF(DAY(D1945)=DAY($L$1+1),1,C1944+1)</f>
        <v/>
      </c>
      <c r="D1945" s="2">
        <f>D1944+1</f>
        <v/>
      </c>
      <c r="E1945" s="8">
        <f>IF(DAY(D1945)=DAY($L$1+1),TRUNC((#REF!),8),E1944)</f>
        <v/>
      </c>
      <c r="F1945" s="49">
        <f>TRUNC(((1+VLOOKUP(A1945,IPCA!$A$2:$C$140,3,0)))^(C1945/(EDATE(D1945-C1945,1)-(D1945-C1945))),8)</f>
        <v/>
      </c>
      <c r="G1945" s="49">
        <f>TRUNC((E1945*F1945),8)</f>
        <v/>
      </c>
      <c r="H1945" s="49">
        <f>ROUND(((1+$H$4)^(30/360))^(C1945/(EDATE(D1945-B1945,1)-(D1945-B1945))),9)</f>
        <v/>
      </c>
      <c r="I1945" s="49">
        <f>TRUNC((G1945*H1945-G1945),8)</f>
        <v/>
      </c>
      <c r="J1945" s="49">
        <f>G1945+I1945</f>
        <v/>
      </c>
      <c r="K1945" s="256" t="n"/>
      <c r="L1945" s="256" t="n"/>
      <c r="M1945" s="256" t="n"/>
      <c r="N1945" s="256" t="n"/>
      <c r="O1945" s="256" t="n"/>
      <c r="P1945" s="256" t="n"/>
      <c r="Q1945" s="256" t="n"/>
    </row>
    <row r="1946">
      <c r="A1946">
        <f>IF(DAY(D1946)=DAY($L$1+1),A1945+1,A1945)</f>
        <v/>
      </c>
      <c r="B1946" s="46">
        <f>IF(DAY(D1946)=DAY($L$1+1),1,B1945+1)</f>
        <v/>
      </c>
      <c r="C1946" s="46">
        <f>IF(DAY(D1946)=DAY($L$1+1),1,C1945+1)</f>
        <v/>
      </c>
      <c r="D1946" s="2">
        <f>D1945+1</f>
        <v/>
      </c>
      <c r="E1946" s="8">
        <f>IF(DAY(D1946)=DAY($L$1+1),TRUNC((#REF!),8),E1945)</f>
        <v/>
      </c>
      <c r="F1946" s="49">
        <f>TRUNC(((1+VLOOKUP(A1946,IPCA!$A$2:$C$140,3,0)))^(C1946/(EDATE(D1946-C1946,1)-(D1946-C1946))),8)</f>
        <v/>
      </c>
      <c r="G1946" s="49">
        <f>TRUNC((E1946*F1946),8)</f>
        <v/>
      </c>
      <c r="H1946" s="49">
        <f>ROUND(((1+$H$4)^(30/360))^(C1946/(EDATE(D1946-B1946,1)-(D1946-B1946))),9)</f>
        <v/>
      </c>
      <c r="I1946" s="49">
        <f>TRUNC((G1946*H1946-G1946),8)</f>
        <v/>
      </c>
      <c r="J1946" s="49">
        <f>G1946+I1946</f>
        <v/>
      </c>
      <c r="K1946" s="256" t="n"/>
      <c r="L1946" s="256" t="n"/>
      <c r="M1946" s="256" t="n"/>
      <c r="N1946" s="256" t="n"/>
      <c r="O1946" s="256" t="n"/>
      <c r="P1946" s="256" t="n"/>
      <c r="Q1946" s="256" t="n"/>
    </row>
    <row r="1947">
      <c r="A1947">
        <f>IF(DAY(D1947)=DAY($L$1+1),A1946+1,A1946)</f>
        <v/>
      </c>
      <c r="B1947" s="46">
        <f>IF(DAY(D1947)=DAY($L$1+1),1,B1946+1)</f>
        <v/>
      </c>
      <c r="C1947" s="46">
        <f>IF(DAY(D1947)=DAY($L$1+1),1,C1946+1)</f>
        <v/>
      </c>
      <c r="D1947" s="2">
        <f>D1946+1</f>
        <v/>
      </c>
      <c r="E1947" s="8">
        <f>IF(DAY(D1947)=DAY($L$1+1),TRUNC((#REF!),8),E1946)</f>
        <v/>
      </c>
      <c r="F1947" s="49">
        <f>TRUNC(((1+VLOOKUP(A1947,IPCA!$A$2:$C$140,3,0)))^(C1947/(EDATE(D1947-C1947,1)-(D1947-C1947))),8)</f>
        <v/>
      </c>
      <c r="G1947" s="49">
        <f>TRUNC((E1947*F1947),8)</f>
        <v/>
      </c>
      <c r="H1947" s="49">
        <f>ROUND(((1+$H$4)^(30/360))^(C1947/(EDATE(D1947-B1947,1)-(D1947-B1947))),9)</f>
        <v/>
      </c>
      <c r="I1947" s="49">
        <f>TRUNC((G1947*H1947-G1947),8)</f>
        <v/>
      </c>
      <c r="J1947" s="49">
        <f>G1947+I1947</f>
        <v/>
      </c>
      <c r="K1947" s="256" t="n"/>
      <c r="L1947" s="256" t="n"/>
      <c r="M1947" s="256" t="n"/>
      <c r="N1947" s="256" t="n"/>
      <c r="O1947" s="256" t="n"/>
      <c r="P1947" s="256" t="n"/>
      <c r="Q1947" s="256" t="n"/>
    </row>
    <row r="1948">
      <c r="A1948">
        <f>IF(DAY(D1948)=DAY($L$1+1),A1947+1,A1947)</f>
        <v/>
      </c>
      <c r="B1948" s="46">
        <f>IF(DAY(D1948)=DAY($L$1+1),1,B1947+1)</f>
        <v/>
      </c>
      <c r="C1948" s="46">
        <f>IF(DAY(D1948)=DAY($L$1+1),1,C1947+1)</f>
        <v/>
      </c>
      <c r="D1948" s="2">
        <f>D1947+1</f>
        <v/>
      </c>
      <c r="E1948" s="8">
        <f>IF(DAY(D1948)=DAY($L$1+1),TRUNC((#REF!),8),E1947)</f>
        <v/>
      </c>
      <c r="F1948" s="49">
        <f>TRUNC(((1+VLOOKUP(A1948,IPCA!$A$2:$C$140,3,0)))^(C1948/(EDATE(D1948-C1948,1)-(D1948-C1948))),8)</f>
        <v/>
      </c>
      <c r="G1948" s="49">
        <f>TRUNC((E1948*F1948),8)</f>
        <v/>
      </c>
      <c r="H1948" s="49">
        <f>ROUND(((1+$H$4)^(30/360))^(C1948/(EDATE(D1948-B1948,1)-(D1948-B1948))),9)</f>
        <v/>
      </c>
      <c r="I1948" s="49">
        <f>TRUNC((G1948*H1948-G1948),8)</f>
        <v/>
      </c>
      <c r="J1948" s="49">
        <f>G1948+I1948</f>
        <v/>
      </c>
      <c r="K1948" s="256" t="n"/>
      <c r="L1948" s="256" t="n"/>
      <c r="M1948" s="256" t="n"/>
      <c r="N1948" s="256" t="n"/>
      <c r="O1948" s="256" t="n"/>
      <c r="P1948" s="256" t="n"/>
      <c r="Q1948" s="256" t="n"/>
    </row>
    <row r="1949">
      <c r="A1949">
        <f>IF(DAY(D1949)=DAY($L$1+1),A1948+1,A1948)</f>
        <v/>
      </c>
      <c r="B1949" s="46">
        <f>IF(DAY(D1949)=DAY($L$1+1),1,B1948+1)</f>
        <v/>
      </c>
      <c r="C1949" s="46">
        <f>IF(DAY(D1949)=DAY($L$1+1),1,C1948+1)</f>
        <v/>
      </c>
      <c r="D1949" s="2">
        <f>D1948+1</f>
        <v/>
      </c>
      <c r="E1949" s="8">
        <f>IF(DAY(D1949)=DAY($L$1+1),TRUNC((#REF!),8),E1948)</f>
        <v/>
      </c>
      <c r="F1949" s="49">
        <f>TRUNC(((1+VLOOKUP(A1949,IPCA!$A$2:$C$140,3,0)))^(C1949/(EDATE(D1949-C1949,1)-(D1949-C1949))),8)</f>
        <v/>
      </c>
      <c r="G1949" s="49">
        <f>TRUNC((E1949*F1949),8)</f>
        <v/>
      </c>
      <c r="H1949" s="49">
        <f>ROUND(((1+$H$4)^(30/360))^(C1949/(EDATE(D1949-B1949,1)-(D1949-B1949))),9)</f>
        <v/>
      </c>
      <c r="I1949" s="49">
        <f>TRUNC((G1949*H1949-G1949),8)</f>
        <v/>
      </c>
      <c r="J1949" s="49">
        <f>G1949+I1949</f>
        <v/>
      </c>
      <c r="K1949" s="256" t="n"/>
      <c r="L1949" s="256" t="n"/>
      <c r="M1949" s="256" t="n"/>
      <c r="N1949" s="256" t="n"/>
      <c r="O1949" s="256" t="n"/>
      <c r="P1949" s="256" t="n"/>
      <c r="Q1949" s="256" t="n"/>
    </row>
    <row r="1950">
      <c r="A1950">
        <f>IF(DAY(D1950)=DAY($L$1+1),A1949+1,A1949)</f>
        <v/>
      </c>
      <c r="B1950" s="46">
        <f>IF(DAY(D1950)=DAY($L$1+1),1,B1949+1)</f>
        <v/>
      </c>
      <c r="C1950" s="46">
        <f>IF(DAY(D1950)=DAY($L$1+1),1,C1949+1)</f>
        <v/>
      </c>
      <c r="D1950" s="2">
        <f>D1949+1</f>
        <v/>
      </c>
      <c r="E1950" s="8">
        <f>IF(DAY(D1950)=DAY($L$1+1),TRUNC((N1949),8),E1949)</f>
        <v/>
      </c>
      <c r="F1950" s="49">
        <f>TRUNC(((1+VLOOKUP(A1950,IPCA!$A$2:$C$140,3,0)))^(C1950/(EDATE(D1950-C1950,1)-(D1950-C1950))),8)</f>
        <v/>
      </c>
      <c r="G1950" s="49">
        <f>TRUNC((E1950*F1950),8)</f>
        <v/>
      </c>
      <c r="H1950" s="49">
        <f>ROUND(((1+$H$4)^(30/360))^(C1950/(EDATE(D1950-B1950,1)-(D1950-B1950))),9)</f>
        <v/>
      </c>
      <c r="I1950" s="49">
        <f>TRUNC((G1950*H1950-G1950),8)</f>
        <v/>
      </c>
      <c r="J1950" s="49">
        <f>G1950+I1950</f>
        <v/>
      </c>
      <c r="K1950" s="256" t="n"/>
      <c r="L1950" s="256" t="n"/>
      <c r="M1950" s="256" t="n"/>
      <c r="N1950" s="256" t="n"/>
      <c r="O1950" s="256" t="n"/>
      <c r="P1950" s="256" t="n"/>
      <c r="Q1950" s="256" t="n"/>
    </row>
    <row r="1951">
      <c r="A1951">
        <f>IF(DAY(D1951)=DAY($L$1+1),A1950+1,A1950)</f>
        <v/>
      </c>
      <c r="B1951" s="46">
        <f>IF(DAY(D1951)=DAY($L$1+1),1,B1950+1)</f>
        <v/>
      </c>
      <c r="C1951" s="46">
        <f>IF(DAY(D1951)=DAY($L$1+1),1,C1950+1)</f>
        <v/>
      </c>
      <c r="D1951" s="2">
        <f>D1950+1</f>
        <v/>
      </c>
      <c r="E1951" s="8">
        <f>IF(DAY(D1951)=DAY($L$1+1),TRUNC((N1950),8),E1950)</f>
        <v/>
      </c>
      <c r="F1951" s="49">
        <f>TRUNC(((1+VLOOKUP(A1951,IPCA!$A$2:$C$140,3,0)))^(C1951/(EDATE(D1951-C1951,1)-(D1951-C1951))),8)</f>
        <v/>
      </c>
      <c r="G1951" s="49">
        <f>TRUNC((E1951*F1951),8)</f>
        <v/>
      </c>
      <c r="H1951" s="49">
        <f>ROUND(((1+$H$4)^(30/360))^(C1951/(EDATE(D1951-B1951,1)-(D1951-B1951))),9)</f>
        <v/>
      </c>
      <c r="I1951" s="49">
        <f>TRUNC((G1951*H1951-G1951),8)</f>
        <v/>
      </c>
      <c r="J1951" s="49">
        <f>G1951+I1951</f>
        <v/>
      </c>
      <c r="K1951" s="256" t="n"/>
      <c r="L1951" s="256" t="n"/>
      <c r="M1951" s="256" t="n"/>
      <c r="N1951" s="256" t="n"/>
      <c r="O1951" s="256" t="n"/>
      <c r="P1951" s="256" t="n"/>
      <c r="Q1951" s="256" t="n"/>
    </row>
    <row r="1952">
      <c r="A1952">
        <f>IF(DAY(D1952)=DAY($L$1+1),A1951+1,A1951)</f>
        <v/>
      </c>
      <c r="B1952" s="46">
        <f>IF(DAY(D1952)=DAY($L$1+1),1,B1951+1)</f>
        <v/>
      </c>
      <c r="C1952" s="46">
        <f>IF(DAY(D1952)=DAY($L$1+1),1,C1951+1)</f>
        <v/>
      </c>
      <c r="D1952" s="2">
        <f>D1951+1</f>
        <v/>
      </c>
      <c r="E1952" s="8">
        <f>IF(DAY(D1952)=DAY($L$1+1),TRUNC((N1951),8),E1951)</f>
        <v/>
      </c>
      <c r="F1952" s="49">
        <f>TRUNC(((1+VLOOKUP(A1952,IPCA!$A$2:$C$140,3,0)))^(C1952/(EDATE(D1952-C1952,1)-(D1952-C1952))),8)</f>
        <v/>
      </c>
      <c r="G1952" s="49">
        <f>TRUNC((E1952*F1952),8)</f>
        <v/>
      </c>
      <c r="H1952" s="49">
        <f>ROUND(((1+$H$4)^(30/360))^(C1952/(EDATE(D1952-B1952,1)-(D1952-B1952))),9)</f>
        <v/>
      </c>
      <c r="I1952" s="49">
        <f>TRUNC((G1952*H1952-G1952),8)</f>
        <v/>
      </c>
      <c r="J1952" s="49">
        <f>G1952+I1952</f>
        <v/>
      </c>
      <c r="K1952" s="256" t="n"/>
      <c r="L1952" s="256" t="n"/>
      <c r="M1952" s="256" t="n"/>
      <c r="N1952" s="256" t="n"/>
      <c r="O1952" s="256" t="n"/>
      <c r="P1952" s="256" t="n"/>
      <c r="Q1952" s="256" t="n"/>
    </row>
    <row r="1953">
      <c r="A1953">
        <f>IF(DAY(D1953)=DAY($L$1+1),A1952+1,A1952)</f>
        <v/>
      </c>
      <c r="B1953" s="46">
        <f>IF(DAY(D1953)=DAY($L$1+1),1,B1952+1)</f>
        <v/>
      </c>
      <c r="C1953" s="46">
        <f>IF(DAY(D1953)=DAY($L$1+1),1,C1952+1)</f>
        <v/>
      </c>
      <c r="D1953" s="2">
        <f>D1952+1</f>
        <v/>
      </c>
      <c r="E1953" s="8">
        <f>IF(DAY(D1953)=DAY($L$1+1),TRUNC((N1952),8),E1952)</f>
        <v/>
      </c>
      <c r="F1953" s="49">
        <f>TRUNC(((1+VLOOKUP(A1953,IPCA!$A$2:$C$140,3,0)))^(C1953/(EDATE(D1953-C1953,1)-(D1953-C1953))),8)</f>
        <v/>
      </c>
      <c r="G1953" s="49">
        <f>TRUNC((E1953*F1953),8)</f>
        <v/>
      </c>
      <c r="H1953" s="49">
        <f>ROUND(((1+$H$4)^(30/360))^(C1953/(EDATE(D1953-B1953,1)-(D1953-B1953))),9)</f>
        <v/>
      </c>
      <c r="I1953" s="49">
        <f>TRUNC((G1953*H1953-G1953),8)</f>
        <v/>
      </c>
      <c r="J1953" s="49">
        <f>G1953+I1953</f>
        <v/>
      </c>
      <c r="K1953" s="123" t="n"/>
      <c r="L1953" s="271" t="n"/>
      <c r="M1953" s="256" t="n"/>
      <c r="N1953" s="256" t="n"/>
      <c r="O1953" s="256" t="n"/>
      <c r="P1953" s="256" t="n"/>
      <c r="Q1953" s="256" t="n"/>
    </row>
    <row r="1954">
      <c r="A1954">
        <f>IF(DAY(D1954)=DAY($L$1+1),A1953+1,A1953)</f>
        <v/>
      </c>
      <c r="B1954" s="46">
        <f>IF(DAY(D1954)=DAY($L$1+1),1,B1953+1)</f>
        <v/>
      </c>
      <c r="C1954" s="46">
        <f>IF(DAY(D1954)=DAY($L$1+1),1,C1953+1)</f>
        <v/>
      </c>
      <c r="D1954" s="2">
        <f>D1953+1</f>
        <v/>
      </c>
      <c r="E1954" s="8">
        <f>IF(DAY(D1954)=DAY($L$1+1),TRUNC((N1953),8),E1953)</f>
        <v/>
      </c>
      <c r="F1954" s="49">
        <f>TRUNC(((1+VLOOKUP(A1954,IPCA!$A$2:$C$140,3,0)))^(C1954/(EDATE(D1954-C1954,1)-(D1954-C1954))),8)</f>
        <v/>
      </c>
      <c r="G1954" s="49">
        <f>TRUNC((E1954*F1954),8)</f>
        <v/>
      </c>
      <c r="H1954" s="49">
        <f>ROUND(((1+$H$4)^(30/360))^(C1954/(EDATE(D1954-B1954,1)-(D1954-B1954))),9)</f>
        <v/>
      </c>
      <c r="I1954" s="49">
        <f>TRUNC((G1954*H1954-G1954),8)</f>
        <v/>
      </c>
      <c r="J1954" s="49">
        <f>G1954+I1954</f>
        <v/>
      </c>
      <c r="K1954" s="256" t="n"/>
      <c r="L1954" s="256" t="n"/>
      <c r="M1954" s="256" t="n"/>
      <c r="N1954" s="256" t="n"/>
      <c r="O1954" s="256" t="n"/>
      <c r="P1954" s="256" t="n"/>
      <c r="Q1954" s="256" t="n"/>
    </row>
    <row r="1955">
      <c r="A1955">
        <f>IF(DAY(D1955)=DAY($L$1+1),A1954+1,A1954)</f>
        <v/>
      </c>
      <c r="B1955" s="46">
        <f>IF(DAY(D1955)=DAY($L$1+1),1,B1954+1)</f>
        <v/>
      </c>
      <c r="C1955" s="46">
        <f>IF(DAY(D1955)=DAY($L$1+1),1,C1954+1)</f>
        <v/>
      </c>
      <c r="D1955" s="2">
        <f>D1954+1</f>
        <v/>
      </c>
      <c r="E1955" s="8">
        <f>IF(DAY(D1955)=DAY($L$1+1),TRUNC((N1954),8),E1954)</f>
        <v/>
      </c>
      <c r="F1955" s="49">
        <f>TRUNC(((1+VLOOKUP(A1955,IPCA!$A$2:$C$140,3,0)))^(C1955/(EDATE(D1955-C1955,1)-(D1955-C1955))),8)</f>
        <v/>
      </c>
      <c r="G1955" s="49">
        <f>TRUNC((E1955*F1955),8)</f>
        <v/>
      </c>
      <c r="H1955" s="49">
        <f>ROUND(((1+$H$4)^(30/360))^(C1955/(EDATE(D1955-B1955,1)-(D1955-B1955))),9)</f>
        <v/>
      </c>
      <c r="I1955" s="49">
        <f>TRUNC((G1955*H1955-G1955),8)</f>
        <v/>
      </c>
      <c r="J1955" s="49">
        <f>G1955+I1955</f>
        <v/>
      </c>
      <c r="K1955" s="256" t="n"/>
      <c r="L1955" s="256" t="n"/>
      <c r="M1955" s="256" t="n"/>
      <c r="N1955" s="256" t="n"/>
      <c r="O1955" s="256" t="n"/>
      <c r="P1955" s="256" t="n"/>
      <c r="Q1955" s="256" t="n"/>
    </row>
    <row r="1956">
      <c r="A1956">
        <f>IF(DAY(D1956)=DAY($L$1+1),A1955+1,A1955)</f>
        <v/>
      </c>
      <c r="B1956" s="46">
        <f>IF(DAY(D1956)=DAY($L$1+1),1,B1955+1)</f>
        <v/>
      </c>
      <c r="C1956" s="46">
        <f>IF(DAY(D1956)=DAY($L$1+1),1,C1955+1)</f>
        <v/>
      </c>
      <c r="D1956" s="2">
        <f>D1955+1</f>
        <v/>
      </c>
      <c r="E1956" s="8">
        <f>IF(DAY(D1956)=DAY($L$1+1),TRUNC((N1955),8),E1955)</f>
        <v/>
      </c>
      <c r="F1956" s="49">
        <f>TRUNC(((1+VLOOKUP(A1956,IPCA!$A$2:$C$140,3,0)))^(C1956/(EDATE(D1956-C1956,1)-(D1956-C1956))),8)</f>
        <v/>
      </c>
      <c r="G1956" s="49">
        <f>TRUNC((E1956*F1956),8)</f>
        <v/>
      </c>
      <c r="H1956" s="49">
        <f>ROUND(((1+$H$4)^(30/360))^(C1956/(EDATE(D1956-B1956,1)-(D1956-B1956))),9)</f>
        <v/>
      </c>
      <c r="I1956" s="49">
        <f>TRUNC((G1956*H1956-G1956),8)</f>
        <v/>
      </c>
      <c r="J1956" s="49">
        <f>G1956+I1956</f>
        <v/>
      </c>
      <c r="K1956" s="256" t="n"/>
      <c r="L1956" s="256" t="n"/>
      <c r="M1956" s="256" t="n"/>
      <c r="N1956" s="256" t="n"/>
      <c r="O1956" s="256" t="n"/>
      <c r="P1956" s="256" t="n"/>
      <c r="Q1956" s="256" t="n"/>
    </row>
    <row r="1957">
      <c r="A1957">
        <f>IF(DAY(D1957)=DAY($L$1+1),A1956+1,A1956)</f>
        <v/>
      </c>
      <c r="B1957" s="46">
        <f>IF(DAY(D1957)=DAY($L$1+1),1,B1956+1)</f>
        <v/>
      </c>
      <c r="C1957" s="46">
        <f>IF(DAY(D1957)=DAY($L$1+1),1,C1956+1)</f>
        <v/>
      </c>
      <c r="D1957" s="2">
        <f>D1956+1</f>
        <v/>
      </c>
      <c r="E1957" s="8">
        <f>IF(DAY(D1957)=DAY($L$1+1),TRUNC((N1956),8),E1956)</f>
        <v/>
      </c>
      <c r="F1957" s="49">
        <f>TRUNC(((1+VLOOKUP(A1957,IPCA!$A$2:$C$140,3,0)))^(C1957/(EDATE(D1957-C1957,1)-(D1957-C1957))),8)</f>
        <v/>
      </c>
      <c r="G1957" s="49">
        <f>TRUNC((E1957*F1957),8)</f>
        <v/>
      </c>
      <c r="H1957" s="49">
        <f>ROUND(((1+$H$4)^(30/360))^(C1957/(EDATE(D1957-B1957,1)-(D1957-B1957))),9)</f>
        <v/>
      </c>
      <c r="I1957" s="49">
        <f>TRUNC((G1957*H1957-G1957),8)</f>
        <v/>
      </c>
      <c r="J1957" s="49">
        <f>G1957+I1957</f>
        <v/>
      </c>
      <c r="K1957" s="256" t="n"/>
      <c r="L1957" s="256" t="n"/>
      <c r="M1957" s="256" t="n"/>
      <c r="N1957" s="256" t="n"/>
      <c r="O1957" s="256" t="n"/>
      <c r="P1957" s="256" t="n"/>
      <c r="Q1957" s="256" t="n"/>
    </row>
    <row r="1958">
      <c r="A1958">
        <f>IF(DAY(D1958)=DAY($L$1+1),A1957+1,A1957)</f>
        <v/>
      </c>
      <c r="B1958" s="46">
        <f>IF(DAY(D1958)=DAY($L$1+1),1,B1957+1)</f>
        <v/>
      </c>
      <c r="C1958" s="46">
        <f>IF(DAY(D1958)=DAY($L$1+1),1,C1957+1)</f>
        <v/>
      </c>
      <c r="D1958" s="2">
        <f>D1957+1</f>
        <v/>
      </c>
      <c r="E1958" s="8">
        <f>IF(DAY(D1958)=DAY($L$1+1),TRUNC((N1957),8),E1957)</f>
        <v/>
      </c>
      <c r="F1958" s="49">
        <f>TRUNC(((1+VLOOKUP(A1958,IPCA!$A$2:$C$140,3,0)))^(C1958/(EDATE(D1958-C1958,1)-(D1958-C1958))),8)</f>
        <v/>
      </c>
      <c r="G1958" s="49">
        <f>TRUNC((E1958*F1958),8)</f>
        <v/>
      </c>
      <c r="H1958" s="49">
        <f>ROUND(((1+$H$4)^(30/360))^(C1958/(EDATE(D1958-B1958,1)-(D1958-B1958))),9)</f>
        <v/>
      </c>
      <c r="I1958" s="49">
        <f>TRUNC((G1958*H1958-G1958),8)</f>
        <v/>
      </c>
      <c r="J1958" s="49">
        <f>G1958+I1958</f>
        <v/>
      </c>
      <c r="K1958" s="256" t="n"/>
      <c r="L1958" s="256" t="n"/>
      <c r="M1958" s="256" t="n"/>
      <c r="N1958" s="256" t="n"/>
      <c r="O1958" s="256" t="n"/>
      <c r="P1958" s="256" t="n"/>
      <c r="Q1958" s="256" t="n"/>
    </row>
    <row r="1959">
      <c r="A1959">
        <f>IF(DAY(D1959)=DAY($L$1+1),A1958+1,A1958)</f>
        <v/>
      </c>
      <c r="B1959" s="46">
        <f>IF(DAY(D1959)=DAY($L$1+1),1,B1958+1)</f>
        <v/>
      </c>
      <c r="C1959" s="46">
        <f>IF(DAY(D1959)=DAY($L$1+1),1,C1958+1)</f>
        <v/>
      </c>
      <c r="D1959" s="2">
        <f>D1958+1</f>
        <v/>
      </c>
      <c r="E1959" s="8">
        <f>IF(DAY(D1959)=DAY($L$1+1),TRUNC((N1958),8),E1958)</f>
        <v/>
      </c>
      <c r="F1959" s="49">
        <f>TRUNC(((1+VLOOKUP(A1959,IPCA!$A$2:$C$140,3,0)))^(C1959/(EDATE(D1959-C1959,1)-(D1959-C1959))),8)</f>
        <v/>
      </c>
      <c r="G1959" s="49">
        <f>TRUNC((E1959*F1959),8)</f>
        <v/>
      </c>
      <c r="H1959" s="49">
        <f>ROUND(((1+$H$4)^(30/360))^(C1959/(EDATE(D1959-B1959,1)-(D1959-B1959))),9)</f>
        <v/>
      </c>
      <c r="I1959" s="49">
        <f>TRUNC((G1959*H1959-G1959),8)</f>
        <v/>
      </c>
      <c r="J1959" s="49">
        <f>G1959+I1959</f>
        <v/>
      </c>
      <c r="K1959" s="256" t="n"/>
      <c r="L1959" s="256" t="n"/>
      <c r="M1959" s="256" t="n"/>
      <c r="N1959" s="256" t="n"/>
      <c r="O1959" s="256" t="n"/>
      <c r="P1959" s="256" t="n"/>
      <c r="Q1959" s="256" t="n"/>
    </row>
    <row r="1960">
      <c r="A1960">
        <f>IF(DAY(D1960)=DAY($L$1+1),A1959+1,A1959)</f>
        <v/>
      </c>
      <c r="B1960" s="46">
        <f>IF(DAY(D1960)=DAY($L$1+1),1,B1959+1)</f>
        <v/>
      </c>
      <c r="C1960" s="46">
        <f>IF(DAY(D1960)=DAY($L$1+1),1,C1959+1)</f>
        <v/>
      </c>
      <c r="D1960" s="2">
        <f>D1959+1</f>
        <v/>
      </c>
      <c r="E1960" s="8">
        <f>IF(DAY(D1960)=DAY($L$1+1),TRUNC((N1959),8),E1959)</f>
        <v/>
      </c>
      <c r="F1960" s="49">
        <f>TRUNC(((1+VLOOKUP(A1960,IPCA!$A$2:$C$140,3,0)))^(C1960/(EDATE(D1960-C1960,1)-(D1960-C1960))),8)</f>
        <v/>
      </c>
      <c r="G1960" s="49">
        <f>TRUNC((E1960*F1960),8)</f>
        <v/>
      </c>
      <c r="H1960" s="49">
        <f>ROUND(((1+$H$4)^(30/360))^(C1960/(EDATE(D1960-B1960,1)-(D1960-B1960))),9)</f>
        <v/>
      </c>
      <c r="I1960" s="49">
        <f>TRUNC((G1960*H1960-G1960),8)</f>
        <v/>
      </c>
      <c r="J1960" s="49">
        <f>G1960+I1960</f>
        <v/>
      </c>
      <c r="K1960" s="256" t="n"/>
      <c r="L1960" s="256" t="n"/>
      <c r="M1960" s="256" t="n"/>
      <c r="N1960" s="256" t="n"/>
      <c r="O1960" s="256" t="n"/>
      <c r="P1960" s="256" t="n"/>
      <c r="Q1960" s="256" t="n"/>
    </row>
    <row r="1961">
      <c r="A1961">
        <f>IF(DAY(D1961)=DAY($L$1+1),A1960+1,A1960)</f>
        <v/>
      </c>
      <c r="B1961" s="46">
        <f>IF(DAY(D1961)=DAY($L$1+1),1,B1960+1)</f>
        <v/>
      </c>
      <c r="C1961" s="46">
        <f>IF(DAY(D1961)=DAY($L$1+1),1,C1960+1)</f>
        <v/>
      </c>
      <c r="D1961" s="2">
        <f>D1960+1</f>
        <v/>
      </c>
      <c r="E1961" s="8">
        <f>IF(DAY(D1961)=DAY($L$1+1),TRUNC((N1960),8),E1960)</f>
        <v/>
      </c>
      <c r="F1961" s="49">
        <f>TRUNC(((1+VLOOKUP(A1961,IPCA!$A$2:$C$140,3,0)))^(C1961/(EDATE(D1961-C1961,1)-(D1961-C1961))),8)</f>
        <v/>
      </c>
      <c r="G1961" s="49">
        <f>TRUNC((E1961*F1961),8)</f>
        <v/>
      </c>
      <c r="H1961" s="49">
        <f>ROUND(((1+$H$4)^(30/360))^(C1961/(EDATE(D1961-B1961,1)-(D1961-B1961))),9)</f>
        <v/>
      </c>
      <c r="I1961" s="49">
        <f>TRUNC((G1961*H1961-G1961),8)</f>
        <v/>
      </c>
      <c r="J1961" s="49">
        <f>G1961+I1961</f>
        <v/>
      </c>
      <c r="K1961" s="256" t="n"/>
      <c r="L1961" s="256" t="n"/>
      <c r="M1961" s="256" t="n"/>
      <c r="N1961" s="256" t="n"/>
      <c r="O1961" s="256" t="n"/>
      <c r="P1961" s="256" t="n"/>
      <c r="Q1961" s="256" t="n"/>
    </row>
    <row r="1962">
      <c r="A1962">
        <f>IF(DAY(D1962)=DAY($L$1+1),A1961+1,A1961)</f>
        <v/>
      </c>
      <c r="B1962" s="46">
        <f>IF(DAY(D1962)=DAY($L$1+1),1,B1961+1)</f>
        <v/>
      </c>
      <c r="C1962" s="46">
        <f>IF(DAY(D1962)=DAY($L$1+1),1,C1961+1)</f>
        <v/>
      </c>
      <c r="D1962" s="2">
        <f>D1961+1</f>
        <v/>
      </c>
      <c r="E1962" s="8">
        <f>IF(DAY(D1962)=DAY($L$1+1),TRUNC((N1961),8),E1961)</f>
        <v/>
      </c>
      <c r="F1962" s="49">
        <f>TRUNC(((1+VLOOKUP(A1962,IPCA!$A$2:$C$140,3,0)))^(C1962/(EDATE(D1962-C1962,1)-(D1962-C1962))),8)</f>
        <v/>
      </c>
      <c r="G1962" s="49">
        <f>TRUNC((E1962*F1962),8)</f>
        <v/>
      </c>
      <c r="H1962" s="49">
        <f>ROUND(((1+$H$4)^(30/360))^(C1962/(EDATE(D1962-B1962,1)-(D1962-B1962))),9)</f>
        <v/>
      </c>
      <c r="I1962" s="49">
        <f>TRUNC((G1962*H1962-G1962),8)</f>
        <v/>
      </c>
      <c r="J1962" s="49">
        <f>G1962+I1962</f>
        <v/>
      </c>
      <c r="K1962" s="256" t="n"/>
      <c r="L1962" s="256" t="n"/>
      <c r="M1962" s="256" t="n"/>
      <c r="N1962" s="256" t="n"/>
      <c r="O1962" s="256" t="n"/>
      <c r="P1962" s="256" t="n"/>
      <c r="Q1962" s="256" t="n"/>
    </row>
    <row r="1963">
      <c r="A1963">
        <f>IF(DAY(D1963)=DAY($L$1+1),A1962+1,A1962)</f>
        <v/>
      </c>
      <c r="B1963" s="46">
        <f>IF(DAY(D1963)=DAY($L$1+1),1,B1962+1)</f>
        <v/>
      </c>
      <c r="C1963" s="46">
        <f>IF(DAY(D1963)=DAY($L$1+1),1,C1962+1)</f>
        <v/>
      </c>
      <c r="D1963" s="2">
        <f>D1962+1</f>
        <v/>
      </c>
      <c r="E1963" s="8">
        <f>IF(DAY(D1963)=DAY($L$1+1),TRUNC((N1962),8),E1962)</f>
        <v/>
      </c>
      <c r="F1963" s="49">
        <f>TRUNC(((1+VLOOKUP(A1963,IPCA!$A$2:$C$140,3,0)))^(C1963/(EDATE(D1963-C1963,1)-(D1963-C1963))),8)</f>
        <v/>
      </c>
      <c r="G1963" s="49">
        <f>TRUNC((E1963*F1963),8)</f>
        <v/>
      </c>
      <c r="H1963" s="49">
        <f>ROUND(((1+$H$4)^(30/360))^(C1963/(EDATE(D1963-B1963,1)-(D1963-B1963))),9)</f>
        <v/>
      </c>
      <c r="I1963" s="49">
        <f>TRUNC((G1963*H1963-G1963),8)</f>
        <v/>
      </c>
      <c r="J1963" s="49">
        <f>G1963+I1963</f>
        <v/>
      </c>
      <c r="K1963" s="256" t="n"/>
      <c r="L1963" s="256" t="n"/>
      <c r="M1963" s="256" t="n"/>
      <c r="N1963" s="256" t="n"/>
      <c r="O1963" s="256" t="n"/>
      <c r="P1963" s="256" t="n"/>
      <c r="Q1963" s="256" t="n"/>
    </row>
    <row r="1964">
      <c r="A1964">
        <f>IF(DAY(D1964)=DAY($L$1+1),A1963+1,A1963)</f>
        <v/>
      </c>
      <c r="B1964" s="46">
        <f>IF(DAY(D1964)=DAY($L$1+1),1,B1963+1)</f>
        <v/>
      </c>
      <c r="C1964" s="46">
        <f>IF(DAY(D1964)=DAY($L$1+1),1,C1963+1)</f>
        <v/>
      </c>
      <c r="D1964" s="2">
        <f>D1963+1</f>
        <v/>
      </c>
      <c r="E1964" s="8">
        <f>IF(DAY(D1964)=DAY($L$1+1),TRUNC((N1963),8),E1963)</f>
        <v/>
      </c>
      <c r="F1964" s="49">
        <f>TRUNC(((1+VLOOKUP(A1964,IPCA!$A$2:$C$140,3,0)))^(C1964/(EDATE(D1964-C1964,1)-(D1964-C1964))),8)</f>
        <v/>
      </c>
      <c r="G1964" s="49">
        <f>TRUNC((E1964*F1964),8)</f>
        <v/>
      </c>
      <c r="H1964" s="49">
        <f>ROUND(((1+$H$4)^(30/360))^(C1964/(EDATE(D1964-B1964,1)-(D1964-B1964))),9)</f>
        <v/>
      </c>
      <c r="I1964" s="49">
        <f>TRUNC((G1964*H1964-G1964),8)</f>
        <v/>
      </c>
      <c r="J1964" s="49">
        <f>G1964+I1964</f>
        <v/>
      </c>
      <c r="K1964" s="256" t="n"/>
      <c r="L1964" s="256" t="n"/>
      <c r="M1964" s="256" t="n"/>
      <c r="N1964" s="256" t="n"/>
      <c r="O1964" s="256" t="n"/>
      <c r="P1964" s="256" t="n"/>
      <c r="Q1964" s="256" t="n"/>
    </row>
    <row r="1965">
      <c r="A1965">
        <f>IF(DAY(D1965)=DAY($L$1+1),A1964+1,A1964)</f>
        <v/>
      </c>
      <c r="B1965" s="46">
        <f>IF(DAY(D1965)=DAY($L$1+1),1,B1964+1)</f>
        <v/>
      </c>
      <c r="C1965" s="46">
        <f>IF(DAY(D1965)=DAY($L$1+1),1,C1964+1)</f>
        <v/>
      </c>
      <c r="D1965" s="2">
        <f>D1964+1</f>
        <v/>
      </c>
      <c r="E1965" s="8">
        <f>IF(DAY(D1965)=DAY($L$1+1),TRUNC((N1964),8),E1964)</f>
        <v/>
      </c>
      <c r="F1965" s="49">
        <f>TRUNC(((1+VLOOKUP(A1965,IPCA!$A$2:$C$140,3,0)))^(C1965/(EDATE(D1965-C1965,1)-(D1965-C1965))),8)</f>
        <v/>
      </c>
      <c r="G1965" s="49">
        <f>TRUNC((E1965*F1965),8)</f>
        <v/>
      </c>
      <c r="H1965" s="49">
        <f>ROUND(((1+$H$4)^(30/360))^(C1965/(EDATE(D1965-B1965,1)-(D1965-B1965))),9)</f>
        <v/>
      </c>
      <c r="I1965" s="49">
        <f>TRUNC((G1965*H1965-G1965),8)</f>
        <v/>
      </c>
      <c r="J1965" s="49">
        <f>G1965+I1965</f>
        <v/>
      </c>
      <c r="K1965" s="256" t="n"/>
      <c r="L1965" s="256" t="n"/>
      <c r="M1965" s="256" t="n"/>
      <c r="N1965" s="256" t="n"/>
      <c r="O1965" s="256" t="n"/>
      <c r="P1965" s="256" t="n"/>
      <c r="Q1965" s="256" t="n"/>
    </row>
    <row r="1966">
      <c r="A1966">
        <f>IF(DAY(D1966)=DAY($L$1+1),A1965+1,A1965)</f>
        <v/>
      </c>
      <c r="B1966" s="46">
        <f>IF(DAY(D1966)=DAY($L$1+1),1,B1965+1)</f>
        <v/>
      </c>
      <c r="C1966" s="46">
        <f>IF(DAY(D1966)=DAY($L$1+1),1,C1965+1)</f>
        <v/>
      </c>
      <c r="D1966" s="2">
        <f>D1965+1</f>
        <v/>
      </c>
      <c r="E1966" s="8">
        <f>IF(DAY(D1966)=DAY($L$1+1),TRUNC((N1965),8),E1965)</f>
        <v/>
      </c>
      <c r="F1966" s="49">
        <f>TRUNC(((1+VLOOKUP(A1966,IPCA!$A$2:$C$140,3,0)))^(C1966/(EDATE(D1966-C1966,1)-(D1966-C1966))),8)</f>
        <v/>
      </c>
      <c r="G1966" s="49">
        <f>TRUNC((E1966*F1966),8)</f>
        <v/>
      </c>
      <c r="H1966" s="49">
        <f>ROUND(((1+$H$4)^(30/360))^(C1966/(EDATE(D1966-B1966,1)-(D1966-B1966))),9)</f>
        <v/>
      </c>
      <c r="I1966" s="49">
        <f>TRUNC((G1966*H1966-G1966),8)</f>
        <v/>
      </c>
      <c r="J1966" s="49">
        <f>G1966+I1966</f>
        <v/>
      </c>
      <c r="K1966" s="256" t="inlineStr">
        <is>
          <t>Cri Integralizado</t>
        </is>
      </c>
      <c r="L1966" s="270">
        <f>L1935</f>
        <v/>
      </c>
      <c r="M1966" s="256" t="n"/>
      <c r="N1966" s="256" t="n"/>
      <c r="O1966" s="256" t="n"/>
      <c r="P1966" s="256" t="n"/>
      <c r="Q1966" s="256" t="n"/>
    </row>
    <row r="1967">
      <c r="A1967">
        <f>IF(DAY(D1967)=DAY($L$1+1),A1966+1,A1966)</f>
        <v/>
      </c>
      <c r="B1967" s="46">
        <f>IF(DAY(D1967)=DAY($L$1+1),1,B1966+1)</f>
        <v/>
      </c>
      <c r="C1967" s="46">
        <f>IF(DAY(D1967)=DAY($L$1+1),1,C1966+1)</f>
        <v/>
      </c>
      <c r="D1967" s="47">
        <f>D1966+1</f>
        <v/>
      </c>
      <c r="E1967" s="8">
        <f>IF(DAY(D1967)=DAY($L$1+1),TRUNC((N1966),8),E1966)</f>
        <v/>
      </c>
      <c r="F1967" s="49">
        <f>TRUNC(((1+VLOOKUP(A1967,IPCA!$A$2:$C$140,3,0)))^(C1967/(EDATE(D1967-C1967,1)-(D1967-C1967))),8)</f>
        <v/>
      </c>
      <c r="G1967" s="49">
        <f>TRUNC((E1967*F1967),8)</f>
        <v/>
      </c>
      <c r="H1967" s="49">
        <f>ROUND(((1+$H$4)^(30/360))^(C1967/(EDATE(D1967-B1967,1)-(D1967-B1967))),9)</f>
        <v/>
      </c>
      <c r="I1967" s="49">
        <f>TRUNC((G1967*H1967-G1967),8)</f>
        <v/>
      </c>
      <c r="J1967" s="49">
        <f>G1967+I1967</f>
        <v/>
      </c>
      <c r="K1967" s="118" t="inlineStr">
        <is>
          <t>JUROS</t>
        </is>
      </c>
      <c r="L1967" s="118" t="inlineStr">
        <is>
          <t>AMORTIZAÇÃO</t>
        </is>
      </c>
      <c r="M1967" s="118" t="inlineStr">
        <is>
          <t>AMEX</t>
        </is>
      </c>
      <c r="N1967" s="118" t="inlineStr">
        <is>
          <t>RESIDUAL</t>
        </is>
      </c>
      <c r="O1967" s="256" t="n"/>
      <c r="P1967" s="256" t="n"/>
      <c r="Q1967" s="256" t="n"/>
    </row>
    <row r="1968">
      <c r="A1968">
        <f>IF(DAY(D1968)=DAY($L$1+1),A1967+1,A1967)</f>
        <v/>
      </c>
      <c r="B1968" s="111">
        <f>IF(DAY(D1968)=DAY($L$1+1),1,B1967+1)</f>
        <v/>
      </c>
      <c r="C1968" s="111">
        <f>IF(DAY(D1968)=DAY($L$1+1),1,C1967+1)</f>
        <v/>
      </c>
      <c r="D1968" s="112">
        <f>D1967+1</f>
        <v/>
      </c>
      <c r="E1968" s="113">
        <f>IF(DAY(D1968)=DAY($L$1+1),TRUNC((N1967),8),E1967)</f>
        <v/>
      </c>
      <c r="F1968" s="114">
        <f>TRUNC(((1+VLOOKUP(A1968,IPCA!$A$2:$C$140,3,0)))^(C1968/(EDATE(D1968-C1968,1)-(D1968-C1968))),8)</f>
        <v/>
      </c>
      <c r="G1968" s="114">
        <f>TRUNC((E1968*F1968),8)</f>
        <v/>
      </c>
      <c r="H1968" s="114">
        <f>ROUND(((1+$H$4)^(30/360))^(C1968/(EDATE(D1968-B1968,1)-(D1968-B1968))),9)</f>
        <v/>
      </c>
      <c r="I1968" s="114">
        <f>TRUNC((G1968*H1968-G1968),8)</f>
        <v/>
      </c>
      <c r="J1968" s="114">
        <f>G1968+I1968</f>
        <v/>
      </c>
      <c r="K1968" s="119">
        <f>I1968</f>
        <v/>
      </c>
      <c r="L1968" s="120">
        <f>TRUNC(G1968*VLOOKUP(D1968,'Amort TS'!$G$3:$H$140,2,0),8)</f>
        <v/>
      </c>
      <c r="M1968" s="120" t="n">
        <v>0</v>
      </c>
      <c r="N1968" s="120">
        <f>J1968-K1968-L1968-M1968</f>
        <v/>
      </c>
      <c r="O1968" s="256" t="n"/>
      <c r="P1968" s="256" t="n"/>
      <c r="Q1968" s="256" t="n"/>
    </row>
    <row r="1969">
      <c r="A1969">
        <f>IF(DAY(D1969)=DAY($L$1+1),A1968+1,A1968)</f>
        <v/>
      </c>
      <c r="B1969" s="46">
        <f>IF(DAY(D1969)=DAY($L$1+1),1,B1968+1)</f>
        <v/>
      </c>
      <c r="C1969" s="46">
        <f>IF(DAY(D1969)=DAY($L$1+1),1,C1968+1)</f>
        <v/>
      </c>
      <c r="D1969" s="2">
        <f>D1968+1</f>
        <v/>
      </c>
      <c r="E1969" s="8">
        <f>IF(DAY(D1969)=DAY($L$1+1),TRUNC((N1968),8),E1968)</f>
        <v/>
      </c>
      <c r="F1969" s="49">
        <f>TRUNC(((1+VLOOKUP(A1969,IPCA!$A$2:$C$140,3,0)))^(C1969/(EDATE(D1969-C1969,1)-(D1969-C1969))),8)</f>
        <v/>
      </c>
      <c r="G1969" s="49">
        <f>TRUNC((E1969*F1969),8)</f>
        <v/>
      </c>
      <c r="H1969" s="49">
        <f>ROUND(((1+$H$4)^(30/360))^(C1969/(EDATE(D1969-B1969,1)-(D1969-B1969))),9)</f>
        <v/>
      </c>
      <c r="I1969" s="49">
        <f>TRUNC((G1969*H1969-G1969),8)</f>
        <v/>
      </c>
      <c r="J1969" s="49">
        <f>G1969+I1969</f>
        <v/>
      </c>
      <c r="K1969" s="121">
        <f>K1968*L1966</f>
        <v/>
      </c>
      <c r="L1969" s="121">
        <f>L1968*L1966</f>
        <v/>
      </c>
      <c r="M1969" s="121">
        <f>M1968*L1966</f>
        <v/>
      </c>
      <c r="N1969" s="121">
        <f>N1968*L1966</f>
        <v/>
      </c>
      <c r="O1969" s="256" t="n"/>
      <c r="P1969" s="256" t="n"/>
      <c r="Q1969" s="256" t="n"/>
    </row>
    <row r="1970">
      <c r="A1970">
        <f>IF(DAY(D1970)=DAY($L$1+1),A1969+1,A1969)</f>
        <v/>
      </c>
      <c r="B1970" s="46">
        <f>IF(DAY(D1970)=DAY($L$1+1),1,B1969+1)</f>
        <v/>
      </c>
      <c r="C1970" s="46">
        <f>IF(DAY(D1970)=DAY($L$1+1),1,C1969+1)</f>
        <v/>
      </c>
      <c r="D1970" s="47">
        <f>D1969+1</f>
        <v/>
      </c>
      <c r="E1970" s="8">
        <f>IF(DAY(D1970)=DAY($L$1+1),TRUNC((N1969),8),E1969)</f>
        <v/>
      </c>
      <c r="F1970" s="49">
        <f>TRUNC(((1+VLOOKUP(A1970,IPCA!$A$2:$C$140,3,0)))^(C1970/(EDATE(D1970-C1970,1)-(D1970-C1970))),8)</f>
        <v/>
      </c>
      <c r="G1970" s="49">
        <f>TRUNC((E1970*F1970),8)</f>
        <v/>
      </c>
      <c r="H1970" s="49">
        <f>ROUND(((1+$H$4)^(30/360))^(C1970/(EDATE(D1970-B1970,1)-(D1970-B1970))),9)</f>
        <v/>
      </c>
      <c r="I1970" s="49">
        <f>TRUNC((G1970*H1970-G1970),8)</f>
        <v/>
      </c>
      <c r="J1970" s="49">
        <f>G1970+I1970</f>
        <v/>
      </c>
      <c r="K1970" s="256" t="n"/>
      <c r="L1970" s="256" t="n"/>
      <c r="M1970" s="256" t="n"/>
      <c r="N1970" s="256" t="n"/>
      <c r="O1970" s="256" t="n"/>
      <c r="P1970" s="256" t="n"/>
      <c r="Q1970" s="256" t="n"/>
    </row>
    <row r="1971">
      <c r="A1971">
        <f>IF(DAY(D1971)=DAY($L$1+1),A1970+1,A1970)</f>
        <v/>
      </c>
      <c r="B1971" s="46">
        <f>IF(DAY(D1971)=DAY($L$1+1),1,B1970+1)</f>
        <v/>
      </c>
      <c r="C1971" s="46">
        <f>IF(DAY(D1971)=DAY($L$1+1),1,C1970+1)</f>
        <v/>
      </c>
      <c r="D1971" s="2">
        <f>D1970+1</f>
        <v/>
      </c>
      <c r="E1971" s="8">
        <f>IF(DAY(D1971)=DAY($L$1+1),TRUNC((#REF!),8),E1970)</f>
        <v/>
      </c>
      <c r="F1971" s="49">
        <f>TRUNC(((1+VLOOKUP(A1971,IPCA!$A$2:$C$140,3,0)))^(C1971/(EDATE(D1971-C1971,1)-(D1971-C1971))),8)</f>
        <v/>
      </c>
      <c r="G1971" s="49">
        <f>TRUNC((E1971*F1971),8)</f>
        <v/>
      </c>
      <c r="H1971" s="49">
        <f>ROUND(((1+$H$4)^(30/360))^(C1971/(EDATE(D1971-B1971,1)-(D1971-B1971))),9)</f>
        <v/>
      </c>
      <c r="I1971" s="49">
        <f>TRUNC((G1971*H1971-G1971),8)</f>
        <v/>
      </c>
      <c r="J1971" s="49">
        <f>G1971+I1971</f>
        <v/>
      </c>
      <c r="K1971" s="256" t="n"/>
      <c r="L1971" s="256" t="n"/>
      <c r="M1971" s="256" t="n"/>
      <c r="N1971" s="256" t="n"/>
      <c r="O1971" s="256" t="n"/>
      <c r="P1971" s="256" t="n"/>
      <c r="Q1971" s="256" t="n"/>
    </row>
    <row r="1972">
      <c r="A1972">
        <f>IF(DAY(D1972)=DAY($L$1+1),A1971+1,A1971)</f>
        <v/>
      </c>
      <c r="B1972" s="46">
        <f>IF(DAY(D1972)=DAY($L$1+1),1,B1971+1)</f>
        <v/>
      </c>
      <c r="C1972" s="46">
        <f>IF(DAY(D1972)=DAY($L$1+1),1,C1971+1)</f>
        <v/>
      </c>
      <c r="D1972" s="2">
        <f>D1971+1</f>
        <v/>
      </c>
      <c r="E1972" s="8">
        <f>IF(DAY(D1972)=DAY($L$1+1),TRUNC((#REF!),8),E1971)</f>
        <v/>
      </c>
      <c r="F1972" s="49">
        <f>TRUNC(((1+VLOOKUP(A1972,IPCA!$A$2:$C$140,3,0)))^(C1972/(EDATE(D1972-C1972,1)-(D1972-C1972))),8)</f>
        <v/>
      </c>
      <c r="G1972" s="49">
        <f>TRUNC((E1972*F1972),8)</f>
        <v/>
      </c>
      <c r="H1972" s="49">
        <f>ROUND(((1+$H$4)^(30/360))^(C1972/(EDATE(D1972-B1972,1)-(D1972-B1972))),9)</f>
        <v/>
      </c>
      <c r="I1972" s="49">
        <f>TRUNC((G1972*H1972-G1972),8)</f>
        <v/>
      </c>
      <c r="J1972" s="49">
        <f>G1972+I1972</f>
        <v/>
      </c>
      <c r="K1972" s="256" t="n"/>
      <c r="L1972" s="256" t="n"/>
      <c r="M1972" s="256" t="n"/>
      <c r="N1972" s="256" t="n"/>
      <c r="O1972" s="256" t="n"/>
      <c r="P1972" s="256" t="n"/>
      <c r="Q1972" s="256" t="n"/>
    </row>
    <row r="1973">
      <c r="A1973">
        <f>IF(DAY(D1973)=DAY($L$1+1),A1972+1,A1972)</f>
        <v/>
      </c>
      <c r="B1973" s="46">
        <f>IF(DAY(D1973)=DAY($L$1+1),1,B1972+1)</f>
        <v/>
      </c>
      <c r="C1973" s="46">
        <f>IF(DAY(D1973)=DAY($L$1+1),1,C1972+1)</f>
        <v/>
      </c>
      <c r="D1973" s="2">
        <f>D1972+1</f>
        <v/>
      </c>
      <c r="E1973" s="8">
        <f>IF(DAY(D1973)=DAY($L$1+1),TRUNC((#REF!),8),E1972)</f>
        <v/>
      </c>
      <c r="F1973" s="49">
        <f>TRUNC(((1+VLOOKUP(A1973,IPCA!$A$2:$C$140,3,0)))^(C1973/(EDATE(D1973-C1973,1)-(D1973-C1973))),8)</f>
        <v/>
      </c>
      <c r="G1973" s="49">
        <f>TRUNC((E1973*F1973),8)</f>
        <v/>
      </c>
      <c r="H1973" s="49">
        <f>ROUND(((1+$H$4)^(30/360))^(C1973/(EDATE(D1973-B1973,1)-(D1973-B1973))),9)</f>
        <v/>
      </c>
      <c r="I1973" s="49">
        <f>TRUNC((G1973*H1973-G1973),8)</f>
        <v/>
      </c>
      <c r="J1973" s="49">
        <f>G1973+I1973</f>
        <v/>
      </c>
      <c r="K1973" s="256" t="n"/>
      <c r="L1973" s="256" t="n"/>
      <c r="M1973" s="256" t="n"/>
      <c r="N1973" s="256" t="n"/>
      <c r="O1973" s="256" t="n"/>
      <c r="P1973" s="256" t="n"/>
      <c r="Q1973" s="256" t="n"/>
    </row>
    <row r="1974">
      <c r="A1974">
        <f>IF(DAY(D1974)=DAY($L$1+1),A1973+1,A1973)</f>
        <v/>
      </c>
      <c r="B1974" s="46">
        <f>IF(DAY(D1974)=DAY($L$1+1),1,B1973+1)</f>
        <v/>
      </c>
      <c r="C1974" s="46">
        <f>IF(DAY(D1974)=DAY($L$1+1),1,C1973+1)</f>
        <v/>
      </c>
      <c r="D1974" s="2">
        <f>D1973+1</f>
        <v/>
      </c>
      <c r="E1974" s="8">
        <f>IF(DAY(D1974)=DAY($L$1+1),TRUNC((#REF!),8),E1973)</f>
        <v/>
      </c>
      <c r="F1974" s="49">
        <f>TRUNC(((1+VLOOKUP(A1974,IPCA!$A$2:$C$140,3,0)))^(C1974/(EDATE(D1974-C1974,1)-(D1974-C1974))),8)</f>
        <v/>
      </c>
      <c r="G1974" s="49">
        <f>TRUNC((E1974*F1974),8)</f>
        <v/>
      </c>
      <c r="H1974" s="49">
        <f>ROUND(((1+$H$4)^(30/360))^(C1974/(EDATE(D1974-B1974,1)-(D1974-B1974))),9)</f>
        <v/>
      </c>
      <c r="I1974" s="49">
        <f>TRUNC((G1974*H1974-G1974),8)</f>
        <v/>
      </c>
      <c r="J1974" s="49">
        <f>G1974+I1974</f>
        <v/>
      </c>
      <c r="K1974" s="256" t="n"/>
      <c r="L1974" s="256" t="n"/>
      <c r="M1974" s="256" t="n"/>
      <c r="N1974" s="256" t="n"/>
      <c r="O1974" s="256" t="n"/>
      <c r="P1974" s="256" t="n"/>
      <c r="Q1974" s="256" t="n"/>
    </row>
    <row r="1975">
      <c r="A1975">
        <f>IF(DAY(D1975)=DAY($L$1+1),A1974+1,A1974)</f>
        <v/>
      </c>
      <c r="B1975" s="46">
        <f>IF(DAY(D1975)=DAY($L$1+1),1,B1974+1)</f>
        <v/>
      </c>
      <c r="C1975" s="46">
        <f>IF(DAY(D1975)=DAY($L$1+1),1,C1974+1)</f>
        <v/>
      </c>
      <c r="D1975" s="2">
        <f>D1974+1</f>
        <v/>
      </c>
      <c r="E1975" s="8">
        <f>IF(DAY(D1975)=DAY($L$1+1),TRUNC((#REF!),8),E1974)</f>
        <v/>
      </c>
      <c r="F1975" s="49">
        <f>TRUNC(((1+VLOOKUP(A1975,IPCA!$A$2:$C$140,3,0)))^(C1975/(EDATE(D1975-C1975,1)-(D1975-C1975))),8)</f>
        <v/>
      </c>
      <c r="G1975" s="49">
        <f>TRUNC((E1975*F1975),8)</f>
        <v/>
      </c>
      <c r="H1975" s="49">
        <f>ROUND(((1+$H$4)^(30/360))^(C1975/(EDATE(D1975-B1975,1)-(D1975-B1975))),9)</f>
        <v/>
      </c>
      <c r="I1975" s="49">
        <f>TRUNC((G1975*H1975-G1975),8)</f>
        <v/>
      </c>
      <c r="J1975" s="49">
        <f>G1975+I1975</f>
        <v/>
      </c>
      <c r="K1975" s="256" t="n"/>
      <c r="L1975" s="256" t="n"/>
      <c r="M1975" s="256" t="n"/>
      <c r="N1975" s="256" t="n"/>
      <c r="O1975" s="256" t="n"/>
      <c r="P1975" s="256" t="n"/>
      <c r="Q1975" s="256" t="n"/>
    </row>
    <row r="1976">
      <c r="A1976">
        <f>IF(DAY(D1976)=DAY($L$1+1),A1975+1,A1975)</f>
        <v/>
      </c>
      <c r="B1976" s="46">
        <f>IF(DAY(D1976)=DAY($L$1+1),1,B1975+1)</f>
        <v/>
      </c>
      <c r="C1976" s="46">
        <f>IF(DAY(D1976)=DAY($L$1+1),1,C1975+1)</f>
        <v/>
      </c>
      <c r="D1976" s="2">
        <f>D1975+1</f>
        <v/>
      </c>
      <c r="E1976" s="8">
        <f>IF(DAY(D1976)=DAY($L$1+1),TRUNC((#REF!),8),E1975)</f>
        <v/>
      </c>
      <c r="F1976" s="49">
        <f>TRUNC(((1+VLOOKUP(A1976,IPCA!$A$2:$C$140,3,0)))^(C1976/(EDATE(D1976-C1976,1)-(D1976-C1976))),8)</f>
        <v/>
      </c>
      <c r="G1976" s="49">
        <f>TRUNC((E1976*F1976),8)</f>
        <v/>
      </c>
      <c r="H1976" s="49">
        <f>ROUND(((1+$H$4)^(30/360))^(C1976/(EDATE(D1976-B1976,1)-(D1976-B1976))),9)</f>
        <v/>
      </c>
      <c r="I1976" s="49">
        <f>TRUNC((G1976*H1976-G1976),8)</f>
        <v/>
      </c>
      <c r="J1976" s="49">
        <f>G1976+I1976</f>
        <v/>
      </c>
      <c r="K1976" s="256" t="n"/>
      <c r="L1976" s="256" t="n"/>
      <c r="M1976" s="256" t="n"/>
      <c r="N1976" s="256" t="n"/>
      <c r="O1976" s="256" t="n"/>
      <c r="P1976" s="256" t="n"/>
      <c r="Q1976" s="256" t="n"/>
    </row>
    <row r="1977">
      <c r="A1977">
        <f>IF(DAY(D1977)=DAY($L$1+1),A1976+1,A1976)</f>
        <v/>
      </c>
      <c r="B1977" s="46">
        <f>IF(DAY(D1977)=DAY($L$1+1),1,B1976+1)</f>
        <v/>
      </c>
      <c r="C1977" s="46">
        <f>IF(DAY(D1977)=DAY($L$1+1),1,C1976+1)</f>
        <v/>
      </c>
      <c r="D1977" s="2">
        <f>D1976+1</f>
        <v/>
      </c>
      <c r="E1977" s="8">
        <f>IF(DAY(D1977)=DAY($L$1+1),TRUNC((#REF!),8),E1976)</f>
        <v/>
      </c>
      <c r="F1977" s="49">
        <f>TRUNC(((1+VLOOKUP(A1977,IPCA!$A$2:$C$140,3,0)))^(C1977/(EDATE(D1977-C1977,1)-(D1977-C1977))),8)</f>
        <v/>
      </c>
      <c r="G1977" s="49">
        <f>TRUNC((E1977*F1977),8)</f>
        <v/>
      </c>
      <c r="H1977" s="49">
        <f>ROUND(((1+$H$4)^(30/360))^(C1977/(EDATE(D1977-B1977,1)-(D1977-B1977))),9)</f>
        <v/>
      </c>
      <c r="I1977" s="49">
        <f>TRUNC((G1977*H1977-G1977),8)</f>
        <v/>
      </c>
      <c r="J1977" s="49">
        <f>G1977+I1977</f>
        <v/>
      </c>
      <c r="K1977" s="256" t="n"/>
      <c r="L1977" s="256" t="n"/>
      <c r="M1977" s="256" t="n"/>
      <c r="N1977" s="256" t="n"/>
      <c r="O1977" s="256" t="n"/>
      <c r="P1977" s="256" t="n"/>
      <c r="Q1977" s="256" t="n"/>
    </row>
    <row r="1978">
      <c r="A1978">
        <f>IF(DAY(D1978)=DAY($L$1+1),A1977+1,A1977)</f>
        <v/>
      </c>
      <c r="B1978" s="46">
        <f>IF(DAY(D1978)=DAY($L$1+1),1,B1977+1)</f>
        <v/>
      </c>
      <c r="C1978" s="46">
        <f>IF(DAY(D1978)=DAY($L$1+1),1,C1977+1)</f>
        <v/>
      </c>
      <c r="D1978" s="2">
        <f>D1977+1</f>
        <v/>
      </c>
      <c r="E1978" s="8">
        <f>IF(DAY(D1978)=DAY($L$1+1),TRUNC((#REF!),8),E1977)</f>
        <v/>
      </c>
      <c r="F1978" s="49">
        <f>TRUNC(((1+VLOOKUP(A1978,IPCA!$A$2:$C$140,3,0)))^(C1978/(EDATE(D1978-C1978,1)-(D1978-C1978))),8)</f>
        <v/>
      </c>
      <c r="G1978" s="49">
        <f>TRUNC((E1978*F1978),8)</f>
        <v/>
      </c>
      <c r="H1978" s="49">
        <f>ROUND(((1+$H$4)^(30/360))^(C1978/(EDATE(D1978-B1978,1)-(D1978-B1978))),9)</f>
        <v/>
      </c>
      <c r="I1978" s="49">
        <f>TRUNC((G1978*H1978-G1978),8)</f>
        <v/>
      </c>
      <c r="J1978" s="49">
        <f>G1978+I1978</f>
        <v/>
      </c>
      <c r="K1978" s="256" t="n"/>
      <c r="L1978" s="256" t="n"/>
      <c r="M1978" s="256" t="n"/>
      <c r="N1978" s="256" t="n"/>
      <c r="O1978" s="256" t="n"/>
      <c r="P1978" s="256" t="n"/>
      <c r="Q1978" s="256" t="n"/>
    </row>
    <row r="1979">
      <c r="A1979">
        <f>IF(DAY(D1979)=DAY($L$1+1),A1978+1,A1978)</f>
        <v/>
      </c>
      <c r="B1979" s="46">
        <f>IF(DAY(D1979)=DAY($L$1+1),1,B1978+1)</f>
        <v/>
      </c>
      <c r="C1979" s="46">
        <f>IF(DAY(D1979)=DAY($L$1+1),1,C1978+1)</f>
        <v/>
      </c>
      <c r="D1979" s="2">
        <f>D1978+1</f>
        <v/>
      </c>
      <c r="E1979" s="8">
        <f>IF(DAY(D1979)=DAY($L$1+1),TRUNC((N1978),8),E1978)</f>
        <v/>
      </c>
      <c r="F1979" s="49">
        <f>TRUNC(((1+VLOOKUP(A1979,IPCA!$A$2:$C$140,3,0)))^(C1979/(EDATE(D1979-C1979,1)-(D1979-C1979))),8)</f>
        <v/>
      </c>
      <c r="G1979" s="49">
        <f>TRUNC((E1979*F1979),8)</f>
        <v/>
      </c>
      <c r="H1979" s="49">
        <f>ROUND(((1+$H$4)^(30/360))^(C1979/(EDATE(D1979-B1979,1)-(D1979-B1979))),9)</f>
        <v/>
      </c>
      <c r="I1979" s="49">
        <f>TRUNC((G1979*H1979-G1979),8)</f>
        <v/>
      </c>
      <c r="J1979" s="49">
        <f>G1979+I1979</f>
        <v/>
      </c>
      <c r="K1979" s="256" t="n"/>
      <c r="L1979" s="256" t="n"/>
      <c r="M1979" s="256" t="n"/>
      <c r="N1979" s="256" t="n"/>
      <c r="O1979" s="256" t="n"/>
      <c r="P1979" s="256" t="n"/>
      <c r="Q1979" s="256" t="n"/>
    </row>
    <row r="1980">
      <c r="A1980">
        <f>IF(DAY(D1980)=DAY($L$1+1),A1979+1,A1979)</f>
        <v/>
      </c>
      <c r="B1980" s="46">
        <f>IF(DAY(D1980)=DAY($L$1+1),1,B1979+1)</f>
        <v/>
      </c>
      <c r="C1980" s="46">
        <f>IF(DAY(D1980)=DAY($L$1+1),1,C1979+1)</f>
        <v/>
      </c>
      <c r="D1980" s="2">
        <f>D1979+1</f>
        <v/>
      </c>
      <c r="E1980" s="8">
        <f>IF(DAY(D1980)=DAY($L$1+1),TRUNC((N1979),8),E1979)</f>
        <v/>
      </c>
      <c r="F1980" s="49">
        <f>TRUNC(((1+VLOOKUP(A1980,IPCA!$A$2:$C$140,3,0)))^(C1980/(EDATE(D1980-C1980,1)-(D1980-C1980))),8)</f>
        <v/>
      </c>
      <c r="G1980" s="49">
        <f>TRUNC((E1980*F1980),8)</f>
        <v/>
      </c>
      <c r="H1980" s="49">
        <f>ROUND(((1+$H$4)^(30/360))^(C1980/(EDATE(D1980-B1980,1)-(D1980-B1980))),9)</f>
        <v/>
      </c>
      <c r="I1980" s="49">
        <f>TRUNC((G1980*H1980-G1980),8)</f>
        <v/>
      </c>
      <c r="J1980" s="49">
        <f>G1980+I1980</f>
        <v/>
      </c>
      <c r="K1980" s="256" t="n"/>
      <c r="L1980" s="256" t="n"/>
      <c r="M1980" s="256" t="n"/>
      <c r="N1980" s="256" t="n"/>
      <c r="O1980" s="256" t="n"/>
      <c r="P1980" s="256" t="n"/>
      <c r="Q1980" s="256" t="n"/>
    </row>
    <row r="1981">
      <c r="A1981">
        <f>IF(DAY(D1981)=DAY($L$1+1),A1980+1,A1980)</f>
        <v/>
      </c>
      <c r="B1981" s="46">
        <f>IF(DAY(D1981)=DAY($L$1+1),1,B1980+1)</f>
        <v/>
      </c>
      <c r="C1981" s="46">
        <f>IF(DAY(D1981)=DAY($L$1+1),1,C1980+1)</f>
        <v/>
      </c>
      <c r="D1981" s="2">
        <f>D1980+1</f>
        <v/>
      </c>
      <c r="E1981" s="8">
        <f>IF(DAY(D1981)=DAY($L$1+1),TRUNC((N1980),8),E1980)</f>
        <v/>
      </c>
      <c r="F1981" s="49">
        <f>TRUNC(((1+VLOOKUP(A1981,IPCA!$A$2:$C$140,3,0)))^(C1981/(EDATE(D1981-C1981,1)-(D1981-C1981))),8)</f>
        <v/>
      </c>
      <c r="G1981" s="49">
        <f>TRUNC((E1981*F1981),8)</f>
        <v/>
      </c>
      <c r="H1981" s="49">
        <f>ROUND(((1+$H$4)^(30/360))^(C1981/(EDATE(D1981-B1981,1)-(D1981-B1981))),9)</f>
        <v/>
      </c>
      <c r="I1981" s="49">
        <f>TRUNC((G1981*H1981-G1981),8)</f>
        <v/>
      </c>
      <c r="J1981" s="49">
        <f>G1981+I1981</f>
        <v/>
      </c>
      <c r="K1981" s="256" t="n"/>
      <c r="L1981" s="256" t="n"/>
      <c r="M1981" s="256" t="n"/>
      <c r="N1981" s="256" t="n"/>
      <c r="O1981" s="256" t="n"/>
      <c r="P1981" s="256" t="n"/>
      <c r="Q1981" s="256" t="n"/>
    </row>
    <row r="1982">
      <c r="A1982">
        <f>IF(DAY(D1982)=DAY($L$1+1),A1981+1,A1981)</f>
        <v/>
      </c>
      <c r="B1982" s="46">
        <f>IF(DAY(D1982)=DAY($L$1+1),1,B1981+1)</f>
        <v/>
      </c>
      <c r="C1982" s="46">
        <f>IF(DAY(D1982)=DAY($L$1+1),1,C1981+1)</f>
        <v/>
      </c>
      <c r="D1982" s="2">
        <f>D1981+1</f>
        <v/>
      </c>
      <c r="E1982" s="8">
        <f>IF(DAY(D1982)=DAY($L$1+1),TRUNC((N1981),8),E1981)</f>
        <v/>
      </c>
      <c r="F1982" s="49">
        <f>TRUNC(((1+VLOOKUP(A1982,IPCA!$A$2:$C$140,3,0)))^(C1982/(EDATE(D1982-C1982,1)-(D1982-C1982))),8)</f>
        <v/>
      </c>
      <c r="G1982" s="49">
        <f>TRUNC((E1982*F1982),8)</f>
        <v/>
      </c>
      <c r="H1982" s="49">
        <f>ROUND(((1+$H$4)^(30/360))^(C1982/(EDATE(D1982-B1982,1)-(D1982-B1982))),9)</f>
        <v/>
      </c>
      <c r="I1982" s="49">
        <f>TRUNC((G1982*H1982-G1982),8)</f>
        <v/>
      </c>
      <c r="J1982" s="49">
        <f>G1982+I1982</f>
        <v/>
      </c>
      <c r="K1982" s="256" t="n"/>
      <c r="L1982" s="256" t="n"/>
      <c r="M1982" s="256" t="n"/>
      <c r="N1982" s="256" t="n"/>
      <c r="O1982" s="256" t="n"/>
      <c r="P1982" s="256" t="n"/>
      <c r="Q1982" s="256" t="n"/>
    </row>
    <row r="1983">
      <c r="A1983">
        <f>IF(DAY(D1983)=DAY($L$1+1),A1982+1,A1982)</f>
        <v/>
      </c>
      <c r="B1983" s="46">
        <f>IF(DAY(D1983)=DAY($L$1+1),1,B1982+1)</f>
        <v/>
      </c>
      <c r="C1983" s="46">
        <f>IF(DAY(D1983)=DAY($L$1+1),1,C1982+1)</f>
        <v/>
      </c>
      <c r="D1983" s="2">
        <f>D1982+1</f>
        <v/>
      </c>
      <c r="E1983" s="8">
        <f>IF(DAY(D1983)=DAY($L$1+1),TRUNC((N1982),8),E1982)</f>
        <v/>
      </c>
      <c r="F1983" s="49">
        <f>TRUNC(((1+VLOOKUP(A1983,IPCA!$A$2:$C$140,3,0)))^(C1983/(EDATE(D1983-C1983,1)-(D1983-C1983))),8)</f>
        <v/>
      </c>
      <c r="G1983" s="49">
        <f>TRUNC((E1983*F1983),8)</f>
        <v/>
      </c>
      <c r="H1983" s="49">
        <f>ROUND(((1+$H$4)^(30/360))^(C1983/(EDATE(D1983-B1983,1)-(D1983-B1983))),9)</f>
        <v/>
      </c>
      <c r="I1983" s="49">
        <f>TRUNC((G1983*H1983-G1983),8)</f>
        <v/>
      </c>
      <c r="J1983" s="49">
        <f>G1983+I1983</f>
        <v/>
      </c>
      <c r="K1983" s="123" t="n"/>
      <c r="L1983" s="271" t="n"/>
      <c r="M1983" s="256" t="n"/>
      <c r="N1983" s="256" t="n"/>
      <c r="O1983" s="256" t="n"/>
      <c r="P1983" s="256" t="n"/>
      <c r="Q1983" s="256" t="n"/>
    </row>
    <row r="1984">
      <c r="A1984">
        <f>IF(DAY(D1984)=DAY($L$1+1),A1983+1,A1983)</f>
        <v/>
      </c>
      <c r="B1984" s="46">
        <f>IF(DAY(D1984)=DAY($L$1+1),1,B1983+1)</f>
        <v/>
      </c>
      <c r="C1984" s="46">
        <f>IF(DAY(D1984)=DAY($L$1+1),1,C1983+1)</f>
        <v/>
      </c>
      <c r="D1984" s="2">
        <f>D1983+1</f>
        <v/>
      </c>
      <c r="E1984" s="8">
        <f>IF(DAY(D1984)=DAY($L$1+1),TRUNC((N1983),8),E1983)</f>
        <v/>
      </c>
      <c r="F1984" s="49">
        <f>TRUNC(((1+VLOOKUP(A1984,IPCA!$A$2:$C$140,3,0)))^(C1984/(EDATE(D1984-C1984,1)-(D1984-C1984))),8)</f>
        <v/>
      </c>
      <c r="G1984" s="49">
        <f>TRUNC((E1984*F1984),8)</f>
        <v/>
      </c>
      <c r="H1984" s="49">
        <f>ROUND(((1+$H$4)^(30/360))^(C1984/(EDATE(D1984-B1984,1)-(D1984-B1984))),9)</f>
        <v/>
      </c>
      <c r="I1984" s="49">
        <f>TRUNC((G1984*H1984-G1984),8)</f>
        <v/>
      </c>
      <c r="J1984" s="49">
        <f>G1984+I1984</f>
        <v/>
      </c>
      <c r="K1984" s="256" t="n"/>
      <c r="L1984" s="256" t="n"/>
      <c r="M1984" s="256" t="n"/>
      <c r="N1984" s="256" t="n"/>
      <c r="O1984" s="256" t="n"/>
      <c r="P1984" s="256" t="n"/>
      <c r="Q1984" s="256" t="n"/>
    </row>
    <row r="1985">
      <c r="A1985">
        <f>IF(DAY(D1985)=DAY($L$1+1),A1984+1,A1984)</f>
        <v/>
      </c>
      <c r="B1985" s="46">
        <f>IF(DAY(D1985)=DAY($L$1+1),1,B1984+1)</f>
        <v/>
      </c>
      <c r="C1985" s="46">
        <f>IF(DAY(D1985)=DAY($L$1+1),1,C1984+1)</f>
        <v/>
      </c>
      <c r="D1985" s="2">
        <f>D1984+1</f>
        <v/>
      </c>
      <c r="E1985" s="8">
        <f>IF(DAY(D1985)=DAY($L$1+1),TRUNC((N1984),8),E1984)</f>
        <v/>
      </c>
      <c r="F1985" s="49">
        <f>TRUNC(((1+VLOOKUP(A1985,IPCA!$A$2:$C$140,3,0)))^(C1985/(EDATE(D1985-C1985,1)-(D1985-C1985))),8)</f>
        <v/>
      </c>
      <c r="G1985" s="49">
        <f>TRUNC((E1985*F1985),8)</f>
        <v/>
      </c>
      <c r="H1985" s="49">
        <f>ROUND(((1+$H$4)^(30/360))^(C1985/(EDATE(D1985-B1985,1)-(D1985-B1985))),9)</f>
        <v/>
      </c>
      <c r="I1985" s="49">
        <f>TRUNC((G1985*H1985-G1985),8)</f>
        <v/>
      </c>
      <c r="J1985" s="49">
        <f>G1985+I1985</f>
        <v/>
      </c>
      <c r="K1985" s="256" t="n"/>
      <c r="L1985" s="256" t="n"/>
      <c r="M1985" s="256" t="n"/>
      <c r="N1985" s="256" t="n"/>
      <c r="O1985" s="256" t="n"/>
      <c r="P1985" s="256" t="n"/>
      <c r="Q1985" s="256" t="n"/>
    </row>
    <row r="1986">
      <c r="A1986">
        <f>IF(DAY(D1986)=DAY($L$1+1),A1985+1,A1985)</f>
        <v/>
      </c>
      <c r="B1986" s="46">
        <f>IF(DAY(D1986)=DAY($L$1+1),1,B1985+1)</f>
        <v/>
      </c>
      <c r="C1986" s="46">
        <f>IF(DAY(D1986)=DAY($L$1+1),1,C1985+1)</f>
        <v/>
      </c>
      <c r="D1986" s="2">
        <f>D1985+1</f>
        <v/>
      </c>
      <c r="E1986" s="8">
        <f>IF(DAY(D1986)=DAY($L$1+1),TRUNC((N1985),8),E1985)</f>
        <v/>
      </c>
      <c r="F1986" s="49">
        <f>TRUNC(((1+VLOOKUP(A1986,IPCA!$A$2:$C$140,3,0)))^(C1986/(EDATE(D1986-C1986,1)-(D1986-C1986))),8)</f>
        <v/>
      </c>
      <c r="G1986" s="49">
        <f>TRUNC((E1986*F1986),8)</f>
        <v/>
      </c>
      <c r="H1986" s="49">
        <f>ROUND(((1+$H$4)^(30/360))^(C1986/(EDATE(D1986-B1986,1)-(D1986-B1986))),9)</f>
        <v/>
      </c>
      <c r="I1986" s="49">
        <f>TRUNC((G1986*H1986-G1986),8)</f>
        <v/>
      </c>
      <c r="J1986" s="49">
        <f>G1986+I1986</f>
        <v/>
      </c>
      <c r="K1986" s="256" t="n"/>
      <c r="L1986" s="256" t="n"/>
      <c r="M1986" s="256" t="n"/>
      <c r="N1986" s="256" t="n"/>
      <c r="O1986" s="256" t="n"/>
      <c r="P1986" s="256" t="n"/>
      <c r="Q1986" s="256" t="n"/>
    </row>
    <row r="1987">
      <c r="A1987">
        <f>IF(DAY(D1987)=DAY($L$1+1),A1986+1,A1986)</f>
        <v/>
      </c>
      <c r="B1987" s="46">
        <f>IF(DAY(D1987)=DAY($L$1+1),1,B1986+1)</f>
        <v/>
      </c>
      <c r="C1987" s="46">
        <f>IF(DAY(D1987)=DAY($L$1+1),1,C1986+1)</f>
        <v/>
      </c>
      <c r="D1987" s="2">
        <f>D1986+1</f>
        <v/>
      </c>
      <c r="E1987" s="8">
        <f>IF(DAY(D1987)=DAY($L$1+1),TRUNC((N1986),8),E1986)</f>
        <v/>
      </c>
      <c r="F1987" s="49">
        <f>TRUNC(((1+VLOOKUP(A1987,IPCA!$A$2:$C$140,3,0)))^(C1987/(EDATE(D1987-C1987,1)-(D1987-C1987))),8)</f>
        <v/>
      </c>
      <c r="G1987" s="49">
        <f>TRUNC((E1987*F1987),8)</f>
        <v/>
      </c>
      <c r="H1987" s="49">
        <f>ROUND(((1+$H$4)^(30/360))^(C1987/(EDATE(D1987-B1987,1)-(D1987-B1987))),9)</f>
        <v/>
      </c>
      <c r="I1987" s="49">
        <f>TRUNC((G1987*H1987-G1987),8)</f>
        <v/>
      </c>
      <c r="J1987" s="49">
        <f>G1987+I1987</f>
        <v/>
      </c>
      <c r="K1987" s="256" t="n"/>
      <c r="L1987" s="256" t="n"/>
      <c r="M1987" s="256" t="n"/>
      <c r="N1987" s="256" t="n"/>
      <c r="O1987" s="256" t="n"/>
      <c r="P1987" s="256" t="n"/>
      <c r="Q1987" s="256" t="n"/>
    </row>
    <row r="1988">
      <c r="A1988">
        <f>IF(DAY(D1988)=DAY($L$1+1),A1987+1,A1987)</f>
        <v/>
      </c>
      <c r="B1988" s="46">
        <f>IF(DAY(D1988)=DAY($L$1+1),1,B1987+1)</f>
        <v/>
      </c>
      <c r="C1988" s="46">
        <f>IF(DAY(D1988)=DAY($L$1+1),1,C1987+1)</f>
        <v/>
      </c>
      <c r="D1988" s="2">
        <f>D1987+1</f>
        <v/>
      </c>
      <c r="E1988" s="8">
        <f>IF(DAY(D1988)=DAY($L$1+1),TRUNC((N1987),8),E1987)</f>
        <v/>
      </c>
      <c r="F1988" s="49">
        <f>TRUNC(((1+VLOOKUP(A1988,IPCA!$A$2:$C$140,3,0)))^(C1988/(EDATE(D1988-C1988,1)-(D1988-C1988))),8)</f>
        <v/>
      </c>
      <c r="G1988" s="49">
        <f>TRUNC((E1988*F1988),8)</f>
        <v/>
      </c>
      <c r="H1988" s="49">
        <f>ROUND(((1+$H$4)^(30/360))^(C1988/(EDATE(D1988-B1988,1)-(D1988-B1988))),9)</f>
        <v/>
      </c>
      <c r="I1988" s="49">
        <f>TRUNC((G1988*H1988-G1988),8)</f>
        <v/>
      </c>
      <c r="J1988" s="49">
        <f>G1988+I1988</f>
        <v/>
      </c>
      <c r="K1988" s="256" t="n"/>
      <c r="L1988" s="256" t="n"/>
      <c r="M1988" s="256" t="n"/>
      <c r="N1988" s="256" t="n"/>
      <c r="O1988" s="256" t="n"/>
      <c r="P1988" s="256" t="n"/>
      <c r="Q1988" s="256" t="n"/>
    </row>
    <row r="1989">
      <c r="A1989">
        <f>IF(DAY(D1989)=DAY($L$1+1),A1988+1,A1988)</f>
        <v/>
      </c>
      <c r="B1989" s="46">
        <f>IF(DAY(D1989)=DAY($L$1+1),1,B1988+1)</f>
        <v/>
      </c>
      <c r="C1989" s="46">
        <f>IF(DAY(D1989)=DAY($L$1+1),1,C1988+1)</f>
        <v/>
      </c>
      <c r="D1989" s="2">
        <f>D1988+1</f>
        <v/>
      </c>
      <c r="E1989" s="8">
        <f>IF(DAY(D1989)=DAY($L$1+1),TRUNC((N1988),8),E1988)</f>
        <v/>
      </c>
      <c r="F1989" s="49">
        <f>TRUNC(((1+VLOOKUP(A1989,IPCA!$A$2:$C$140,3,0)))^(C1989/(EDATE(D1989-C1989,1)-(D1989-C1989))),8)</f>
        <v/>
      </c>
      <c r="G1989" s="49">
        <f>TRUNC((E1989*F1989),8)</f>
        <v/>
      </c>
      <c r="H1989" s="49">
        <f>ROUND(((1+$H$4)^(30/360))^(C1989/(EDATE(D1989-B1989,1)-(D1989-B1989))),9)</f>
        <v/>
      </c>
      <c r="I1989" s="49">
        <f>TRUNC((G1989*H1989-G1989),8)</f>
        <v/>
      </c>
      <c r="J1989" s="49">
        <f>G1989+I1989</f>
        <v/>
      </c>
      <c r="K1989" s="256" t="n"/>
      <c r="L1989" s="256" t="n"/>
      <c r="M1989" s="256" t="n"/>
      <c r="N1989" s="256" t="n"/>
      <c r="O1989" s="256" t="n"/>
      <c r="P1989" s="256" t="n"/>
      <c r="Q1989" s="256" t="n"/>
    </row>
    <row r="1990">
      <c r="A1990">
        <f>IF(DAY(D1990)=DAY($L$1+1),A1989+1,A1989)</f>
        <v/>
      </c>
      <c r="B1990" s="46">
        <f>IF(DAY(D1990)=DAY($L$1+1),1,B1989+1)</f>
        <v/>
      </c>
      <c r="C1990" s="46">
        <f>IF(DAY(D1990)=DAY($L$1+1),1,C1989+1)</f>
        <v/>
      </c>
      <c r="D1990" s="2">
        <f>D1989+1</f>
        <v/>
      </c>
      <c r="E1990" s="8">
        <f>IF(DAY(D1990)=DAY($L$1+1),TRUNC((N1989),8),E1989)</f>
        <v/>
      </c>
      <c r="F1990" s="49">
        <f>TRUNC(((1+VLOOKUP(A1990,IPCA!$A$2:$C$140,3,0)))^(C1990/(EDATE(D1990-C1990,1)-(D1990-C1990))),8)</f>
        <v/>
      </c>
      <c r="G1990" s="49">
        <f>TRUNC((E1990*F1990),8)</f>
        <v/>
      </c>
      <c r="H1990" s="49">
        <f>ROUND(((1+$H$4)^(30/360))^(C1990/(EDATE(D1990-B1990,1)-(D1990-B1990))),9)</f>
        <v/>
      </c>
      <c r="I1990" s="49">
        <f>TRUNC((G1990*H1990-G1990),8)</f>
        <v/>
      </c>
      <c r="J1990" s="49">
        <f>G1990+I1990</f>
        <v/>
      </c>
      <c r="K1990" s="256" t="n"/>
      <c r="L1990" s="256" t="n"/>
      <c r="M1990" s="256" t="n"/>
      <c r="N1990" s="256" t="n"/>
      <c r="O1990" s="256" t="n"/>
      <c r="P1990" s="256" t="n"/>
      <c r="Q1990" s="256" t="n"/>
    </row>
    <row r="1991">
      <c r="A1991">
        <f>IF(DAY(D1991)=DAY($L$1+1),A1990+1,A1990)</f>
        <v/>
      </c>
      <c r="B1991" s="46">
        <f>IF(DAY(D1991)=DAY($L$1+1),1,B1990+1)</f>
        <v/>
      </c>
      <c r="C1991" s="46">
        <f>IF(DAY(D1991)=DAY($L$1+1),1,C1990+1)</f>
        <v/>
      </c>
      <c r="D1991" s="2">
        <f>D1990+1</f>
        <v/>
      </c>
      <c r="E1991" s="8">
        <f>IF(DAY(D1991)=DAY($L$1+1),TRUNC((N1990),8),E1990)</f>
        <v/>
      </c>
      <c r="F1991" s="49">
        <f>TRUNC(((1+VLOOKUP(A1991,IPCA!$A$2:$C$140,3,0)))^(C1991/(EDATE(D1991-C1991,1)-(D1991-C1991))),8)</f>
        <v/>
      </c>
      <c r="G1991" s="49">
        <f>TRUNC((E1991*F1991),8)</f>
        <v/>
      </c>
      <c r="H1991" s="49">
        <f>ROUND(((1+$H$4)^(30/360))^(C1991/(EDATE(D1991-B1991,1)-(D1991-B1991))),9)</f>
        <v/>
      </c>
      <c r="I1991" s="49">
        <f>TRUNC((G1991*H1991-G1991),8)</f>
        <v/>
      </c>
      <c r="J1991" s="49">
        <f>G1991+I1991</f>
        <v/>
      </c>
      <c r="K1991" s="256" t="n"/>
      <c r="L1991" s="256" t="n"/>
      <c r="M1991" s="256" t="n"/>
      <c r="N1991" s="256" t="n"/>
      <c r="O1991" s="256" t="n"/>
      <c r="P1991" s="256" t="n"/>
      <c r="Q1991" s="256" t="n"/>
    </row>
    <row r="1992">
      <c r="A1992">
        <f>IF(DAY(D1992)=DAY($L$1+1),A1991+1,A1991)</f>
        <v/>
      </c>
      <c r="B1992" s="46">
        <f>IF(DAY(D1992)=DAY($L$1+1),1,B1991+1)</f>
        <v/>
      </c>
      <c r="C1992" s="46">
        <f>IF(DAY(D1992)=DAY($L$1+1),1,C1991+1)</f>
        <v/>
      </c>
      <c r="D1992" s="2">
        <f>D1991+1</f>
        <v/>
      </c>
      <c r="E1992" s="8">
        <f>IF(DAY(D1992)=DAY($L$1+1),TRUNC((N1991),8),E1991)</f>
        <v/>
      </c>
      <c r="F1992" s="49">
        <f>TRUNC(((1+VLOOKUP(A1992,IPCA!$A$2:$C$140,3,0)))^(C1992/(EDATE(D1992-C1992,1)-(D1992-C1992))),8)</f>
        <v/>
      </c>
      <c r="G1992" s="49">
        <f>TRUNC((E1992*F1992),8)</f>
        <v/>
      </c>
      <c r="H1992" s="49">
        <f>ROUND(((1+$H$4)^(30/360))^(C1992/(EDATE(D1992-B1992,1)-(D1992-B1992))),9)</f>
        <v/>
      </c>
      <c r="I1992" s="49">
        <f>TRUNC((G1992*H1992-G1992),8)</f>
        <v/>
      </c>
      <c r="J1992" s="49">
        <f>G1992+I1992</f>
        <v/>
      </c>
      <c r="K1992" s="256" t="n"/>
      <c r="L1992" s="256" t="n"/>
      <c r="M1992" s="256" t="n"/>
      <c r="N1992" s="256" t="n"/>
      <c r="O1992" s="256" t="n"/>
      <c r="P1992" s="256" t="n"/>
      <c r="Q1992" s="256" t="n"/>
    </row>
    <row r="1993">
      <c r="A1993">
        <f>IF(DAY(D1993)=DAY($L$1+1),A1992+1,A1992)</f>
        <v/>
      </c>
      <c r="B1993" s="46">
        <f>IF(DAY(D1993)=DAY($L$1+1),1,B1992+1)</f>
        <v/>
      </c>
      <c r="C1993" s="46">
        <f>IF(DAY(D1993)=DAY($L$1+1),1,C1992+1)</f>
        <v/>
      </c>
      <c r="D1993" s="2">
        <f>D1992+1</f>
        <v/>
      </c>
      <c r="E1993" s="8">
        <f>IF(DAY(D1993)=DAY($L$1+1),TRUNC((N1992),8),E1992)</f>
        <v/>
      </c>
      <c r="F1993" s="49">
        <f>TRUNC(((1+VLOOKUP(A1993,IPCA!$A$2:$C$140,3,0)))^(C1993/(EDATE(D1993-C1993,1)-(D1993-C1993))),8)</f>
        <v/>
      </c>
      <c r="G1993" s="49">
        <f>TRUNC((E1993*F1993),8)</f>
        <v/>
      </c>
      <c r="H1993" s="49">
        <f>ROUND(((1+$H$4)^(30/360))^(C1993/(EDATE(D1993-B1993,1)-(D1993-B1993))),9)</f>
        <v/>
      </c>
      <c r="I1993" s="49">
        <f>TRUNC((G1993*H1993-G1993),8)</f>
        <v/>
      </c>
      <c r="J1993" s="49">
        <f>G1993+I1993</f>
        <v/>
      </c>
      <c r="K1993" s="256" t="n"/>
      <c r="L1993" s="256" t="n"/>
      <c r="M1993" s="256" t="n"/>
      <c r="N1993" s="256" t="n"/>
      <c r="O1993" s="256" t="n"/>
      <c r="P1993" s="256" t="n"/>
      <c r="Q1993" s="256" t="n"/>
    </row>
    <row r="1994">
      <c r="A1994">
        <f>IF(DAY(D1994)=DAY($L$1+1),A1993+1,A1993)</f>
        <v/>
      </c>
      <c r="B1994" s="46">
        <f>IF(DAY(D1994)=DAY($L$1+1),1,B1993+1)</f>
        <v/>
      </c>
      <c r="C1994" s="46">
        <f>IF(DAY(D1994)=DAY($L$1+1),1,C1993+1)</f>
        <v/>
      </c>
      <c r="D1994" s="2">
        <f>D1993+1</f>
        <v/>
      </c>
      <c r="E1994" s="8">
        <f>IF(DAY(D1994)=DAY($L$1+1),TRUNC((N1993),8),E1993)</f>
        <v/>
      </c>
      <c r="F1994" s="49">
        <f>TRUNC(((1+VLOOKUP(A1994,IPCA!$A$2:$C$140,3,0)))^(C1994/(EDATE(D1994-C1994,1)-(D1994-C1994))),8)</f>
        <v/>
      </c>
      <c r="G1994" s="49">
        <f>TRUNC((E1994*F1994),8)</f>
        <v/>
      </c>
      <c r="H1994" s="49">
        <f>ROUND(((1+$H$4)^(30/360))^(C1994/(EDATE(D1994-B1994,1)-(D1994-B1994))),9)</f>
        <v/>
      </c>
      <c r="I1994" s="49">
        <f>TRUNC((G1994*H1994-G1994),8)</f>
        <v/>
      </c>
      <c r="J1994" s="49">
        <f>G1994+I1994</f>
        <v/>
      </c>
      <c r="K1994" s="256" t="n"/>
      <c r="L1994" s="256" t="n"/>
      <c r="M1994" s="256" t="n"/>
      <c r="N1994" s="256" t="n"/>
      <c r="O1994" s="256" t="n"/>
      <c r="P1994" s="256" t="n"/>
      <c r="Q1994" s="256" t="n"/>
    </row>
    <row r="1995">
      <c r="A1995">
        <f>IF(DAY(D1995)=DAY($L$1+1),A1994+1,A1994)</f>
        <v/>
      </c>
      <c r="B1995" s="46">
        <f>IF(DAY(D1995)=DAY($L$1+1),1,B1994+1)</f>
        <v/>
      </c>
      <c r="C1995" s="46">
        <f>IF(DAY(D1995)=DAY($L$1+1),1,C1994+1)</f>
        <v/>
      </c>
      <c r="D1995" s="2">
        <f>D1994+1</f>
        <v/>
      </c>
      <c r="E1995" s="8">
        <f>IF(DAY(D1995)=DAY($L$1+1),TRUNC((N1994),8),E1994)</f>
        <v/>
      </c>
      <c r="F1995" s="49">
        <f>TRUNC(((1+VLOOKUP(A1995,IPCA!$A$2:$C$140,3,0)))^(C1995/(EDATE(D1995-C1995,1)-(D1995-C1995))),8)</f>
        <v/>
      </c>
      <c r="G1995" s="49">
        <f>TRUNC((E1995*F1995),8)</f>
        <v/>
      </c>
      <c r="H1995" s="49">
        <f>ROUND(((1+$H$4)^(30/360))^(C1995/(EDATE(D1995-B1995,1)-(D1995-B1995))),9)</f>
        <v/>
      </c>
      <c r="I1995" s="49">
        <f>TRUNC((G1995*H1995-G1995),8)</f>
        <v/>
      </c>
      <c r="J1995" s="49">
        <f>G1995+I1995</f>
        <v/>
      </c>
      <c r="K1995" s="256" t="n"/>
      <c r="L1995" s="256" t="n"/>
      <c r="M1995" s="256" t="n"/>
      <c r="N1995" s="256" t="n"/>
      <c r="O1995" s="256" t="n"/>
      <c r="P1995" s="256" t="n"/>
      <c r="Q1995" s="256" t="n"/>
    </row>
    <row r="1996">
      <c r="A1996">
        <f>IF(DAY(D1996)=DAY($L$1+1),A1995+1,A1995)</f>
        <v/>
      </c>
      <c r="B1996" s="46">
        <f>IF(DAY(D1996)=DAY($L$1+1),1,B1995+1)</f>
        <v/>
      </c>
      <c r="C1996" s="46">
        <f>IF(DAY(D1996)=DAY($L$1+1),1,C1995+1)</f>
        <v/>
      </c>
      <c r="D1996" s="2">
        <f>D1995+1</f>
        <v/>
      </c>
      <c r="E1996" s="8">
        <f>IF(DAY(D1996)=DAY($L$1+1),TRUNC((N1995),8),E1995)</f>
        <v/>
      </c>
      <c r="F1996" s="49">
        <f>TRUNC(((1+VLOOKUP(A1996,IPCA!$A$2:$C$140,3,0)))^(C1996/(EDATE(D1996-C1996,1)-(D1996-C1996))),8)</f>
        <v/>
      </c>
      <c r="G1996" s="49">
        <f>TRUNC((E1996*F1996),8)</f>
        <v/>
      </c>
      <c r="H1996" s="49">
        <f>ROUND(((1+$H$4)^(30/360))^(C1996/(EDATE(D1996-B1996,1)-(D1996-B1996))),9)</f>
        <v/>
      </c>
      <c r="I1996" s="49">
        <f>TRUNC((G1996*H1996-G1996),8)</f>
        <v/>
      </c>
      <c r="J1996" s="49">
        <f>G1996+I1996</f>
        <v/>
      </c>
      <c r="K1996" s="256" t="inlineStr">
        <is>
          <t>Cri Integralizado</t>
        </is>
      </c>
      <c r="L1996" s="270">
        <f>L1966</f>
        <v/>
      </c>
      <c r="M1996" s="256" t="n"/>
      <c r="N1996" s="256" t="n"/>
      <c r="O1996" s="256" t="n"/>
      <c r="P1996" s="256" t="n"/>
      <c r="Q1996" s="256" t="n"/>
    </row>
    <row r="1997">
      <c r="A1997">
        <f>IF(DAY(D1997)=DAY($L$1+1),A1996+1,A1996)</f>
        <v/>
      </c>
      <c r="B1997" s="46">
        <f>IF(DAY(D1997)=DAY($L$1+1),1,B1996+1)</f>
        <v/>
      </c>
      <c r="C1997" s="46">
        <f>IF(DAY(D1997)=DAY($L$1+1),1,C1996+1)</f>
        <v/>
      </c>
      <c r="D1997" s="47">
        <f>D1996+1</f>
        <v/>
      </c>
      <c r="E1997" s="8">
        <f>IF(DAY(D1997)=DAY($L$1+1),TRUNC((N1996),8),E1996)</f>
        <v/>
      </c>
      <c r="F1997" s="49">
        <f>TRUNC(((1+VLOOKUP(A1997,IPCA!$A$2:$C$140,3,0)))^(C1997/(EDATE(D1997-C1997,1)-(D1997-C1997))),8)</f>
        <v/>
      </c>
      <c r="G1997" s="49">
        <f>TRUNC((E1997*F1997),8)</f>
        <v/>
      </c>
      <c r="H1997" s="49">
        <f>ROUND(((1+$H$4)^(30/360))^(C1997/(EDATE(D1997-B1997,1)-(D1997-B1997))),9)</f>
        <v/>
      </c>
      <c r="I1997" s="49">
        <f>TRUNC((G1997*H1997-G1997),8)</f>
        <v/>
      </c>
      <c r="J1997" s="49">
        <f>G1997+I1997</f>
        <v/>
      </c>
      <c r="K1997" s="118" t="inlineStr">
        <is>
          <t>JUROS</t>
        </is>
      </c>
      <c r="L1997" s="118" t="inlineStr">
        <is>
          <t>AMORTIZAÇÃO</t>
        </is>
      </c>
      <c r="M1997" s="118" t="inlineStr">
        <is>
          <t>AMEX</t>
        </is>
      </c>
      <c r="N1997" s="118" t="inlineStr">
        <is>
          <t>RESIDUAL</t>
        </is>
      </c>
      <c r="O1997" s="256" t="n"/>
      <c r="P1997" s="256" t="n"/>
      <c r="Q1997" s="256" t="n"/>
    </row>
    <row r="1998">
      <c r="A1998">
        <f>IF(DAY(D1998)=DAY($L$1+1),A1997+1,A1997)</f>
        <v/>
      </c>
      <c r="B1998" s="111">
        <f>IF(DAY(D1998)=DAY($L$1+1),1,B1997+1)</f>
        <v/>
      </c>
      <c r="C1998" s="111">
        <f>IF(DAY(D1998)=DAY($L$1+1),1,C1997+1)</f>
        <v/>
      </c>
      <c r="D1998" s="112">
        <f>D1997+1</f>
        <v/>
      </c>
      <c r="E1998" s="113">
        <f>IF(DAY(D1998)=DAY($L$1+1),TRUNC((N1997),8),E1997)</f>
        <v/>
      </c>
      <c r="F1998" s="114">
        <f>TRUNC(((1+VLOOKUP(A1998,IPCA!$A$2:$C$140,3,0)))^(C1998/(EDATE(D1998-C1998,1)-(D1998-C1998))),8)</f>
        <v/>
      </c>
      <c r="G1998" s="114">
        <f>TRUNC((E1998*F1998),8)</f>
        <v/>
      </c>
      <c r="H1998" s="114">
        <f>ROUND(((1+$H$4)^(30/360))^(C1998/(EDATE(D1998-B1998,1)-(D1998-B1998))),9)</f>
        <v/>
      </c>
      <c r="I1998" s="114">
        <f>TRUNC((G1998*H1998-G1998),8)</f>
        <v/>
      </c>
      <c r="J1998" s="114">
        <f>G1998+I1998</f>
        <v/>
      </c>
      <c r="K1998" s="119">
        <f>I1998</f>
        <v/>
      </c>
      <c r="L1998" s="120">
        <f>TRUNC(G1998*VLOOKUP(D1998,'Amort TS'!$G$3:$H$140,2,0),8)</f>
        <v/>
      </c>
      <c r="M1998" s="120" t="n">
        <v>0</v>
      </c>
      <c r="N1998" s="120">
        <f>J1998-K1998-L1998-M1998</f>
        <v/>
      </c>
      <c r="O1998" s="256" t="n"/>
      <c r="P1998" s="256" t="n"/>
      <c r="Q1998" s="256" t="n"/>
    </row>
    <row r="1999">
      <c r="A1999">
        <f>IF(DAY(D1999)=DAY($L$1+1),A1998+1,A1998)</f>
        <v/>
      </c>
      <c r="B1999" s="46">
        <f>IF(DAY(D1999)=DAY($L$1+1),1,B1998+1)</f>
        <v/>
      </c>
      <c r="C1999" s="46">
        <f>IF(DAY(D1999)=DAY($L$1+1),1,C1998+1)</f>
        <v/>
      </c>
      <c r="D1999" s="2">
        <f>D1998+1</f>
        <v/>
      </c>
      <c r="E1999" s="8">
        <f>IF(DAY(D1999)=DAY($L$1+1),TRUNC((N1998),8),E1998)</f>
        <v/>
      </c>
      <c r="F1999" s="49">
        <f>TRUNC(((1+VLOOKUP(A1999,IPCA!$A$2:$C$140,3,0)))^(C1999/(EDATE(D1999-C1999,1)-(D1999-C1999))),8)</f>
        <v/>
      </c>
      <c r="G1999" s="49">
        <f>TRUNC((E1999*F1999),8)</f>
        <v/>
      </c>
      <c r="H1999" s="49">
        <f>ROUND(((1+$H$4)^(30/360))^(C1999/(EDATE(D1999-B1999,1)-(D1999-B1999))),9)</f>
        <v/>
      </c>
      <c r="I1999" s="49">
        <f>TRUNC((G1999*H1999-G1999),8)</f>
        <v/>
      </c>
      <c r="J1999" s="49">
        <f>G1999+I1999</f>
        <v/>
      </c>
      <c r="K1999" s="121">
        <f>K1998*L1996</f>
        <v/>
      </c>
      <c r="L1999" s="121">
        <f>L1998*L1996</f>
        <v/>
      </c>
      <c r="M1999" s="121">
        <f>M1998*L1996</f>
        <v/>
      </c>
      <c r="N1999" s="121">
        <f>N1998*L1996</f>
        <v/>
      </c>
      <c r="O1999" s="256" t="n"/>
      <c r="P1999" s="256" t="n"/>
      <c r="Q1999" s="256" t="n"/>
    </row>
    <row r="2000">
      <c r="A2000">
        <f>IF(DAY(D2000)=DAY($L$1+1),A1999+1,A1999)</f>
        <v/>
      </c>
      <c r="B2000" s="46">
        <f>IF(DAY(D2000)=DAY($L$1+1),1,B1999+1)</f>
        <v/>
      </c>
      <c r="C2000" s="46">
        <f>IF(DAY(D2000)=DAY($L$1+1),1,C1999+1)</f>
        <v/>
      </c>
      <c r="D2000" s="47">
        <f>D1999+1</f>
        <v/>
      </c>
      <c r="E2000" s="8">
        <f>IF(DAY(D2000)=DAY($L$1+1),TRUNC((N1999),8),E1999)</f>
        <v/>
      </c>
      <c r="F2000" s="49">
        <f>TRUNC(((1+VLOOKUP(A2000,IPCA!$A$2:$C$140,3,0)))^(C2000/(EDATE(D2000-C2000,1)-(D2000-C2000))),8)</f>
        <v/>
      </c>
      <c r="G2000" s="49">
        <f>TRUNC((E2000*F2000),8)</f>
        <v/>
      </c>
      <c r="H2000" s="49">
        <f>ROUND(((1+$H$4)^(30/360))^(C2000/(EDATE(D2000-B2000,1)-(D2000-B2000))),9)</f>
        <v/>
      </c>
      <c r="I2000" s="49">
        <f>TRUNC((G2000*H2000-G2000),8)</f>
        <v/>
      </c>
      <c r="J2000" s="49">
        <f>G2000+I2000</f>
        <v/>
      </c>
      <c r="K2000" s="256" t="n"/>
      <c r="L2000" s="256" t="n"/>
      <c r="M2000" s="256" t="n"/>
      <c r="N2000" s="256" t="n"/>
      <c r="O2000" s="256" t="n"/>
      <c r="P2000" s="256" t="n"/>
      <c r="Q2000" s="256" t="n"/>
    </row>
    <row r="2001">
      <c r="A2001">
        <f>IF(DAY(D2001)=DAY($L$1+1),A2000+1,A2000)</f>
        <v/>
      </c>
      <c r="B2001" s="46">
        <f>IF(DAY(D2001)=DAY($L$1+1),1,B2000+1)</f>
        <v/>
      </c>
      <c r="C2001" s="46">
        <f>IF(DAY(D2001)=DAY($L$1+1),1,C2000+1)</f>
        <v/>
      </c>
      <c r="D2001" s="2">
        <f>D2000+1</f>
        <v/>
      </c>
      <c r="E2001" s="8">
        <f>IF(DAY(D2001)=DAY($L$1+1),TRUNC((#REF!),8),E2000)</f>
        <v/>
      </c>
      <c r="F2001" s="49">
        <f>TRUNC(((1+VLOOKUP(A2001,IPCA!$A$2:$C$140,3,0)))^(C2001/(EDATE(D2001-C2001,1)-(D2001-C2001))),8)</f>
        <v/>
      </c>
      <c r="G2001" s="49">
        <f>TRUNC((E2001*F2001),8)</f>
        <v/>
      </c>
      <c r="H2001" s="49">
        <f>ROUND(((1+$H$4)^(30/360))^(C2001/(EDATE(D2001-B2001,1)-(D2001-B2001))),9)</f>
        <v/>
      </c>
      <c r="I2001" s="49">
        <f>TRUNC((G2001*H2001-G2001),8)</f>
        <v/>
      </c>
      <c r="J2001" s="49">
        <f>G2001+I2001</f>
        <v/>
      </c>
      <c r="K2001" s="256" t="n"/>
      <c r="L2001" s="256" t="n"/>
      <c r="M2001" s="256" t="n"/>
      <c r="N2001" s="256" t="n"/>
      <c r="O2001" s="256" t="n"/>
      <c r="P2001" s="256" t="n"/>
      <c r="Q2001" s="256" t="n"/>
    </row>
    <row r="2002">
      <c r="A2002">
        <f>IF(DAY(D2002)=DAY($L$1+1),A2001+1,A2001)</f>
        <v/>
      </c>
      <c r="B2002" s="46">
        <f>IF(DAY(D2002)=DAY($L$1+1),1,B2001+1)</f>
        <v/>
      </c>
      <c r="C2002" s="46">
        <f>IF(DAY(D2002)=DAY($L$1+1),1,C2001+1)</f>
        <v/>
      </c>
      <c r="D2002" s="2">
        <f>D2001+1</f>
        <v/>
      </c>
      <c r="E2002" s="8">
        <f>IF(DAY(D2002)=DAY($L$1+1),TRUNC((#REF!),8),E2001)</f>
        <v/>
      </c>
      <c r="F2002" s="49">
        <f>TRUNC(((1+VLOOKUP(A2002,IPCA!$A$2:$C$140,3,0)))^(C2002/(EDATE(D2002-C2002,1)-(D2002-C2002))),8)</f>
        <v/>
      </c>
      <c r="G2002" s="49">
        <f>TRUNC((E2002*F2002),8)</f>
        <v/>
      </c>
      <c r="H2002" s="49">
        <f>ROUND(((1+$H$4)^(30/360))^(C2002/(EDATE(D2002-B2002,1)-(D2002-B2002))),9)</f>
        <v/>
      </c>
      <c r="I2002" s="49">
        <f>TRUNC((G2002*H2002-G2002),8)</f>
        <v/>
      </c>
      <c r="J2002" s="49">
        <f>G2002+I2002</f>
        <v/>
      </c>
      <c r="K2002" s="256" t="n"/>
      <c r="L2002" s="256" t="n"/>
      <c r="M2002" s="256" t="n"/>
      <c r="N2002" s="256" t="n"/>
      <c r="O2002" s="256" t="n"/>
      <c r="P2002" s="256" t="n"/>
      <c r="Q2002" s="256" t="n"/>
    </row>
    <row r="2003">
      <c r="A2003">
        <f>IF(DAY(D2003)=DAY($L$1+1),A2002+1,A2002)</f>
        <v/>
      </c>
      <c r="B2003" s="46">
        <f>IF(DAY(D2003)=DAY($L$1+1),1,B2002+1)</f>
        <v/>
      </c>
      <c r="C2003" s="46">
        <f>IF(DAY(D2003)=DAY($L$1+1),1,C2002+1)</f>
        <v/>
      </c>
      <c r="D2003" s="2">
        <f>D2002+1</f>
        <v/>
      </c>
      <c r="E2003" s="8">
        <f>IF(DAY(D2003)=DAY($L$1+1),TRUNC((#REF!),8),E2002)</f>
        <v/>
      </c>
      <c r="F2003" s="49">
        <f>TRUNC(((1+VLOOKUP(A2003,IPCA!$A$2:$C$140,3,0)))^(C2003/(EDATE(D2003-C2003,1)-(D2003-C2003))),8)</f>
        <v/>
      </c>
      <c r="G2003" s="49">
        <f>TRUNC((E2003*F2003),8)</f>
        <v/>
      </c>
      <c r="H2003" s="49">
        <f>ROUND(((1+$H$4)^(30/360))^(C2003/(EDATE(D2003-B2003,1)-(D2003-B2003))),9)</f>
        <v/>
      </c>
      <c r="I2003" s="49">
        <f>TRUNC((G2003*H2003-G2003),8)</f>
        <v/>
      </c>
      <c r="J2003" s="49">
        <f>G2003+I2003</f>
        <v/>
      </c>
      <c r="K2003" s="256" t="n"/>
      <c r="L2003" s="256" t="n"/>
      <c r="M2003" s="256" t="n"/>
      <c r="N2003" s="256" t="n"/>
      <c r="O2003" s="256" t="n"/>
      <c r="P2003" s="256" t="n"/>
      <c r="Q2003" s="256" t="n"/>
    </row>
    <row r="2004">
      <c r="A2004">
        <f>IF(DAY(D2004)=DAY($L$1+1),A2003+1,A2003)</f>
        <v/>
      </c>
      <c r="B2004" s="46">
        <f>IF(DAY(D2004)=DAY($L$1+1),1,B2003+1)</f>
        <v/>
      </c>
      <c r="C2004" s="46">
        <f>IF(DAY(D2004)=DAY($L$1+1),1,C2003+1)</f>
        <v/>
      </c>
      <c r="D2004" s="2">
        <f>D2003+1</f>
        <v/>
      </c>
      <c r="E2004" s="8">
        <f>IF(DAY(D2004)=DAY($L$1+1),TRUNC((#REF!),8),E2003)</f>
        <v/>
      </c>
      <c r="F2004" s="49">
        <f>TRUNC(((1+VLOOKUP(A2004,IPCA!$A$2:$C$140,3,0)))^(C2004/(EDATE(D2004-C2004,1)-(D2004-C2004))),8)</f>
        <v/>
      </c>
      <c r="G2004" s="49">
        <f>TRUNC((E2004*F2004),8)</f>
        <v/>
      </c>
      <c r="H2004" s="49">
        <f>ROUND(((1+$H$4)^(30/360))^(C2004/(EDATE(D2004-B2004,1)-(D2004-B2004))),9)</f>
        <v/>
      </c>
      <c r="I2004" s="49">
        <f>TRUNC((G2004*H2004-G2004),8)</f>
        <v/>
      </c>
      <c r="J2004" s="49">
        <f>G2004+I2004</f>
        <v/>
      </c>
      <c r="K2004" s="256" t="n"/>
      <c r="L2004" s="256" t="n"/>
      <c r="M2004" s="256" t="n"/>
      <c r="N2004" s="256" t="n"/>
      <c r="O2004" s="256" t="n"/>
      <c r="P2004" s="256" t="n"/>
      <c r="Q2004" s="256" t="n"/>
    </row>
    <row r="2005">
      <c r="A2005">
        <f>IF(DAY(D2005)=DAY($L$1+1),A2004+1,A2004)</f>
        <v/>
      </c>
      <c r="B2005" s="46">
        <f>IF(DAY(D2005)=DAY($L$1+1),1,B2004+1)</f>
        <v/>
      </c>
      <c r="C2005" s="46">
        <f>IF(DAY(D2005)=DAY($L$1+1),1,C2004+1)</f>
        <v/>
      </c>
      <c r="D2005" s="2">
        <f>D2004+1</f>
        <v/>
      </c>
      <c r="E2005" s="8">
        <f>IF(DAY(D2005)=DAY($L$1+1),TRUNC((#REF!),8),E2004)</f>
        <v/>
      </c>
      <c r="F2005" s="49">
        <f>TRUNC(((1+VLOOKUP(A2005,IPCA!$A$2:$C$140,3,0)))^(C2005/(EDATE(D2005-C2005,1)-(D2005-C2005))),8)</f>
        <v/>
      </c>
      <c r="G2005" s="49">
        <f>TRUNC((E2005*F2005),8)</f>
        <v/>
      </c>
      <c r="H2005" s="49">
        <f>ROUND(((1+$H$4)^(30/360))^(C2005/(EDATE(D2005-B2005,1)-(D2005-B2005))),9)</f>
        <v/>
      </c>
      <c r="I2005" s="49">
        <f>TRUNC((G2005*H2005-G2005),8)</f>
        <v/>
      </c>
      <c r="J2005" s="49">
        <f>G2005+I2005</f>
        <v/>
      </c>
      <c r="K2005" s="256" t="n"/>
      <c r="L2005" s="256" t="n"/>
      <c r="M2005" s="256" t="n"/>
      <c r="N2005" s="256" t="n"/>
      <c r="O2005" s="256" t="n"/>
      <c r="P2005" s="256" t="n"/>
      <c r="Q2005" s="256" t="n"/>
    </row>
    <row r="2006">
      <c r="A2006">
        <f>IF(DAY(D2006)=DAY($L$1+1),A2005+1,A2005)</f>
        <v/>
      </c>
      <c r="B2006" s="46">
        <f>IF(DAY(D2006)=DAY($L$1+1),1,B2005+1)</f>
        <v/>
      </c>
      <c r="C2006" s="46">
        <f>IF(DAY(D2006)=DAY($L$1+1),1,C2005+1)</f>
        <v/>
      </c>
      <c r="D2006" s="2">
        <f>D2005+1</f>
        <v/>
      </c>
      <c r="E2006" s="8">
        <f>IF(DAY(D2006)=DAY($L$1+1),TRUNC((#REF!),8),E2005)</f>
        <v/>
      </c>
      <c r="F2006" s="49">
        <f>TRUNC(((1+VLOOKUP(A2006,IPCA!$A$2:$C$140,3,0)))^(C2006/(EDATE(D2006-C2006,1)-(D2006-C2006))),8)</f>
        <v/>
      </c>
      <c r="G2006" s="49">
        <f>TRUNC((E2006*F2006),8)</f>
        <v/>
      </c>
      <c r="H2006" s="49">
        <f>ROUND(((1+$H$4)^(30/360))^(C2006/(EDATE(D2006-B2006,1)-(D2006-B2006))),9)</f>
        <v/>
      </c>
      <c r="I2006" s="49">
        <f>TRUNC((G2006*H2006-G2006),8)</f>
        <v/>
      </c>
      <c r="J2006" s="49">
        <f>G2006+I2006</f>
        <v/>
      </c>
      <c r="K2006" s="256" t="n"/>
      <c r="L2006" s="256" t="n"/>
      <c r="M2006" s="256" t="n"/>
      <c r="N2006" s="256" t="n"/>
      <c r="O2006" s="256" t="n"/>
      <c r="P2006" s="256" t="n"/>
      <c r="Q2006" s="256" t="n"/>
    </row>
    <row r="2007">
      <c r="A2007">
        <f>IF(DAY(D2007)=DAY($L$1+1),A2006+1,A2006)</f>
        <v/>
      </c>
      <c r="B2007" s="46">
        <f>IF(DAY(D2007)=DAY($L$1+1),1,B2006+1)</f>
        <v/>
      </c>
      <c r="C2007" s="46">
        <f>IF(DAY(D2007)=DAY($L$1+1),1,C2006+1)</f>
        <v/>
      </c>
      <c r="D2007" s="2">
        <f>D2006+1</f>
        <v/>
      </c>
      <c r="E2007" s="8">
        <f>IF(DAY(D2007)=DAY($L$1+1),TRUNC((#REF!),8),E2006)</f>
        <v/>
      </c>
      <c r="F2007" s="49">
        <f>TRUNC(((1+VLOOKUP(A2007,IPCA!$A$2:$C$140,3,0)))^(C2007/(EDATE(D2007-C2007,1)-(D2007-C2007))),8)</f>
        <v/>
      </c>
      <c r="G2007" s="49">
        <f>TRUNC((E2007*F2007),8)</f>
        <v/>
      </c>
      <c r="H2007" s="49">
        <f>ROUND(((1+$H$4)^(30/360))^(C2007/(EDATE(D2007-B2007,1)-(D2007-B2007))),9)</f>
        <v/>
      </c>
      <c r="I2007" s="49">
        <f>TRUNC((G2007*H2007-G2007),8)</f>
        <v/>
      </c>
      <c r="J2007" s="49">
        <f>G2007+I2007</f>
        <v/>
      </c>
      <c r="K2007" s="256" t="n"/>
      <c r="L2007" s="256" t="n"/>
      <c r="M2007" s="256" t="n"/>
      <c r="N2007" s="256" t="n"/>
      <c r="O2007" s="256" t="n"/>
      <c r="P2007" s="256" t="n"/>
      <c r="Q2007" s="256" t="n"/>
    </row>
    <row r="2008">
      <c r="A2008">
        <f>IF(DAY(D2008)=DAY($L$1+1),A2007+1,A2007)</f>
        <v/>
      </c>
      <c r="B2008" s="46">
        <f>IF(DAY(D2008)=DAY($L$1+1),1,B2007+1)</f>
        <v/>
      </c>
      <c r="C2008" s="46">
        <f>IF(DAY(D2008)=DAY($L$1+1),1,C2007+1)</f>
        <v/>
      </c>
      <c r="D2008" s="2">
        <f>D2007+1</f>
        <v/>
      </c>
      <c r="E2008" s="8">
        <f>IF(DAY(D2008)=DAY($L$1+1),TRUNC((#REF!),8),E2007)</f>
        <v/>
      </c>
      <c r="F2008" s="49">
        <f>TRUNC(((1+VLOOKUP(A2008,IPCA!$A$2:$C$140,3,0)))^(C2008/(EDATE(D2008-C2008,1)-(D2008-C2008))),8)</f>
        <v/>
      </c>
      <c r="G2008" s="49">
        <f>TRUNC((E2008*F2008),8)</f>
        <v/>
      </c>
      <c r="H2008" s="49">
        <f>ROUND(((1+$H$4)^(30/360))^(C2008/(EDATE(D2008-B2008,1)-(D2008-B2008))),9)</f>
        <v/>
      </c>
      <c r="I2008" s="49">
        <f>TRUNC((G2008*H2008-G2008),8)</f>
        <v/>
      </c>
      <c r="J2008" s="49">
        <f>G2008+I2008</f>
        <v/>
      </c>
      <c r="K2008" s="256" t="n"/>
      <c r="L2008" s="256" t="n"/>
      <c r="M2008" s="256" t="n"/>
      <c r="N2008" s="256" t="n"/>
      <c r="O2008" s="256" t="n"/>
      <c r="P2008" s="256" t="n"/>
      <c r="Q2008" s="256" t="n"/>
    </row>
    <row r="2009">
      <c r="A2009">
        <f>IF(DAY(D2009)=DAY($L$1+1),A2008+1,A2008)</f>
        <v/>
      </c>
      <c r="B2009" s="46">
        <f>IF(DAY(D2009)=DAY($L$1+1),1,B2008+1)</f>
        <v/>
      </c>
      <c r="C2009" s="46">
        <f>IF(DAY(D2009)=DAY($L$1+1),1,C2008+1)</f>
        <v/>
      </c>
      <c r="D2009" s="2">
        <f>D2008+1</f>
        <v/>
      </c>
      <c r="E2009" s="8">
        <f>IF(DAY(D2009)=DAY($L$1+1),TRUNC((#REF!),8),E2008)</f>
        <v/>
      </c>
      <c r="F2009" s="49">
        <f>TRUNC(((1+VLOOKUP(A2009,IPCA!$A$2:$C$140,3,0)))^(C2009/(EDATE(D2009-C2009,1)-(D2009-C2009))),8)</f>
        <v/>
      </c>
      <c r="G2009" s="49">
        <f>TRUNC((E2009*F2009),8)</f>
        <v/>
      </c>
      <c r="H2009" s="49">
        <f>ROUND(((1+$H$4)^(30/360))^(C2009/(EDATE(D2009-B2009,1)-(D2009-B2009))),9)</f>
        <v/>
      </c>
      <c r="I2009" s="49">
        <f>TRUNC((G2009*H2009-G2009),8)</f>
        <v/>
      </c>
      <c r="J2009" s="49">
        <f>G2009+I2009</f>
        <v/>
      </c>
      <c r="K2009" s="256" t="n"/>
      <c r="L2009" s="256" t="n"/>
      <c r="M2009" s="256" t="n"/>
      <c r="N2009" s="256" t="n"/>
      <c r="O2009" s="256" t="n"/>
      <c r="P2009" s="256" t="n"/>
      <c r="Q2009" s="256" t="n"/>
    </row>
    <row r="2010">
      <c r="A2010">
        <f>IF(DAY(D2010)=DAY($L$1+1),A2009+1,A2009)</f>
        <v/>
      </c>
      <c r="B2010" s="46">
        <f>IF(DAY(D2010)=DAY($L$1+1),1,B2009+1)</f>
        <v/>
      </c>
      <c r="C2010" s="46">
        <f>IF(DAY(D2010)=DAY($L$1+1),1,C2009+1)</f>
        <v/>
      </c>
      <c r="D2010" s="2">
        <f>D2009+1</f>
        <v/>
      </c>
      <c r="E2010" s="8">
        <f>IF(DAY(D2010)=DAY($L$1+1),TRUNC((#REF!),8),E2009)</f>
        <v/>
      </c>
      <c r="F2010" s="49">
        <f>TRUNC(((1+VLOOKUP(A2010,IPCA!$A$2:$C$140,3,0)))^(C2010/(EDATE(D2010-C2010,1)-(D2010-C2010))),8)</f>
        <v/>
      </c>
      <c r="G2010" s="49">
        <f>TRUNC((E2010*F2010),8)</f>
        <v/>
      </c>
      <c r="H2010" s="49">
        <f>ROUND(((1+$H$4)^(30/360))^(C2010/(EDATE(D2010-B2010,1)-(D2010-B2010))),9)</f>
        <v/>
      </c>
      <c r="I2010" s="49">
        <f>TRUNC((G2010*H2010-G2010),8)</f>
        <v/>
      </c>
      <c r="J2010" s="49">
        <f>G2010+I2010</f>
        <v/>
      </c>
      <c r="K2010" s="256" t="n"/>
      <c r="L2010" s="256" t="n"/>
      <c r="M2010" s="256" t="n"/>
      <c r="N2010" s="256" t="n"/>
      <c r="O2010" s="256" t="n"/>
      <c r="P2010" s="256" t="n"/>
      <c r="Q2010" s="256" t="n"/>
    </row>
    <row r="2011">
      <c r="A2011">
        <f>IF(DAY(D2011)=DAY($L$1+1),A2010+1,A2010)</f>
        <v/>
      </c>
      <c r="B2011" s="46">
        <f>IF(DAY(D2011)=DAY($L$1+1),1,B2010+1)</f>
        <v/>
      </c>
      <c r="C2011" s="46">
        <f>IF(DAY(D2011)=DAY($L$1+1),1,C2010+1)</f>
        <v/>
      </c>
      <c r="D2011" s="2">
        <f>D2010+1</f>
        <v/>
      </c>
      <c r="E2011" s="8">
        <f>IF(DAY(D2011)=DAY($L$1+1),TRUNC((#REF!),8),E2010)</f>
        <v/>
      </c>
      <c r="F2011" s="49">
        <f>TRUNC(((1+VLOOKUP(A2011,IPCA!$A$2:$C$140,3,0)))^(C2011/(EDATE(D2011-C2011,1)-(D2011-C2011))),8)</f>
        <v/>
      </c>
      <c r="G2011" s="49">
        <f>TRUNC((E2011*F2011),8)</f>
        <v/>
      </c>
      <c r="H2011" s="49">
        <f>ROUND(((1+$H$4)^(30/360))^(C2011/(EDATE(D2011-B2011,1)-(D2011-B2011))),9)</f>
        <v/>
      </c>
      <c r="I2011" s="49">
        <f>TRUNC((G2011*H2011-G2011),8)</f>
        <v/>
      </c>
      <c r="J2011" s="49">
        <f>G2011+I2011</f>
        <v/>
      </c>
      <c r="K2011" s="256" t="n"/>
      <c r="L2011" s="256" t="n"/>
      <c r="M2011" s="256" t="n"/>
      <c r="N2011" s="256" t="n"/>
      <c r="O2011" s="256" t="n"/>
      <c r="P2011" s="256" t="n"/>
      <c r="Q2011" s="256" t="n"/>
    </row>
    <row r="2012">
      <c r="A2012">
        <f>IF(DAY(D2012)=DAY($L$1+1),A2011+1,A2011)</f>
        <v/>
      </c>
      <c r="B2012" s="46">
        <f>IF(DAY(D2012)=DAY($L$1+1),1,B2011+1)</f>
        <v/>
      </c>
      <c r="C2012" s="46">
        <f>IF(DAY(D2012)=DAY($L$1+1),1,C2011+1)</f>
        <v/>
      </c>
      <c r="D2012" s="2">
        <f>D2011+1</f>
        <v/>
      </c>
      <c r="E2012" s="8">
        <f>IF(DAY(D2012)=DAY($L$1+1),TRUNC((#REF!),8),E2011)</f>
        <v/>
      </c>
      <c r="F2012" s="49">
        <f>TRUNC(((1+VLOOKUP(A2012,IPCA!$A$2:$C$140,3,0)))^(C2012/(EDATE(D2012-C2012,1)-(D2012-C2012))),8)</f>
        <v/>
      </c>
      <c r="G2012" s="49">
        <f>TRUNC((E2012*F2012),8)</f>
        <v/>
      </c>
      <c r="H2012" s="49">
        <f>ROUND(((1+$H$4)^(30/360))^(C2012/(EDATE(D2012-B2012,1)-(D2012-B2012))),9)</f>
        <v/>
      </c>
      <c r="I2012" s="49">
        <f>TRUNC((G2012*H2012-G2012),8)</f>
        <v/>
      </c>
      <c r="J2012" s="49">
        <f>G2012+I2012</f>
        <v/>
      </c>
      <c r="K2012" s="256" t="n"/>
      <c r="L2012" s="256" t="n"/>
      <c r="M2012" s="256" t="n"/>
      <c r="N2012" s="256" t="n"/>
      <c r="O2012" s="256" t="n"/>
      <c r="P2012" s="256" t="n"/>
      <c r="Q2012" s="256" t="n"/>
    </row>
    <row r="2013">
      <c r="A2013">
        <f>IF(DAY(D2013)=DAY($L$1+1),A2012+1,A2012)</f>
        <v/>
      </c>
      <c r="B2013" s="46">
        <f>IF(DAY(D2013)=DAY($L$1+1),1,B2012+1)</f>
        <v/>
      </c>
      <c r="C2013" s="46">
        <f>IF(DAY(D2013)=DAY($L$1+1),1,C2012+1)</f>
        <v/>
      </c>
      <c r="D2013" s="2">
        <f>D2012+1</f>
        <v/>
      </c>
      <c r="E2013" s="8">
        <f>IF(DAY(D2013)=DAY($L$1+1),TRUNC((N2012),8),E2012)</f>
        <v/>
      </c>
      <c r="F2013" s="49">
        <f>TRUNC(((1+VLOOKUP(A2013,IPCA!$A$2:$C$140,3,0)))^(C2013/(EDATE(D2013-C2013,1)-(D2013-C2013))),8)</f>
        <v/>
      </c>
      <c r="G2013" s="49">
        <f>TRUNC((E2013*F2013),8)</f>
        <v/>
      </c>
      <c r="H2013" s="49">
        <f>ROUND(((1+$H$4)^(30/360))^(C2013/(EDATE(D2013-B2013,1)-(D2013-B2013))),9)</f>
        <v/>
      </c>
      <c r="I2013" s="49">
        <f>TRUNC((G2013*H2013-G2013),8)</f>
        <v/>
      </c>
      <c r="J2013" s="49">
        <f>G2013+I2013</f>
        <v/>
      </c>
      <c r="K2013" s="256" t="n"/>
      <c r="L2013" s="256" t="n"/>
      <c r="M2013" s="256" t="n"/>
      <c r="N2013" s="256" t="n"/>
      <c r="O2013" s="256" t="n"/>
      <c r="P2013" s="256" t="n"/>
      <c r="Q2013" s="256" t="n"/>
    </row>
    <row r="2014">
      <c r="A2014">
        <f>IF(DAY(D2014)=DAY($L$1+1),A2013+1,A2013)</f>
        <v/>
      </c>
      <c r="B2014" s="46">
        <f>IF(DAY(D2014)=DAY($L$1+1),1,B2013+1)</f>
        <v/>
      </c>
      <c r="C2014" s="46">
        <f>IF(DAY(D2014)=DAY($L$1+1),1,C2013+1)</f>
        <v/>
      </c>
      <c r="D2014" s="2">
        <f>D2013+1</f>
        <v/>
      </c>
      <c r="E2014" s="8">
        <f>IF(DAY(D2014)=DAY($L$1+1),TRUNC((N2013),8),E2013)</f>
        <v/>
      </c>
      <c r="F2014" s="49">
        <f>TRUNC(((1+VLOOKUP(A2014,IPCA!$A$2:$C$140,3,0)))^(C2014/(EDATE(D2014-C2014,1)-(D2014-C2014))),8)</f>
        <v/>
      </c>
      <c r="G2014" s="49">
        <f>TRUNC((E2014*F2014),8)</f>
        <v/>
      </c>
      <c r="H2014" s="49">
        <f>ROUND(((1+$H$4)^(30/360))^(C2014/(EDATE(D2014-B2014,1)-(D2014-B2014))),9)</f>
        <v/>
      </c>
      <c r="I2014" s="49">
        <f>TRUNC((G2014*H2014-G2014),8)</f>
        <v/>
      </c>
      <c r="J2014" s="49">
        <f>G2014+I2014</f>
        <v/>
      </c>
      <c r="K2014" s="123" t="n"/>
      <c r="L2014" s="271" t="n"/>
      <c r="M2014" s="256" t="n"/>
      <c r="N2014" s="256" t="n"/>
      <c r="O2014" s="256" t="n"/>
      <c r="P2014" s="256" t="n"/>
      <c r="Q2014" s="256" t="n"/>
    </row>
    <row r="2015">
      <c r="A2015">
        <f>IF(DAY(D2015)=DAY($L$1+1),A2014+1,A2014)</f>
        <v/>
      </c>
      <c r="B2015" s="46">
        <f>IF(DAY(D2015)=DAY($L$1+1),1,B2014+1)</f>
        <v/>
      </c>
      <c r="C2015" s="46">
        <f>IF(DAY(D2015)=DAY($L$1+1),1,C2014+1)</f>
        <v/>
      </c>
      <c r="D2015" s="2">
        <f>D2014+1</f>
        <v/>
      </c>
      <c r="E2015" s="8">
        <f>IF(DAY(D2015)=DAY($L$1+1),TRUNC((N2014),8),E2014)</f>
        <v/>
      </c>
      <c r="F2015" s="49">
        <f>TRUNC(((1+VLOOKUP(A2015,IPCA!$A$2:$C$140,3,0)))^(C2015/(EDATE(D2015-C2015,1)-(D2015-C2015))),8)</f>
        <v/>
      </c>
      <c r="G2015" s="49">
        <f>TRUNC((E2015*F2015),8)</f>
        <v/>
      </c>
      <c r="H2015" s="49">
        <f>ROUND(((1+$H$4)^(30/360))^(C2015/(EDATE(D2015-B2015,1)-(D2015-B2015))),9)</f>
        <v/>
      </c>
      <c r="I2015" s="49">
        <f>TRUNC((G2015*H2015-G2015),8)</f>
        <v/>
      </c>
      <c r="J2015" s="49">
        <f>G2015+I2015</f>
        <v/>
      </c>
      <c r="K2015" s="256" t="n"/>
      <c r="L2015" s="256" t="n"/>
      <c r="M2015" s="256" t="n"/>
      <c r="N2015" s="256" t="n"/>
      <c r="O2015" s="256" t="n"/>
      <c r="P2015" s="256" t="n"/>
      <c r="Q2015" s="256" t="n"/>
    </row>
    <row r="2016">
      <c r="A2016">
        <f>IF(DAY(D2016)=DAY($L$1+1),A2015+1,A2015)</f>
        <v/>
      </c>
      <c r="B2016" s="46">
        <f>IF(DAY(D2016)=DAY($L$1+1),1,B2015+1)</f>
        <v/>
      </c>
      <c r="C2016" s="46">
        <f>IF(DAY(D2016)=DAY($L$1+1),1,C2015+1)</f>
        <v/>
      </c>
      <c r="D2016" s="2">
        <f>D2015+1</f>
        <v/>
      </c>
      <c r="E2016" s="8">
        <f>IF(DAY(D2016)=DAY($L$1+1),TRUNC((N2015),8),E2015)</f>
        <v/>
      </c>
      <c r="F2016" s="49">
        <f>TRUNC(((1+VLOOKUP(A2016,IPCA!$A$2:$C$140,3,0)))^(C2016/(EDATE(D2016-C2016,1)-(D2016-C2016))),8)</f>
        <v/>
      </c>
      <c r="G2016" s="49">
        <f>TRUNC((E2016*F2016),8)</f>
        <v/>
      </c>
      <c r="H2016" s="49">
        <f>ROUND(((1+$H$4)^(30/360))^(C2016/(EDATE(D2016-B2016,1)-(D2016-B2016))),9)</f>
        <v/>
      </c>
      <c r="I2016" s="49">
        <f>TRUNC((G2016*H2016-G2016),8)</f>
        <v/>
      </c>
      <c r="J2016" s="49">
        <f>G2016+I2016</f>
        <v/>
      </c>
      <c r="K2016" s="256" t="n"/>
      <c r="L2016" s="256" t="n"/>
      <c r="M2016" s="256" t="n"/>
      <c r="N2016" s="256" t="n"/>
      <c r="O2016" s="256" t="n"/>
      <c r="P2016" s="256" t="n"/>
      <c r="Q2016" s="256" t="n"/>
    </row>
    <row r="2017">
      <c r="A2017">
        <f>IF(DAY(D2017)=DAY($L$1+1),A2016+1,A2016)</f>
        <v/>
      </c>
      <c r="B2017" s="46">
        <f>IF(DAY(D2017)=DAY($L$1+1),1,B2016+1)</f>
        <v/>
      </c>
      <c r="C2017" s="46">
        <f>IF(DAY(D2017)=DAY($L$1+1),1,C2016+1)</f>
        <v/>
      </c>
      <c r="D2017" s="2">
        <f>D2016+1</f>
        <v/>
      </c>
      <c r="E2017" s="8">
        <f>IF(DAY(D2017)=DAY($L$1+1),TRUNC((N2016),8),E2016)</f>
        <v/>
      </c>
      <c r="F2017" s="49">
        <f>TRUNC(((1+VLOOKUP(A2017,IPCA!$A$2:$C$140,3,0)))^(C2017/(EDATE(D2017-C2017,1)-(D2017-C2017))),8)</f>
        <v/>
      </c>
      <c r="G2017" s="49">
        <f>TRUNC((E2017*F2017),8)</f>
        <v/>
      </c>
      <c r="H2017" s="49">
        <f>ROUND(((1+$H$4)^(30/360))^(C2017/(EDATE(D2017-B2017,1)-(D2017-B2017))),9)</f>
        <v/>
      </c>
      <c r="I2017" s="49">
        <f>TRUNC((G2017*H2017-G2017),8)</f>
        <v/>
      </c>
      <c r="J2017" s="49">
        <f>G2017+I2017</f>
        <v/>
      </c>
      <c r="K2017" s="256" t="n"/>
      <c r="L2017" s="256" t="n"/>
      <c r="M2017" s="256" t="n"/>
      <c r="N2017" s="256" t="n"/>
      <c r="O2017" s="256" t="n"/>
      <c r="P2017" s="256" t="n"/>
      <c r="Q2017" s="256" t="n"/>
    </row>
    <row r="2018">
      <c r="A2018">
        <f>IF(DAY(D2018)=DAY($L$1+1),A2017+1,A2017)</f>
        <v/>
      </c>
      <c r="B2018" s="46">
        <f>IF(DAY(D2018)=DAY($L$1+1),1,B2017+1)</f>
        <v/>
      </c>
      <c r="C2018" s="46">
        <f>IF(DAY(D2018)=DAY($L$1+1),1,C2017+1)</f>
        <v/>
      </c>
      <c r="D2018" s="2">
        <f>D2017+1</f>
        <v/>
      </c>
      <c r="E2018" s="8">
        <f>IF(DAY(D2018)=DAY($L$1+1),TRUNC((N2017),8),E2017)</f>
        <v/>
      </c>
      <c r="F2018" s="49">
        <f>TRUNC(((1+VLOOKUP(A2018,IPCA!$A$2:$C$140,3,0)))^(C2018/(EDATE(D2018-C2018,1)-(D2018-C2018))),8)</f>
        <v/>
      </c>
      <c r="G2018" s="49">
        <f>TRUNC((E2018*F2018),8)</f>
        <v/>
      </c>
      <c r="H2018" s="49">
        <f>ROUND(((1+$H$4)^(30/360))^(C2018/(EDATE(D2018-B2018,1)-(D2018-B2018))),9)</f>
        <v/>
      </c>
      <c r="I2018" s="49">
        <f>TRUNC((G2018*H2018-G2018),8)</f>
        <v/>
      </c>
      <c r="J2018" s="49">
        <f>G2018+I2018</f>
        <v/>
      </c>
      <c r="K2018" s="256" t="n"/>
      <c r="L2018" s="256" t="n"/>
      <c r="M2018" s="256" t="n"/>
      <c r="N2018" s="256" t="n"/>
      <c r="O2018" s="256" t="n"/>
      <c r="P2018" s="256" t="n"/>
      <c r="Q2018" s="256" t="n"/>
    </row>
    <row r="2019">
      <c r="A2019">
        <f>IF(DAY(D2019)=DAY($L$1+1),A2018+1,A2018)</f>
        <v/>
      </c>
      <c r="B2019" s="46">
        <f>IF(DAY(D2019)=DAY($L$1+1),1,B2018+1)</f>
        <v/>
      </c>
      <c r="C2019" s="46">
        <f>IF(DAY(D2019)=DAY($L$1+1),1,C2018+1)</f>
        <v/>
      </c>
      <c r="D2019" s="2">
        <f>D2018+1</f>
        <v/>
      </c>
      <c r="E2019" s="8">
        <f>IF(DAY(D2019)=DAY($L$1+1),TRUNC((N2018),8),E2018)</f>
        <v/>
      </c>
      <c r="F2019" s="49">
        <f>TRUNC(((1+VLOOKUP(A2019,IPCA!$A$2:$C$140,3,0)))^(C2019/(EDATE(D2019-C2019,1)-(D2019-C2019))),8)</f>
        <v/>
      </c>
      <c r="G2019" s="49">
        <f>TRUNC((E2019*F2019),8)</f>
        <v/>
      </c>
      <c r="H2019" s="49">
        <f>ROUND(((1+$H$4)^(30/360))^(C2019/(EDATE(D2019-B2019,1)-(D2019-B2019))),9)</f>
        <v/>
      </c>
      <c r="I2019" s="49">
        <f>TRUNC((G2019*H2019-G2019),8)</f>
        <v/>
      </c>
      <c r="J2019" s="49">
        <f>G2019+I2019</f>
        <v/>
      </c>
      <c r="K2019" s="256" t="n"/>
      <c r="L2019" s="256" t="n"/>
      <c r="M2019" s="256" t="n"/>
      <c r="N2019" s="256" t="n"/>
      <c r="O2019" s="256" t="n"/>
      <c r="P2019" s="256" t="n"/>
      <c r="Q2019" s="256" t="n"/>
    </row>
    <row r="2020">
      <c r="A2020">
        <f>IF(DAY(D2020)=DAY($L$1+1),A2019+1,A2019)</f>
        <v/>
      </c>
      <c r="B2020" s="46">
        <f>IF(DAY(D2020)=DAY($L$1+1),1,B2019+1)</f>
        <v/>
      </c>
      <c r="C2020" s="46">
        <f>IF(DAY(D2020)=DAY($L$1+1),1,C2019+1)</f>
        <v/>
      </c>
      <c r="D2020" s="2">
        <f>D2019+1</f>
        <v/>
      </c>
      <c r="E2020" s="8">
        <f>IF(DAY(D2020)=DAY($L$1+1),TRUNC((N2019),8),E2019)</f>
        <v/>
      </c>
      <c r="F2020" s="49">
        <f>TRUNC(((1+VLOOKUP(A2020,IPCA!$A$2:$C$140,3,0)))^(C2020/(EDATE(D2020-C2020,1)-(D2020-C2020))),8)</f>
        <v/>
      </c>
      <c r="G2020" s="49">
        <f>TRUNC((E2020*F2020),8)</f>
        <v/>
      </c>
      <c r="H2020" s="49">
        <f>ROUND(((1+$H$4)^(30/360))^(C2020/(EDATE(D2020-B2020,1)-(D2020-B2020))),9)</f>
        <v/>
      </c>
      <c r="I2020" s="49">
        <f>TRUNC((G2020*H2020-G2020),8)</f>
        <v/>
      </c>
      <c r="J2020" s="49">
        <f>G2020+I2020</f>
        <v/>
      </c>
      <c r="K2020" s="256" t="n"/>
      <c r="L2020" s="256" t="n"/>
      <c r="M2020" s="256" t="n"/>
      <c r="N2020" s="256" t="n"/>
      <c r="O2020" s="256" t="n"/>
      <c r="P2020" s="256" t="n"/>
      <c r="Q2020" s="256" t="n"/>
    </row>
    <row r="2021">
      <c r="A2021">
        <f>IF(DAY(D2021)=DAY($L$1+1),A2020+1,A2020)</f>
        <v/>
      </c>
      <c r="B2021" s="46">
        <f>IF(DAY(D2021)=DAY($L$1+1),1,B2020+1)</f>
        <v/>
      </c>
      <c r="C2021" s="46">
        <f>IF(DAY(D2021)=DAY($L$1+1),1,C2020+1)</f>
        <v/>
      </c>
      <c r="D2021" s="2">
        <f>D2020+1</f>
        <v/>
      </c>
      <c r="E2021" s="8">
        <f>IF(DAY(D2021)=DAY($L$1+1),TRUNC((N2020),8),E2020)</f>
        <v/>
      </c>
      <c r="F2021" s="49">
        <f>TRUNC(((1+VLOOKUP(A2021,IPCA!$A$2:$C$140,3,0)))^(C2021/(EDATE(D2021-C2021,1)-(D2021-C2021))),8)</f>
        <v/>
      </c>
      <c r="G2021" s="49">
        <f>TRUNC((E2021*F2021),8)</f>
        <v/>
      </c>
      <c r="H2021" s="49">
        <f>ROUND(((1+$H$4)^(30/360))^(C2021/(EDATE(D2021-B2021,1)-(D2021-B2021))),9)</f>
        <v/>
      </c>
      <c r="I2021" s="49">
        <f>TRUNC((G2021*H2021-G2021),8)</f>
        <v/>
      </c>
      <c r="J2021" s="49">
        <f>G2021+I2021</f>
        <v/>
      </c>
      <c r="K2021" s="256" t="n"/>
      <c r="L2021" s="256" t="n"/>
      <c r="M2021" s="256" t="n"/>
      <c r="N2021" s="256" t="n"/>
      <c r="O2021" s="256" t="n"/>
      <c r="P2021" s="256" t="n"/>
      <c r="Q2021" s="256" t="n"/>
    </row>
    <row r="2022">
      <c r="A2022">
        <f>IF(DAY(D2022)=DAY($L$1+1),A2021+1,A2021)</f>
        <v/>
      </c>
      <c r="B2022" s="46">
        <f>IF(DAY(D2022)=DAY($L$1+1),1,B2021+1)</f>
        <v/>
      </c>
      <c r="C2022" s="46">
        <f>IF(DAY(D2022)=DAY($L$1+1),1,C2021+1)</f>
        <v/>
      </c>
      <c r="D2022" s="2">
        <f>D2021+1</f>
        <v/>
      </c>
      <c r="E2022" s="8">
        <f>IF(DAY(D2022)=DAY($L$1+1),TRUNC((N2021),8),E2021)</f>
        <v/>
      </c>
      <c r="F2022" s="49">
        <f>TRUNC(((1+VLOOKUP(A2022,IPCA!$A$2:$C$140,3,0)))^(C2022/(EDATE(D2022-C2022,1)-(D2022-C2022))),8)</f>
        <v/>
      </c>
      <c r="G2022" s="49">
        <f>TRUNC((E2022*F2022),8)</f>
        <v/>
      </c>
      <c r="H2022" s="49">
        <f>ROUND(((1+$H$4)^(30/360))^(C2022/(EDATE(D2022-B2022,1)-(D2022-B2022))),9)</f>
        <v/>
      </c>
      <c r="I2022" s="49">
        <f>TRUNC((G2022*H2022-G2022),8)</f>
        <v/>
      </c>
      <c r="J2022" s="49">
        <f>G2022+I2022</f>
        <v/>
      </c>
      <c r="K2022" s="256" t="n"/>
      <c r="L2022" s="256" t="n"/>
      <c r="M2022" s="256" t="n"/>
      <c r="N2022" s="256" t="n"/>
      <c r="O2022" s="256" t="n"/>
      <c r="P2022" s="256" t="n"/>
      <c r="Q2022" s="256" t="n"/>
    </row>
    <row r="2023">
      <c r="A2023">
        <f>IF(DAY(D2023)=DAY($L$1+1),A2022+1,A2022)</f>
        <v/>
      </c>
      <c r="B2023" s="46">
        <f>IF(DAY(D2023)=DAY($L$1+1),1,B2022+1)</f>
        <v/>
      </c>
      <c r="C2023" s="46">
        <f>IF(DAY(D2023)=DAY($L$1+1),1,C2022+1)</f>
        <v/>
      </c>
      <c r="D2023" s="2">
        <f>D2022+1</f>
        <v/>
      </c>
      <c r="E2023" s="8">
        <f>IF(DAY(D2023)=DAY($L$1+1),TRUNC((N2022),8),E2022)</f>
        <v/>
      </c>
      <c r="F2023" s="49">
        <f>TRUNC(((1+VLOOKUP(A2023,IPCA!$A$2:$C$140,3,0)))^(C2023/(EDATE(D2023-C2023,1)-(D2023-C2023))),8)</f>
        <v/>
      </c>
      <c r="G2023" s="49">
        <f>TRUNC((E2023*F2023),8)</f>
        <v/>
      </c>
      <c r="H2023" s="49">
        <f>ROUND(((1+$H$4)^(30/360))^(C2023/(EDATE(D2023-B2023,1)-(D2023-B2023))),9)</f>
        <v/>
      </c>
      <c r="I2023" s="49">
        <f>TRUNC((G2023*H2023-G2023),8)</f>
        <v/>
      </c>
      <c r="J2023" s="49">
        <f>G2023+I2023</f>
        <v/>
      </c>
      <c r="K2023" s="256" t="n"/>
      <c r="L2023" s="256" t="n"/>
      <c r="M2023" s="256" t="n"/>
      <c r="N2023" s="256" t="n"/>
      <c r="O2023" s="256" t="n"/>
      <c r="P2023" s="256" t="n"/>
      <c r="Q2023" s="256" t="n"/>
    </row>
    <row r="2024">
      <c r="A2024">
        <f>IF(DAY(D2024)=DAY($L$1+1),A2023+1,A2023)</f>
        <v/>
      </c>
      <c r="B2024" s="46">
        <f>IF(DAY(D2024)=DAY($L$1+1),1,B2023+1)</f>
        <v/>
      </c>
      <c r="C2024" s="46">
        <f>IF(DAY(D2024)=DAY($L$1+1),1,C2023+1)</f>
        <v/>
      </c>
      <c r="D2024" s="2">
        <f>D2023+1</f>
        <v/>
      </c>
      <c r="E2024" s="8">
        <f>IF(DAY(D2024)=DAY($L$1+1),TRUNC((N2023),8),E2023)</f>
        <v/>
      </c>
      <c r="F2024" s="49">
        <f>TRUNC(((1+VLOOKUP(A2024,IPCA!$A$2:$C$140,3,0)))^(C2024/(EDATE(D2024-C2024,1)-(D2024-C2024))),8)</f>
        <v/>
      </c>
      <c r="G2024" s="49">
        <f>TRUNC((E2024*F2024),8)</f>
        <v/>
      </c>
      <c r="H2024" s="49">
        <f>ROUND(((1+$H$4)^(30/360))^(C2024/(EDATE(D2024-B2024,1)-(D2024-B2024))),9)</f>
        <v/>
      </c>
      <c r="I2024" s="49">
        <f>TRUNC((G2024*H2024-G2024),8)</f>
        <v/>
      </c>
      <c r="J2024" s="49">
        <f>G2024+I2024</f>
        <v/>
      </c>
      <c r="K2024" s="256" t="n"/>
      <c r="L2024" s="256" t="n"/>
      <c r="M2024" s="256" t="n"/>
      <c r="N2024" s="256" t="n"/>
      <c r="O2024" s="256" t="n"/>
      <c r="P2024" s="256" t="n"/>
      <c r="Q2024" s="256" t="n"/>
    </row>
    <row r="2025">
      <c r="A2025">
        <f>IF(DAY(D2025)=DAY($L$1+1),A2024+1,A2024)</f>
        <v/>
      </c>
      <c r="B2025" s="46">
        <f>IF(DAY(D2025)=DAY($L$1+1),1,B2024+1)</f>
        <v/>
      </c>
      <c r="C2025" s="46">
        <f>IF(DAY(D2025)=DAY($L$1+1),1,C2024+1)</f>
        <v/>
      </c>
      <c r="D2025" s="2">
        <f>D2024+1</f>
        <v/>
      </c>
      <c r="E2025" s="8">
        <f>IF(DAY(D2025)=DAY($L$1+1),TRUNC((N2024),8),E2024)</f>
        <v/>
      </c>
      <c r="F2025" s="49">
        <f>TRUNC(((1+VLOOKUP(A2025,IPCA!$A$2:$C$140,3,0)))^(C2025/(EDATE(D2025-C2025,1)-(D2025-C2025))),8)</f>
        <v/>
      </c>
      <c r="G2025" s="49">
        <f>TRUNC((E2025*F2025),8)</f>
        <v/>
      </c>
      <c r="H2025" s="49">
        <f>ROUND(((1+$H$4)^(30/360))^(C2025/(EDATE(D2025-B2025,1)-(D2025-B2025))),9)</f>
        <v/>
      </c>
      <c r="I2025" s="49">
        <f>TRUNC((G2025*H2025-G2025),8)</f>
        <v/>
      </c>
      <c r="J2025" s="49">
        <f>G2025+I2025</f>
        <v/>
      </c>
      <c r="K2025" s="256" t="n"/>
      <c r="L2025" s="256" t="n"/>
      <c r="M2025" s="256" t="n"/>
      <c r="N2025" s="256" t="n"/>
      <c r="O2025" s="256" t="n"/>
      <c r="P2025" s="256" t="n"/>
      <c r="Q2025" s="256" t="n"/>
    </row>
    <row r="2026">
      <c r="A2026">
        <f>IF(DAY(D2026)=DAY($L$1+1),A2025+1,A2025)</f>
        <v/>
      </c>
      <c r="B2026" s="46">
        <f>IF(DAY(D2026)=DAY($L$1+1),1,B2025+1)</f>
        <v/>
      </c>
      <c r="C2026" s="46">
        <f>IF(DAY(D2026)=DAY($L$1+1),1,C2025+1)</f>
        <v/>
      </c>
      <c r="D2026" s="2">
        <f>D2025+1</f>
        <v/>
      </c>
      <c r="E2026" s="8">
        <f>IF(DAY(D2026)=DAY($L$1+1),TRUNC((N2025),8),E2025)</f>
        <v/>
      </c>
      <c r="F2026" s="49">
        <f>TRUNC(((1+VLOOKUP(A2026,IPCA!$A$2:$C$140,3,0)))^(C2026/(EDATE(D2026-C2026,1)-(D2026-C2026))),8)</f>
        <v/>
      </c>
      <c r="G2026" s="49">
        <f>TRUNC((E2026*F2026),8)</f>
        <v/>
      </c>
      <c r="H2026" s="49">
        <f>ROUND(((1+$H$4)^(30/360))^(C2026/(EDATE(D2026-B2026,1)-(D2026-B2026))),9)</f>
        <v/>
      </c>
      <c r="I2026" s="49">
        <f>TRUNC((G2026*H2026-G2026),8)</f>
        <v/>
      </c>
      <c r="J2026" s="49">
        <f>G2026+I2026</f>
        <v/>
      </c>
      <c r="K2026" s="256" t="n"/>
      <c r="L2026" s="256" t="n"/>
      <c r="M2026" s="256" t="n"/>
      <c r="N2026" s="256" t="n"/>
      <c r="O2026" s="256" t="n"/>
      <c r="P2026" s="256" t="n"/>
      <c r="Q2026" s="256" t="n"/>
    </row>
    <row r="2027">
      <c r="A2027">
        <f>IF(DAY(D2027)=DAY($L$1+1),A2026+1,A2026)</f>
        <v/>
      </c>
      <c r="B2027" s="46">
        <f>IF(DAY(D2027)=DAY($L$1+1),1,B2026+1)</f>
        <v/>
      </c>
      <c r="C2027" s="46">
        <f>IF(DAY(D2027)=DAY($L$1+1),1,C2026+1)</f>
        <v/>
      </c>
      <c r="D2027" s="2">
        <f>D2026+1</f>
        <v/>
      </c>
      <c r="E2027" s="8">
        <f>IF(DAY(D2027)=DAY($L$1+1),TRUNC((N2026),8),E2026)</f>
        <v/>
      </c>
      <c r="F2027" s="49">
        <f>TRUNC(((1+VLOOKUP(A2027,IPCA!$A$2:$C$140,3,0)))^(C2027/(EDATE(D2027-C2027,1)-(D2027-C2027))),8)</f>
        <v/>
      </c>
      <c r="G2027" s="49">
        <f>TRUNC((E2027*F2027),8)</f>
        <v/>
      </c>
      <c r="H2027" s="49">
        <f>ROUND(((1+$H$4)^(30/360))^(C2027/(EDATE(D2027-B2027,1)-(D2027-B2027))),9)</f>
        <v/>
      </c>
      <c r="I2027" s="49">
        <f>TRUNC((G2027*H2027-G2027),8)</f>
        <v/>
      </c>
      <c r="J2027" s="49">
        <f>G2027+I2027</f>
        <v/>
      </c>
      <c r="K2027" s="256" t="inlineStr">
        <is>
          <t>Cri Integralizado</t>
        </is>
      </c>
      <c r="L2027" s="270">
        <f>L1996</f>
        <v/>
      </c>
      <c r="M2027" s="256" t="n"/>
      <c r="N2027" s="256" t="n"/>
      <c r="O2027" s="256" t="n"/>
      <c r="P2027" s="256" t="n"/>
      <c r="Q2027" s="256" t="n"/>
    </row>
    <row r="2028">
      <c r="A2028">
        <f>IF(DAY(D2028)=DAY($L$1+1),A2027+1,A2027)</f>
        <v/>
      </c>
      <c r="B2028" s="46">
        <f>IF(DAY(D2028)=DAY($L$1+1),1,B2027+1)</f>
        <v/>
      </c>
      <c r="C2028" s="46">
        <f>IF(DAY(D2028)=DAY($L$1+1),1,C2027+1)</f>
        <v/>
      </c>
      <c r="D2028" s="47">
        <f>D2027+1</f>
        <v/>
      </c>
      <c r="E2028" s="8">
        <f>IF(DAY(D2028)=DAY($L$1+1),TRUNC((N2027),8),E2027)</f>
        <v/>
      </c>
      <c r="F2028" s="49">
        <f>TRUNC(((1+VLOOKUP(A2028,IPCA!$A$2:$C$140,3,0)))^(C2028/(EDATE(D2028-C2028,1)-(D2028-C2028))),8)</f>
        <v/>
      </c>
      <c r="G2028" s="49">
        <f>TRUNC((E2028*F2028),8)</f>
        <v/>
      </c>
      <c r="H2028" s="49">
        <f>ROUND(((1+$H$4)^(30/360))^(C2028/(EDATE(D2028-B2028,1)-(D2028-B2028))),9)</f>
        <v/>
      </c>
      <c r="I2028" s="49">
        <f>TRUNC((G2028*H2028-G2028),8)</f>
        <v/>
      </c>
      <c r="J2028" s="49">
        <f>G2028+I2028</f>
        <v/>
      </c>
      <c r="K2028" s="118" t="inlineStr">
        <is>
          <t>JUROS</t>
        </is>
      </c>
      <c r="L2028" s="118" t="inlineStr">
        <is>
          <t>AMORTIZAÇÃO</t>
        </is>
      </c>
      <c r="M2028" s="118" t="inlineStr">
        <is>
          <t>AMEX</t>
        </is>
      </c>
      <c r="N2028" s="118" t="inlineStr">
        <is>
          <t>RESIDUAL</t>
        </is>
      </c>
      <c r="O2028" s="256" t="n"/>
      <c r="P2028" s="256" t="n"/>
      <c r="Q2028" s="256" t="n"/>
    </row>
    <row r="2029">
      <c r="A2029">
        <f>IF(DAY(D2029)=DAY($L$1+1),A2028+1,A2028)</f>
        <v/>
      </c>
      <c r="B2029" s="111">
        <f>IF(DAY(D2029)=DAY($L$1+1),1,B2028+1)</f>
        <v/>
      </c>
      <c r="C2029" s="111">
        <f>IF(DAY(D2029)=DAY($L$1+1),1,C2028+1)</f>
        <v/>
      </c>
      <c r="D2029" s="112">
        <f>D2028+1</f>
        <v/>
      </c>
      <c r="E2029" s="113">
        <f>IF(DAY(D2029)=DAY($L$1+1),TRUNC((N2028),8),E2028)</f>
        <v/>
      </c>
      <c r="F2029" s="114">
        <f>TRUNC(((1+VLOOKUP(A2029,IPCA!$A$2:$C$140,3,0)))^(C2029/(EDATE(D2029-C2029,1)-(D2029-C2029))),8)</f>
        <v/>
      </c>
      <c r="G2029" s="114">
        <f>TRUNC((E2029*F2029),8)</f>
        <v/>
      </c>
      <c r="H2029" s="114">
        <f>ROUND(((1+$H$4)^(30/360))^(C2029/(EDATE(D2029-B2029,1)-(D2029-B2029))),9)</f>
        <v/>
      </c>
      <c r="I2029" s="114">
        <f>TRUNC((G2029*H2029-G2029),8)</f>
        <v/>
      </c>
      <c r="J2029" s="114">
        <f>G2029+I2029</f>
        <v/>
      </c>
      <c r="K2029" s="119">
        <f>I2029</f>
        <v/>
      </c>
      <c r="L2029" s="120">
        <f>TRUNC(G2029*VLOOKUP(D2029,'Amort TS'!$G$3:$H$140,2,0),8)</f>
        <v/>
      </c>
      <c r="M2029" s="120" t="n">
        <v>0</v>
      </c>
      <c r="N2029" s="120">
        <f>J2029-K2029-L2029-M2029</f>
        <v/>
      </c>
      <c r="O2029" s="256" t="n"/>
      <c r="P2029" s="256" t="n"/>
      <c r="Q2029" s="256" t="n"/>
    </row>
    <row r="2030">
      <c r="A2030">
        <f>IF(DAY(D2030)=DAY($L$1+1),A2029+1,A2029)</f>
        <v/>
      </c>
      <c r="B2030" s="46">
        <f>IF(DAY(D2030)=DAY($L$1+1),1,B2029+1)</f>
        <v/>
      </c>
      <c r="C2030" s="46">
        <f>IF(DAY(D2030)=DAY($L$1+1),1,C2029+1)</f>
        <v/>
      </c>
      <c r="D2030" s="2">
        <f>D2029+1</f>
        <v/>
      </c>
      <c r="E2030" s="8">
        <f>IF(DAY(D2030)=DAY($L$1+1),TRUNC((N2029),8),E2029)</f>
        <v/>
      </c>
      <c r="F2030" s="49">
        <f>TRUNC(((1+VLOOKUP(A2030,IPCA!$A$2:$C$140,3,0)))^(C2030/(EDATE(D2030-C2030,1)-(D2030-C2030))),8)</f>
        <v/>
      </c>
      <c r="G2030" s="49">
        <f>TRUNC((E2030*F2030),8)</f>
        <v/>
      </c>
      <c r="H2030" s="49">
        <f>ROUND(((1+$H$4)^(30/360))^(C2030/(EDATE(D2030-B2030,1)-(D2030-B2030))),9)</f>
        <v/>
      </c>
      <c r="I2030" s="49">
        <f>TRUNC((G2030*H2030-G2030),8)</f>
        <v/>
      </c>
      <c r="J2030" s="49">
        <f>G2030+I2030</f>
        <v/>
      </c>
      <c r="K2030" s="121">
        <f>K2029*L2027</f>
        <v/>
      </c>
      <c r="L2030" s="121">
        <f>L2029*L2027</f>
        <v/>
      </c>
      <c r="M2030" s="121">
        <f>M2029*L2027</f>
        <v/>
      </c>
      <c r="N2030" s="121">
        <f>N2029*L2027</f>
        <v/>
      </c>
      <c r="O2030" s="256" t="n"/>
      <c r="P2030" s="256" t="n"/>
      <c r="Q2030" s="256" t="n"/>
    </row>
    <row r="2031">
      <c r="A2031">
        <f>IF(DAY(D2031)=DAY($L$1+1),A2030+1,A2030)</f>
        <v/>
      </c>
      <c r="B2031" s="46">
        <f>IF(DAY(D2031)=DAY($L$1+1),1,B2030+1)</f>
        <v/>
      </c>
      <c r="C2031" s="46">
        <f>IF(DAY(D2031)=DAY($L$1+1),1,C2030+1)</f>
        <v/>
      </c>
      <c r="D2031" s="47">
        <f>D2030+1</f>
        <v/>
      </c>
      <c r="E2031" s="8">
        <f>IF(DAY(D2031)=DAY($L$1+1),TRUNC((N2030),8),E2030)</f>
        <v/>
      </c>
      <c r="F2031" s="49">
        <f>TRUNC(((1+VLOOKUP(A2031,IPCA!$A$2:$C$140,3,0)))^(C2031/(EDATE(D2031-C2031,1)-(D2031-C2031))),8)</f>
        <v/>
      </c>
      <c r="G2031" s="49">
        <f>TRUNC((E2031*F2031),8)</f>
        <v/>
      </c>
      <c r="H2031" s="49">
        <f>ROUND(((1+$H$4)^(30/360))^(C2031/(EDATE(D2031-B2031,1)-(D2031-B2031))),9)</f>
        <v/>
      </c>
      <c r="I2031" s="49">
        <f>TRUNC((G2031*H2031-G2031),8)</f>
        <v/>
      </c>
      <c r="J2031" s="49">
        <f>G2031+I2031</f>
        <v/>
      </c>
      <c r="K2031" s="256" t="n"/>
      <c r="L2031" s="256" t="n"/>
      <c r="M2031" s="256" t="n"/>
      <c r="N2031" s="256" t="n"/>
      <c r="O2031" s="256" t="n"/>
      <c r="P2031" s="256" t="n"/>
      <c r="Q2031" s="256" t="n"/>
    </row>
    <row r="2032">
      <c r="A2032">
        <f>IF(DAY(D2032)=DAY($L$1+1),A2031+1,A2031)</f>
        <v/>
      </c>
      <c r="B2032" s="46">
        <f>IF(DAY(D2032)=DAY($L$1+1),1,B2031+1)</f>
        <v/>
      </c>
      <c r="C2032" s="46">
        <f>IF(DAY(D2032)=DAY($L$1+1),1,C2031+1)</f>
        <v/>
      </c>
      <c r="D2032" s="2">
        <f>D2031+1</f>
        <v/>
      </c>
      <c r="E2032" s="8">
        <f>IF(DAY(D2032)=DAY($L$1+1),TRUNC((#REF!),8),E2031)</f>
        <v/>
      </c>
      <c r="F2032" s="49">
        <f>TRUNC(((1+VLOOKUP(A2032,IPCA!$A$2:$C$140,3,0)))^(C2032/(EDATE(D2032-C2032,1)-(D2032-C2032))),8)</f>
        <v/>
      </c>
      <c r="G2032" s="49">
        <f>TRUNC((E2032*F2032),8)</f>
        <v/>
      </c>
      <c r="H2032" s="49">
        <f>ROUND(((1+$H$4)^(30/360))^(C2032/(EDATE(D2032-B2032,1)-(D2032-B2032))),9)</f>
        <v/>
      </c>
      <c r="I2032" s="49">
        <f>TRUNC((G2032*H2032-G2032),8)</f>
        <v/>
      </c>
      <c r="J2032" s="49">
        <f>G2032+I2032</f>
        <v/>
      </c>
      <c r="K2032" s="256" t="n"/>
      <c r="L2032" s="256" t="n"/>
      <c r="M2032" s="256" t="n"/>
      <c r="N2032" s="256" t="n"/>
      <c r="O2032" s="256" t="n"/>
      <c r="P2032" s="256" t="n"/>
      <c r="Q2032" s="256" t="n"/>
    </row>
    <row r="2033">
      <c r="A2033">
        <f>IF(DAY(D2033)=DAY($L$1+1),A2032+1,A2032)</f>
        <v/>
      </c>
      <c r="B2033" s="46">
        <f>IF(DAY(D2033)=DAY($L$1+1),1,B2032+1)</f>
        <v/>
      </c>
      <c r="C2033" s="46">
        <f>IF(DAY(D2033)=DAY($L$1+1),1,C2032+1)</f>
        <v/>
      </c>
      <c r="D2033" s="2">
        <f>D2032+1</f>
        <v/>
      </c>
      <c r="E2033" s="8">
        <f>IF(DAY(D2033)=DAY($L$1+1),TRUNC((#REF!),8),E2032)</f>
        <v/>
      </c>
      <c r="F2033" s="49">
        <f>TRUNC(((1+VLOOKUP(A2033,IPCA!$A$2:$C$140,3,0)))^(C2033/(EDATE(D2033-C2033,1)-(D2033-C2033))),8)</f>
        <v/>
      </c>
      <c r="G2033" s="49">
        <f>TRUNC((E2033*F2033),8)</f>
        <v/>
      </c>
      <c r="H2033" s="49">
        <f>ROUND(((1+$H$4)^(30/360))^(C2033/(EDATE(D2033-B2033,1)-(D2033-B2033))),9)</f>
        <v/>
      </c>
      <c r="I2033" s="49">
        <f>TRUNC((G2033*H2033-G2033),8)</f>
        <v/>
      </c>
      <c r="J2033" s="49">
        <f>G2033+I2033</f>
        <v/>
      </c>
      <c r="K2033" s="256" t="n"/>
      <c r="L2033" s="256" t="n"/>
      <c r="M2033" s="256" t="n"/>
      <c r="N2033" s="256" t="n"/>
      <c r="O2033" s="256" t="n"/>
      <c r="P2033" s="256" t="n"/>
      <c r="Q2033" s="256" t="n"/>
    </row>
    <row r="2034">
      <c r="A2034">
        <f>IF(DAY(D2034)=DAY($L$1+1),A2033+1,A2033)</f>
        <v/>
      </c>
      <c r="B2034" s="46">
        <f>IF(DAY(D2034)=DAY($L$1+1),1,B2033+1)</f>
        <v/>
      </c>
      <c r="C2034" s="46">
        <f>IF(DAY(D2034)=DAY($L$1+1),1,C2033+1)</f>
        <v/>
      </c>
      <c r="D2034" s="2">
        <f>D2033+1</f>
        <v/>
      </c>
      <c r="E2034" s="8">
        <f>IF(DAY(D2034)=DAY($L$1+1),TRUNC((#REF!),8),E2033)</f>
        <v/>
      </c>
      <c r="F2034" s="49">
        <f>TRUNC(((1+VLOOKUP(A2034,IPCA!$A$2:$C$140,3,0)))^(C2034/(EDATE(D2034-C2034,1)-(D2034-C2034))),8)</f>
        <v/>
      </c>
      <c r="G2034" s="49">
        <f>TRUNC((E2034*F2034),8)</f>
        <v/>
      </c>
      <c r="H2034" s="49">
        <f>ROUND(((1+$H$4)^(30/360))^(C2034/(EDATE(D2034-B2034,1)-(D2034-B2034))),9)</f>
        <v/>
      </c>
      <c r="I2034" s="49">
        <f>TRUNC((G2034*H2034-G2034),8)</f>
        <v/>
      </c>
      <c r="J2034" s="49">
        <f>G2034+I2034</f>
        <v/>
      </c>
      <c r="K2034" s="256" t="n"/>
      <c r="L2034" s="256" t="n"/>
      <c r="M2034" s="256" t="n"/>
      <c r="N2034" s="256" t="n"/>
      <c r="O2034" s="256" t="n"/>
      <c r="P2034" s="256" t="n"/>
      <c r="Q2034" s="256" t="n"/>
    </row>
    <row r="2035">
      <c r="A2035">
        <f>IF(DAY(D2035)=DAY($L$1+1),A2034+1,A2034)</f>
        <v/>
      </c>
      <c r="B2035" s="46">
        <f>IF(DAY(D2035)=DAY($L$1+1),1,B2034+1)</f>
        <v/>
      </c>
      <c r="C2035" s="46">
        <f>IF(DAY(D2035)=DAY($L$1+1),1,C2034+1)</f>
        <v/>
      </c>
      <c r="D2035" s="2">
        <f>D2034+1</f>
        <v/>
      </c>
      <c r="E2035" s="8">
        <f>IF(DAY(D2035)=DAY($L$1+1),TRUNC((#REF!),8),E2034)</f>
        <v/>
      </c>
      <c r="F2035" s="49">
        <f>TRUNC(((1+VLOOKUP(A2035,IPCA!$A$2:$C$140,3,0)))^(C2035/(EDATE(D2035-C2035,1)-(D2035-C2035))),8)</f>
        <v/>
      </c>
      <c r="G2035" s="49">
        <f>TRUNC((E2035*F2035),8)</f>
        <v/>
      </c>
      <c r="H2035" s="49">
        <f>ROUND(((1+$H$4)^(30/360))^(C2035/(EDATE(D2035-B2035,1)-(D2035-B2035))),9)</f>
        <v/>
      </c>
      <c r="I2035" s="49">
        <f>TRUNC((G2035*H2035-G2035),8)</f>
        <v/>
      </c>
      <c r="J2035" s="49">
        <f>G2035+I2035</f>
        <v/>
      </c>
      <c r="K2035" s="256" t="n"/>
      <c r="L2035" s="256" t="n"/>
      <c r="M2035" s="256" t="n"/>
      <c r="N2035" s="256" t="n"/>
      <c r="O2035" s="256" t="n"/>
      <c r="P2035" s="256" t="n"/>
      <c r="Q2035" s="256" t="n"/>
    </row>
    <row r="2036">
      <c r="A2036">
        <f>IF(DAY(D2036)=DAY($L$1+1),A2035+1,A2035)</f>
        <v/>
      </c>
      <c r="B2036" s="46">
        <f>IF(DAY(D2036)=DAY($L$1+1),1,B2035+1)</f>
        <v/>
      </c>
      <c r="C2036" s="46">
        <f>IF(DAY(D2036)=DAY($L$1+1),1,C2035+1)</f>
        <v/>
      </c>
      <c r="D2036" s="2">
        <f>D2035+1</f>
        <v/>
      </c>
      <c r="E2036" s="8">
        <f>IF(DAY(D2036)=DAY($L$1+1),TRUNC((#REF!),8),E2035)</f>
        <v/>
      </c>
      <c r="F2036" s="49">
        <f>TRUNC(((1+VLOOKUP(A2036,IPCA!$A$2:$C$140,3,0)))^(C2036/(EDATE(D2036-C2036,1)-(D2036-C2036))),8)</f>
        <v/>
      </c>
      <c r="G2036" s="49">
        <f>TRUNC((E2036*F2036),8)</f>
        <v/>
      </c>
      <c r="H2036" s="49">
        <f>ROUND(((1+$H$4)^(30/360))^(C2036/(EDATE(D2036-B2036,1)-(D2036-B2036))),9)</f>
        <v/>
      </c>
      <c r="I2036" s="49">
        <f>TRUNC((G2036*H2036-G2036),8)</f>
        <v/>
      </c>
      <c r="J2036" s="49">
        <f>G2036+I2036</f>
        <v/>
      </c>
      <c r="K2036" s="256" t="n"/>
      <c r="L2036" s="256" t="n"/>
      <c r="M2036" s="256" t="n"/>
      <c r="N2036" s="256" t="n"/>
      <c r="O2036" s="256" t="n"/>
      <c r="P2036" s="256" t="n"/>
      <c r="Q2036" s="256" t="n"/>
    </row>
    <row r="2037">
      <c r="A2037">
        <f>IF(DAY(D2037)=DAY($L$1+1),A2036+1,A2036)</f>
        <v/>
      </c>
      <c r="B2037" s="46">
        <f>IF(DAY(D2037)=DAY($L$1+1),1,B2036+1)</f>
        <v/>
      </c>
      <c r="C2037" s="46">
        <f>IF(DAY(D2037)=DAY($L$1+1),1,C2036+1)</f>
        <v/>
      </c>
      <c r="D2037" s="2">
        <f>D2036+1</f>
        <v/>
      </c>
      <c r="E2037" s="8">
        <f>IF(DAY(D2037)=DAY($L$1+1),TRUNC((#REF!),8),E2036)</f>
        <v/>
      </c>
      <c r="F2037" s="49">
        <f>TRUNC(((1+VLOOKUP(A2037,IPCA!$A$2:$C$140,3,0)))^(C2037/(EDATE(D2037-C2037,1)-(D2037-C2037))),8)</f>
        <v/>
      </c>
      <c r="G2037" s="49">
        <f>TRUNC((E2037*F2037),8)</f>
        <v/>
      </c>
      <c r="H2037" s="49">
        <f>ROUND(((1+$H$4)^(30/360))^(C2037/(EDATE(D2037-B2037,1)-(D2037-B2037))),9)</f>
        <v/>
      </c>
      <c r="I2037" s="49">
        <f>TRUNC((G2037*H2037-G2037),8)</f>
        <v/>
      </c>
      <c r="J2037" s="49">
        <f>G2037+I2037</f>
        <v/>
      </c>
      <c r="K2037" s="256" t="n"/>
      <c r="L2037" s="256" t="n"/>
      <c r="M2037" s="256" t="n"/>
      <c r="N2037" s="256" t="n"/>
      <c r="O2037" s="256" t="n"/>
      <c r="P2037" s="256" t="n"/>
      <c r="Q2037" s="256" t="n"/>
    </row>
    <row r="2038">
      <c r="A2038">
        <f>IF(DAY(D2038)=DAY($L$1+1),A2037+1,A2037)</f>
        <v/>
      </c>
      <c r="B2038" s="46">
        <f>IF(DAY(D2038)=DAY($L$1+1),1,B2037+1)</f>
        <v/>
      </c>
      <c r="C2038" s="46">
        <f>IF(DAY(D2038)=DAY($L$1+1),1,C2037+1)</f>
        <v/>
      </c>
      <c r="D2038" s="2">
        <f>D2037+1</f>
        <v/>
      </c>
      <c r="E2038" s="8">
        <f>IF(DAY(D2038)=DAY($L$1+1),TRUNC((#REF!),8),E2037)</f>
        <v/>
      </c>
      <c r="F2038" s="49">
        <f>TRUNC(((1+VLOOKUP(A2038,IPCA!$A$2:$C$140,3,0)))^(C2038/(EDATE(D2038-C2038,1)-(D2038-C2038))),8)</f>
        <v/>
      </c>
      <c r="G2038" s="49">
        <f>TRUNC((E2038*F2038),8)</f>
        <v/>
      </c>
      <c r="H2038" s="49">
        <f>ROUND(((1+$H$4)^(30/360))^(C2038/(EDATE(D2038-B2038,1)-(D2038-B2038))),9)</f>
        <v/>
      </c>
      <c r="I2038" s="49">
        <f>TRUNC((G2038*H2038-G2038),8)</f>
        <v/>
      </c>
      <c r="J2038" s="49">
        <f>G2038+I2038</f>
        <v/>
      </c>
      <c r="K2038" s="256" t="n"/>
      <c r="L2038" s="256" t="n"/>
      <c r="M2038" s="256" t="n"/>
      <c r="N2038" s="256" t="n"/>
      <c r="O2038" s="256" t="n"/>
      <c r="P2038" s="256" t="n"/>
      <c r="Q2038" s="256" t="n"/>
    </row>
    <row r="2039">
      <c r="A2039">
        <f>IF(DAY(D2039)=DAY($L$1+1),A2038+1,A2038)</f>
        <v/>
      </c>
      <c r="B2039" s="46">
        <f>IF(DAY(D2039)=DAY($L$1+1),1,B2038+1)</f>
        <v/>
      </c>
      <c r="C2039" s="46">
        <f>IF(DAY(D2039)=DAY($L$1+1),1,C2038+1)</f>
        <v/>
      </c>
      <c r="D2039" s="2">
        <f>D2038+1</f>
        <v/>
      </c>
      <c r="E2039" s="8">
        <f>IF(DAY(D2039)=DAY($L$1+1),TRUNC((#REF!),8),E2038)</f>
        <v/>
      </c>
      <c r="F2039" s="49">
        <f>TRUNC(((1+VLOOKUP(A2039,IPCA!$A$2:$C$140,3,0)))^(C2039/(EDATE(D2039-C2039,1)-(D2039-C2039))),8)</f>
        <v/>
      </c>
      <c r="G2039" s="49">
        <f>TRUNC((E2039*F2039),8)</f>
        <v/>
      </c>
      <c r="H2039" s="49">
        <f>ROUND(((1+$H$4)^(30/360))^(C2039/(EDATE(D2039-B2039,1)-(D2039-B2039))),9)</f>
        <v/>
      </c>
      <c r="I2039" s="49">
        <f>TRUNC((G2039*H2039-G2039),8)</f>
        <v/>
      </c>
      <c r="J2039" s="49">
        <f>G2039+I2039</f>
        <v/>
      </c>
      <c r="K2039" s="256" t="n"/>
      <c r="L2039" s="256" t="n"/>
      <c r="M2039" s="256" t="n"/>
      <c r="N2039" s="256" t="n"/>
      <c r="O2039" s="256" t="n"/>
      <c r="P2039" s="256" t="n"/>
      <c r="Q2039" s="256" t="n"/>
    </row>
    <row r="2040">
      <c r="A2040">
        <f>IF(DAY(D2040)=DAY($L$1+1),A2039+1,A2039)</f>
        <v/>
      </c>
      <c r="B2040" s="46">
        <f>IF(DAY(D2040)=DAY($L$1+1),1,B2039+1)</f>
        <v/>
      </c>
      <c r="C2040" s="46">
        <f>IF(DAY(D2040)=DAY($L$1+1),1,C2039+1)</f>
        <v/>
      </c>
      <c r="D2040" s="2">
        <f>D2039+1</f>
        <v/>
      </c>
      <c r="E2040" s="8">
        <f>IF(DAY(D2040)=DAY($L$1+1),TRUNC((#REF!),8),E2039)</f>
        <v/>
      </c>
      <c r="F2040" s="49">
        <f>TRUNC(((1+VLOOKUP(A2040,IPCA!$A$2:$C$140,3,0)))^(C2040/(EDATE(D2040-C2040,1)-(D2040-C2040))),8)</f>
        <v/>
      </c>
      <c r="G2040" s="49">
        <f>TRUNC((E2040*F2040),8)</f>
        <v/>
      </c>
      <c r="H2040" s="49">
        <f>ROUND(((1+$H$4)^(30/360))^(C2040/(EDATE(D2040-B2040,1)-(D2040-B2040))),9)</f>
        <v/>
      </c>
      <c r="I2040" s="49">
        <f>TRUNC((G2040*H2040-G2040),8)</f>
        <v/>
      </c>
      <c r="J2040" s="49">
        <f>G2040+I2040</f>
        <v/>
      </c>
      <c r="K2040" s="256" t="n"/>
      <c r="L2040" s="256" t="n"/>
      <c r="M2040" s="256" t="n"/>
      <c r="N2040" s="256" t="n"/>
      <c r="O2040" s="256" t="n"/>
      <c r="P2040" s="256" t="n"/>
      <c r="Q2040" s="256" t="n"/>
    </row>
    <row r="2041">
      <c r="A2041">
        <f>IF(DAY(D2041)=DAY($L$1+1),A2040+1,A2040)</f>
        <v/>
      </c>
      <c r="B2041" s="46">
        <f>IF(DAY(D2041)=DAY($L$1+1),1,B2040+1)</f>
        <v/>
      </c>
      <c r="C2041" s="46">
        <f>IF(DAY(D2041)=DAY($L$1+1),1,C2040+1)</f>
        <v/>
      </c>
      <c r="D2041" s="2">
        <f>D2040+1</f>
        <v/>
      </c>
      <c r="E2041" s="8">
        <f>IF(DAY(D2041)=DAY($L$1+1),TRUNC((#REF!),8),E2040)</f>
        <v/>
      </c>
      <c r="F2041" s="49">
        <f>TRUNC(((1+VLOOKUP(A2041,IPCA!$A$2:$C$140,3,0)))^(C2041/(EDATE(D2041-C2041,1)-(D2041-C2041))),8)</f>
        <v/>
      </c>
      <c r="G2041" s="49">
        <f>TRUNC((E2041*F2041),8)</f>
        <v/>
      </c>
      <c r="H2041" s="49">
        <f>ROUND(((1+$H$4)^(30/360))^(C2041/(EDATE(D2041-B2041,1)-(D2041-B2041))),9)</f>
        <v/>
      </c>
      <c r="I2041" s="49">
        <f>TRUNC((G2041*H2041-G2041),8)</f>
        <v/>
      </c>
      <c r="J2041" s="49">
        <f>G2041+I2041</f>
        <v/>
      </c>
      <c r="K2041" s="256" t="n"/>
      <c r="L2041" s="256" t="n"/>
      <c r="M2041" s="256" t="n"/>
      <c r="N2041" s="256" t="n"/>
      <c r="O2041" s="256" t="n"/>
      <c r="P2041" s="256" t="n"/>
      <c r="Q2041" s="256" t="n"/>
    </row>
    <row r="2042">
      <c r="A2042">
        <f>IF(DAY(D2042)=DAY($L$1+1),A2041+1,A2041)</f>
        <v/>
      </c>
      <c r="B2042" s="46">
        <f>IF(DAY(D2042)=DAY($L$1+1),1,B2041+1)</f>
        <v/>
      </c>
      <c r="C2042" s="46">
        <f>IF(DAY(D2042)=DAY($L$1+1),1,C2041+1)</f>
        <v/>
      </c>
      <c r="D2042" s="2">
        <f>D2041+1</f>
        <v/>
      </c>
      <c r="E2042" s="8">
        <f>IF(DAY(D2042)=DAY($L$1+1),TRUNC((#REF!),8),E2041)</f>
        <v/>
      </c>
      <c r="F2042" s="49">
        <f>TRUNC(((1+VLOOKUP(A2042,IPCA!$A$2:$C$140,3,0)))^(C2042/(EDATE(D2042-C2042,1)-(D2042-C2042))),8)</f>
        <v/>
      </c>
      <c r="G2042" s="49">
        <f>TRUNC((E2042*F2042),8)</f>
        <v/>
      </c>
      <c r="H2042" s="49">
        <f>ROUND(((1+$H$4)^(30/360))^(C2042/(EDATE(D2042-B2042,1)-(D2042-B2042))),9)</f>
        <v/>
      </c>
      <c r="I2042" s="49">
        <f>TRUNC((G2042*H2042-G2042),8)</f>
        <v/>
      </c>
      <c r="J2042" s="49">
        <f>G2042+I2042</f>
        <v/>
      </c>
      <c r="K2042" s="256" t="n"/>
      <c r="L2042" s="256" t="n"/>
      <c r="M2042" s="256" t="n"/>
      <c r="N2042" s="256" t="n"/>
      <c r="O2042" s="256" t="n"/>
      <c r="P2042" s="256" t="n"/>
      <c r="Q2042" s="256" t="n"/>
    </row>
    <row r="2043">
      <c r="A2043">
        <f>IF(DAY(D2043)=DAY($L$1+1),A2042+1,A2042)</f>
        <v/>
      </c>
      <c r="B2043" s="46">
        <f>IF(DAY(D2043)=DAY($L$1+1),1,B2042+1)</f>
        <v/>
      </c>
      <c r="C2043" s="46">
        <f>IF(DAY(D2043)=DAY($L$1+1),1,C2042+1)</f>
        <v/>
      </c>
      <c r="D2043" s="2">
        <f>D2042+1</f>
        <v/>
      </c>
      <c r="E2043" s="8">
        <f>IF(DAY(D2043)=DAY($L$1+1),TRUNC((#REF!),8),E2042)</f>
        <v/>
      </c>
      <c r="F2043" s="49">
        <f>TRUNC(((1+VLOOKUP(A2043,IPCA!$A$2:$C$140,3,0)))^(C2043/(EDATE(D2043-C2043,1)-(D2043-C2043))),8)</f>
        <v/>
      </c>
      <c r="G2043" s="49">
        <f>TRUNC((E2043*F2043),8)</f>
        <v/>
      </c>
      <c r="H2043" s="49">
        <f>ROUND(((1+$H$4)^(30/360))^(C2043/(EDATE(D2043-B2043,1)-(D2043-B2043))),9)</f>
        <v/>
      </c>
      <c r="I2043" s="49">
        <f>TRUNC((G2043*H2043-G2043),8)</f>
        <v/>
      </c>
      <c r="J2043" s="49">
        <f>G2043+I2043</f>
        <v/>
      </c>
      <c r="K2043" s="256" t="n"/>
      <c r="L2043" s="256" t="n"/>
      <c r="M2043" s="256" t="n"/>
      <c r="N2043" s="256" t="n"/>
      <c r="O2043" s="256" t="n"/>
      <c r="P2043" s="256" t="n"/>
      <c r="Q2043" s="256" t="n"/>
    </row>
    <row r="2044">
      <c r="A2044">
        <f>IF(DAY(D2044)=DAY($L$1+1),A2043+1,A2043)</f>
        <v/>
      </c>
      <c r="B2044" s="46">
        <f>IF(DAY(D2044)=DAY($L$1+1),1,B2043+1)</f>
        <v/>
      </c>
      <c r="C2044" s="46">
        <f>IF(DAY(D2044)=DAY($L$1+1),1,C2043+1)</f>
        <v/>
      </c>
      <c r="D2044" s="2">
        <f>D2043+1</f>
        <v/>
      </c>
      <c r="E2044" s="8">
        <f>IF(DAY(D2044)=DAY($L$1+1),TRUNC((#REF!),8),E2043)</f>
        <v/>
      </c>
      <c r="F2044" s="49">
        <f>TRUNC(((1+VLOOKUP(A2044,IPCA!$A$2:$C$140,3,0)))^(C2044/(EDATE(D2044-C2044,1)-(D2044-C2044))),8)</f>
        <v/>
      </c>
      <c r="G2044" s="49">
        <f>TRUNC((E2044*F2044),8)</f>
        <v/>
      </c>
      <c r="H2044" s="49">
        <f>ROUND(((1+$H$4)^(30/360))^(C2044/(EDATE(D2044-B2044,1)-(D2044-B2044))),9)</f>
        <v/>
      </c>
      <c r="I2044" s="49">
        <f>TRUNC((G2044*H2044-G2044),8)</f>
        <v/>
      </c>
      <c r="J2044" s="49">
        <f>G2044+I2044</f>
        <v/>
      </c>
      <c r="K2044" s="256" t="n"/>
      <c r="L2044" s="256" t="n"/>
      <c r="M2044" s="256" t="n"/>
      <c r="N2044" s="256" t="n"/>
      <c r="O2044" s="256" t="n"/>
      <c r="P2044" s="256" t="n"/>
      <c r="Q2044" s="256" t="n"/>
    </row>
    <row r="2045">
      <c r="A2045">
        <f>IF(DAY(D2045)=DAY($L$1+1),A2044+1,A2044)</f>
        <v/>
      </c>
      <c r="B2045" s="46">
        <f>IF(DAY(D2045)=DAY($L$1+1),1,B2044+1)</f>
        <v/>
      </c>
      <c r="C2045" s="46">
        <f>IF(DAY(D2045)=DAY($L$1+1),1,C2044+1)</f>
        <v/>
      </c>
      <c r="D2045" s="2">
        <f>D2044+1</f>
        <v/>
      </c>
      <c r="E2045" s="8">
        <f>IF(DAY(D2045)=DAY($L$1+1),TRUNC((#REF!),8),E2044)</f>
        <v/>
      </c>
      <c r="F2045" s="49">
        <f>TRUNC(((1+VLOOKUP(A2045,IPCA!$A$2:$C$140,3,0)))^(C2045/(EDATE(D2045-C2045,1)-(D2045-C2045))),8)</f>
        <v/>
      </c>
      <c r="G2045" s="49">
        <f>TRUNC((E2045*F2045),8)</f>
        <v/>
      </c>
      <c r="H2045" s="49">
        <f>ROUND(((1+$H$4)^(30/360))^(C2045/(EDATE(D2045-B2045,1)-(D2045-B2045))),9)</f>
        <v/>
      </c>
      <c r="I2045" s="49">
        <f>TRUNC((G2045*H2045-G2045),8)</f>
        <v/>
      </c>
      <c r="J2045" s="49">
        <f>G2045+I2045</f>
        <v/>
      </c>
      <c r="K2045" s="256" t="n"/>
      <c r="L2045" s="256" t="n"/>
      <c r="M2045" s="256" t="n"/>
      <c r="N2045" s="256" t="n"/>
      <c r="O2045" s="256" t="n"/>
      <c r="P2045" s="256" t="n"/>
      <c r="Q2045" s="256" t="n"/>
    </row>
    <row r="2046">
      <c r="A2046">
        <f>IF(DAY(D2046)=DAY($L$1+1),A2045+1,A2045)</f>
        <v/>
      </c>
      <c r="B2046" s="46">
        <f>IF(DAY(D2046)=DAY($L$1+1),1,B2045+1)</f>
        <v/>
      </c>
      <c r="C2046" s="46">
        <f>IF(DAY(D2046)=DAY($L$1+1),1,C2045+1)</f>
        <v/>
      </c>
      <c r="D2046" s="2">
        <f>D2045+1</f>
        <v/>
      </c>
      <c r="E2046" s="8">
        <f>IF(DAY(D2046)=DAY($L$1+1),TRUNC((#REF!),8),E2045)</f>
        <v/>
      </c>
      <c r="F2046" s="49">
        <f>TRUNC(((1+VLOOKUP(A2046,IPCA!$A$2:$C$140,3,0)))^(C2046/(EDATE(D2046-C2046,1)-(D2046-C2046))),8)</f>
        <v/>
      </c>
      <c r="G2046" s="49">
        <f>TRUNC((E2046*F2046),8)</f>
        <v/>
      </c>
      <c r="H2046" s="49">
        <f>ROUND(((1+$H$4)^(30/360))^(C2046/(EDATE(D2046-B2046,1)-(D2046-B2046))),9)</f>
        <v/>
      </c>
      <c r="I2046" s="49">
        <f>TRUNC((G2046*H2046-G2046),8)</f>
        <v/>
      </c>
      <c r="J2046" s="49">
        <f>G2046+I2046</f>
        <v/>
      </c>
      <c r="K2046" s="256" t="n"/>
      <c r="L2046" s="256" t="n"/>
      <c r="M2046" s="256" t="n"/>
      <c r="N2046" s="256" t="n"/>
      <c r="O2046" s="256" t="n"/>
      <c r="P2046" s="256" t="n"/>
      <c r="Q2046" s="256" t="n"/>
    </row>
    <row r="2047">
      <c r="A2047">
        <f>IF(DAY(D2047)=DAY($L$1+1),A2046+1,A2046)</f>
        <v/>
      </c>
      <c r="B2047" s="46">
        <f>IF(DAY(D2047)=DAY($L$1+1),1,B2046+1)</f>
        <v/>
      </c>
      <c r="C2047" s="46">
        <f>IF(DAY(D2047)=DAY($L$1+1),1,C2046+1)</f>
        <v/>
      </c>
      <c r="D2047" s="2">
        <f>D2046+1</f>
        <v/>
      </c>
      <c r="E2047" s="8">
        <f>IF(DAY(D2047)=DAY($L$1+1),TRUNC((#REF!),8),E2046)</f>
        <v/>
      </c>
      <c r="F2047" s="49">
        <f>TRUNC(((1+VLOOKUP(A2047,IPCA!$A$2:$C$140,3,0)))^(C2047/(EDATE(D2047-C2047,1)-(D2047-C2047))),8)</f>
        <v/>
      </c>
      <c r="G2047" s="49">
        <f>TRUNC((E2047*F2047),8)</f>
        <v/>
      </c>
      <c r="H2047" s="49">
        <f>ROUND(((1+$H$4)^(30/360))^(C2047/(EDATE(D2047-B2047,1)-(D2047-B2047))),9)</f>
        <v/>
      </c>
      <c r="I2047" s="49">
        <f>TRUNC((G2047*H2047-G2047),8)</f>
        <v/>
      </c>
      <c r="J2047" s="49">
        <f>G2047+I2047</f>
        <v/>
      </c>
      <c r="K2047" s="256" t="n"/>
      <c r="L2047" s="256" t="n"/>
      <c r="M2047" s="256" t="n"/>
      <c r="N2047" s="256" t="n"/>
      <c r="O2047" s="256" t="n"/>
      <c r="P2047" s="256" t="n"/>
      <c r="Q2047" s="256" t="n"/>
    </row>
    <row r="2048">
      <c r="A2048">
        <f>IF(DAY(D2048)=DAY($L$1+1),A2047+1,A2047)</f>
        <v/>
      </c>
      <c r="B2048" s="46">
        <f>IF(DAY(D2048)=DAY($L$1+1),1,B2047+1)</f>
        <v/>
      </c>
      <c r="C2048" s="46">
        <f>IF(DAY(D2048)=DAY($L$1+1),1,C2047+1)</f>
        <v/>
      </c>
      <c r="D2048" s="2">
        <f>D2047+1</f>
        <v/>
      </c>
      <c r="E2048" s="8">
        <f>IF(DAY(D2048)=DAY($L$1+1),TRUNC((#REF!),8),E2047)</f>
        <v/>
      </c>
      <c r="F2048" s="49">
        <f>TRUNC(((1+VLOOKUP(A2048,IPCA!$A$2:$C$140,3,0)))^(C2048/(EDATE(D2048-C2048,1)-(D2048-C2048))),8)</f>
        <v/>
      </c>
      <c r="G2048" s="49">
        <f>TRUNC((E2048*F2048),8)</f>
        <v/>
      </c>
      <c r="H2048" s="49">
        <f>ROUND(((1+$H$4)^(30/360))^(C2048/(EDATE(D2048-B2048,1)-(D2048-B2048))),9)</f>
        <v/>
      </c>
      <c r="I2048" s="49">
        <f>TRUNC((G2048*H2048-G2048),8)</f>
        <v/>
      </c>
      <c r="J2048" s="49">
        <f>G2048+I2048</f>
        <v/>
      </c>
      <c r="K2048" s="256" t="n"/>
      <c r="L2048" s="256" t="n"/>
      <c r="M2048" s="256" t="n"/>
      <c r="N2048" s="256" t="n"/>
      <c r="O2048" s="256" t="n"/>
      <c r="P2048" s="256" t="n"/>
      <c r="Q2048" s="256" t="n"/>
    </row>
    <row r="2049">
      <c r="A2049">
        <f>IF(DAY(D2049)=DAY($L$1+1),A2048+1,A2048)</f>
        <v/>
      </c>
      <c r="B2049" s="46">
        <f>IF(DAY(D2049)=DAY($L$1+1),1,B2048+1)</f>
        <v/>
      </c>
      <c r="C2049" s="46">
        <f>IF(DAY(D2049)=DAY($L$1+1),1,C2048+1)</f>
        <v/>
      </c>
      <c r="D2049" s="2">
        <f>D2048+1</f>
        <v/>
      </c>
      <c r="E2049" s="8">
        <f>IF(DAY(D2049)=DAY($L$1+1),TRUNC((#REF!),8),E2048)</f>
        <v/>
      </c>
      <c r="F2049" s="49">
        <f>TRUNC(((1+VLOOKUP(A2049,IPCA!$A$2:$C$140,3,0)))^(C2049/(EDATE(D2049-C2049,1)-(D2049-C2049))),8)</f>
        <v/>
      </c>
      <c r="G2049" s="49">
        <f>TRUNC((E2049*F2049),8)</f>
        <v/>
      </c>
      <c r="H2049" s="49">
        <f>ROUND(((1+$H$4)^(30/360))^(C2049/(EDATE(D2049-B2049,1)-(D2049-B2049))),9)</f>
        <v/>
      </c>
      <c r="I2049" s="49">
        <f>TRUNC((G2049*H2049-G2049),8)</f>
        <v/>
      </c>
      <c r="J2049" s="49">
        <f>G2049+I2049</f>
        <v/>
      </c>
      <c r="K2049" s="256" t="n"/>
      <c r="L2049" s="256" t="n"/>
      <c r="M2049" s="256" t="n"/>
      <c r="N2049" s="256" t="n"/>
      <c r="O2049" s="256" t="n"/>
      <c r="P2049" s="256" t="n"/>
      <c r="Q2049" s="256" t="n"/>
    </row>
    <row r="2050">
      <c r="A2050">
        <f>IF(DAY(D2050)=DAY($L$1+1),A2049+1,A2049)</f>
        <v/>
      </c>
      <c r="B2050" s="46">
        <f>IF(DAY(D2050)=DAY($L$1+1),1,B2049+1)</f>
        <v/>
      </c>
      <c r="C2050" s="46">
        <f>IF(DAY(D2050)=DAY($L$1+1),1,C2049+1)</f>
        <v/>
      </c>
      <c r="D2050" s="2">
        <f>D2049+1</f>
        <v/>
      </c>
      <c r="E2050" s="8">
        <f>IF(DAY(D2050)=DAY($L$1+1),TRUNC((#REF!),8),E2049)</f>
        <v/>
      </c>
      <c r="F2050" s="49">
        <f>TRUNC(((1+VLOOKUP(A2050,IPCA!$A$2:$C$140,3,0)))^(C2050/(EDATE(D2050-C2050,1)-(D2050-C2050))),8)</f>
        <v/>
      </c>
      <c r="G2050" s="49">
        <f>TRUNC((E2050*F2050),8)</f>
        <v/>
      </c>
      <c r="H2050" s="49">
        <f>ROUND(((1+$H$4)^(30/360))^(C2050/(EDATE(D2050-B2050,1)-(D2050-B2050))),9)</f>
        <v/>
      </c>
      <c r="I2050" s="49">
        <f>TRUNC((G2050*H2050-G2050),8)</f>
        <v/>
      </c>
      <c r="J2050" s="49">
        <f>G2050+I2050</f>
        <v/>
      </c>
      <c r="K2050" s="256" t="n"/>
      <c r="L2050" s="256" t="n"/>
      <c r="M2050" s="256" t="n"/>
      <c r="N2050" s="256" t="n"/>
      <c r="O2050" s="256" t="n"/>
      <c r="P2050" s="256" t="n"/>
      <c r="Q2050" s="256" t="n"/>
    </row>
    <row r="2051">
      <c r="A2051">
        <f>IF(DAY(D2051)=DAY($L$1+1),A2050+1,A2050)</f>
        <v/>
      </c>
      <c r="B2051" s="46">
        <f>IF(DAY(D2051)=DAY($L$1+1),1,B2050+1)</f>
        <v/>
      </c>
      <c r="C2051" s="46">
        <f>IF(DAY(D2051)=DAY($L$1+1),1,C2050+1)</f>
        <v/>
      </c>
      <c r="D2051" s="2">
        <f>D2050+1</f>
        <v/>
      </c>
      <c r="E2051" s="8">
        <f>IF(DAY(D2051)=DAY($L$1+1),TRUNC((#REF!),8),E2050)</f>
        <v/>
      </c>
      <c r="F2051" s="49">
        <f>TRUNC(((1+VLOOKUP(A2051,IPCA!$A$2:$C$140,3,0)))^(C2051/(EDATE(D2051-C2051,1)-(D2051-C2051))),8)</f>
        <v/>
      </c>
      <c r="G2051" s="49">
        <f>TRUNC((E2051*F2051),8)</f>
        <v/>
      </c>
      <c r="H2051" s="49">
        <f>ROUND(((1+$H$4)^(30/360))^(C2051/(EDATE(D2051-B2051,1)-(D2051-B2051))),9)</f>
        <v/>
      </c>
      <c r="I2051" s="49">
        <f>TRUNC((G2051*H2051-G2051),8)</f>
        <v/>
      </c>
      <c r="J2051" s="49">
        <f>G2051+I2051</f>
        <v/>
      </c>
      <c r="K2051" s="256" t="n"/>
      <c r="L2051" s="256" t="n"/>
      <c r="M2051" s="256" t="n"/>
      <c r="N2051" s="256" t="n"/>
      <c r="O2051" s="256" t="n"/>
      <c r="P2051" s="256" t="n"/>
      <c r="Q2051" s="256" t="n"/>
    </row>
    <row r="2052">
      <c r="A2052">
        <f>IF(DAY(D2052)=DAY($L$1+1),A2051+1,A2051)</f>
        <v/>
      </c>
      <c r="B2052" s="46">
        <f>IF(DAY(D2052)=DAY($L$1+1),1,B2051+1)</f>
        <v/>
      </c>
      <c r="C2052" s="46">
        <f>IF(DAY(D2052)=DAY($L$1+1),1,C2051+1)</f>
        <v/>
      </c>
      <c r="D2052" s="2">
        <f>D2051+1</f>
        <v/>
      </c>
      <c r="E2052" s="8">
        <f>IF(DAY(D2052)=DAY($L$1+1),TRUNC((N2051),8),E2051)</f>
        <v/>
      </c>
      <c r="F2052" s="49">
        <f>TRUNC(((1+VLOOKUP(A2052,IPCA!$A$2:$C$140,3,0)))^(C2052/(EDATE(D2052-C2052,1)-(D2052-C2052))),8)</f>
        <v/>
      </c>
      <c r="G2052" s="49">
        <f>TRUNC((E2052*F2052),8)</f>
        <v/>
      </c>
      <c r="H2052" s="49">
        <f>ROUND(((1+$H$4)^(30/360))^(C2052/(EDATE(D2052-B2052,1)-(D2052-B2052))),9)</f>
        <v/>
      </c>
      <c r="I2052" s="49">
        <f>TRUNC((G2052*H2052-G2052),8)</f>
        <v/>
      </c>
      <c r="J2052" s="49">
        <f>G2052+I2052</f>
        <v/>
      </c>
      <c r="K2052" s="256" t="n"/>
      <c r="L2052" s="256" t="n"/>
      <c r="M2052" s="256" t="n"/>
      <c r="N2052" s="256" t="n"/>
      <c r="O2052" s="256" t="n"/>
      <c r="P2052" s="256" t="n"/>
      <c r="Q2052" s="256" t="n"/>
    </row>
    <row r="2053">
      <c r="A2053">
        <f>IF(DAY(D2053)=DAY($L$1+1),A2052+1,A2052)</f>
        <v/>
      </c>
      <c r="B2053" s="46">
        <f>IF(DAY(D2053)=DAY($L$1+1),1,B2052+1)</f>
        <v/>
      </c>
      <c r="C2053" s="46">
        <f>IF(DAY(D2053)=DAY($L$1+1),1,C2052+1)</f>
        <v/>
      </c>
      <c r="D2053" s="2">
        <f>D2052+1</f>
        <v/>
      </c>
      <c r="E2053" s="8">
        <f>IF(DAY(D2053)=DAY($L$1+1),TRUNC((N2052),8),E2052)</f>
        <v/>
      </c>
      <c r="F2053" s="49">
        <f>TRUNC(((1+VLOOKUP(A2053,IPCA!$A$2:$C$140,3,0)))^(C2053/(EDATE(D2053-C2053,1)-(D2053-C2053))),8)</f>
        <v/>
      </c>
      <c r="G2053" s="49">
        <f>TRUNC((E2053*F2053),8)</f>
        <v/>
      </c>
      <c r="H2053" s="49">
        <f>ROUND(((1+$H$4)^(30/360))^(C2053/(EDATE(D2053-B2053,1)-(D2053-B2053))),9)</f>
        <v/>
      </c>
      <c r="I2053" s="49">
        <f>TRUNC((G2053*H2053-G2053),8)</f>
        <v/>
      </c>
      <c r="J2053" s="49">
        <f>G2053+I2053</f>
        <v/>
      </c>
      <c r="K2053" s="256" t="n"/>
      <c r="L2053" s="256" t="n"/>
      <c r="M2053" s="256" t="n"/>
      <c r="N2053" s="256" t="n"/>
      <c r="O2053" s="256" t="n"/>
      <c r="P2053" s="256" t="n"/>
      <c r="Q2053" s="256" t="n"/>
    </row>
    <row r="2054">
      <c r="A2054">
        <f>IF(DAY(D2054)=DAY($L$1+1),A2053+1,A2053)</f>
        <v/>
      </c>
      <c r="B2054" s="46">
        <f>IF(DAY(D2054)=DAY($L$1+1),1,B2053+1)</f>
        <v/>
      </c>
      <c r="C2054" s="46">
        <f>IF(DAY(D2054)=DAY($L$1+1),1,C2053+1)</f>
        <v/>
      </c>
      <c r="D2054" s="2">
        <f>D2053+1</f>
        <v/>
      </c>
      <c r="E2054" s="8">
        <f>IF(DAY(D2054)=DAY($L$1+1),TRUNC((N2053),8),E2053)</f>
        <v/>
      </c>
      <c r="F2054" s="49">
        <f>TRUNC(((1+VLOOKUP(A2054,IPCA!$A$2:$C$140,3,0)))^(C2054/(EDATE(D2054-C2054,1)-(D2054-C2054))),8)</f>
        <v/>
      </c>
      <c r="G2054" s="49">
        <f>TRUNC((E2054*F2054),8)</f>
        <v/>
      </c>
      <c r="H2054" s="49">
        <f>ROUND(((1+$H$4)^(30/360))^(C2054/(EDATE(D2054-B2054,1)-(D2054-B2054))),9)</f>
        <v/>
      </c>
      <c r="I2054" s="49">
        <f>TRUNC((G2054*H2054-G2054),8)</f>
        <v/>
      </c>
      <c r="J2054" s="49">
        <f>G2054+I2054</f>
        <v/>
      </c>
      <c r="K2054" s="256" t="n"/>
      <c r="L2054" s="256" t="n"/>
      <c r="M2054" s="256" t="n"/>
      <c r="N2054" s="256" t="n"/>
      <c r="O2054" s="256" t="n"/>
      <c r="P2054" s="256" t="n"/>
      <c r="Q2054" s="256" t="n"/>
    </row>
    <row r="2055">
      <c r="A2055">
        <f>IF(DAY(D2055)=DAY($L$1+1),A2054+1,A2054)</f>
        <v/>
      </c>
      <c r="B2055" s="46">
        <f>IF(DAY(D2055)=DAY($L$1+1),1,B2054+1)</f>
        <v/>
      </c>
      <c r="C2055" s="46">
        <f>IF(DAY(D2055)=DAY($L$1+1),1,C2054+1)</f>
        <v/>
      </c>
      <c r="D2055" s="2">
        <f>D2054+1</f>
        <v/>
      </c>
      <c r="E2055" s="8">
        <f>IF(DAY(D2055)=DAY($L$1+1),TRUNC((N2054),8),E2054)</f>
        <v/>
      </c>
      <c r="F2055" s="49">
        <f>TRUNC(((1+VLOOKUP(A2055,IPCA!$A$2:$C$140,3,0)))^(C2055/(EDATE(D2055-C2055,1)-(D2055-C2055))),8)</f>
        <v/>
      </c>
      <c r="G2055" s="49">
        <f>TRUNC((E2055*F2055),8)</f>
        <v/>
      </c>
      <c r="H2055" s="49">
        <f>ROUND(((1+$H$4)^(30/360))^(C2055/(EDATE(D2055-B2055,1)-(D2055-B2055))),9)</f>
        <v/>
      </c>
      <c r="I2055" s="49">
        <f>TRUNC((G2055*H2055-G2055),8)</f>
        <v/>
      </c>
      <c r="J2055" s="49">
        <f>G2055+I2055</f>
        <v/>
      </c>
      <c r="K2055" s="256" t="n"/>
      <c r="L2055" s="256" t="n"/>
      <c r="M2055" s="256" t="n"/>
      <c r="N2055" s="256" t="n"/>
      <c r="O2055" s="256" t="n"/>
      <c r="P2055" s="256" t="n"/>
      <c r="Q2055" s="256" t="n"/>
    </row>
    <row r="2056">
      <c r="A2056">
        <f>IF(DAY(D2056)=DAY($L$1+1),A2055+1,A2055)</f>
        <v/>
      </c>
      <c r="B2056" s="46">
        <f>IF(DAY(D2056)=DAY($L$1+1),1,B2055+1)</f>
        <v/>
      </c>
      <c r="C2056" s="46">
        <f>IF(DAY(D2056)=DAY($L$1+1),1,C2055+1)</f>
        <v/>
      </c>
      <c r="D2056" s="2">
        <f>D2055+1</f>
        <v/>
      </c>
      <c r="E2056" s="8">
        <f>IF(DAY(D2056)=DAY($L$1+1),TRUNC((N2055),8),E2055)</f>
        <v/>
      </c>
      <c r="F2056" s="49">
        <f>TRUNC(((1+VLOOKUP(A2056,IPCA!$A$2:$C$140,3,0)))^(C2056/(EDATE(D2056-C2056,1)-(D2056-C2056))),8)</f>
        <v/>
      </c>
      <c r="G2056" s="49">
        <f>TRUNC((E2056*F2056),8)</f>
        <v/>
      </c>
      <c r="H2056" s="49">
        <f>ROUND(((1+$H$4)^(30/360))^(C2056/(EDATE(D2056-B2056,1)-(D2056-B2056))),9)</f>
        <v/>
      </c>
      <c r="I2056" s="49">
        <f>TRUNC((G2056*H2056-G2056),8)</f>
        <v/>
      </c>
      <c r="J2056" s="49">
        <f>G2056+I2056</f>
        <v/>
      </c>
      <c r="K2056" s="256" t="n"/>
      <c r="L2056" s="256" t="n"/>
      <c r="M2056" s="256" t="n"/>
      <c r="N2056" s="256" t="n"/>
      <c r="O2056" s="256" t="n"/>
      <c r="P2056" s="256" t="n"/>
      <c r="Q2056" s="256" t="n"/>
    </row>
    <row r="2057">
      <c r="A2057">
        <f>IF(DAY(D2057)=DAY($L$1+1),A2056+1,A2056)</f>
        <v/>
      </c>
      <c r="B2057" s="46">
        <f>IF(DAY(D2057)=DAY($L$1+1),1,B2056+1)</f>
        <v/>
      </c>
      <c r="C2057" s="46">
        <f>IF(DAY(D2057)=DAY($L$1+1),1,C2056+1)</f>
        <v/>
      </c>
      <c r="D2057" s="2">
        <f>D2056+1</f>
        <v/>
      </c>
      <c r="E2057" s="8">
        <f>IF(DAY(D2057)=DAY($L$1+1),TRUNC((N2056),8),E2056)</f>
        <v/>
      </c>
      <c r="F2057" s="49">
        <f>TRUNC(((1+VLOOKUP(A2057,IPCA!$A$2:$C$140,3,0)))^(C2057/(EDATE(D2057-C2057,1)-(D2057-C2057))),8)</f>
        <v/>
      </c>
      <c r="G2057" s="49">
        <f>TRUNC((E2057*F2057),8)</f>
        <v/>
      </c>
      <c r="H2057" s="49">
        <f>ROUND(((1+$H$4)^(30/360))^(C2057/(EDATE(D2057-B2057,1)-(D2057-B2057))),9)</f>
        <v/>
      </c>
      <c r="I2057" s="49">
        <f>TRUNC((G2057*H2057-G2057),8)</f>
        <v/>
      </c>
      <c r="J2057" s="49">
        <f>G2057+I2057</f>
        <v/>
      </c>
      <c r="K2057" s="256" t="n"/>
      <c r="L2057" s="256" t="n"/>
      <c r="M2057" s="256" t="n"/>
      <c r="N2057" s="256" t="n"/>
      <c r="O2057" s="256" t="n"/>
      <c r="P2057" s="256" t="n"/>
      <c r="Q2057" s="256" t="n"/>
    </row>
    <row r="2058">
      <c r="A2058">
        <f>IF(DAY(D2058)=DAY($L$1+1),A2057+1,A2057)</f>
        <v/>
      </c>
      <c r="B2058" s="46">
        <f>IF(DAY(D2058)=DAY($L$1+1),1,B2057+1)</f>
        <v/>
      </c>
      <c r="C2058" s="46">
        <f>IF(DAY(D2058)=DAY($L$1+1),1,C2057+1)</f>
        <v/>
      </c>
      <c r="D2058" s="2">
        <f>D2057+1</f>
        <v/>
      </c>
      <c r="E2058" s="8">
        <f>IF(DAY(D2058)=DAY($L$1+1),TRUNC((N2057),8),E2057)</f>
        <v/>
      </c>
      <c r="F2058" s="49">
        <f>TRUNC(((1+VLOOKUP(A2058,IPCA!$A$2:$C$140,3,0)))^(C2058/(EDATE(D2058-C2058,1)-(D2058-C2058))),8)</f>
        <v/>
      </c>
      <c r="G2058" s="49">
        <f>TRUNC((E2058*F2058),8)</f>
        <v/>
      </c>
      <c r="H2058" s="49">
        <f>ROUND(((1+$H$4)^(30/360))^(C2058/(EDATE(D2058-B2058,1)-(D2058-B2058))),9)</f>
        <v/>
      </c>
      <c r="I2058" s="49">
        <f>TRUNC((G2058*H2058-G2058),8)</f>
        <v/>
      </c>
      <c r="J2058" s="49">
        <f>G2058+I2058</f>
        <v/>
      </c>
      <c r="K2058" s="256" t="inlineStr">
        <is>
          <t>Cri Integralizado</t>
        </is>
      </c>
      <c r="L2058" s="270">
        <f>L2027</f>
        <v/>
      </c>
      <c r="M2058" s="256" t="n"/>
      <c r="N2058" s="256" t="n"/>
      <c r="O2058" s="256" t="n"/>
      <c r="P2058" s="256" t="n"/>
      <c r="Q2058" s="256" t="n"/>
    </row>
    <row r="2059">
      <c r="A2059">
        <f>IF(DAY(D2059)=DAY($L$1+1),A2058+1,A2058)</f>
        <v/>
      </c>
      <c r="B2059" s="46">
        <f>IF(DAY(D2059)=DAY($L$1+1),1,B2058+1)</f>
        <v/>
      </c>
      <c r="C2059" s="46">
        <f>IF(DAY(D2059)=DAY($L$1+1),1,C2058+1)</f>
        <v/>
      </c>
      <c r="D2059" s="47">
        <f>D2058+1</f>
        <v/>
      </c>
      <c r="E2059" s="8">
        <f>IF(DAY(D2059)=DAY($L$1+1),TRUNC((N2058),8),E2058)</f>
        <v/>
      </c>
      <c r="F2059" s="49">
        <f>TRUNC(((1+VLOOKUP(A2059,IPCA!$A$2:$C$140,3,0)))^(C2059/(EDATE(D2059-C2059,1)-(D2059-C2059))),8)</f>
        <v/>
      </c>
      <c r="G2059" s="49">
        <f>TRUNC((E2059*F2059),8)</f>
        <v/>
      </c>
      <c r="H2059" s="49">
        <f>ROUND(((1+$H$4)^(30/360))^(C2059/(EDATE(D2059-B2059,1)-(D2059-B2059))),9)</f>
        <v/>
      </c>
      <c r="I2059" s="49">
        <f>TRUNC((G2059*H2059-G2059),8)</f>
        <v/>
      </c>
      <c r="J2059" s="49">
        <f>G2059+I2059</f>
        <v/>
      </c>
      <c r="K2059" s="118" t="inlineStr">
        <is>
          <t>JUROS</t>
        </is>
      </c>
      <c r="L2059" s="118" t="inlineStr">
        <is>
          <t>AMORTIZAÇÃO</t>
        </is>
      </c>
      <c r="M2059" s="118" t="inlineStr">
        <is>
          <t>AMEX</t>
        </is>
      </c>
      <c r="N2059" s="118" t="inlineStr">
        <is>
          <t>RESIDUAL</t>
        </is>
      </c>
      <c r="O2059" s="256" t="n"/>
      <c r="P2059" s="256" t="n"/>
      <c r="Q2059" s="256" t="n"/>
    </row>
    <row r="2060">
      <c r="A2060">
        <f>IF(DAY(D2060)=DAY($L$1+1),A2059+1,A2059)</f>
        <v/>
      </c>
      <c r="B2060" s="111">
        <f>IF(DAY(D2060)=DAY($L$1+1),1,B2059+1)</f>
        <v/>
      </c>
      <c r="C2060" s="111">
        <f>IF(DAY(D2060)=DAY($L$1+1),1,C2059+1)</f>
        <v/>
      </c>
      <c r="D2060" s="112">
        <f>D2059+1</f>
        <v/>
      </c>
      <c r="E2060" s="113">
        <f>IF(DAY(D2060)=DAY($L$1+1),TRUNC((N2059),8),E2059)</f>
        <v/>
      </c>
      <c r="F2060" s="114">
        <f>TRUNC(((1+VLOOKUP(A2060,IPCA!$A$2:$C$140,3,0)))^(C2060/(EDATE(D2060-C2060,1)-(D2060-C2060))),8)</f>
        <v/>
      </c>
      <c r="G2060" s="114">
        <f>TRUNC((E2060*F2060),8)</f>
        <v/>
      </c>
      <c r="H2060" s="114">
        <f>ROUND(((1+$H$4)^(30/360))^(C2060/(EDATE(D2060-B2060,1)-(D2060-B2060))),9)</f>
        <v/>
      </c>
      <c r="I2060" s="114">
        <f>TRUNC((G2060*H2060-G2060),8)</f>
        <v/>
      </c>
      <c r="J2060" s="114">
        <f>G2060+I2060</f>
        <v/>
      </c>
      <c r="K2060" s="119">
        <f>I2060</f>
        <v/>
      </c>
      <c r="L2060" s="120">
        <f>TRUNC(G2060*VLOOKUP(D2060,'Amort TS'!$G$3:$H$140,2,0),8)</f>
        <v/>
      </c>
      <c r="M2060" s="120" t="n">
        <v>0</v>
      </c>
      <c r="N2060" s="120">
        <f>J2060-K2060-L2060-M2060</f>
        <v/>
      </c>
      <c r="O2060" s="256" t="n"/>
      <c r="P2060" s="256" t="n"/>
      <c r="Q2060" s="256" t="n"/>
    </row>
    <row r="2061">
      <c r="A2061">
        <f>IF(DAY(D2061)=DAY($L$1+1),A2060+1,A2060)</f>
        <v/>
      </c>
      <c r="B2061" s="46">
        <f>IF(DAY(D2061)=DAY($L$1+1),1,B2060+1)</f>
        <v/>
      </c>
      <c r="C2061" s="46">
        <f>IF(DAY(D2061)=DAY($L$1+1),1,C2060+1)</f>
        <v/>
      </c>
      <c r="D2061" s="2">
        <f>D2060+1</f>
        <v/>
      </c>
      <c r="E2061" s="8">
        <f>IF(DAY(D2061)=DAY($L$1+1),TRUNC((N2060),8),E2060)</f>
        <v/>
      </c>
      <c r="F2061" s="49">
        <f>TRUNC(((1+VLOOKUP(A2061,IPCA!$A$2:$C$140,3,0)))^(C2061/(EDATE(D2061-C2061,1)-(D2061-C2061))),8)</f>
        <v/>
      </c>
      <c r="G2061" s="49">
        <f>TRUNC((E2061*F2061),8)</f>
        <v/>
      </c>
      <c r="H2061" s="49">
        <f>ROUND(((1+$H$4)^(30/360))^(C2061/(EDATE(D2061-B2061,1)-(D2061-B2061))),9)</f>
        <v/>
      </c>
      <c r="I2061" s="49">
        <f>TRUNC((G2061*H2061-G2061),8)</f>
        <v/>
      </c>
      <c r="J2061" s="49">
        <f>G2061+I2061</f>
        <v/>
      </c>
      <c r="K2061" s="121">
        <f>K2060*L2058</f>
        <v/>
      </c>
      <c r="L2061" s="121">
        <f>L2060*L2058</f>
        <v/>
      </c>
      <c r="M2061" s="121">
        <f>M2060*L2058</f>
        <v/>
      </c>
      <c r="N2061" s="121">
        <f>N2060*L2058</f>
        <v/>
      </c>
      <c r="O2061" s="256" t="n"/>
      <c r="P2061" s="256" t="n"/>
      <c r="Q2061" s="256" t="n"/>
    </row>
    <row r="2062">
      <c r="A2062">
        <f>IF(DAY(D2062)=DAY($L$1+1),A2061+1,A2061)</f>
        <v/>
      </c>
      <c r="B2062" s="46">
        <f>IF(DAY(D2062)=DAY($L$1+1),1,B2061+1)</f>
        <v/>
      </c>
      <c r="C2062" s="46">
        <f>IF(DAY(D2062)=DAY($L$1+1),1,C2061+1)</f>
        <v/>
      </c>
      <c r="D2062" s="47">
        <f>D2061+1</f>
        <v/>
      </c>
      <c r="E2062" s="8">
        <f>IF(DAY(D2062)=DAY($L$1+1),TRUNC((N2061),8),E2061)</f>
        <v/>
      </c>
      <c r="F2062" s="49">
        <f>TRUNC(((1+VLOOKUP(A2062,IPCA!$A$2:$C$140,3,0)))^(C2062/(EDATE(D2062-C2062,1)-(D2062-C2062))),8)</f>
        <v/>
      </c>
      <c r="G2062" s="49">
        <f>TRUNC((E2062*F2062),8)</f>
        <v/>
      </c>
      <c r="H2062" s="49">
        <f>ROUND(((1+$H$4)^(30/360))^(C2062/(EDATE(D2062-B2062,1)-(D2062-B2062))),9)</f>
        <v/>
      </c>
      <c r="I2062" s="49">
        <f>TRUNC((G2062*H2062-G2062),8)</f>
        <v/>
      </c>
      <c r="J2062" s="49">
        <f>G2062+I2062</f>
        <v/>
      </c>
      <c r="K2062" s="256" t="n"/>
      <c r="L2062" s="256" t="n"/>
      <c r="M2062" s="256" t="n"/>
      <c r="N2062" s="256" t="n"/>
      <c r="O2062" s="256" t="n"/>
      <c r="P2062" s="256" t="n"/>
      <c r="Q2062" s="256" t="n"/>
    </row>
    <row r="2063">
      <c r="A2063">
        <f>IF(DAY(D2063)=DAY($L$1+1),A2062+1,A2062)</f>
        <v/>
      </c>
      <c r="B2063" s="46">
        <f>IF(DAY(D2063)=DAY($L$1+1),1,B2062+1)</f>
        <v/>
      </c>
      <c r="C2063" s="46">
        <f>IF(DAY(D2063)=DAY($L$1+1),1,C2062+1)</f>
        <v/>
      </c>
      <c r="D2063" s="2">
        <f>D2062+1</f>
        <v/>
      </c>
      <c r="E2063" s="8">
        <f>IF(DAY(D2063)=DAY($L$1+1),TRUNC((#REF!),8),E2062)</f>
        <v/>
      </c>
      <c r="F2063" s="49">
        <f>TRUNC(((1+VLOOKUP(A2063,IPCA!$A$2:$C$140,3,0)))^(C2063/(EDATE(D2063-C2063,1)-(D2063-C2063))),8)</f>
        <v/>
      </c>
      <c r="G2063" s="49">
        <f>TRUNC((E2063*F2063),8)</f>
        <v/>
      </c>
      <c r="H2063" s="49">
        <f>ROUND(((1+$H$4)^(30/360))^(C2063/(EDATE(D2063-B2063,1)-(D2063-B2063))),9)</f>
        <v/>
      </c>
      <c r="I2063" s="49">
        <f>TRUNC((G2063*H2063-G2063),8)</f>
        <v/>
      </c>
      <c r="J2063" s="49">
        <f>G2063+I2063</f>
        <v/>
      </c>
      <c r="K2063" s="256" t="n"/>
      <c r="L2063" s="256" t="n"/>
      <c r="M2063" s="256" t="n"/>
      <c r="N2063" s="256" t="n"/>
      <c r="O2063" s="256" t="n"/>
      <c r="P2063" s="256" t="n"/>
      <c r="Q2063" s="256" t="n"/>
    </row>
    <row r="2064">
      <c r="A2064">
        <f>IF(DAY(D2064)=DAY($L$1+1),A2063+1,A2063)</f>
        <v/>
      </c>
      <c r="B2064" s="46">
        <f>IF(DAY(D2064)=DAY($L$1+1),1,B2063+1)</f>
        <v/>
      </c>
      <c r="C2064" s="46">
        <f>IF(DAY(D2064)=DAY($L$1+1),1,C2063+1)</f>
        <v/>
      </c>
      <c r="D2064" s="2">
        <f>D2063+1</f>
        <v/>
      </c>
      <c r="E2064" s="8">
        <f>IF(DAY(D2064)=DAY($L$1+1),TRUNC((#REF!),8),E2063)</f>
        <v/>
      </c>
      <c r="F2064" s="49">
        <f>TRUNC(((1+VLOOKUP(A2064,IPCA!$A$2:$C$140,3,0)))^(C2064/(EDATE(D2064-C2064,1)-(D2064-C2064))),8)</f>
        <v/>
      </c>
      <c r="G2064" s="49">
        <f>TRUNC((E2064*F2064),8)</f>
        <v/>
      </c>
      <c r="H2064" s="49">
        <f>ROUND(((1+$H$4)^(30/360))^(C2064/(EDATE(D2064-B2064,1)-(D2064-B2064))),9)</f>
        <v/>
      </c>
      <c r="I2064" s="49">
        <f>TRUNC((G2064*H2064-G2064),8)</f>
        <v/>
      </c>
      <c r="J2064" s="49">
        <f>G2064+I2064</f>
        <v/>
      </c>
      <c r="K2064" s="256" t="n"/>
      <c r="L2064" s="256" t="n"/>
      <c r="M2064" s="256" t="n"/>
      <c r="N2064" s="256" t="n"/>
      <c r="O2064" s="256" t="n"/>
      <c r="P2064" s="256" t="n"/>
      <c r="Q2064" s="256" t="n"/>
    </row>
    <row r="2065">
      <c r="A2065">
        <f>IF(DAY(D2065)=DAY($L$1+1),A2064+1,A2064)</f>
        <v/>
      </c>
      <c r="B2065" s="46">
        <f>IF(DAY(D2065)=DAY($L$1+1),1,B2064+1)</f>
        <v/>
      </c>
      <c r="C2065" s="46">
        <f>IF(DAY(D2065)=DAY($L$1+1),1,C2064+1)</f>
        <v/>
      </c>
      <c r="D2065" s="2">
        <f>D2064+1</f>
        <v/>
      </c>
      <c r="E2065" s="8">
        <f>IF(DAY(D2065)=DAY($L$1+1),TRUNC((#REF!),8),E2064)</f>
        <v/>
      </c>
      <c r="F2065" s="49">
        <f>TRUNC(((1+VLOOKUP(A2065,IPCA!$A$2:$C$140,3,0)))^(C2065/(EDATE(D2065-C2065,1)-(D2065-C2065))),8)</f>
        <v/>
      </c>
      <c r="G2065" s="49">
        <f>TRUNC((E2065*F2065),8)</f>
        <v/>
      </c>
      <c r="H2065" s="49">
        <f>ROUND(((1+$H$4)^(30/360))^(C2065/(EDATE(D2065-B2065,1)-(D2065-B2065))),9)</f>
        <v/>
      </c>
      <c r="I2065" s="49">
        <f>TRUNC((G2065*H2065-G2065),8)</f>
        <v/>
      </c>
      <c r="J2065" s="49">
        <f>G2065+I2065</f>
        <v/>
      </c>
      <c r="K2065" s="256" t="n"/>
      <c r="L2065" s="256" t="n"/>
      <c r="M2065" s="256" t="n"/>
      <c r="N2065" s="256" t="n"/>
      <c r="O2065" s="256" t="n"/>
      <c r="P2065" s="256" t="n"/>
      <c r="Q2065" s="256" t="n"/>
    </row>
    <row r="2066">
      <c r="A2066">
        <f>IF(DAY(D2066)=DAY($L$1+1),A2065+1,A2065)</f>
        <v/>
      </c>
      <c r="B2066" s="46">
        <f>IF(DAY(D2066)=DAY($L$1+1),1,B2065+1)</f>
        <v/>
      </c>
      <c r="C2066" s="46">
        <f>IF(DAY(D2066)=DAY($L$1+1),1,C2065+1)</f>
        <v/>
      </c>
      <c r="D2066" s="2">
        <f>D2065+1</f>
        <v/>
      </c>
      <c r="E2066" s="8">
        <f>IF(DAY(D2066)=DAY($L$1+1),TRUNC((#REF!),8),E2065)</f>
        <v/>
      </c>
      <c r="F2066" s="49">
        <f>TRUNC(((1+VLOOKUP(A2066,IPCA!$A$2:$C$140,3,0)))^(C2066/(EDATE(D2066-C2066,1)-(D2066-C2066))),8)</f>
        <v/>
      </c>
      <c r="G2066" s="49">
        <f>TRUNC((E2066*F2066),8)</f>
        <v/>
      </c>
      <c r="H2066" s="49">
        <f>ROUND(((1+$H$4)^(30/360))^(C2066/(EDATE(D2066-B2066,1)-(D2066-B2066))),9)</f>
        <v/>
      </c>
      <c r="I2066" s="49">
        <f>TRUNC((G2066*H2066-G2066),8)</f>
        <v/>
      </c>
      <c r="J2066" s="49">
        <f>G2066+I2066</f>
        <v/>
      </c>
      <c r="K2066" s="256" t="n"/>
      <c r="L2066" s="256" t="n"/>
      <c r="M2066" s="256" t="n"/>
      <c r="N2066" s="256" t="n"/>
      <c r="O2066" s="256" t="n"/>
      <c r="P2066" s="256" t="n"/>
      <c r="Q2066" s="256" t="n"/>
    </row>
    <row r="2067">
      <c r="A2067">
        <f>IF(DAY(D2067)=DAY($L$1+1),A2066+1,A2066)</f>
        <v/>
      </c>
      <c r="B2067" s="46">
        <f>IF(DAY(D2067)=DAY($L$1+1),1,B2066+1)</f>
        <v/>
      </c>
      <c r="C2067" s="46">
        <f>IF(DAY(D2067)=DAY($L$1+1),1,C2066+1)</f>
        <v/>
      </c>
      <c r="D2067" s="2">
        <f>D2066+1</f>
        <v/>
      </c>
      <c r="E2067" s="8">
        <f>IF(DAY(D2067)=DAY($L$1+1),TRUNC((#REF!),8),E2066)</f>
        <v/>
      </c>
      <c r="F2067" s="49">
        <f>TRUNC(((1+VLOOKUP(A2067,IPCA!$A$2:$C$140,3,0)))^(C2067/(EDATE(D2067-C2067,1)-(D2067-C2067))),8)</f>
        <v/>
      </c>
      <c r="G2067" s="49">
        <f>TRUNC((E2067*F2067),8)</f>
        <v/>
      </c>
      <c r="H2067" s="49">
        <f>ROUND(((1+$H$4)^(30/360))^(C2067/(EDATE(D2067-B2067,1)-(D2067-B2067))),9)</f>
        <v/>
      </c>
      <c r="I2067" s="49">
        <f>TRUNC((G2067*H2067-G2067),8)</f>
        <v/>
      </c>
      <c r="J2067" s="49">
        <f>G2067+I2067</f>
        <v/>
      </c>
      <c r="K2067" s="256" t="n"/>
      <c r="L2067" s="256" t="n"/>
      <c r="M2067" s="256" t="n"/>
      <c r="N2067" s="256" t="n"/>
      <c r="O2067" s="256" t="n"/>
      <c r="P2067" s="256" t="n"/>
      <c r="Q2067" s="256" t="n"/>
    </row>
    <row r="2068">
      <c r="A2068">
        <f>IF(DAY(D2068)=DAY($L$1+1),A2067+1,A2067)</f>
        <v/>
      </c>
      <c r="B2068" s="46">
        <f>IF(DAY(D2068)=DAY($L$1+1),1,B2067+1)</f>
        <v/>
      </c>
      <c r="C2068" s="46">
        <f>IF(DAY(D2068)=DAY($L$1+1),1,C2067+1)</f>
        <v/>
      </c>
      <c r="D2068" s="2">
        <f>D2067+1</f>
        <v/>
      </c>
      <c r="E2068" s="8">
        <f>IF(DAY(D2068)=DAY($L$1+1),TRUNC((#REF!),8),E2067)</f>
        <v/>
      </c>
      <c r="F2068" s="49">
        <f>TRUNC(((1+VLOOKUP(A2068,IPCA!$A$2:$C$140,3,0)))^(C2068/(EDATE(D2068-C2068,1)-(D2068-C2068))),8)</f>
        <v/>
      </c>
      <c r="G2068" s="49">
        <f>TRUNC((E2068*F2068),8)</f>
        <v/>
      </c>
      <c r="H2068" s="49">
        <f>ROUND(((1+$H$4)^(30/360))^(C2068/(EDATE(D2068-B2068,1)-(D2068-B2068))),9)</f>
        <v/>
      </c>
      <c r="I2068" s="49">
        <f>TRUNC((G2068*H2068-G2068),8)</f>
        <v/>
      </c>
      <c r="J2068" s="49">
        <f>G2068+I2068</f>
        <v/>
      </c>
      <c r="K2068" s="256" t="n"/>
      <c r="L2068" s="256" t="n"/>
      <c r="M2068" s="256" t="n"/>
      <c r="N2068" s="256" t="n"/>
      <c r="O2068" s="256" t="n"/>
      <c r="P2068" s="256" t="n"/>
      <c r="Q2068" s="256" t="n"/>
    </row>
    <row r="2069">
      <c r="A2069">
        <f>IF(DAY(D2069)=DAY($L$1+1),A2068+1,A2068)</f>
        <v/>
      </c>
      <c r="B2069" s="46">
        <f>IF(DAY(D2069)=DAY($L$1+1),1,B2068+1)</f>
        <v/>
      </c>
      <c r="C2069" s="46">
        <f>IF(DAY(D2069)=DAY($L$1+1),1,C2068+1)</f>
        <v/>
      </c>
      <c r="D2069" s="2">
        <f>D2068+1</f>
        <v/>
      </c>
      <c r="E2069" s="8">
        <f>IF(DAY(D2069)=DAY($L$1+1),TRUNC((#REF!),8),E2068)</f>
        <v/>
      </c>
      <c r="F2069" s="49">
        <f>TRUNC(((1+VLOOKUP(A2069,IPCA!$A$2:$C$140,3,0)))^(C2069/(EDATE(D2069-C2069,1)-(D2069-C2069))),8)</f>
        <v/>
      </c>
      <c r="G2069" s="49">
        <f>TRUNC((E2069*F2069),8)</f>
        <v/>
      </c>
      <c r="H2069" s="49">
        <f>ROUND(((1+$H$4)^(30/360))^(C2069/(EDATE(D2069-B2069,1)-(D2069-B2069))),9)</f>
        <v/>
      </c>
      <c r="I2069" s="49">
        <f>TRUNC((G2069*H2069-G2069),8)</f>
        <v/>
      </c>
      <c r="J2069" s="49">
        <f>G2069+I2069</f>
        <v/>
      </c>
      <c r="K2069" s="256" t="n"/>
      <c r="L2069" s="256" t="n"/>
      <c r="M2069" s="256" t="n"/>
      <c r="N2069" s="256" t="n"/>
      <c r="O2069" s="256" t="n"/>
      <c r="P2069" s="256" t="n"/>
      <c r="Q2069" s="256" t="n"/>
    </row>
    <row r="2070">
      <c r="A2070">
        <f>IF(DAY(D2070)=DAY($L$1+1),A2069+1,A2069)</f>
        <v/>
      </c>
      <c r="B2070" s="46">
        <f>IF(DAY(D2070)=DAY($L$1+1),1,B2069+1)</f>
        <v/>
      </c>
      <c r="C2070" s="46">
        <f>IF(DAY(D2070)=DAY($L$1+1),1,C2069+1)</f>
        <v/>
      </c>
      <c r="D2070" s="2">
        <f>D2069+1</f>
        <v/>
      </c>
      <c r="E2070" s="8">
        <f>IF(DAY(D2070)=DAY($L$1+1),TRUNC((#REF!),8),E2069)</f>
        <v/>
      </c>
      <c r="F2070" s="49">
        <f>TRUNC(((1+VLOOKUP(A2070,IPCA!$A$2:$C$140,3,0)))^(C2070/(EDATE(D2070-C2070,1)-(D2070-C2070))),8)</f>
        <v/>
      </c>
      <c r="G2070" s="49">
        <f>TRUNC((E2070*F2070),8)</f>
        <v/>
      </c>
      <c r="H2070" s="49">
        <f>ROUND(((1+$H$4)^(30/360))^(C2070/(EDATE(D2070-B2070,1)-(D2070-B2070))),9)</f>
        <v/>
      </c>
      <c r="I2070" s="49">
        <f>TRUNC((G2070*H2070-G2070),8)</f>
        <v/>
      </c>
      <c r="J2070" s="49">
        <f>G2070+I2070</f>
        <v/>
      </c>
      <c r="K2070" s="256" t="n"/>
      <c r="L2070" s="256" t="n"/>
      <c r="M2070" s="256" t="n"/>
      <c r="N2070" s="256" t="n"/>
      <c r="O2070" s="256" t="n"/>
      <c r="P2070" s="256" t="n"/>
      <c r="Q2070" s="256" t="n"/>
    </row>
    <row r="2071">
      <c r="A2071">
        <f>IF(DAY(D2071)=DAY($L$1+1),A2070+1,A2070)</f>
        <v/>
      </c>
      <c r="B2071" s="46">
        <f>IF(DAY(D2071)=DAY($L$1+1),1,B2070+1)</f>
        <v/>
      </c>
      <c r="C2071" s="46">
        <f>IF(DAY(D2071)=DAY($L$1+1),1,C2070+1)</f>
        <v/>
      </c>
      <c r="D2071" s="2">
        <f>D2070+1</f>
        <v/>
      </c>
      <c r="E2071" s="8">
        <f>IF(DAY(D2071)=DAY($L$1+1),TRUNC((#REF!),8),E2070)</f>
        <v/>
      </c>
      <c r="F2071" s="49">
        <f>TRUNC(((1+VLOOKUP(A2071,IPCA!$A$2:$C$140,3,0)))^(C2071/(EDATE(D2071-C2071,1)-(D2071-C2071))),8)</f>
        <v/>
      </c>
      <c r="G2071" s="49">
        <f>TRUNC((E2071*F2071),8)</f>
        <v/>
      </c>
      <c r="H2071" s="49">
        <f>ROUND(((1+$H$4)^(30/360))^(C2071/(EDATE(D2071-B2071,1)-(D2071-B2071))),9)</f>
        <v/>
      </c>
      <c r="I2071" s="49">
        <f>TRUNC((G2071*H2071-G2071),8)</f>
        <v/>
      </c>
      <c r="J2071" s="49">
        <f>G2071+I2071</f>
        <v/>
      </c>
      <c r="K2071" s="256" t="n"/>
      <c r="L2071" s="256" t="n"/>
      <c r="M2071" s="256" t="n"/>
      <c r="N2071" s="256" t="n"/>
      <c r="O2071" s="256" t="n"/>
      <c r="P2071" s="256" t="n"/>
      <c r="Q2071" s="256" t="n"/>
    </row>
    <row r="2072">
      <c r="A2072">
        <f>IF(DAY(D2072)=DAY($L$1+1),A2071+1,A2071)</f>
        <v/>
      </c>
      <c r="B2072" s="46">
        <f>IF(DAY(D2072)=DAY($L$1+1),1,B2071+1)</f>
        <v/>
      </c>
      <c r="C2072" s="46">
        <f>IF(DAY(D2072)=DAY($L$1+1),1,C2071+1)</f>
        <v/>
      </c>
      <c r="D2072" s="2">
        <f>D2071+1</f>
        <v/>
      </c>
      <c r="E2072" s="8">
        <f>IF(DAY(D2072)=DAY($L$1+1),TRUNC((#REF!),8),E2071)</f>
        <v/>
      </c>
      <c r="F2072" s="49">
        <f>TRUNC(((1+VLOOKUP(A2072,IPCA!$A$2:$C$140,3,0)))^(C2072/(EDATE(D2072-C2072,1)-(D2072-C2072))),8)</f>
        <v/>
      </c>
      <c r="G2072" s="49">
        <f>TRUNC((E2072*F2072),8)</f>
        <v/>
      </c>
      <c r="H2072" s="49">
        <f>ROUND(((1+$H$4)^(30/360))^(C2072/(EDATE(D2072-B2072,1)-(D2072-B2072))),9)</f>
        <v/>
      </c>
      <c r="I2072" s="49">
        <f>TRUNC((G2072*H2072-G2072),8)</f>
        <v/>
      </c>
      <c r="J2072" s="49">
        <f>G2072+I2072</f>
        <v/>
      </c>
      <c r="K2072" s="256" t="n"/>
      <c r="L2072" s="256" t="n"/>
      <c r="M2072" s="256" t="n"/>
      <c r="N2072" s="256" t="n"/>
      <c r="O2072" s="256" t="n"/>
      <c r="P2072" s="256" t="n"/>
      <c r="Q2072" s="256" t="n"/>
    </row>
    <row r="2073">
      <c r="A2073">
        <f>IF(DAY(D2073)=DAY($L$1+1),A2072+1,A2072)</f>
        <v/>
      </c>
      <c r="B2073" s="46">
        <f>IF(DAY(D2073)=DAY($L$1+1),1,B2072+1)</f>
        <v/>
      </c>
      <c r="C2073" s="46">
        <f>IF(DAY(D2073)=DAY($L$1+1),1,C2072+1)</f>
        <v/>
      </c>
      <c r="D2073" s="2">
        <f>D2072+1</f>
        <v/>
      </c>
      <c r="E2073" s="8">
        <f>IF(DAY(D2073)=DAY($L$1+1),TRUNC((#REF!),8),E2072)</f>
        <v/>
      </c>
      <c r="F2073" s="49">
        <f>TRUNC(((1+VLOOKUP(A2073,IPCA!$A$2:$C$140,3,0)))^(C2073/(EDATE(D2073-C2073,1)-(D2073-C2073))),8)</f>
        <v/>
      </c>
      <c r="G2073" s="49">
        <f>TRUNC((E2073*F2073),8)</f>
        <v/>
      </c>
      <c r="H2073" s="49">
        <f>ROUND(((1+$H$4)^(30/360))^(C2073/(EDATE(D2073-B2073,1)-(D2073-B2073))),9)</f>
        <v/>
      </c>
      <c r="I2073" s="49">
        <f>TRUNC((G2073*H2073-G2073),8)</f>
        <v/>
      </c>
      <c r="J2073" s="49">
        <f>G2073+I2073</f>
        <v/>
      </c>
      <c r="K2073" s="256" t="n"/>
      <c r="L2073" s="256" t="n"/>
      <c r="M2073" s="256" t="n"/>
      <c r="N2073" s="256" t="n"/>
      <c r="O2073" s="256" t="n"/>
      <c r="P2073" s="256" t="n"/>
      <c r="Q2073" s="256" t="n"/>
    </row>
    <row r="2074">
      <c r="A2074">
        <f>IF(DAY(D2074)=DAY($L$1+1),A2073+1,A2073)</f>
        <v/>
      </c>
      <c r="B2074" s="46">
        <f>IF(DAY(D2074)=DAY($L$1+1),1,B2073+1)</f>
        <v/>
      </c>
      <c r="C2074" s="46">
        <f>IF(DAY(D2074)=DAY($L$1+1),1,C2073+1)</f>
        <v/>
      </c>
      <c r="D2074" s="2">
        <f>D2073+1</f>
        <v/>
      </c>
      <c r="E2074" s="8">
        <f>IF(DAY(D2074)=DAY($L$1+1),TRUNC((#REF!),8),E2073)</f>
        <v/>
      </c>
      <c r="F2074" s="49">
        <f>TRUNC(((1+VLOOKUP(A2074,IPCA!$A$2:$C$140,3,0)))^(C2074/(EDATE(D2074-C2074,1)-(D2074-C2074))),8)</f>
        <v/>
      </c>
      <c r="G2074" s="49">
        <f>TRUNC((E2074*F2074),8)</f>
        <v/>
      </c>
      <c r="H2074" s="49">
        <f>ROUND(((1+$H$4)^(30/360))^(C2074/(EDATE(D2074-B2074,1)-(D2074-B2074))),9)</f>
        <v/>
      </c>
      <c r="I2074" s="49">
        <f>TRUNC((G2074*H2074-G2074),8)</f>
        <v/>
      </c>
      <c r="J2074" s="49">
        <f>G2074+I2074</f>
        <v/>
      </c>
      <c r="K2074" s="256" t="n"/>
      <c r="L2074" s="256" t="n"/>
      <c r="M2074" s="256" t="n"/>
      <c r="N2074" s="256" t="n"/>
      <c r="O2074" s="256" t="n"/>
      <c r="P2074" s="256" t="n"/>
      <c r="Q2074" s="256" t="n"/>
    </row>
    <row r="2075">
      <c r="A2075">
        <f>IF(DAY(D2075)=DAY($L$1+1),A2074+1,A2074)</f>
        <v/>
      </c>
      <c r="B2075" s="46">
        <f>IF(DAY(D2075)=DAY($L$1+1),1,B2074+1)</f>
        <v/>
      </c>
      <c r="C2075" s="46">
        <f>IF(DAY(D2075)=DAY($L$1+1),1,C2074+1)</f>
        <v/>
      </c>
      <c r="D2075" s="2">
        <f>D2074+1</f>
        <v/>
      </c>
      <c r="E2075" s="8">
        <f>IF(DAY(D2075)=DAY($L$1+1),TRUNC((#REF!),8),E2074)</f>
        <v/>
      </c>
      <c r="F2075" s="49">
        <f>TRUNC(((1+VLOOKUP(A2075,IPCA!$A$2:$C$140,3,0)))^(C2075/(EDATE(D2075-C2075,1)-(D2075-C2075))),8)</f>
        <v/>
      </c>
      <c r="G2075" s="49">
        <f>TRUNC((E2075*F2075),8)</f>
        <v/>
      </c>
      <c r="H2075" s="49">
        <f>ROUND(((1+$H$4)^(30/360))^(C2075/(EDATE(D2075-B2075,1)-(D2075-B2075))),9)</f>
        <v/>
      </c>
      <c r="I2075" s="49">
        <f>TRUNC((G2075*H2075-G2075),8)</f>
        <v/>
      </c>
      <c r="J2075" s="49">
        <f>G2075+I2075</f>
        <v/>
      </c>
      <c r="K2075" s="256" t="n"/>
      <c r="L2075" s="256" t="n"/>
      <c r="M2075" s="256" t="n"/>
      <c r="N2075" s="256" t="n"/>
      <c r="O2075" s="256" t="n"/>
      <c r="P2075" s="256" t="n"/>
      <c r="Q2075" s="256" t="n"/>
    </row>
    <row r="2076">
      <c r="A2076">
        <f>IF(DAY(D2076)=DAY($L$1+1),A2075+1,A2075)</f>
        <v/>
      </c>
      <c r="B2076" s="46">
        <f>IF(DAY(D2076)=DAY($L$1+1),1,B2075+1)</f>
        <v/>
      </c>
      <c r="C2076" s="46">
        <f>IF(DAY(D2076)=DAY($L$1+1),1,C2075+1)</f>
        <v/>
      </c>
      <c r="D2076" s="2">
        <f>D2075+1</f>
        <v/>
      </c>
      <c r="E2076" s="8">
        <f>IF(DAY(D2076)=DAY($L$1+1),TRUNC((#REF!),8),E2075)</f>
        <v/>
      </c>
      <c r="F2076" s="49">
        <f>TRUNC(((1+VLOOKUP(A2076,IPCA!$A$2:$C$140,3,0)))^(C2076/(EDATE(D2076-C2076,1)-(D2076-C2076))),8)</f>
        <v/>
      </c>
      <c r="G2076" s="49">
        <f>TRUNC((E2076*F2076),8)</f>
        <v/>
      </c>
      <c r="H2076" s="49">
        <f>ROUND(((1+$H$4)^(30/360))^(C2076/(EDATE(D2076-B2076,1)-(D2076-B2076))),9)</f>
        <v/>
      </c>
      <c r="I2076" s="49">
        <f>TRUNC((G2076*H2076-G2076),8)</f>
        <v/>
      </c>
      <c r="J2076" s="49">
        <f>G2076+I2076</f>
        <v/>
      </c>
      <c r="K2076" s="256" t="n"/>
      <c r="L2076" s="256" t="n"/>
      <c r="M2076" s="256" t="n"/>
      <c r="N2076" s="256" t="n"/>
      <c r="O2076" s="256" t="n"/>
      <c r="P2076" s="256" t="n"/>
      <c r="Q2076" s="256" t="n"/>
    </row>
    <row r="2077">
      <c r="A2077">
        <f>IF(DAY(D2077)=DAY($L$1+1),A2076+1,A2076)</f>
        <v/>
      </c>
      <c r="B2077" s="46">
        <f>IF(DAY(D2077)=DAY($L$1+1),1,B2076+1)</f>
        <v/>
      </c>
      <c r="C2077" s="46">
        <f>IF(DAY(D2077)=DAY($L$1+1),1,C2076+1)</f>
        <v/>
      </c>
      <c r="D2077" s="2">
        <f>D2076+1</f>
        <v/>
      </c>
      <c r="E2077" s="8">
        <f>IF(DAY(D2077)=DAY($L$1+1),TRUNC((N2076),8),E2076)</f>
        <v/>
      </c>
      <c r="F2077" s="49">
        <f>TRUNC(((1+VLOOKUP(A2077,IPCA!$A$2:$C$140,3,0)))^(C2077/(EDATE(D2077-C2077,1)-(D2077-C2077))),8)</f>
        <v/>
      </c>
      <c r="G2077" s="49">
        <f>TRUNC((E2077*F2077),8)</f>
        <v/>
      </c>
      <c r="H2077" s="49">
        <f>ROUND(((1+$H$4)^(30/360))^(C2077/(EDATE(D2077-B2077,1)-(D2077-B2077))),9)</f>
        <v/>
      </c>
      <c r="I2077" s="49">
        <f>TRUNC((G2077*H2077-G2077),8)</f>
        <v/>
      </c>
      <c r="J2077" s="49">
        <f>G2077+I2077</f>
        <v/>
      </c>
      <c r="K2077" s="256" t="n"/>
      <c r="L2077" s="256" t="n"/>
      <c r="M2077" s="256" t="n"/>
      <c r="N2077" s="256" t="n"/>
      <c r="O2077" s="256" t="n"/>
      <c r="P2077" s="256" t="n"/>
      <c r="Q2077" s="256" t="n"/>
    </row>
    <row r="2078">
      <c r="A2078">
        <f>IF(DAY(D2078)=DAY($L$1+1),A2077+1,A2077)</f>
        <v/>
      </c>
      <c r="B2078" s="46">
        <f>IF(DAY(D2078)=DAY($L$1+1),1,B2077+1)</f>
        <v/>
      </c>
      <c r="C2078" s="46">
        <f>IF(DAY(D2078)=DAY($L$1+1),1,C2077+1)</f>
        <v/>
      </c>
      <c r="D2078" s="2">
        <f>D2077+1</f>
        <v/>
      </c>
      <c r="E2078" s="8">
        <f>IF(DAY(D2078)=DAY($L$1+1),TRUNC((N2077),8),E2077)</f>
        <v/>
      </c>
      <c r="F2078" s="49">
        <f>TRUNC(((1+VLOOKUP(A2078,IPCA!$A$2:$C$140,3,0)))^(C2078/(EDATE(D2078-C2078,1)-(D2078-C2078))),8)</f>
        <v/>
      </c>
      <c r="G2078" s="49">
        <f>TRUNC((E2078*F2078),8)</f>
        <v/>
      </c>
      <c r="H2078" s="49">
        <f>ROUND(((1+$H$4)^(30/360))^(C2078/(EDATE(D2078-B2078,1)-(D2078-B2078))),9)</f>
        <v/>
      </c>
      <c r="I2078" s="49">
        <f>TRUNC((G2078*H2078-G2078),8)</f>
        <v/>
      </c>
      <c r="J2078" s="49">
        <f>G2078+I2078</f>
        <v/>
      </c>
      <c r="K2078" s="256" t="n"/>
      <c r="L2078" s="256" t="n"/>
      <c r="M2078" s="256" t="n"/>
      <c r="N2078" s="256" t="n"/>
      <c r="O2078" s="256" t="n"/>
      <c r="P2078" s="256" t="n"/>
      <c r="Q2078" s="256" t="n"/>
    </row>
    <row r="2079">
      <c r="A2079">
        <f>IF(DAY(D2079)=DAY($L$1+1),A2078+1,A2078)</f>
        <v/>
      </c>
      <c r="B2079" s="46">
        <f>IF(DAY(D2079)=DAY($L$1+1),1,B2078+1)</f>
        <v/>
      </c>
      <c r="C2079" s="46">
        <f>IF(DAY(D2079)=DAY($L$1+1),1,C2078+1)</f>
        <v/>
      </c>
      <c r="D2079" s="2">
        <f>D2078+1</f>
        <v/>
      </c>
      <c r="E2079" s="8">
        <f>IF(DAY(D2079)=DAY($L$1+1),TRUNC((N2078),8),E2078)</f>
        <v/>
      </c>
      <c r="F2079" s="49">
        <f>TRUNC(((1+VLOOKUP(A2079,IPCA!$A$2:$C$140,3,0)))^(C2079/(EDATE(D2079-C2079,1)-(D2079-C2079))),8)</f>
        <v/>
      </c>
      <c r="G2079" s="49">
        <f>TRUNC((E2079*F2079),8)</f>
        <v/>
      </c>
      <c r="H2079" s="49">
        <f>ROUND(((1+$H$4)^(30/360))^(C2079/(EDATE(D2079-B2079,1)-(D2079-B2079))),9)</f>
        <v/>
      </c>
      <c r="I2079" s="49">
        <f>TRUNC((G2079*H2079-G2079),8)</f>
        <v/>
      </c>
      <c r="J2079" s="49">
        <f>G2079+I2079</f>
        <v/>
      </c>
      <c r="K2079" s="256" t="n"/>
      <c r="L2079" s="256" t="n"/>
      <c r="M2079" s="256" t="n"/>
      <c r="N2079" s="256" t="n"/>
      <c r="O2079" s="256" t="n"/>
      <c r="P2079" s="256" t="n"/>
      <c r="Q2079" s="256" t="n"/>
    </row>
    <row r="2080">
      <c r="A2080">
        <f>IF(DAY(D2080)=DAY($L$1+1),A2079+1,A2079)</f>
        <v/>
      </c>
      <c r="B2080" s="46">
        <f>IF(DAY(D2080)=DAY($L$1+1),1,B2079+1)</f>
        <v/>
      </c>
      <c r="C2080" s="46">
        <f>IF(DAY(D2080)=DAY($L$1+1),1,C2079+1)</f>
        <v/>
      </c>
      <c r="D2080" s="2">
        <f>D2079+1</f>
        <v/>
      </c>
      <c r="E2080" s="8">
        <f>IF(DAY(D2080)=DAY($L$1+1),TRUNC((N2079),8),E2079)</f>
        <v/>
      </c>
      <c r="F2080" s="49">
        <f>TRUNC(((1+VLOOKUP(A2080,IPCA!$A$2:$C$140,3,0)))^(C2080/(EDATE(D2080-C2080,1)-(D2080-C2080))),8)</f>
        <v/>
      </c>
      <c r="G2080" s="49">
        <f>TRUNC((E2080*F2080),8)</f>
        <v/>
      </c>
      <c r="H2080" s="49">
        <f>ROUND(((1+$H$4)^(30/360))^(C2080/(EDATE(D2080-B2080,1)-(D2080-B2080))),9)</f>
        <v/>
      </c>
      <c r="I2080" s="49">
        <f>TRUNC((G2080*H2080-G2080),8)</f>
        <v/>
      </c>
      <c r="J2080" s="49">
        <f>G2080+I2080</f>
        <v/>
      </c>
      <c r="K2080" s="256" t="n"/>
      <c r="L2080" s="256" t="n"/>
      <c r="M2080" s="256" t="n"/>
      <c r="N2080" s="256" t="n"/>
      <c r="O2080" s="256" t="n"/>
      <c r="P2080" s="256" t="n"/>
      <c r="Q2080" s="256" t="n"/>
    </row>
    <row r="2081">
      <c r="A2081">
        <f>IF(DAY(D2081)=DAY($L$1+1),A2080+1,A2080)</f>
        <v/>
      </c>
      <c r="B2081" s="46">
        <f>IF(DAY(D2081)=DAY($L$1+1),1,B2080+1)</f>
        <v/>
      </c>
      <c r="C2081" s="46">
        <f>IF(DAY(D2081)=DAY($L$1+1),1,C2080+1)</f>
        <v/>
      </c>
      <c r="D2081" s="2">
        <f>D2080+1</f>
        <v/>
      </c>
      <c r="E2081" s="8">
        <f>IF(DAY(D2081)=DAY($L$1+1),TRUNC((N2080),8),E2080)</f>
        <v/>
      </c>
      <c r="F2081" s="49">
        <f>TRUNC(((1+VLOOKUP(A2081,IPCA!$A$2:$C$140,3,0)))^(C2081/(EDATE(D2081-C2081,1)-(D2081-C2081))),8)</f>
        <v/>
      </c>
      <c r="G2081" s="49">
        <f>TRUNC((E2081*F2081),8)</f>
        <v/>
      </c>
      <c r="H2081" s="49">
        <f>ROUND(((1+$H$4)^(30/360))^(C2081/(EDATE(D2081-B2081,1)-(D2081-B2081))),9)</f>
        <v/>
      </c>
      <c r="I2081" s="49">
        <f>TRUNC((G2081*H2081-G2081),8)</f>
        <v/>
      </c>
      <c r="J2081" s="49">
        <f>G2081+I2081</f>
        <v/>
      </c>
      <c r="K2081" s="256" t="n"/>
      <c r="L2081" s="256" t="n"/>
      <c r="M2081" s="256" t="n"/>
      <c r="N2081" s="256" t="n"/>
      <c r="O2081" s="256" t="n"/>
      <c r="P2081" s="256" t="n"/>
      <c r="Q2081" s="256" t="n"/>
    </row>
    <row r="2082">
      <c r="A2082">
        <f>IF(DAY(D2082)=DAY($L$1+1),A2081+1,A2081)</f>
        <v/>
      </c>
      <c r="B2082" s="46">
        <f>IF(DAY(D2082)=DAY($L$1+1),1,B2081+1)</f>
        <v/>
      </c>
      <c r="C2082" s="46">
        <f>IF(DAY(D2082)=DAY($L$1+1),1,C2081+1)</f>
        <v/>
      </c>
      <c r="D2082" s="2">
        <f>D2081+1</f>
        <v/>
      </c>
      <c r="E2082" s="8">
        <f>IF(DAY(D2082)=DAY($L$1+1),TRUNC((N2081),8),E2081)</f>
        <v/>
      </c>
      <c r="F2082" s="49">
        <f>TRUNC(((1+VLOOKUP(A2082,IPCA!$A$2:$C$140,3,0)))^(C2082/(EDATE(D2082-C2082,1)-(D2082-C2082))),8)</f>
        <v/>
      </c>
      <c r="G2082" s="49">
        <f>TRUNC((E2082*F2082),8)</f>
        <v/>
      </c>
      <c r="H2082" s="49">
        <f>ROUND(((1+$H$4)^(30/360))^(C2082/(EDATE(D2082-B2082,1)-(D2082-B2082))),9)</f>
        <v/>
      </c>
      <c r="I2082" s="49">
        <f>TRUNC((G2082*H2082-G2082),8)</f>
        <v/>
      </c>
      <c r="J2082" s="49">
        <f>G2082+I2082</f>
        <v/>
      </c>
      <c r="K2082" s="256" t="n"/>
      <c r="L2082" s="256" t="n"/>
      <c r="M2082" s="256" t="n"/>
      <c r="N2082" s="256" t="n"/>
      <c r="O2082" s="256" t="n"/>
      <c r="P2082" s="256" t="n"/>
      <c r="Q2082" s="256" t="n"/>
    </row>
    <row r="2083">
      <c r="A2083">
        <f>IF(DAY(D2083)=DAY($L$1+1),A2082+1,A2082)</f>
        <v/>
      </c>
      <c r="B2083" s="46">
        <f>IF(DAY(D2083)=DAY($L$1+1),1,B2082+1)</f>
        <v/>
      </c>
      <c r="C2083" s="46">
        <f>IF(DAY(D2083)=DAY($L$1+1),1,C2082+1)</f>
        <v/>
      </c>
      <c r="D2083" s="2">
        <f>D2082+1</f>
        <v/>
      </c>
      <c r="E2083" s="8">
        <f>IF(DAY(D2083)=DAY($L$1+1),TRUNC((N2082),8),E2082)</f>
        <v/>
      </c>
      <c r="F2083" s="49">
        <f>TRUNC(((1+VLOOKUP(A2083,IPCA!$A$2:$C$140,3,0)))^(C2083/(EDATE(D2083-C2083,1)-(D2083-C2083))),8)</f>
        <v/>
      </c>
      <c r="G2083" s="49">
        <f>TRUNC((E2083*F2083),8)</f>
        <v/>
      </c>
      <c r="H2083" s="49">
        <f>ROUND(((1+$H$4)^(30/360))^(C2083/(EDATE(D2083-B2083,1)-(D2083-B2083))),9)</f>
        <v/>
      </c>
      <c r="I2083" s="49">
        <f>TRUNC((G2083*H2083-G2083),8)</f>
        <v/>
      </c>
      <c r="J2083" s="49">
        <f>G2083+I2083</f>
        <v/>
      </c>
      <c r="K2083" s="256" t="n"/>
      <c r="L2083" s="256" t="n"/>
      <c r="M2083" s="256" t="n"/>
      <c r="N2083" s="256" t="n"/>
      <c r="O2083" s="256" t="n"/>
      <c r="P2083" s="256" t="n"/>
      <c r="Q2083" s="256" t="n"/>
    </row>
    <row r="2084">
      <c r="A2084">
        <f>IF(DAY(D2084)=DAY($L$1+1),A2083+1,A2083)</f>
        <v/>
      </c>
      <c r="B2084" s="46">
        <f>IF(DAY(D2084)=DAY($L$1+1),1,B2083+1)</f>
        <v/>
      </c>
      <c r="C2084" s="46">
        <f>IF(DAY(D2084)=DAY($L$1+1),1,C2083+1)</f>
        <v/>
      </c>
      <c r="D2084" s="2">
        <f>D2083+1</f>
        <v/>
      </c>
      <c r="E2084" s="8">
        <f>IF(DAY(D2084)=DAY($L$1+1),TRUNC((N2083),8),E2083)</f>
        <v/>
      </c>
      <c r="F2084" s="49">
        <f>TRUNC(((1+VLOOKUP(A2084,IPCA!$A$2:$C$140,3,0)))^(C2084/(EDATE(D2084-C2084,1)-(D2084-C2084))),8)</f>
        <v/>
      </c>
      <c r="G2084" s="49">
        <f>TRUNC((E2084*F2084),8)</f>
        <v/>
      </c>
      <c r="H2084" s="49">
        <f>ROUND(((1+$H$4)^(30/360))^(C2084/(EDATE(D2084-B2084,1)-(D2084-B2084))),9)</f>
        <v/>
      </c>
      <c r="I2084" s="49">
        <f>TRUNC((G2084*H2084-G2084),8)</f>
        <v/>
      </c>
      <c r="J2084" s="49">
        <f>G2084+I2084</f>
        <v/>
      </c>
      <c r="K2084" s="256" t="n"/>
      <c r="L2084" s="256" t="n"/>
      <c r="M2084" s="256" t="n"/>
      <c r="N2084" s="256" t="n"/>
      <c r="O2084" s="256" t="n"/>
      <c r="P2084" s="256" t="n"/>
      <c r="Q2084" s="256" t="n"/>
    </row>
    <row r="2085">
      <c r="A2085">
        <f>IF(DAY(D2085)=DAY($L$1+1),A2084+1,A2084)</f>
        <v/>
      </c>
      <c r="B2085" s="46">
        <f>IF(DAY(D2085)=DAY($L$1+1),1,B2084+1)</f>
        <v/>
      </c>
      <c r="C2085" s="46">
        <f>IF(DAY(D2085)=DAY($L$1+1),1,C2084+1)</f>
        <v/>
      </c>
      <c r="D2085" s="2">
        <f>D2084+1</f>
        <v/>
      </c>
      <c r="E2085" s="8">
        <f>IF(DAY(D2085)=DAY($L$1+1),TRUNC((N2084),8),E2084)</f>
        <v/>
      </c>
      <c r="F2085" s="49">
        <f>TRUNC(((1+VLOOKUP(A2085,IPCA!$A$2:$C$140,3,0)))^(C2085/(EDATE(D2085-C2085,1)-(D2085-C2085))),8)</f>
        <v/>
      </c>
      <c r="G2085" s="49">
        <f>TRUNC((E2085*F2085),8)</f>
        <v/>
      </c>
      <c r="H2085" s="49">
        <f>ROUND(((1+$H$4)^(30/360))^(C2085/(EDATE(D2085-B2085,1)-(D2085-B2085))),9)</f>
        <v/>
      </c>
      <c r="I2085" s="49">
        <f>TRUNC((G2085*H2085-G2085),8)</f>
        <v/>
      </c>
      <c r="J2085" s="49">
        <f>G2085+I2085</f>
        <v/>
      </c>
      <c r="K2085" s="256" t="n"/>
      <c r="L2085" s="256" t="n"/>
      <c r="M2085" s="256" t="n"/>
      <c r="N2085" s="256" t="n"/>
      <c r="O2085" s="256" t="n"/>
      <c r="P2085" s="256" t="n"/>
      <c r="Q2085" s="256" t="n"/>
    </row>
    <row r="2086">
      <c r="A2086">
        <f>IF(DAY(D2086)=DAY($L$1+1),A2085+1,A2085)</f>
        <v/>
      </c>
      <c r="B2086" s="46">
        <f>IF(DAY(D2086)=DAY($L$1+1),1,B2085+1)</f>
        <v/>
      </c>
      <c r="C2086" s="46">
        <f>IF(DAY(D2086)=DAY($L$1+1),1,C2085+1)</f>
        <v/>
      </c>
      <c r="D2086" s="2">
        <f>D2085+1</f>
        <v/>
      </c>
      <c r="E2086" s="8">
        <f>IF(DAY(D2086)=DAY($L$1+1),TRUNC((N2085),8),E2085)</f>
        <v/>
      </c>
      <c r="F2086" s="49">
        <f>TRUNC(((1+VLOOKUP(A2086,IPCA!$A$2:$C$140,3,0)))^(C2086/(EDATE(D2086-C2086,1)-(D2086-C2086))),8)</f>
        <v/>
      </c>
      <c r="G2086" s="49">
        <f>TRUNC((E2086*F2086),8)</f>
        <v/>
      </c>
      <c r="H2086" s="49">
        <f>ROUND(((1+$H$4)^(30/360))^(C2086/(EDATE(D2086-B2086,1)-(D2086-B2086))),9)</f>
        <v/>
      </c>
      <c r="I2086" s="49">
        <f>TRUNC((G2086*H2086-G2086),8)</f>
        <v/>
      </c>
      <c r="J2086" s="49">
        <f>G2086+I2086</f>
        <v/>
      </c>
      <c r="K2086" s="256" t="n"/>
      <c r="L2086" s="256" t="n"/>
      <c r="M2086" s="256" t="n"/>
      <c r="N2086" s="256" t="n"/>
      <c r="O2086" s="256" t="n"/>
      <c r="P2086" s="256" t="n"/>
      <c r="Q2086" s="256" t="n"/>
    </row>
    <row r="2087">
      <c r="A2087">
        <f>IF(DAY(D2087)=DAY($L$1+1),A2086+1,A2086)</f>
        <v/>
      </c>
      <c r="B2087" s="46">
        <f>IF(DAY(D2087)=DAY($L$1+1),1,B2086+1)</f>
        <v/>
      </c>
      <c r="C2087" s="46">
        <f>IF(DAY(D2087)=DAY($L$1+1),1,C2086+1)</f>
        <v/>
      </c>
      <c r="D2087" s="2">
        <f>D2086+1</f>
        <v/>
      </c>
      <c r="E2087" s="8">
        <f>IF(DAY(D2087)=DAY($L$1+1),TRUNC((N2086),8),E2086)</f>
        <v/>
      </c>
      <c r="F2087" s="49">
        <f>TRUNC(((1+VLOOKUP(A2087,IPCA!$A$2:$C$140,3,0)))^(C2087/(EDATE(D2087-C2087,1)-(D2087-C2087))),8)</f>
        <v/>
      </c>
      <c r="G2087" s="49">
        <f>TRUNC((E2087*F2087),8)</f>
        <v/>
      </c>
      <c r="H2087" s="49">
        <f>ROUND(((1+$H$4)^(30/360))^(C2087/(EDATE(D2087-B2087,1)-(D2087-B2087))),9)</f>
        <v/>
      </c>
      <c r="I2087" s="49">
        <f>TRUNC((G2087*H2087-G2087),8)</f>
        <v/>
      </c>
      <c r="J2087" s="49">
        <f>G2087+I2087</f>
        <v/>
      </c>
      <c r="K2087" s="256" t="inlineStr">
        <is>
          <t>Cri Integralizado</t>
        </is>
      </c>
      <c r="L2087" s="270">
        <f>L2058</f>
        <v/>
      </c>
      <c r="M2087" s="256" t="n"/>
      <c r="N2087" s="256" t="n"/>
      <c r="O2087" s="256" t="n"/>
      <c r="P2087" s="256" t="n"/>
      <c r="Q2087" s="256" t="n"/>
    </row>
    <row r="2088">
      <c r="A2088">
        <f>IF(DAY(D2088)=DAY($L$1+1),A2087+1,A2087)</f>
        <v/>
      </c>
      <c r="B2088" s="46">
        <f>IF(DAY(D2088)=DAY($L$1+1),1,B2087+1)</f>
        <v/>
      </c>
      <c r="C2088" s="46">
        <f>IF(DAY(D2088)=DAY($L$1+1),1,C2087+1)</f>
        <v/>
      </c>
      <c r="D2088" s="47">
        <f>D2087+1</f>
        <v/>
      </c>
      <c r="E2088" s="8">
        <f>IF(DAY(D2088)=DAY($L$1+1),TRUNC((N2087),8),E2087)</f>
        <v/>
      </c>
      <c r="F2088" s="49">
        <f>TRUNC(((1+VLOOKUP(A2088,IPCA!$A$2:$C$140,3,0)))^(C2088/(EDATE(D2088-C2088,1)-(D2088-C2088))),8)</f>
        <v/>
      </c>
      <c r="G2088" s="49">
        <f>TRUNC((E2088*F2088),8)</f>
        <v/>
      </c>
      <c r="H2088" s="49">
        <f>ROUND(((1+$H$4)^(30/360))^(C2088/(EDATE(D2088-B2088,1)-(D2088-B2088))),9)</f>
        <v/>
      </c>
      <c r="I2088" s="49">
        <f>TRUNC((G2088*H2088-G2088),8)</f>
        <v/>
      </c>
      <c r="J2088" s="49">
        <f>G2088+I2088</f>
        <v/>
      </c>
      <c r="K2088" s="118" t="inlineStr">
        <is>
          <t>JUROS</t>
        </is>
      </c>
      <c r="L2088" s="118" t="inlineStr">
        <is>
          <t>AMORTIZAÇÃO</t>
        </is>
      </c>
      <c r="M2088" s="118" t="inlineStr">
        <is>
          <t>AMEX</t>
        </is>
      </c>
      <c r="N2088" s="118" t="inlineStr">
        <is>
          <t>RESIDUAL</t>
        </is>
      </c>
      <c r="O2088" s="256" t="n"/>
      <c r="P2088" s="256" t="n"/>
      <c r="Q2088" s="256" t="n"/>
    </row>
    <row r="2089">
      <c r="A2089">
        <f>IF(DAY(D2089)=DAY($L$1+1),A2088+1,A2088)</f>
        <v/>
      </c>
      <c r="B2089" s="111">
        <f>IF(DAY(D2089)=DAY($L$1+1),1,B2088+1)</f>
        <v/>
      </c>
      <c r="C2089" s="111">
        <f>IF(DAY(D2089)=DAY($L$1+1),1,C2088+1)</f>
        <v/>
      </c>
      <c r="D2089" s="112">
        <f>D2088+1</f>
        <v/>
      </c>
      <c r="E2089" s="113">
        <f>IF(DAY(D2089)=DAY($L$1+1),TRUNC((N2088),8),E2088)</f>
        <v/>
      </c>
      <c r="F2089" s="114">
        <f>TRUNC(((1+VLOOKUP(A2089,IPCA!$A$2:$C$140,3,0)))^(C2089/(EDATE(D2089-C2089,1)-(D2089-C2089))),8)</f>
        <v/>
      </c>
      <c r="G2089" s="114">
        <f>TRUNC((E2089*F2089),8)</f>
        <v/>
      </c>
      <c r="H2089" s="114">
        <f>ROUND(((1+$H$4)^(30/360))^(C2089/(EDATE(D2089-B2089,1)-(D2089-B2089))),9)</f>
        <v/>
      </c>
      <c r="I2089" s="114">
        <f>TRUNC((G2089*H2089-G2089),8)</f>
        <v/>
      </c>
      <c r="J2089" s="114">
        <f>G2089+I2089</f>
        <v/>
      </c>
      <c r="K2089" s="119">
        <f>I2089</f>
        <v/>
      </c>
      <c r="L2089" s="120">
        <f>TRUNC(G2089*VLOOKUP(D2089,'Amort TS'!$G$3:$H$140,2,0),8)</f>
        <v/>
      </c>
      <c r="M2089" s="120" t="n">
        <v>0</v>
      </c>
      <c r="N2089" s="120">
        <f>J2089-K2089-L2089-M2089</f>
        <v/>
      </c>
      <c r="O2089" s="256" t="n"/>
      <c r="P2089" s="256" t="n"/>
      <c r="Q2089" s="256" t="n"/>
    </row>
    <row r="2090">
      <c r="A2090">
        <f>IF(DAY(D2090)=DAY($L$1+1),A2089+1,A2089)</f>
        <v/>
      </c>
      <c r="B2090" s="46">
        <f>IF(DAY(D2090)=DAY($L$1+1),1,B2089+1)</f>
        <v/>
      </c>
      <c r="C2090" s="46">
        <f>IF(DAY(D2090)=DAY($L$1+1),1,C2089+1)</f>
        <v/>
      </c>
      <c r="D2090" s="2">
        <f>D2089+1</f>
        <v/>
      </c>
      <c r="E2090" s="8">
        <f>IF(DAY(D2090)=DAY($L$1+1),TRUNC((N2089),8),E2089)</f>
        <v/>
      </c>
      <c r="F2090" s="49">
        <f>TRUNC(((1+VLOOKUP(A2090,IPCA!$A$2:$C$140,3,0)))^(C2090/(EDATE(D2090-C2090,1)-(D2090-C2090))),8)</f>
        <v/>
      </c>
      <c r="G2090" s="49">
        <f>TRUNC((E2090*F2090),8)</f>
        <v/>
      </c>
      <c r="H2090" s="49">
        <f>ROUND(((1+$H$4)^(30/360))^(C2090/(EDATE(D2090-B2090,1)-(D2090-B2090))),9)</f>
        <v/>
      </c>
      <c r="I2090" s="49">
        <f>TRUNC((G2090*H2090-G2090),8)</f>
        <v/>
      </c>
      <c r="J2090" s="49">
        <f>G2090+I2090</f>
        <v/>
      </c>
      <c r="K2090" s="121">
        <f>K2089*L2087</f>
        <v/>
      </c>
      <c r="L2090" s="121">
        <f>L2089*L2087</f>
        <v/>
      </c>
      <c r="M2090" s="121">
        <f>M2089*L2087</f>
        <v/>
      </c>
      <c r="N2090" s="121">
        <f>N2089*L2087</f>
        <v/>
      </c>
      <c r="O2090" s="256" t="n"/>
      <c r="P2090" s="256" t="n"/>
      <c r="Q2090" s="256" t="n"/>
    </row>
    <row r="2091">
      <c r="A2091">
        <f>IF(DAY(D2091)=DAY($L$1+1),A2090+1,A2090)</f>
        <v/>
      </c>
      <c r="B2091" s="46">
        <f>IF(DAY(D2091)=DAY($L$1+1),1,B2090+1)</f>
        <v/>
      </c>
      <c r="C2091" s="46">
        <f>IF(DAY(D2091)=DAY($L$1+1),1,C2090+1)</f>
        <v/>
      </c>
      <c r="D2091" s="47">
        <f>D2090+1</f>
        <v/>
      </c>
      <c r="E2091" s="8">
        <f>IF(DAY(D2091)=DAY($L$1+1),TRUNC((N2090),8),E2090)</f>
        <v/>
      </c>
      <c r="F2091" s="49">
        <f>TRUNC(((1+VLOOKUP(A2091,IPCA!$A$2:$C$140,3,0)))^(C2091/(EDATE(D2091-C2091,1)-(D2091-C2091))),8)</f>
        <v/>
      </c>
      <c r="G2091" s="49">
        <f>TRUNC((E2091*F2091),8)</f>
        <v/>
      </c>
      <c r="H2091" s="49">
        <f>ROUND(((1+$H$4)^(30/360))^(C2091/(EDATE(D2091-B2091,1)-(D2091-B2091))),9)</f>
        <v/>
      </c>
      <c r="I2091" s="49">
        <f>TRUNC((G2091*H2091-G2091),8)</f>
        <v/>
      </c>
      <c r="J2091" s="49">
        <f>G2091+I2091</f>
        <v/>
      </c>
      <c r="K2091" s="256" t="n"/>
      <c r="L2091" s="256" t="n"/>
      <c r="M2091" s="256" t="n"/>
      <c r="N2091" s="256" t="n"/>
      <c r="O2091" s="256" t="n"/>
      <c r="P2091" s="256" t="n"/>
      <c r="Q2091" s="256" t="n"/>
    </row>
    <row r="2092">
      <c r="A2092">
        <f>IF(DAY(D2092)=DAY($L$1+1),A2091+1,A2091)</f>
        <v/>
      </c>
      <c r="B2092" s="46">
        <f>IF(DAY(D2092)=DAY($L$1+1),1,B2091+1)</f>
        <v/>
      </c>
      <c r="C2092" s="46">
        <f>IF(DAY(D2092)=DAY($L$1+1),1,C2091+1)</f>
        <v/>
      </c>
      <c r="D2092" s="2">
        <f>D2091+1</f>
        <v/>
      </c>
      <c r="E2092" s="8">
        <f>IF(DAY(D2092)=DAY($L$1+1),TRUNC((#REF!),8),E2091)</f>
        <v/>
      </c>
      <c r="F2092" s="49">
        <f>TRUNC(((1+VLOOKUP(A2092,IPCA!$A$2:$C$140,3,0)))^(C2092/(EDATE(D2092-C2092,1)-(D2092-C2092))),8)</f>
        <v/>
      </c>
      <c r="G2092" s="49">
        <f>TRUNC((E2092*F2092),8)</f>
        <v/>
      </c>
      <c r="H2092" s="49">
        <f>ROUND(((1+$H$4)^(30/360))^(C2092/(EDATE(D2092-B2092,1)-(D2092-B2092))),9)</f>
        <v/>
      </c>
      <c r="I2092" s="49">
        <f>TRUNC((G2092*H2092-G2092),8)</f>
        <v/>
      </c>
      <c r="J2092" s="49">
        <f>G2092+I2092</f>
        <v/>
      </c>
      <c r="K2092" s="256" t="n"/>
      <c r="L2092" s="256" t="n"/>
      <c r="M2092" s="256" t="n"/>
      <c r="N2092" s="256" t="n"/>
      <c r="O2092" s="256" t="n"/>
      <c r="P2092" s="256" t="n"/>
      <c r="Q2092" s="256" t="n"/>
    </row>
    <row r="2093">
      <c r="A2093">
        <f>IF(DAY(D2093)=DAY($L$1+1),A2092+1,A2092)</f>
        <v/>
      </c>
      <c r="B2093" s="46">
        <f>IF(DAY(D2093)=DAY($L$1+1),1,B2092+1)</f>
        <v/>
      </c>
      <c r="C2093" s="46">
        <f>IF(DAY(D2093)=DAY($L$1+1),1,C2092+1)</f>
        <v/>
      </c>
      <c r="D2093" s="2">
        <f>D2092+1</f>
        <v/>
      </c>
      <c r="E2093" s="8">
        <f>IF(DAY(D2093)=DAY($L$1+1),TRUNC((#REF!),8),E2092)</f>
        <v/>
      </c>
      <c r="F2093" s="49">
        <f>TRUNC(((1+VLOOKUP(A2093,IPCA!$A$2:$C$140,3,0)))^(C2093/(EDATE(D2093-C2093,1)-(D2093-C2093))),8)</f>
        <v/>
      </c>
      <c r="G2093" s="49">
        <f>TRUNC((E2093*F2093),8)</f>
        <v/>
      </c>
      <c r="H2093" s="49">
        <f>ROUND(((1+$H$4)^(30/360))^(C2093/(EDATE(D2093-B2093,1)-(D2093-B2093))),9)</f>
        <v/>
      </c>
      <c r="I2093" s="49">
        <f>TRUNC((G2093*H2093-G2093),8)</f>
        <v/>
      </c>
      <c r="J2093" s="49">
        <f>G2093+I2093</f>
        <v/>
      </c>
      <c r="K2093" s="256" t="n"/>
      <c r="L2093" s="256" t="n"/>
      <c r="M2093" s="256" t="n"/>
      <c r="N2093" s="256" t="n"/>
      <c r="O2093" s="256" t="n"/>
      <c r="P2093" s="256" t="n"/>
      <c r="Q2093" s="256" t="n"/>
    </row>
    <row r="2094">
      <c r="A2094">
        <f>IF(DAY(D2094)=DAY($L$1+1),A2093+1,A2093)</f>
        <v/>
      </c>
      <c r="B2094" s="46">
        <f>IF(DAY(D2094)=DAY($L$1+1),1,B2093+1)</f>
        <v/>
      </c>
      <c r="C2094" s="46">
        <f>IF(DAY(D2094)=DAY($L$1+1),1,C2093+1)</f>
        <v/>
      </c>
      <c r="D2094" s="2">
        <f>D2093+1</f>
        <v/>
      </c>
      <c r="E2094" s="8">
        <f>IF(DAY(D2094)=DAY($L$1+1),TRUNC((#REF!),8),E2093)</f>
        <v/>
      </c>
      <c r="F2094" s="49">
        <f>TRUNC(((1+VLOOKUP(A2094,IPCA!$A$2:$C$140,3,0)))^(C2094/(EDATE(D2094-C2094,1)-(D2094-C2094))),8)</f>
        <v/>
      </c>
      <c r="G2094" s="49">
        <f>TRUNC((E2094*F2094),8)</f>
        <v/>
      </c>
      <c r="H2094" s="49">
        <f>ROUND(((1+$H$4)^(30/360))^(C2094/(EDATE(D2094-B2094,1)-(D2094-B2094))),9)</f>
        <v/>
      </c>
      <c r="I2094" s="49">
        <f>TRUNC((G2094*H2094-G2094),8)</f>
        <v/>
      </c>
      <c r="J2094" s="49">
        <f>G2094+I2094</f>
        <v/>
      </c>
      <c r="K2094" s="256" t="n"/>
      <c r="L2094" s="256" t="n"/>
      <c r="M2094" s="256" t="n"/>
      <c r="N2094" s="256" t="n"/>
      <c r="O2094" s="256" t="n"/>
      <c r="P2094" s="256" t="n"/>
      <c r="Q2094" s="256" t="n"/>
    </row>
    <row r="2095">
      <c r="A2095">
        <f>IF(DAY(D2095)=DAY($L$1+1),A2094+1,A2094)</f>
        <v/>
      </c>
      <c r="B2095" s="46">
        <f>IF(DAY(D2095)=DAY($L$1+1),1,B2094+1)</f>
        <v/>
      </c>
      <c r="C2095" s="46">
        <f>IF(DAY(D2095)=DAY($L$1+1),1,C2094+1)</f>
        <v/>
      </c>
      <c r="D2095" s="2">
        <f>D2094+1</f>
        <v/>
      </c>
      <c r="E2095" s="8">
        <f>IF(DAY(D2095)=DAY($L$1+1),TRUNC((#REF!),8),E2094)</f>
        <v/>
      </c>
      <c r="F2095" s="49">
        <f>TRUNC(((1+VLOOKUP(A2095,IPCA!$A$2:$C$140,3,0)))^(C2095/(EDATE(D2095-C2095,1)-(D2095-C2095))),8)</f>
        <v/>
      </c>
      <c r="G2095" s="49">
        <f>TRUNC((E2095*F2095),8)</f>
        <v/>
      </c>
      <c r="H2095" s="49">
        <f>ROUND(((1+$H$4)^(30/360))^(C2095/(EDATE(D2095-B2095,1)-(D2095-B2095))),9)</f>
        <v/>
      </c>
      <c r="I2095" s="49">
        <f>TRUNC((G2095*H2095-G2095),8)</f>
        <v/>
      </c>
      <c r="J2095" s="49">
        <f>G2095+I2095</f>
        <v/>
      </c>
      <c r="K2095" s="256" t="n"/>
      <c r="L2095" s="256" t="n"/>
      <c r="M2095" s="256" t="n"/>
      <c r="N2095" s="256" t="n"/>
      <c r="O2095" s="256" t="n"/>
      <c r="P2095" s="256" t="n"/>
      <c r="Q2095" s="256" t="n"/>
    </row>
    <row r="2096">
      <c r="A2096">
        <f>IF(DAY(D2096)=DAY($L$1+1),A2095+1,A2095)</f>
        <v/>
      </c>
      <c r="B2096" s="46">
        <f>IF(DAY(D2096)=DAY($L$1+1),1,B2095+1)</f>
        <v/>
      </c>
      <c r="C2096" s="46">
        <f>IF(DAY(D2096)=DAY($L$1+1),1,C2095+1)</f>
        <v/>
      </c>
      <c r="D2096" s="2">
        <f>D2095+1</f>
        <v/>
      </c>
      <c r="E2096" s="8">
        <f>IF(DAY(D2096)=DAY($L$1+1),TRUNC((#REF!),8),E2095)</f>
        <v/>
      </c>
      <c r="F2096" s="49">
        <f>TRUNC(((1+VLOOKUP(A2096,IPCA!$A$2:$C$140,3,0)))^(C2096/(EDATE(D2096-C2096,1)-(D2096-C2096))),8)</f>
        <v/>
      </c>
      <c r="G2096" s="49">
        <f>TRUNC((E2096*F2096),8)</f>
        <v/>
      </c>
      <c r="H2096" s="49">
        <f>ROUND(((1+$H$4)^(30/360))^(C2096/(EDATE(D2096-B2096,1)-(D2096-B2096))),9)</f>
        <v/>
      </c>
      <c r="I2096" s="49">
        <f>TRUNC((G2096*H2096-G2096),8)</f>
        <v/>
      </c>
      <c r="J2096" s="49">
        <f>G2096+I2096</f>
        <v/>
      </c>
      <c r="K2096" s="256" t="n"/>
      <c r="L2096" s="256" t="n"/>
      <c r="M2096" s="256" t="n"/>
      <c r="N2096" s="256" t="n"/>
      <c r="O2096" s="256" t="n"/>
      <c r="P2096" s="256" t="n"/>
      <c r="Q2096" s="256" t="n"/>
    </row>
    <row r="2097">
      <c r="A2097">
        <f>IF(DAY(D2097)=DAY($L$1+1),A2096+1,A2096)</f>
        <v/>
      </c>
      <c r="B2097" s="46">
        <f>IF(DAY(D2097)=DAY($L$1+1),1,B2096+1)</f>
        <v/>
      </c>
      <c r="C2097" s="46">
        <f>IF(DAY(D2097)=DAY($L$1+1),1,C2096+1)</f>
        <v/>
      </c>
      <c r="D2097" s="2">
        <f>D2096+1</f>
        <v/>
      </c>
      <c r="E2097" s="8">
        <f>IF(DAY(D2097)=DAY($L$1+1),TRUNC((#REF!),8),E2096)</f>
        <v/>
      </c>
      <c r="F2097" s="49">
        <f>TRUNC(((1+VLOOKUP(A2097,IPCA!$A$2:$C$140,3,0)))^(C2097/(EDATE(D2097-C2097,1)-(D2097-C2097))),8)</f>
        <v/>
      </c>
      <c r="G2097" s="49">
        <f>TRUNC((E2097*F2097),8)</f>
        <v/>
      </c>
      <c r="H2097" s="49">
        <f>ROUND(((1+$H$4)^(30/360))^(C2097/(EDATE(D2097-B2097,1)-(D2097-B2097))),9)</f>
        <v/>
      </c>
      <c r="I2097" s="49">
        <f>TRUNC((G2097*H2097-G2097),8)</f>
        <v/>
      </c>
      <c r="J2097" s="49">
        <f>G2097+I2097</f>
        <v/>
      </c>
      <c r="K2097" s="256" t="n"/>
      <c r="L2097" s="256" t="n"/>
      <c r="M2097" s="256" t="n"/>
      <c r="N2097" s="256" t="n"/>
      <c r="O2097" s="256" t="n"/>
      <c r="P2097" s="256" t="n"/>
      <c r="Q2097" s="256" t="n"/>
    </row>
    <row r="2098">
      <c r="A2098">
        <f>IF(DAY(D2098)=DAY($L$1+1),A2097+1,A2097)</f>
        <v/>
      </c>
      <c r="B2098" s="46">
        <f>IF(DAY(D2098)=DAY($L$1+1),1,B2097+1)</f>
        <v/>
      </c>
      <c r="C2098" s="46">
        <f>IF(DAY(D2098)=DAY($L$1+1),1,C2097+1)</f>
        <v/>
      </c>
      <c r="D2098" s="2">
        <f>D2097+1</f>
        <v/>
      </c>
      <c r="E2098" s="8">
        <f>IF(DAY(D2098)=DAY($L$1+1),TRUNC((#REF!),8),E2097)</f>
        <v/>
      </c>
      <c r="F2098" s="49">
        <f>TRUNC(((1+VLOOKUP(A2098,IPCA!$A$2:$C$140,3,0)))^(C2098/(EDATE(D2098-C2098,1)-(D2098-C2098))),8)</f>
        <v/>
      </c>
      <c r="G2098" s="49">
        <f>TRUNC((E2098*F2098),8)</f>
        <v/>
      </c>
      <c r="H2098" s="49">
        <f>ROUND(((1+$H$4)^(30/360))^(C2098/(EDATE(D2098-B2098,1)-(D2098-B2098))),9)</f>
        <v/>
      </c>
      <c r="I2098" s="49">
        <f>TRUNC((G2098*H2098-G2098),8)</f>
        <v/>
      </c>
      <c r="J2098" s="49">
        <f>G2098+I2098</f>
        <v/>
      </c>
      <c r="K2098" s="256" t="n"/>
      <c r="L2098" s="256" t="n"/>
      <c r="M2098" s="256" t="n"/>
      <c r="N2098" s="256" t="n"/>
      <c r="O2098" s="256" t="n"/>
      <c r="P2098" s="256" t="n"/>
      <c r="Q2098" s="256" t="n"/>
    </row>
    <row r="2099">
      <c r="A2099">
        <f>IF(DAY(D2099)=DAY($L$1+1),A2098+1,A2098)</f>
        <v/>
      </c>
      <c r="B2099" s="46">
        <f>IF(DAY(D2099)=DAY($L$1+1),1,B2098+1)</f>
        <v/>
      </c>
      <c r="C2099" s="46">
        <f>IF(DAY(D2099)=DAY($L$1+1),1,C2098+1)</f>
        <v/>
      </c>
      <c r="D2099" s="2">
        <f>D2098+1</f>
        <v/>
      </c>
      <c r="E2099" s="8">
        <f>IF(DAY(D2099)=DAY($L$1+1),TRUNC((#REF!),8),E2098)</f>
        <v/>
      </c>
      <c r="F2099" s="49">
        <f>TRUNC(((1+VLOOKUP(A2099,IPCA!$A$2:$C$140,3,0)))^(C2099/(EDATE(D2099-C2099,1)-(D2099-C2099))),8)</f>
        <v/>
      </c>
      <c r="G2099" s="49">
        <f>TRUNC((E2099*F2099),8)</f>
        <v/>
      </c>
      <c r="H2099" s="49">
        <f>ROUND(((1+$H$4)^(30/360))^(C2099/(EDATE(D2099-B2099,1)-(D2099-B2099))),9)</f>
        <v/>
      </c>
      <c r="I2099" s="49">
        <f>TRUNC((G2099*H2099-G2099),8)</f>
        <v/>
      </c>
      <c r="J2099" s="49">
        <f>G2099+I2099</f>
        <v/>
      </c>
      <c r="K2099" s="256" t="n"/>
      <c r="L2099" s="256" t="n"/>
      <c r="M2099" s="256" t="n"/>
      <c r="N2099" s="256" t="n"/>
      <c r="O2099" s="256" t="n"/>
      <c r="P2099" s="256" t="n"/>
      <c r="Q2099" s="256" t="n"/>
    </row>
    <row r="2100">
      <c r="A2100">
        <f>IF(DAY(D2100)=DAY($L$1+1),A2099+1,A2099)</f>
        <v/>
      </c>
      <c r="B2100" s="46">
        <f>IF(DAY(D2100)=DAY($L$1+1),1,B2099+1)</f>
        <v/>
      </c>
      <c r="C2100" s="46">
        <f>IF(DAY(D2100)=DAY($L$1+1),1,C2099+1)</f>
        <v/>
      </c>
      <c r="D2100" s="2">
        <f>D2099+1</f>
        <v/>
      </c>
      <c r="E2100" s="8">
        <f>IF(DAY(D2100)=DAY($L$1+1),TRUNC((#REF!),8),E2099)</f>
        <v/>
      </c>
      <c r="F2100" s="49">
        <f>TRUNC(((1+VLOOKUP(A2100,IPCA!$A$2:$C$140,3,0)))^(C2100/(EDATE(D2100-C2100,1)-(D2100-C2100))),8)</f>
        <v/>
      </c>
      <c r="G2100" s="49">
        <f>TRUNC((E2100*F2100),8)</f>
        <v/>
      </c>
      <c r="H2100" s="49">
        <f>ROUND(((1+$H$4)^(30/360))^(C2100/(EDATE(D2100-B2100,1)-(D2100-B2100))),9)</f>
        <v/>
      </c>
      <c r="I2100" s="49">
        <f>TRUNC((G2100*H2100-G2100),8)</f>
        <v/>
      </c>
      <c r="J2100" s="49">
        <f>G2100+I2100</f>
        <v/>
      </c>
      <c r="K2100" s="256" t="n"/>
      <c r="L2100" s="256" t="n"/>
      <c r="M2100" s="256" t="n"/>
      <c r="N2100" s="256" t="n"/>
      <c r="O2100" s="256" t="n"/>
      <c r="P2100" s="256" t="n"/>
      <c r="Q2100" s="256" t="n"/>
    </row>
    <row r="2101">
      <c r="A2101">
        <f>IF(DAY(D2101)=DAY($L$1+1),A2100+1,A2100)</f>
        <v/>
      </c>
      <c r="B2101" s="46">
        <f>IF(DAY(D2101)=DAY($L$1+1),1,B2100+1)</f>
        <v/>
      </c>
      <c r="C2101" s="46">
        <f>IF(DAY(D2101)=DAY($L$1+1),1,C2100+1)</f>
        <v/>
      </c>
      <c r="D2101" s="2">
        <f>D2100+1</f>
        <v/>
      </c>
      <c r="E2101" s="8">
        <f>IF(DAY(D2101)=DAY($L$1+1),TRUNC((#REF!),8),E2100)</f>
        <v/>
      </c>
      <c r="F2101" s="49">
        <f>TRUNC(((1+VLOOKUP(A2101,IPCA!$A$2:$C$140,3,0)))^(C2101/(EDATE(D2101-C2101,1)-(D2101-C2101))),8)</f>
        <v/>
      </c>
      <c r="G2101" s="49">
        <f>TRUNC((E2101*F2101),8)</f>
        <v/>
      </c>
      <c r="H2101" s="49">
        <f>ROUND(((1+$H$4)^(30/360))^(C2101/(EDATE(D2101-B2101,1)-(D2101-B2101))),9)</f>
        <v/>
      </c>
      <c r="I2101" s="49">
        <f>TRUNC((G2101*H2101-G2101),8)</f>
        <v/>
      </c>
      <c r="J2101" s="49">
        <f>G2101+I2101</f>
        <v/>
      </c>
      <c r="K2101" s="256" t="n"/>
      <c r="L2101" s="256" t="n"/>
      <c r="M2101" s="256" t="n"/>
      <c r="N2101" s="256" t="n"/>
      <c r="O2101" s="256" t="n"/>
      <c r="P2101" s="256" t="n"/>
      <c r="Q2101" s="256" t="n"/>
    </row>
    <row r="2102">
      <c r="A2102">
        <f>IF(DAY(D2102)=DAY($L$1+1),A2101+1,A2101)</f>
        <v/>
      </c>
      <c r="B2102" s="46">
        <f>IF(DAY(D2102)=DAY($L$1+1),1,B2101+1)</f>
        <v/>
      </c>
      <c r="C2102" s="46">
        <f>IF(DAY(D2102)=DAY($L$1+1),1,C2101+1)</f>
        <v/>
      </c>
      <c r="D2102" s="2">
        <f>D2101+1</f>
        <v/>
      </c>
      <c r="E2102" s="8">
        <f>IF(DAY(D2102)=DAY($L$1+1),TRUNC((#REF!),8),E2101)</f>
        <v/>
      </c>
      <c r="F2102" s="49">
        <f>TRUNC(((1+VLOOKUP(A2102,IPCA!$A$2:$C$140,3,0)))^(C2102/(EDATE(D2102-C2102,1)-(D2102-C2102))),8)</f>
        <v/>
      </c>
      <c r="G2102" s="49">
        <f>TRUNC((E2102*F2102),8)</f>
        <v/>
      </c>
      <c r="H2102" s="49">
        <f>ROUND(((1+$H$4)^(30/360))^(C2102/(EDATE(D2102-B2102,1)-(D2102-B2102))),9)</f>
        <v/>
      </c>
      <c r="I2102" s="49">
        <f>TRUNC((G2102*H2102-G2102),8)</f>
        <v/>
      </c>
      <c r="J2102" s="49">
        <f>G2102+I2102</f>
        <v/>
      </c>
      <c r="K2102" s="256" t="n"/>
      <c r="L2102" s="256" t="n"/>
      <c r="M2102" s="256" t="n"/>
      <c r="N2102" s="256" t="n"/>
      <c r="O2102" s="256" t="n"/>
      <c r="P2102" s="256" t="n"/>
      <c r="Q2102" s="256" t="n"/>
    </row>
    <row r="2103">
      <c r="A2103">
        <f>IF(DAY(D2103)=DAY($L$1+1),A2102+1,A2102)</f>
        <v/>
      </c>
      <c r="B2103" s="46">
        <f>IF(DAY(D2103)=DAY($L$1+1),1,B2102+1)</f>
        <v/>
      </c>
      <c r="C2103" s="46">
        <f>IF(DAY(D2103)=DAY($L$1+1),1,C2102+1)</f>
        <v/>
      </c>
      <c r="D2103" s="2">
        <f>D2102+1</f>
        <v/>
      </c>
      <c r="E2103" s="8">
        <f>IF(DAY(D2103)=DAY($L$1+1),TRUNC((#REF!),8),E2102)</f>
        <v/>
      </c>
      <c r="F2103" s="49">
        <f>TRUNC(((1+VLOOKUP(A2103,IPCA!$A$2:$C$140,3,0)))^(C2103/(EDATE(D2103-C2103,1)-(D2103-C2103))),8)</f>
        <v/>
      </c>
      <c r="G2103" s="49">
        <f>TRUNC((E2103*F2103),8)</f>
        <v/>
      </c>
      <c r="H2103" s="49">
        <f>ROUND(((1+$H$4)^(30/360))^(C2103/(EDATE(D2103-B2103,1)-(D2103-B2103))),9)</f>
        <v/>
      </c>
      <c r="I2103" s="49">
        <f>TRUNC((G2103*H2103-G2103),8)</f>
        <v/>
      </c>
      <c r="J2103" s="49">
        <f>G2103+I2103</f>
        <v/>
      </c>
      <c r="K2103" s="256" t="n"/>
      <c r="L2103" s="256" t="n"/>
      <c r="M2103" s="256" t="n"/>
      <c r="N2103" s="256" t="n"/>
      <c r="O2103" s="256" t="n"/>
      <c r="P2103" s="256" t="n"/>
      <c r="Q2103" s="256" t="n"/>
    </row>
    <row r="2104">
      <c r="A2104">
        <f>IF(DAY(D2104)=DAY($L$1+1),A2103+1,A2103)</f>
        <v/>
      </c>
      <c r="B2104" s="46">
        <f>IF(DAY(D2104)=DAY($L$1+1),1,B2103+1)</f>
        <v/>
      </c>
      <c r="C2104" s="46">
        <f>IF(DAY(D2104)=DAY($L$1+1),1,C2103+1)</f>
        <v/>
      </c>
      <c r="D2104" s="2">
        <f>D2103+1</f>
        <v/>
      </c>
      <c r="E2104" s="8">
        <f>IF(DAY(D2104)=DAY($L$1+1),TRUNC((#REF!),8),E2103)</f>
        <v/>
      </c>
      <c r="F2104" s="49">
        <f>TRUNC(((1+VLOOKUP(A2104,IPCA!$A$2:$C$140,3,0)))^(C2104/(EDATE(D2104-C2104,1)-(D2104-C2104))),8)</f>
        <v/>
      </c>
      <c r="G2104" s="49">
        <f>TRUNC((E2104*F2104),8)</f>
        <v/>
      </c>
      <c r="H2104" s="49">
        <f>ROUND(((1+$H$4)^(30/360))^(C2104/(EDATE(D2104-B2104,1)-(D2104-B2104))),9)</f>
        <v/>
      </c>
      <c r="I2104" s="49">
        <f>TRUNC((G2104*H2104-G2104),8)</f>
        <v/>
      </c>
      <c r="J2104" s="49">
        <f>G2104+I2104</f>
        <v/>
      </c>
      <c r="K2104" s="123" t="n"/>
      <c r="L2104" s="271" t="n"/>
      <c r="M2104" s="256" t="n"/>
      <c r="N2104" s="256" t="n"/>
      <c r="O2104" s="256" t="n"/>
      <c r="P2104" s="256" t="n"/>
      <c r="Q2104" s="256" t="n"/>
    </row>
    <row r="2105">
      <c r="A2105">
        <f>IF(DAY(D2105)=DAY($L$1+1),A2104+1,A2104)</f>
        <v/>
      </c>
      <c r="B2105" s="46">
        <f>IF(DAY(D2105)=DAY($L$1+1),1,B2104+1)</f>
        <v/>
      </c>
      <c r="C2105" s="46">
        <f>IF(DAY(D2105)=DAY($L$1+1),1,C2104+1)</f>
        <v/>
      </c>
      <c r="D2105" s="2">
        <f>D2104+1</f>
        <v/>
      </c>
      <c r="E2105" s="8">
        <f>IF(DAY(D2105)=DAY($L$1+1),TRUNC((N2104),8),E2104)</f>
        <v/>
      </c>
      <c r="F2105" s="49">
        <f>TRUNC(((1+VLOOKUP(A2105,IPCA!$A$2:$C$140,3,0)))^(C2105/(EDATE(D2105-C2105,1)-(D2105-C2105))),8)</f>
        <v/>
      </c>
      <c r="G2105" s="49">
        <f>TRUNC((E2105*F2105),8)</f>
        <v/>
      </c>
      <c r="H2105" s="49">
        <f>ROUND(((1+$H$4)^(30/360))^(C2105/(EDATE(D2105-B2105,1)-(D2105-B2105))),9)</f>
        <v/>
      </c>
      <c r="I2105" s="49">
        <f>TRUNC((G2105*H2105-G2105),8)</f>
        <v/>
      </c>
      <c r="J2105" s="49">
        <f>G2105+I2105</f>
        <v/>
      </c>
      <c r="K2105" s="256" t="n"/>
      <c r="L2105" s="256" t="n"/>
      <c r="M2105" s="256" t="n"/>
      <c r="N2105" s="256" t="n"/>
      <c r="O2105" s="256" t="n"/>
      <c r="P2105" s="256" t="n"/>
      <c r="Q2105" s="256" t="n"/>
    </row>
    <row r="2106">
      <c r="A2106">
        <f>IF(DAY(D2106)=DAY($L$1+1),A2105+1,A2105)</f>
        <v/>
      </c>
      <c r="B2106" s="46">
        <f>IF(DAY(D2106)=DAY($L$1+1),1,B2105+1)</f>
        <v/>
      </c>
      <c r="C2106" s="46">
        <f>IF(DAY(D2106)=DAY($L$1+1),1,C2105+1)</f>
        <v/>
      </c>
      <c r="D2106" s="2">
        <f>D2105+1</f>
        <v/>
      </c>
      <c r="E2106" s="8">
        <f>IF(DAY(D2106)=DAY($L$1+1),TRUNC((N2105),8),E2105)</f>
        <v/>
      </c>
      <c r="F2106" s="49">
        <f>TRUNC(((1+VLOOKUP(A2106,IPCA!$A$2:$C$140,3,0)))^(C2106/(EDATE(D2106-C2106,1)-(D2106-C2106))),8)</f>
        <v/>
      </c>
      <c r="G2106" s="49">
        <f>TRUNC((E2106*F2106),8)</f>
        <v/>
      </c>
      <c r="H2106" s="49">
        <f>ROUND(((1+$H$4)^(30/360))^(C2106/(EDATE(D2106-B2106,1)-(D2106-B2106))),9)</f>
        <v/>
      </c>
      <c r="I2106" s="49">
        <f>TRUNC((G2106*H2106-G2106),8)</f>
        <v/>
      </c>
      <c r="J2106" s="49">
        <f>G2106+I2106</f>
        <v/>
      </c>
      <c r="K2106" s="256" t="n"/>
      <c r="L2106" s="256" t="n"/>
      <c r="M2106" s="256" t="n"/>
      <c r="N2106" s="256" t="n"/>
      <c r="O2106" s="256" t="n"/>
      <c r="P2106" s="256" t="n"/>
      <c r="Q2106" s="256" t="n"/>
    </row>
    <row r="2107">
      <c r="A2107">
        <f>IF(DAY(D2107)=DAY($L$1+1),A2106+1,A2106)</f>
        <v/>
      </c>
      <c r="B2107" s="46">
        <f>IF(DAY(D2107)=DAY($L$1+1),1,B2106+1)</f>
        <v/>
      </c>
      <c r="C2107" s="46">
        <f>IF(DAY(D2107)=DAY($L$1+1),1,C2106+1)</f>
        <v/>
      </c>
      <c r="D2107" s="2">
        <f>D2106+1</f>
        <v/>
      </c>
      <c r="E2107" s="8">
        <f>IF(DAY(D2107)=DAY($L$1+1),TRUNC((N2106),8),E2106)</f>
        <v/>
      </c>
      <c r="F2107" s="49">
        <f>TRUNC(((1+VLOOKUP(A2107,IPCA!$A$2:$C$140,3,0)))^(C2107/(EDATE(D2107-C2107,1)-(D2107-C2107))),8)</f>
        <v/>
      </c>
      <c r="G2107" s="49">
        <f>TRUNC((E2107*F2107),8)</f>
        <v/>
      </c>
      <c r="H2107" s="49">
        <f>ROUND(((1+$H$4)^(30/360))^(C2107/(EDATE(D2107-B2107,1)-(D2107-B2107))),9)</f>
        <v/>
      </c>
      <c r="I2107" s="49">
        <f>TRUNC((G2107*H2107-G2107),8)</f>
        <v/>
      </c>
      <c r="J2107" s="49">
        <f>G2107+I2107</f>
        <v/>
      </c>
      <c r="K2107" s="256" t="n"/>
      <c r="L2107" s="256" t="n"/>
      <c r="M2107" s="256" t="n"/>
      <c r="N2107" s="256" t="n"/>
      <c r="O2107" s="256" t="n"/>
      <c r="P2107" s="256" t="n"/>
      <c r="Q2107" s="256" t="n"/>
    </row>
    <row r="2108">
      <c r="A2108">
        <f>IF(DAY(D2108)=DAY($L$1+1),A2107+1,A2107)</f>
        <v/>
      </c>
      <c r="B2108" s="46">
        <f>IF(DAY(D2108)=DAY($L$1+1),1,B2107+1)</f>
        <v/>
      </c>
      <c r="C2108" s="46">
        <f>IF(DAY(D2108)=DAY($L$1+1),1,C2107+1)</f>
        <v/>
      </c>
      <c r="D2108" s="2">
        <f>D2107+1</f>
        <v/>
      </c>
      <c r="E2108" s="8">
        <f>IF(DAY(D2108)=DAY($L$1+1),TRUNC((N2107),8),E2107)</f>
        <v/>
      </c>
      <c r="F2108" s="49">
        <f>TRUNC(((1+VLOOKUP(A2108,IPCA!$A$2:$C$140,3,0)))^(C2108/(EDATE(D2108-C2108,1)-(D2108-C2108))),8)</f>
        <v/>
      </c>
      <c r="G2108" s="49">
        <f>TRUNC((E2108*F2108),8)</f>
        <v/>
      </c>
      <c r="H2108" s="49">
        <f>ROUND(((1+$H$4)^(30/360))^(C2108/(EDATE(D2108-B2108,1)-(D2108-B2108))),9)</f>
        <v/>
      </c>
      <c r="I2108" s="49">
        <f>TRUNC((G2108*H2108-G2108),8)</f>
        <v/>
      </c>
      <c r="J2108" s="49">
        <f>G2108+I2108</f>
        <v/>
      </c>
      <c r="K2108" s="256" t="n"/>
      <c r="L2108" s="256" t="n"/>
      <c r="M2108" s="256" t="n"/>
      <c r="N2108" s="256" t="n"/>
      <c r="O2108" s="256" t="n"/>
      <c r="P2108" s="256" t="n"/>
      <c r="Q2108" s="256" t="n"/>
    </row>
    <row r="2109">
      <c r="A2109">
        <f>IF(DAY(D2109)=DAY($L$1+1),A2108+1,A2108)</f>
        <v/>
      </c>
      <c r="B2109" s="46">
        <f>IF(DAY(D2109)=DAY($L$1+1),1,B2108+1)</f>
        <v/>
      </c>
      <c r="C2109" s="46">
        <f>IF(DAY(D2109)=DAY($L$1+1),1,C2108+1)</f>
        <v/>
      </c>
      <c r="D2109" s="2">
        <f>D2108+1</f>
        <v/>
      </c>
      <c r="E2109" s="8">
        <f>IF(DAY(D2109)=DAY($L$1+1),TRUNC((N2108),8),E2108)</f>
        <v/>
      </c>
      <c r="F2109" s="49">
        <f>TRUNC(((1+VLOOKUP(A2109,IPCA!$A$2:$C$140,3,0)))^(C2109/(EDATE(D2109-C2109,1)-(D2109-C2109))),8)</f>
        <v/>
      </c>
      <c r="G2109" s="49">
        <f>TRUNC((E2109*F2109),8)</f>
        <v/>
      </c>
      <c r="H2109" s="49">
        <f>ROUND(((1+$H$4)^(30/360))^(C2109/(EDATE(D2109-B2109,1)-(D2109-B2109))),9)</f>
        <v/>
      </c>
      <c r="I2109" s="49">
        <f>TRUNC((G2109*H2109-G2109),8)</f>
        <v/>
      </c>
      <c r="J2109" s="49">
        <f>G2109+I2109</f>
        <v/>
      </c>
      <c r="K2109" s="256" t="n"/>
      <c r="L2109" s="256" t="n"/>
      <c r="M2109" s="256" t="n"/>
      <c r="N2109" s="256" t="n"/>
      <c r="O2109" s="256" t="n"/>
      <c r="P2109" s="256" t="n"/>
      <c r="Q2109" s="256" t="n"/>
    </row>
    <row r="2110">
      <c r="A2110">
        <f>IF(DAY(D2110)=DAY($L$1+1),A2109+1,A2109)</f>
        <v/>
      </c>
      <c r="B2110" s="46">
        <f>IF(DAY(D2110)=DAY($L$1+1),1,B2109+1)</f>
        <v/>
      </c>
      <c r="C2110" s="46">
        <f>IF(DAY(D2110)=DAY($L$1+1),1,C2109+1)</f>
        <v/>
      </c>
      <c r="D2110" s="2">
        <f>D2109+1</f>
        <v/>
      </c>
      <c r="E2110" s="8">
        <f>IF(DAY(D2110)=DAY($L$1+1),TRUNC((N2109),8),E2109)</f>
        <v/>
      </c>
      <c r="F2110" s="49">
        <f>TRUNC(((1+VLOOKUP(A2110,IPCA!$A$2:$C$140,3,0)))^(C2110/(EDATE(D2110-C2110,1)-(D2110-C2110))),8)</f>
        <v/>
      </c>
      <c r="G2110" s="49">
        <f>TRUNC((E2110*F2110),8)</f>
        <v/>
      </c>
      <c r="H2110" s="49">
        <f>ROUND(((1+$H$4)^(30/360))^(C2110/(EDATE(D2110-B2110,1)-(D2110-B2110))),9)</f>
        <v/>
      </c>
      <c r="I2110" s="49">
        <f>TRUNC((G2110*H2110-G2110),8)</f>
        <v/>
      </c>
      <c r="J2110" s="49">
        <f>G2110+I2110</f>
        <v/>
      </c>
      <c r="K2110" s="256" t="n"/>
      <c r="L2110" s="256" t="n"/>
      <c r="M2110" s="256" t="n"/>
      <c r="N2110" s="256" t="n"/>
      <c r="O2110" s="256" t="n"/>
      <c r="P2110" s="256" t="n"/>
      <c r="Q2110" s="256" t="n"/>
    </row>
    <row r="2111">
      <c r="A2111">
        <f>IF(DAY(D2111)=DAY($L$1+1),A2110+1,A2110)</f>
        <v/>
      </c>
      <c r="B2111" s="46">
        <f>IF(DAY(D2111)=DAY($L$1+1),1,B2110+1)</f>
        <v/>
      </c>
      <c r="C2111" s="46">
        <f>IF(DAY(D2111)=DAY($L$1+1),1,C2110+1)</f>
        <v/>
      </c>
      <c r="D2111" s="2">
        <f>D2110+1</f>
        <v/>
      </c>
      <c r="E2111" s="8">
        <f>IF(DAY(D2111)=DAY($L$1+1),TRUNC((N2110),8),E2110)</f>
        <v/>
      </c>
      <c r="F2111" s="49">
        <f>TRUNC(((1+VLOOKUP(A2111,IPCA!$A$2:$C$140,3,0)))^(C2111/(EDATE(D2111-C2111,1)-(D2111-C2111))),8)</f>
        <v/>
      </c>
      <c r="G2111" s="49">
        <f>TRUNC((E2111*F2111),8)</f>
        <v/>
      </c>
      <c r="H2111" s="49">
        <f>ROUND(((1+$H$4)^(30/360))^(C2111/(EDATE(D2111-B2111,1)-(D2111-B2111))),9)</f>
        <v/>
      </c>
      <c r="I2111" s="49">
        <f>TRUNC((G2111*H2111-G2111),8)</f>
        <v/>
      </c>
      <c r="J2111" s="49">
        <f>G2111+I2111</f>
        <v/>
      </c>
      <c r="K2111" s="256" t="n"/>
      <c r="L2111" s="256" t="n"/>
      <c r="M2111" s="256" t="n"/>
      <c r="N2111" s="256" t="n"/>
      <c r="O2111" s="256" t="n"/>
      <c r="P2111" s="256" t="n"/>
      <c r="Q2111" s="256" t="n"/>
    </row>
    <row r="2112">
      <c r="A2112">
        <f>IF(DAY(D2112)=DAY($L$1+1),A2111+1,A2111)</f>
        <v/>
      </c>
      <c r="B2112" s="46">
        <f>IF(DAY(D2112)=DAY($L$1+1),1,B2111+1)</f>
        <v/>
      </c>
      <c r="C2112" s="46">
        <f>IF(DAY(D2112)=DAY($L$1+1),1,C2111+1)</f>
        <v/>
      </c>
      <c r="D2112" s="2">
        <f>D2111+1</f>
        <v/>
      </c>
      <c r="E2112" s="8">
        <f>IF(DAY(D2112)=DAY($L$1+1),TRUNC((N2111),8),E2111)</f>
        <v/>
      </c>
      <c r="F2112" s="49">
        <f>TRUNC(((1+VLOOKUP(A2112,IPCA!$A$2:$C$140,3,0)))^(C2112/(EDATE(D2112-C2112,1)-(D2112-C2112))),8)</f>
        <v/>
      </c>
      <c r="G2112" s="49">
        <f>TRUNC((E2112*F2112),8)</f>
        <v/>
      </c>
      <c r="H2112" s="49">
        <f>ROUND(((1+$H$4)^(30/360))^(C2112/(EDATE(D2112-B2112,1)-(D2112-B2112))),9)</f>
        <v/>
      </c>
      <c r="I2112" s="49">
        <f>TRUNC((G2112*H2112-G2112),8)</f>
        <v/>
      </c>
      <c r="J2112" s="49">
        <f>G2112+I2112</f>
        <v/>
      </c>
      <c r="K2112" s="256" t="n"/>
      <c r="L2112" s="256" t="n"/>
      <c r="M2112" s="256" t="n"/>
      <c r="N2112" s="256" t="n"/>
      <c r="O2112" s="256" t="n"/>
      <c r="P2112" s="256" t="n"/>
      <c r="Q2112" s="256" t="n"/>
    </row>
    <row r="2113">
      <c r="A2113">
        <f>IF(DAY(D2113)=DAY($L$1+1),A2112+1,A2112)</f>
        <v/>
      </c>
      <c r="B2113" s="46">
        <f>IF(DAY(D2113)=DAY($L$1+1),1,B2112+1)</f>
        <v/>
      </c>
      <c r="C2113" s="46">
        <f>IF(DAY(D2113)=DAY($L$1+1),1,C2112+1)</f>
        <v/>
      </c>
      <c r="D2113" s="2">
        <f>D2112+1</f>
        <v/>
      </c>
      <c r="E2113" s="8">
        <f>IF(DAY(D2113)=DAY($L$1+1),TRUNC((N2112),8),E2112)</f>
        <v/>
      </c>
      <c r="F2113" s="49">
        <f>TRUNC(((1+VLOOKUP(A2113,IPCA!$A$2:$C$140,3,0)))^(C2113/(EDATE(D2113-C2113,1)-(D2113-C2113))),8)</f>
        <v/>
      </c>
      <c r="G2113" s="49">
        <f>TRUNC((E2113*F2113),8)</f>
        <v/>
      </c>
      <c r="H2113" s="49">
        <f>ROUND(((1+$H$4)^(30/360))^(C2113/(EDATE(D2113-B2113,1)-(D2113-B2113))),9)</f>
        <v/>
      </c>
      <c r="I2113" s="49">
        <f>TRUNC((G2113*H2113-G2113),8)</f>
        <v/>
      </c>
      <c r="J2113" s="49">
        <f>G2113+I2113</f>
        <v/>
      </c>
      <c r="K2113" s="256" t="n"/>
      <c r="L2113" s="256" t="n"/>
      <c r="M2113" s="256" t="n"/>
      <c r="N2113" s="256" t="n"/>
      <c r="O2113" s="256" t="n"/>
      <c r="P2113" s="256" t="n"/>
      <c r="Q2113" s="256" t="n"/>
    </row>
    <row r="2114">
      <c r="A2114">
        <f>IF(DAY(D2114)=DAY($L$1+1),A2113+1,A2113)</f>
        <v/>
      </c>
      <c r="B2114" s="46">
        <f>IF(DAY(D2114)=DAY($L$1+1),1,B2113+1)</f>
        <v/>
      </c>
      <c r="C2114" s="46">
        <f>IF(DAY(D2114)=DAY($L$1+1),1,C2113+1)</f>
        <v/>
      </c>
      <c r="D2114" s="2">
        <f>D2113+1</f>
        <v/>
      </c>
      <c r="E2114" s="8">
        <f>IF(DAY(D2114)=DAY($L$1+1),TRUNC((N2113),8),E2113)</f>
        <v/>
      </c>
      <c r="F2114" s="49">
        <f>TRUNC(((1+VLOOKUP(A2114,IPCA!$A$2:$C$140,3,0)))^(C2114/(EDATE(D2114-C2114,1)-(D2114-C2114))),8)</f>
        <v/>
      </c>
      <c r="G2114" s="49">
        <f>TRUNC((E2114*F2114),8)</f>
        <v/>
      </c>
      <c r="H2114" s="49">
        <f>ROUND(((1+$H$4)^(30/360))^(C2114/(EDATE(D2114-B2114,1)-(D2114-B2114))),9)</f>
        <v/>
      </c>
      <c r="I2114" s="49">
        <f>TRUNC((G2114*H2114-G2114),8)</f>
        <v/>
      </c>
      <c r="J2114" s="49">
        <f>G2114+I2114</f>
        <v/>
      </c>
      <c r="K2114" s="256" t="n"/>
      <c r="L2114" s="256" t="n"/>
      <c r="M2114" s="256" t="n"/>
      <c r="N2114" s="256" t="n"/>
      <c r="O2114" s="256" t="n"/>
      <c r="P2114" s="256" t="n"/>
      <c r="Q2114" s="256" t="n"/>
    </row>
    <row r="2115">
      <c r="A2115">
        <f>IF(DAY(D2115)=DAY($L$1+1),A2114+1,A2114)</f>
        <v/>
      </c>
      <c r="B2115" s="46">
        <f>IF(DAY(D2115)=DAY($L$1+1),1,B2114+1)</f>
        <v/>
      </c>
      <c r="C2115" s="46">
        <f>IF(DAY(D2115)=DAY($L$1+1),1,C2114+1)</f>
        <v/>
      </c>
      <c r="D2115" s="2">
        <f>D2114+1</f>
        <v/>
      </c>
      <c r="E2115" s="8">
        <f>IF(DAY(D2115)=DAY($L$1+1),TRUNC((N2114),8),E2114)</f>
        <v/>
      </c>
      <c r="F2115" s="49">
        <f>TRUNC(((1+VLOOKUP(A2115,IPCA!$A$2:$C$140,3,0)))^(C2115/(EDATE(D2115-C2115,1)-(D2115-C2115))),8)</f>
        <v/>
      </c>
      <c r="G2115" s="49">
        <f>TRUNC((E2115*F2115),8)</f>
        <v/>
      </c>
      <c r="H2115" s="49">
        <f>ROUND(((1+$H$4)^(30/360))^(C2115/(EDATE(D2115-B2115,1)-(D2115-B2115))),9)</f>
        <v/>
      </c>
      <c r="I2115" s="49">
        <f>TRUNC((G2115*H2115-G2115),8)</f>
        <v/>
      </c>
      <c r="J2115" s="49">
        <f>G2115+I2115</f>
        <v/>
      </c>
      <c r="K2115" s="256" t="n"/>
      <c r="L2115" s="256" t="n"/>
      <c r="M2115" s="256" t="n"/>
      <c r="N2115" s="256" t="n"/>
      <c r="O2115" s="256" t="n"/>
      <c r="P2115" s="256" t="n"/>
      <c r="Q2115" s="256" t="n"/>
    </row>
    <row r="2116">
      <c r="A2116">
        <f>IF(DAY(D2116)=DAY($L$1+1),A2115+1,A2115)</f>
        <v/>
      </c>
      <c r="B2116" s="46">
        <f>IF(DAY(D2116)=DAY($L$1+1),1,B2115+1)</f>
        <v/>
      </c>
      <c r="C2116" s="46">
        <f>IF(DAY(D2116)=DAY($L$1+1),1,C2115+1)</f>
        <v/>
      </c>
      <c r="D2116" s="2">
        <f>D2115+1</f>
        <v/>
      </c>
      <c r="E2116" s="8">
        <f>IF(DAY(D2116)=DAY($L$1+1),TRUNC((N2115),8),E2115)</f>
        <v/>
      </c>
      <c r="F2116" s="49">
        <f>TRUNC(((1+VLOOKUP(A2116,IPCA!$A$2:$C$140,3,0)))^(C2116/(EDATE(D2116-C2116,1)-(D2116-C2116))),8)</f>
        <v/>
      </c>
      <c r="G2116" s="49">
        <f>TRUNC((E2116*F2116),8)</f>
        <v/>
      </c>
      <c r="H2116" s="49">
        <f>ROUND(((1+$H$4)^(30/360))^(C2116/(EDATE(D2116-B2116,1)-(D2116-B2116))),9)</f>
        <v/>
      </c>
      <c r="I2116" s="49">
        <f>TRUNC((G2116*H2116-G2116),8)</f>
        <v/>
      </c>
      <c r="J2116" s="49">
        <f>G2116+I2116</f>
        <v/>
      </c>
      <c r="K2116" s="256" t="n"/>
      <c r="L2116" s="256" t="n"/>
      <c r="M2116" s="256" t="n"/>
      <c r="N2116" s="256" t="n"/>
      <c r="O2116" s="256" t="n"/>
      <c r="P2116" s="256" t="n"/>
      <c r="Q2116" s="256" t="n"/>
    </row>
    <row r="2117">
      <c r="A2117">
        <f>IF(DAY(D2117)=DAY($L$1+1),A2116+1,A2116)</f>
        <v/>
      </c>
      <c r="B2117" s="46">
        <f>IF(DAY(D2117)=DAY($L$1+1),1,B2116+1)</f>
        <v/>
      </c>
      <c r="C2117" s="46">
        <f>IF(DAY(D2117)=DAY($L$1+1),1,C2116+1)</f>
        <v/>
      </c>
      <c r="D2117" s="2">
        <f>D2116+1</f>
        <v/>
      </c>
      <c r="E2117" s="8">
        <f>IF(DAY(D2117)=DAY($L$1+1),TRUNC((N2116),8),E2116)</f>
        <v/>
      </c>
      <c r="F2117" s="49">
        <f>TRUNC(((1+VLOOKUP(A2117,IPCA!$A$2:$C$140,3,0)))^(C2117/(EDATE(D2117-C2117,1)-(D2117-C2117))),8)</f>
        <v/>
      </c>
      <c r="G2117" s="49">
        <f>TRUNC((E2117*F2117),8)</f>
        <v/>
      </c>
      <c r="H2117" s="49">
        <f>ROUND(((1+$H$4)^(30/360))^(C2117/(EDATE(D2117-B2117,1)-(D2117-B2117))),9)</f>
        <v/>
      </c>
      <c r="I2117" s="49">
        <f>TRUNC((G2117*H2117-G2117),8)</f>
        <v/>
      </c>
      <c r="J2117" s="49">
        <f>G2117+I2117</f>
        <v/>
      </c>
      <c r="K2117" s="256" t="n"/>
      <c r="L2117" s="256" t="n"/>
      <c r="M2117" s="256" t="n"/>
      <c r="N2117" s="256" t="n"/>
      <c r="O2117" s="256" t="n"/>
      <c r="P2117" s="256" t="n"/>
      <c r="Q2117" s="256" t="n"/>
    </row>
    <row r="2118">
      <c r="A2118">
        <f>IF(DAY(D2118)=DAY($L$1+1),A2117+1,A2117)</f>
        <v/>
      </c>
      <c r="B2118" s="46">
        <f>IF(DAY(D2118)=DAY($L$1+1),1,B2117+1)</f>
        <v/>
      </c>
      <c r="C2118" s="46">
        <f>IF(DAY(D2118)=DAY($L$1+1),1,C2117+1)</f>
        <v/>
      </c>
      <c r="D2118" s="2">
        <f>D2117+1</f>
        <v/>
      </c>
      <c r="E2118" s="8">
        <f>IF(DAY(D2118)=DAY($L$1+1),TRUNC((N2117),8),E2117)</f>
        <v/>
      </c>
      <c r="F2118" s="49">
        <f>TRUNC(((1+VLOOKUP(A2118,IPCA!$A$2:$C$140,3,0)))^(C2118/(EDATE(D2118-C2118,1)-(D2118-C2118))),8)</f>
        <v/>
      </c>
      <c r="G2118" s="49">
        <f>TRUNC((E2118*F2118),8)</f>
        <v/>
      </c>
      <c r="H2118" s="49">
        <f>ROUND(((1+$H$4)^(30/360))^(C2118/(EDATE(D2118-B2118,1)-(D2118-B2118))),9)</f>
        <v/>
      </c>
      <c r="I2118" s="49">
        <f>TRUNC((G2118*H2118-G2118),8)</f>
        <v/>
      </c>
      <c r="J2118" s="49">
        <f>G2118+I2118</f>
        <v/>
      </c>
      <c r="K2118" s="256" t="inlineStr">
        <is>
          <t>Cri Integralizado</t>
        </is>
      </c>
      <c r="L2118" s="270">
        <f>L2087</f>
        <v/>
      </c>
      <c r="M2118" s="256" t="n"/>
      <c r="N2118" s="256" t="n"/>
      <c r="O2118" s="256" t="n"/>
      <c r="P2118" s="256" t="n"/>
      <c r="Q2118" s="256" t="n"/>
    </row>
    <row r="2119">
      <c r="A2119">
        <f>IF(DAY(D2119)=DAY($L$1+1),A2118+1,A2118)</f>
        <v/>
      </c>
      <c r="B2119" s="46">
        <f>IF(DAY(D2119)=DAY($L$1+1),1,B2118+1)</f>
        <v/>
      </c>
      <c r="C2119" s="46">
        <f>IF(DAY(D2119)=DAY($L$1+1),1,C2118+1)</f>
        <v/>
      </c>
      <c r="D2119" s="47">
        <f>D2118+1</f>
        <v/>
      </c>
      <c r="E2119" s="8">
        <f>IF(DAY(D2119)=DAY($L$1+1),TRUNC((N2118),8),E2118)</f>
        <v/>
      </c>
      <c r="F2119" s="49">
        <f>TRUNC(((1+VLOOKUP(A2119,IPCA!$A$2:$C$140,3,0)))^(C2119/(EDATE(D2119-C2119,1)-(D2119-C2119))),8)</f>
        <v/>
      </c>
      <c r="G2119" s="49">
        <f>TRUNC((E2119*F2119),8)</f>
        <v/>
      </c>
      <c r="H2119" s="49">
        <f>ROUND(((1+$H$4)^(30/360))^(C2119/(EDATE(D2119-B2119,1)-(D2119-B2119))),9)</f>
        <v/>
      </c>
      <c r="I2119" s="49">
        <f>TRUNC((G2119*H2119-G2119),8)</f>
        <v/>
      </c>
      <c r="J2119" s="49">
        <f>G2119+I2119</f>
        <v/>
      </c>
      <c r="K2119" s="118" t="inlineStr">
        <is>
          <t>JUROS</t>
        </is>
      </c>
      <c r="L2119" s="118" t="inlineStr">
        <is>
          <t>AMORTIZAÇÃO</t>
        </is>
      </c>
      <c r="M2119" s="118" t="inlineStr">
        <is>
          <t>AMEX</t>
        </is>
      </c>
      <c r="N2119" s="118" t="inlineStr">
        <is>
          <t>RESIDUAL</t>
        </is>
      </c>
      <c r="O2119" s="256" t="n"/>
      <c r="P2119" s="256" t="n"/>
      <c r="Q2119" s="256" t="n"/>
    </row>
    <row r="2120">
      <c r="A2120">
        <f>IF(DAY(D2120)=DAY($L$1+1),A2119+1,A2119)</f>
        <v/>
      </c>
      <c r="B2120" s="111">
        <f>IF(DAY(D2120)=DAY($L$1+1),1,B2119+1)</f>
        <v/>
      </c>
      <c r="C2120" s="111">
        <f>IF(DAY(D2120)=DAY($L$1+1),1,C2119+1)</f>
        <v/>
      </c>
      <c r="D2120" s="112">
        <f>D2119+1</f>
        <v/>
      </c>
      <c r="E2120" s="113">
        <f>IF(DAY(D2120)=DAY($L$1+1),TRUNC((N2119),8),E2119)</f>
        <v/>
      </c>
      <c r="F2120" s="114">
        <f>TRUNC(((1+VLOOKUP(A2120,IPCA!$A$2:$C$140,3,0)))^(C2120/(EDATE(D2120-C2120,1)-(D2120-C2120))),8)</f>
        <v/>
      </c>
      <c r="G2120" s="114">
        <f>TRUNC((E2120*F2120),8)</f>
        <v/>
      </c>
      <c r="H2120" s="114">
        <f>ROUND(((1+$H$4)^(30/360))^(C2120/(EDATE(D2120-B2120,1)-(D2120-B2120))),9)</f>
        <v/>
      </c>
      <c r="I2120" s="114">
        <f>TRUNC((G2120*H2120-G2120),8)</f>
        <v/>
      </c>
      <c r="J2120" s="114">
        <f>G2120+I2120</f>
        <v/>
      </c>
      <c r="K2120" s="119">
        <f>I2120</f>
        <v/>
      </c>
      <c r="L2120" s="120">
        <f>TRUNC(G2120*VLOOKUP(D2120,'Amort TS'!$G$3:$H$140,2,0),8)</f>
        <v/>
      </c>
      <c r="M2120" s="120" t="n">
        <v>0</v>
      </c>
      <c r="N2120" s="120">
        <f>J2120-K2120-L2120-M2120</f>
        <v/>
      </c>
      <c r="O2120" s="256" t="n"/>
      <c r="P2120" s="256" t="n"/>
      <c r="Q2120" s="256" t="n"/>
    </row>
    <row r="2121">
      <c r="A2121">
        <f>IF(DAY(D2121)=DAY($L$1+1),A2120+1,A2120)</f>
        <v/>
      </c>
      <c r="B2121" s="46">
        <f>IF(DAY(D2121)=DAY($L$1+1),1,B2120+1)</f>
        <v/>
      </c>
      <c r="C2121" s="46">
        <f>IF(DAY(D2121)=DAY($L$1+1),1,C2120+1)</f>
        <v/>
      </c>
      <c r="D2121" s="2">
        <f>D2120+1</f>
        <v/>
      </c>
      <c r="E2121" s="8">
        <f>IF(DAY(D2121)=DAY($L$1+1),TRUNC((N2120),8),E2120)</f>
        <v/>
      </c>
      <c r="F2121" s="49">
        <f>TRUNC(((1+VLOOKUP(A2121,IPCA!$A$2:$C$140,3,0)))^(C2121/(EDATE(D2121-C2121,1)-(D2121-C2121))),8)</f>
        <v/>
      </c>
      <c r="G2121" s="49">
        <f>TRUNC((E2121*F2121),8)</f>
        <v/>
      </c>
      <c r="H2121" s="49">
        <f>ROUND(((1+$H$4)^(30/360))^(C2121/(EDATE(D2121-B2121,1)-(D2121-B2121))),9)</f>
        <v/>
      </c>
      <c r="I2121" s="49">
        <f>TRUNC((G2121*H2121-G2121),8)</f>
        <v/>
      </c>
      <c r="J2121" s="49">
        <f>G2121+I2121</f>
        <v/>
      </c>
      <c r="K2121" s="121">
        <f>K2120*L2118</f>
        <v/>
      </c>
      <c r="L2121" s="121">
        <f>L2120*L2118</f>
        <v/>
      </c>
      <c r="M2121" s="121">
        <f>M2120*L2118</f>
        <v/>
      </c>
      <c r="N2121" s="121">
        <f>N2120*L2118</f>
        <v/>
      </c>
      <c r="O2121" s="256" t="n"/>
      <c r="P2121" s="256" t="n"/>
      <c r="Q2121" s="256" t="n"/>
    </row>
    <row r="2122">
      <c r="A2122">
        <f>IF(DAY(D2122)=DAY($L$1+1),A2121+1,A2121)</f>
        <v/>
      </c>
      <c r="B2122" s="46">
        <f>IF(DAY(D2122)=DAY($L$1+1),1,B2121+1)</f>
        <v/>
      </c>
      <c r="C2122" s="46">
        <f>IF(DAY(D2122)=DAY($L$1+1),1,C2121+1)</f>
        <v/>
      </c>
      <c r="D2122" s="47">
        <f>D2121+1</f>
        <v/>
      </c>
      <c r="E2122" s="8">
        <f>IF(DAY(D2122)=DAY($L$1+1),TRUNC((N2121),8),E2121)</f>
        <v/>
      </c>
      <c r="F2122" s="49">
        <f>TRUNC(((1+VLOOKUP(A2122,IPCA!$A$2:$C$140,3,0)))^(C2122/(EDATE(D2122-C2122,1)-(D2122-C2122))),8)</f>
        <v/>
      </c>
      <c r="G2122" s="49">
        <f>TRUNC((E2122*F2122),8)</f>
        <v/>
      </c>
      <c r="H2122" s="49">
        <f>ROUND(((1+$H$4)^(30/360))^(C2122/(EDATE(D2122-B2122,1)-(D2122-B2122))),9)</f>
        <v/>
      </c>
      <c r="I2122" s="49">
        <f>TRUNC((G2122*H2122-G2122),8)</f>
        <v/>
      </c>
      <c r="J2122" s="49">
        <f>G2122+I2122</f>
        <v/>
      </c>
      <c r="K2122" s="256" t="n"/>
      <c r="L2122" s="256" t="n"/>
      <c r="M2122" s="256" t="n"/>
      <c r="N2122" s="256" t="n"/>
      <c r="O2122" s="256" t="n"/>
      <c r="P2122" s="256" t="n"/>
      <c r="Q2122" s="256" t="n"/>
    </row>
    <row r="2123">
      <c r="A2123">
        <f>IF(DAY(D2123)=DAY($L$1+1),A2122+1,A2122)</f>
        <v/>
      </c>
      <c r="B2123" s="46">
        <f>IF(DAY(D2123)=DAY($L$1+1),1,B2122+1)</f>
        <v/>
      </c>
      <c r="C2123" s="46">
        <f>IF(DAY(D2123)=DAY($L$1+1),1,C2122+1)</f>
        <v/>
      </c>
      <c r="D2123" s="2">
        <f>D2122+1</f>
        <v/>
      </c>
      <c r="E2123" s="8">
        <f>IF(DAY(D2123)=DAY($L$1+1),TRUNC((#REF!),8),E2122)</f>
        <v/>
      </c>
      <c r="F2123" s="49">
        <f>TRUNC(((1+VLOOKUP(A2123,IPCA!$A$2:$C$140,3,0)))^(C2123/(EDATE(D2123-C2123,1)-(D2123-C2123))),8)</f>
        <v/>
      </c>
      <c r="G2123" s="49">
        <f>TRUNC((E2123*F2123),8)</f>
        <v/>
      </c>
      <c r="H2123" s="49">
        <f>ROUND(((1+$H$4)^(30/360))^(C2123/(EDATE(D2123-B2123,1)-(D2123-B2123))),9)</f>
        <v/>
      </c>
      <c r="I2123" s="49">
        <f>TRUNC((G2123*H2123-G2123),8)</f>
        <v/>
      </c>
      <c r="J2123" s="49">
        <f>G2123+I2123</f>
        <v/>
      </c>
      <c r="K2123" s="256" t="n"/>
      <c r="L2123" s="256" t="n"/>
      <c r="M2123" s="256" t="n"/>
      <c r="N2123" s="256" t="n"/>
      <c r="O2123" s="256" t="n"/>
      <c r="P2123" s="256" t="n"/>
      <c r="Q2123" s="256" t="n"/>
    </row>
    <row r="2124">
      <c r="A2124">
        <f>IF(DAY(D2124)=DAY($L$1+1),A2123+1,A2123)</f>
        <v/>
      </c>
      <c r="B2124" s="46">
        <f>IF(DAY(D2124)=DAY($L$1+1),1,B2123+1)</f>
        <v/>
      </c>
      <c r="C2124" s="46">
        <f>IF(DAY(D2124)=DAY($L$1+1),1,C2123+1)</f>
        <v/>
      </c>
      <c r="D2124" s="2">
        <f>D2123+1</f>
        <v/>
      </c>
      <c r="E2124" s="8">
        <f>IF(DAY(D2124)=DAY($L$1+1),TRUNC((#REF!),8),E2123)</f>
        <v/>
      </c>
      <c r="F2124" s="49">
        <f>TRUNC(((1+VLOOKUP(A2124,IPCA!$A$2:$C$140,3,0)))^(C2124/(EDATE(D2124-C2124,1)-(D2124-C2124))),8)</f>
        <v/>
      </c>
      <c r="G2124" s="49">
        <f>TRUNC((E2124*F2124),8)</f>
        <v/>
      </c>
      <c r="H2124" s="49">
        <f>ROUND(((1+$H$4)^(30/360))^(C2124/(EDATE(D2124-B2124,1)-(D2124-B2124))),9)</f>
        <v/>
      </c>
      <c r="I2124" s="49">
        <f>TRUNC((G2124*H2124-G2124),8)</f>
        <v/>
      </c>
      <c r="J2124" s="49">
        <f>G2124+I2124</f>
        <v/>
      </c>
      <c r="K2124" s="256" t="n"/>
      <c r="L2124" s="256" t="n"/>
      <c r="M2124" s="256" t="n"/>
      <c r="N2124" s="256" t="n"/>
      <c r="O2124" s="256" t="n"/>
      <c r="P2124" s="256" t="n"/>
      <c r="Q2124" s="256" t="n"/>
    </row>
    <row r="2125">
      <c r="A2125">
        <f>IF(DAY(D2125)=DAY($L$1+1),A2124+1,A2124)</f>
        <v/>
      </c>
      <c r="B2125" s="46">
        <f>IF(DAY(D2125)=DAY($L$1+1),1,B2124+1)</f>
        <v/>
      </c>
      <c r="C2125" s="46">
        <f>IF(DAY(D2125)=DAY($L$1+1),1,C2124+1)</f>
        <v/>
      </c>
      <c r="D2125" s="2">
        <f>D2124+1</f>
        <v/>
      </c>
      <c r="E2125" s="8">
        <f>IF(DAY(D2125)=DAY($L$1+1),TRUNC((#REF!),8),E2124)</f>
        <v/>
      </c>
      <c r="F2125" s="49">
        <f>TRUNC(((1+VLOOKUP(A2125,IPCA!$A$2:$C$140,3,0)))^(C2125/(EDATE(D2125-C2125,1)-(D2125-C2125))),8)</f>
        <v/>
      </c>
      <c r="G2125" s="49">
        <f>TRUNC((E2125*F2125),8)</f>
        <v/>
      </c>
      <c r="H2125" s="49">
        <f>ROUND(((1+$H$4)^(30/360))^(C2125/(EDATE(D2125-B2125,1)-(D2125-B2125))),9)</f>
        <v/>
      </c>
      <c r="I2125" s="49">
        <f>TRUNC((G2125*H2125-G2125),8)</f>
        <v/>
      </c>
      <c r="J2125" s="49">
        <f>G2125+I2125</f>
        <v/>
      </c>
      <c r="K2125" s="256" t="n"/>
      <c r="L2125" s="256" t="n"/>
      <c r="M2125" s="256" t="n"/>
      <c r="N2125" s="256" t="n"/>
      <c r="O2125" s="256" t="n"/>
      <c r="P2125" s="256" t="n"/>
      <c r="Q2125" s="256" t="n"/>
    </row>
    <row r="2126">
      <c r="A2126">
        <f>IF(DAY(D2126)=DAY($L$1+1),A2125+1,A2125)</f>
        <v/>
      </c>
      <c r="B2126" s="46">
        <f>IF(DAY(D2126)=DAY($L$1+1),1,B2125+1)</f>
        <v/>
      </c>
      <c r="C2126" s="46">
        <f>IF(DAY(D2126)=DAY($L$1+1),1,C2125+1)</f>
        <v/>
      </c>
      <c r="D2126" s="2">
        <f>D2125+1</f>
        <v/>
      </c>
      <c r="E2126" s="8">
        <f>IF(DAY(D2126)=DAY($L$1+1),TRUNC((#REF!),8),E2125)</f>
        <v/>
      </c>
      <c r="F2126" s="49">
        <f>TRUNC(((1+VLOOKUP(A2126,IPCA!$A$2:$C$140,3,0)))^(C2126/(EDATE(D2126-C2126,1)-(D2126-C2126))),8)</f>
        <v/>
      </c>
      <c r="G2126" s="49">
        <f>TRUNC((E2126*F2126),8)</f>
        <v/>
      </c>
      <c r="H2126" s="49">
        <f>ROUND(((1+$H$4)^(30/360))^(C2126/(EDATE(D2126-B2126,1)-(D2126-B2126))),9)</f>
        <v/>
      </c>
      <c r="I2126" s="49">
        <f>TRUNC((G2126*H2126-G2126),8)</f>
        <v/>
      </c>
      <c r="J2126" s="49">
        <f>G2126+I2126</f>
        <v/>
      </c>
      <c r="K2126" s="256" t="n"/>
      <c r="L2126" s="256" t="n"/>
      <c r="M2126" s="256" t="n"/>
      <c r="N2126" s="256" t="n"/>
      <c r="O2126" s="256" t="n"/>
      <c r="P2126" s="256" t="n"/>
      <c r="Q2126" s="256" t="n"/>
    </row>
    <row r="2127">
      <c r="A2127">
        <f>IF(DAY(D2127)=DAY($L$1+1),A2126+1,A2126)</f>
        <v/>
      </c>
      <c r="B2127" s="46">
        <f>IF(DAY(D2127)=DAY($L$1+1),1,B2126+1)</f>
        <v/>
      </c>
      <c r="C2127" s="46">
        <f>IF(DAY(D2127)=DAY($L$1+1),1,C2126+1)</f>
        <v/>
      </c>
      <c r="D2127" s="2">
        <f>D2126+1</f>
        <v/>
      </c>
      <c r="E2127" s="8">
        <f>IF(DAY(D2127)=DAY($L$1+1),TRUNC((#REF!),8),E2126)</f>
        <v/>
      </c>
      <c r="F2127" s="49">
        <f>TRUNC(((1+VLOOKUP(A2127,IPCA!$A$2:$C$140,3,0)))^(C2127/(EDATE(D2127-C2127,1)-(D2127-C2127))),8)</f>
        <v/>
      </c>
      <c r="G2127" s="49">
        <f>TRUNC((E2127*F2127),8)</f>
        <v/>
      </c>
      <c r="H2127" s="49">
        <f>ROUND(((1+$H$4)^(30/360))^(C2127/(EDATE(D2127-B2127,1)-(D2127-B2127))),9)</f>
        <v/>
      </c>
      <c r="I2127" s="49">
        <f>TRUNC((G2127*H2127-G2127),8)</f>
        <v/>
      </c>
      <c r="J2127" s="49">
        <f>G2127+I2127</f>
        <v/>
      </c>
      <c r="K2127" s="256" t="n"/>
      <c r="L2127" s="256" t="n"/>
      <c r="M2127" s="256" t="n"/>
      <c r="N2127" s="256" t="n"/>
      <c r="O2127" s="256" t="n"/>
      <c r="P2127" s="256" t="n"/>
      <c r="Q2127" s="256" t="n"/>
    </row>
    <row r="2128">
      <c r="A2128">
        <f>IF(DAY(D2128)=DAY($L$1+1),A2127+1,A2127)</f>
        <v/>
      </c>
      <c r="B2128" s="46">
        <f>IF(DAY(D2128)=DAY($L$1+1),1,B2127+1)</f>
        <v/>
      </c>
      <c r="C2128" s="46">
        <f>IF(DAY(D2128)=DAY($L$1+1),1,C2127+1)</f>
        <v/>
      </c>
      <c r="D2128" s="2">
        <f>D2127+1</f>
        <v/>
      </c>
      <c r="E2128" s="8">
        <f>IF(DAY(D2128)=DAY($L$1+1),TRUNC((#REF!),8),E2127)</f>
        <v/>
      </c>
      <c r="F2128" s="49">
        <f>TRUNC(((1+VLOOKUP(A2128,IPCA!$A$2:$C$140,3,0)))^(C2128/(EDATE(D2128-C2128,1)-(D2128-C2128))),8)</f>
        <v/>
      </c>
      <c r="G2128" s="49">
        <f>TRUNC((E2128*F2128),8)</f>
        <v/>
      </c>
      <c r="H2128" s="49">
        <f>ROUND(((1+$H$4)^(30/360))^(C2128/(EDATE(D2128-B2128,1)-(D2128-B2128))),9)</f>
        <v/>
      </c>
      <c r="I2128" s="49">
        <f>TRUNC((G2128*H2128-G2128),8)</f>
        <v/>
      </c>
      <c r="J2128" s="49">
        <f>G2128+I2128</f>
        <v/>
      </c>
      <c r="K2128" s="256" t="n"/>
      <c r="L2128" s="256" t="n"/>
      <c r="M2128" s="256" t="n"/>
      <c r="N2128" s="256" t="n"/>
      <c r="O2128" s="256" t="n"/>
      <c r="P2128" s="256" t="n"/>
      <c r="Q2128" s="256" t="n"/>
    </row>
    <row r="2129">
      <c r="A2129">
        <f>IF(DAY(D2129)=DAY($L$1+1),A2128+1,A2128)</f>
        <v/>
      </c>
      <c r="B2129" s="46">
        <f>IF(DAY(D2129)=DAY($L$1+1),1,B2128+1)</f>
        <v/>
      </c>
      <c r="C2129" s="46">
        <f>IF(DAY(D2129)=DAY($L$1+1),1,C2128+1)</f>
        <v/>
      </c>
      <c r="D2129" s="2">
        <f>D2128+1</f>
        <v/>
      </c>
      <c r="E2129" s="8">
        <f>IF(DAY(D2129)=DAY($L$1+1),TRUNC((#REF!),8),E2128)</f>
        <v/>
      </c>
      <c r="F2129" s="49">
        <f>TRUNC(((1+VLOOKUP(A2129,IPCA!$A$2:$C$140,3,0)))^(C2129/(EDATE(D2129-C2129,1)-(D2129-C2129))),8)</f>
        <v/>
      </c>
      <c r="G2129" s="49">
        <f>TRUNC((E2129*F2129),8)</f>
        <v/>
      </c>
      <c r="H2129" s="49">
        <f>ROUND(((1+$H$4)^(30/360))^(C2129/(EDATE(D2129-B2129,1)-(D2129-B2129))),9)</f>
        <v/>
      </c>
      <c r="I2129" s="49">
        <f>TRUNC((G2129*H2129-G2129),8)</f>
        <v/>
      </c>
      <c r="J2129" s="49">
        <f>G2129+I2129</f>
        <v/>
      </c>
      <c r="K2129" s="256" t="n"/>
      <c r="L2129" s="256" t="n"/>
      <c r="M2129" s="256" t="n"/>
      <c r="N2129" s="256" t="n"/>
      <c r="O2129" s="256" t="n"/>
      <c r="P2129" s="256" t="n"/>
      <c r="Q2129" s="256" t="n"/>
    </row>
    <row r="2130">
      <c r="A2130">
        <f>IF(DAY(D2130)=DAY($L$1+1),A2129+1,A2129)</f>
        <v/>
      </c>
      <c r="B2130" s="46">
        <f>IF(DAY(D2130)=DAY($L$1+1),1,B2129+1)</f>
        <v/>
      </c>
      <c r="C2130" s="46">
        <f>IF(DAY(D2130)=DAY($L$1+1),1,C2129+1)</f>
        <v/>
      </c>
      <c r="D2130" s="2">
        <f>D2129+1</f>
        <v/>
      </c>
      <c r="E2130" s="8">
        <f>IF(DAY(D2130)=DAY($L$1+1),TRUNC((#REF!),8),E2129)</f>
        <v/>
      </c>
      <c r="F2130" s="49">
        <f>TRUNC(((1+VLOOKUP(A2130,IPCA!$A$2:$C$140,3,0)))^(C2130/(EDATE(D2130-C2130,1)-(D2130-C2130))),8)</f>
        <v/>
      </c>
      <c r="G2130" s="49">
        <f>TRUNC((E2130*F2130),8)</f>
        <v/>
      </c>
      <c r="H2130" s="49">
        <f>ROUND(((1+$H$4)^(30/360))^(C2130/(EDATE(D2130-B2130,1)-(D2130-B2130))),9)</f>
        <v/>
      </c>
      <c r="I2130" s="49">
        <f>TRUNC((G2130*H2130-G2130),8)</f>
        <v/>
      </c>
      <c r="J2130" s="49">
        <f>G2130+I2130</f>
        <v/>
      </c>
      <c r="K2130" s="256" t="n"/>
      <c r="L2130" s="256" t="n"/>
      <c r="M2130" s="256" t="n"/>
      <c r="N2130" s="256" t="n"/>
      <c r="O2130" s="256" t="n"/>
      <c r="P2130" s="256" t="n"/>
      <c r="Q2130" s="256" t="n"/>
    </row>
    <row r="2131">
      <c r="A2131">
        <f>IF(DAY(D2131)=DAY($L$1+1),A2130+1,A2130)</f>
        <v/>
      </c>
      <c r="B2131" s="46">
        <f>IF(DAY(D2131)=DAY($L$1+1),1,B2130+1)</f>
        <v/>
      </c>
      <c r="C2131" s="46">
        <f>IF(DAY(D2131)=DAY($L$1+1),1,C2130+1)</f>
        <v/>
      </c>
      <c r="D2131" s="2">
        <f>D2130+1</f>
        <v/>
      </c>
      <c r="E2131" s="8">
        <f>IF(DAY(D2131)=DAY($L$1+1),TRUNC((#REF!),8),E2130)</f>
        <v/>
      </c>
      <c r="F2131" s="49">
        <f>TRUNC(((1+VLOOKUP(A2131,IPCA!$A$2:$C$140,3,0)))^(C2131/(EDATE(D2131-C2131,1)-(D2131-C2131))),8)</f>
        <v/>
      </c>
      <c r="G2131" s="49">
        <f>TRUNC((E2131*F2131),8)</f>
        <v/>
      </c>
      <c r="H2131" s="49">
        <f>ROUND(((1+$H$4)^(30/360))^(C2131/(EDATE(D2131-B2131,1)-(D2131-B2131))),9)</f>
        <v/>
      </c>
      <c r="I2131" s="49">
        <f>TRUNC((G2131*H2131-G2131),8)</f>
        <v/>
      </c>
      <c r="J2131" s="49">
        <f>G2131+I2131</f>
        <v/>
      </c>
      <c r="K2131" s="256" t="n"/>
      <c r="L2131" s="256" t="n"/>
      <c r="M2131" s="256" t="n"/>
      <c r="N2131" s="256" t="n"/>
      <c r="O2131" s="256" t="n"/>
      <c r="P2131" s="256" t="n"/>
      <c r="Q2131" s="256" t="n"/>
    </row>
    <row r="2132">
      <c r="A2132">
        <f>IF(DAY(D2132)=DAY($L$1+1),A2131+1,A2131)</f>
        <v/>
      </c>
      <c r="B2132" s="46">
        <f>IF(DAY(D2132)=DAY($L$1+1),1,B2131+1)</f>
        <v/>
      </c>
      <c r="C2132" s="46">
        <f>IF(DAY(D2132)=DAY($L$1+1),1,C2131+1)</f>
        <v/>
      </c>
      <c r="D2132" s="2">
        <f>D2131+1</f>
        <v/>
      </c>
      <c r="E2132" s="8">
        <f>IF(DAY(D2132)=DAY($L$1+1),TRUNC((#REF!),8),E2131)</f>
        <v/>
      </c>
      <c r="F2132" s="49">
        <f>TRUNC(((1+VLOOKUP(A2132,IPCA!$A$2:$C$140,3,0)))^(C2132/(EDATE(D2132-C2132,1)-(D2132-C2132))),8)</f>
        <v/>
      </c>
      <c r="G2132" s="49">
        <f>TRUNC((E2132*F2132),8)</f>
        <v/>
      </c>
      <c r="H2132" s="49">
        <f>ROUND(((1+$H$4)^(30/360))^(C2132/(EDATE(D2132-B2132,1)-(D2132-B2132))),9)</f>
        <v/>
      </c>
      <c r="I2132" s="49">
        <f>TRUNC((G2132*H2132-G2132),8)</f>
        <v/>
      </c>
      <c r="J2132" s="49">
        <f>G2132+I2132</f>
        <v/>
      </c>
      <c r="K2132" s="256" t="n"/>
      <c r="L2132" s="256" t="n"/>
      <c r="M2132" s="256" t="n"/>
      <c r="N2132" s="256" t="n"/>
      <c r="O2132" s="256" t="n"/>
      <c r="P2132" s="256" t="n"/>
      <c r="Q2132" s="256" t="n"/>
    </row>
    <row r="2133">
      <c r="A2133">
        <f>IF(DAY(D2133)=DAY($L$1+1),A2132+1,A2132)</f>
        <v/>
      </c>
      <c r="B2133" s="46">
        <f>IF(DAY(D2133)=DAY($L$1+1),1,B2132+1)</f>
        <v/>
      </c>
      <c r="C2133" s="46">
        <f>IF(DAY(D2133)=DAY($L$1+1),1,C2132+1)</f>
        <v/>
      </c>
      <c r="D2133" s="2">
        <f>D2132+1</f>
        <v/>
      </c>
      <c r="E2133" s="8">
        <f>IF(DAY(D2133)=DAY($L$1+1),TRUNC((#REF!),8),E2132)</f>
        <v/>
      </c>
      <c r="F2133" s="49">
        <f>TRUNC(((1+VLOOKUP(A2133,IPCA!$A$2:$C$140,3,0)))^(C2133/(EDATE(D2133-C2133,1)-(D2133-C2133))),8)</f>
        <v/>
      </c>
      <c r="G2133" s="49">
        <f>TRUNC((E2133*F2133),8)</f>
        <v/>
      </c>
      <c r="H2133" s="49">
        <f>ROUND(((1+$H$4)^(30/360))^(C2133/(EDATE(D2133-B2133,1)-(D2133-B2133))),9)</f>
        <v/>
      </c>
      <c r="I2133" s="49">
        <f>TRUNC((G2133*H2133-G2133),8)</f>
        <v/>
      </c>
      <c r="J2133" s="49">
        <f>G2133+I2133</f>
        <v/>
      </c>
      <c r="K2133" s="256" t="n"/>
      <c r="L2133" s="256" t="n"/>
      <c r="M2133" s="256" t="n"/>
      <c r="N2133" s="256" t="n"/>
      <c r="O2133" s="256" t="n"/>
      <c r="P2133" s="256" t="n"/>
      <c r="Q2133" s="256" t="n"/>
    </row>
    <row r="2134">
      <c r="A2134">
        <f>IF(DAY(D2134)=DAY($L$1+1),A2133+1,A2133)</f>
        <v/>
      </c>
      <c r="B2134" s="46">
        <f>IF(DAY(D2134)=DAY($L$1+1),1,B2133+1)</f>
        <v/>
      </c>
      <c r="C2134" s="46">
        <f>IF(DAY(D2134)=DAY($L$1+1),1,C2133+1)</f>
        <v/>
      </c>
      <c r="D2134" s="2">
        <f>D2133+1</f>
        <v/>
      </c>
      <c r="E2134" s="8">
        <f>IF(DAY(D2134)=DAY($L$1+1),TRUNC((#REF!),8),E2133)</f>
        <v/>
      </c>
      <c r="F2134" s="49">
        <f>TRUNC(((1+VLOOKUP(A2134,IPCA!$A$2:$C$140,3,0)))^(C2134/(EDATE(D2134-C2134,1)-(D2134-C2134))),8)</f>
        <v/>
      </c>
      <c r="G2134" s="49">
        <f>TRUNC((E2134*F2134),8)</f>
        <v/>
      </c>
      <c r="H2134" s="49">
        <f>ROUND(((1+$H$4)^(30/360))^(C2134/(EDATE(D2134-B2134,1)-(D2134-B2134))),9)</f>
        <v/>
      </c>
      <c r="I2134" s="49">
        <f>TRUNC((G2134*H2134-G2134),8)</f>
        <v/>
      </c>
      <c r="J2134" s="49">
        <f>G2134+I2134</f>
        <v/>
      </c>
      <c r="K2134" s="123" t="n"/>
      <c r="L2134" s="271" t="n"/>
      <c r="M2134" s="256" t="n"/>
      <c r="N2134" s="256" t="n"/>
      <c r="O2134" s="256" t="n"/>
      <c r="P2134" s="256" t="n"/>
      <c r="Q2134" s="256" t="n"/>
    </row>
    <row r="2135">
      <c r="A2135">
        <f>IF(DAY(D2135)=DAY($L$1+1),A2134+1,A2134)</f>
        <v/>
      </c>
      <c r="B2135" s="46">
        <f>IF(DAY(D2135)=DAY($L$1+1),1,B2134+1)</f>
        <v/>
      </c>
      <c r="C2135" s="46">
        <f>IF(DAY(D2135)=DAY($L$1+1),1,C2134+1)</f>
        <v/>
      </c>
      <c r="D2135" s="2">
        <f>D2134+1</f>
        <v/>
      </c>
      <c r="E2135" s="8">
        <f>IF(DAY(D2135)=DAY($L$1+1),TRUNC((N2134),8),E2134)</f>
        <v/>
      </c>
      <c r="F2135" s="49">
        <f>TRUNC(((1+VLOOKUP(A2135,IPCA!$A$2:$C$140,3,0)))^(C2135/(EDATE(D2135-C2135,1)-(D2135-C2135))),8)</f>
        <v/>
      </c>
      <c r="G2135" s="49">
        <f>TRUNC((E2135*F2135),8)</f>
        <v/>
      </c>
      <c r="H2135" s="49">
        <f>ROUND(((1+$H$4)^(30/360))^(C2135/(EDATE(D2135-B2135,1)-(D2135-B2135))),9)</f>
        <v/>
      </c>
      <c r="I2135" s="49">
        <f>TRUNC((G2135*H2135-G2135),8)</f>
        <v/>
      </c>
      <c r="J2135" s="49">
        <f>G2135+I2135</f>
        <v/>
      </c>
      <c r="K2135" s="256" t="n"/>
      <c r="L2135" s="256" t="n"/>
      <c r="M2135" s="256" t="n"/>
      <c r="N2135" s="256" t="n"/>
      <c r="O2135" s="256" t="n"/>
      <c r="P2135" s="256" t="n"/>
      <c r="Q2135" s="256" t="n"/>
    </row>
    <row r="2136">
      <c r="A2136">
        <f>IF(DAY(D2136)=DAY($L$1+1),A2135+1,A2135)</f>
        <v/>
      </c>
      <c r="B2136" s="46">
        <f>IF(DAY(D2136)=DAY($L$1+1),1,B2135+1)</f>
        <v/>
      </c>
      <c r="C2136" s="46">
        <f>IF(DAY(D2136)=DAY($L$1+1),1,C2135+1)</f>
        <v/>
      </c>
      <c r="D2136" s="2">
        <f>D2135+1</f>
        <v/>
      </c>
      <c r="E2136" s="8">
        <f>IF(DAY(D2136)=DAY($L$1+1),TRUNC((N2135),8),E2135)</f>
        <v/>
      </c>
      <c r="F2136" s="49">
        <f>TRUNC(((1+VLOOKUP(A2136,IPCA!$A$2:$C$140,3,0)))^(C2136/(EDATE(D2136-C2136,1)-(D2136-C2136))),8)</f>
        <v/>
      </c>
      <c r="G2136" s="49">
        <f>TRUNC((E2136*F2136),8)</f>
        <v/>
      </c>
      <c r="H2136" s="49">
        <f>ROUND(((1+$H$4)^(30/360))^(C2136/(EDATE(D2136-B2136,1)-(D2136-B2136))),9)</f>
        <v/>
      </c>
      <c r="I2136" s="49">
        <f>TRUNC((G2136*H2136-G2136),8)</f>
        <v/>
      </c>
      <c r="J2136" s="49">
        <f>G2136+I2136</f>
        <v/>
      </c>
      <c r="K2136" s="256" t="n"/>
      <c r="L2136" s="256" t="n"/>
      <c r="M2136" s="256" t="n"/>
      <c r="N2136" s="256" t="n"/>
      <c r="O2136" s="256" t="n"/>
      <c r="P2136" s="256" t="n"/>
      <c r="Q2136" s="256" t="n"/>
    </row>
    <row r="2137">
      <c r="A2137">
        <f>IF(DAY(D2137)=DAY($L$1+1),A2136+1,A2136)</f>
        <v/>
      </c>
      <c r="B2137" s="46">
        <f>IF(DAY(D2137)=DAY($L$1+1),1,B2136+1)</f>
        <v/>
      </c>
      <c r="C2137" s="46">
        <f>IF(DAY(D2137)=DAY($L$1+1),1,C2136+1)</f>
        <v/>
      </c>
      <c r="D2137" s="2">
        <f>D2136+1</f>
        <v/>
      </c>
      <c r="E2137" s="8">
        <f>IF(DAY(D2137)=DAY($L$1+1),TRUNC((N2136),8),E2136)</f>
        <v/>
      </c>
      <c r="F2137" s="49">
        <f>TRUNC(((1+VLOOKUP(A2137,IPCA!$A$2:$C$140,3,0)))^(C2137/(EDATE(D2137-C2137,1)-(D2137-C2137))),8)</f>
        <v/>
      </c>
      <c r="G2137" s="49">
        <f>TRUNC((E2137*F2137),8)</f>
        <v/>
      </c>
      <c r="H2137" s="49">
        <f>ROUND(((1+$H$4)^(30/360))^(C2137/(EDATE(D2137-B2137,1)-(D2137-B2137))),9)</f>
        <v/>
      </c>
      <c r="I2137" s="49">
        <f>TRUNC((G2137*H2137-G2137),8)</f>
        <v/>
      </c>
      <c r="J2137" s="49">
        <f>G2137+I2137</f>
        <v/>
      </c>
      <c r="K2137" s="256" t="n"/>
      <c r="L2137" s="256" t="n"/>
      <c r="M2137" s="256" t="n"/>
      <c r="N2137" s="256" t="n"/>
      <c r="O2137" s="256" t="n"/>
      <c r="P2137" s="256" t="n"/>
      <c r="Q2137" s="256" t="n"/>
    </row>
    <row r="2138">
      <c r="A2138">
        <f>IF(DAY(D2138)=DAY($L$1+1),A2137+1,A2137)</f>
        <v/>
      </c>
      <c r="B2138" s="46">
        <f>IF(DAY(D2138)=DAY($L$1+1),1,B2137+1)</f>
        <v/>
      </c>
      <c r="C2138" s="46">
        <f>IF(DAY(D2138)=DAY($L$1+1),1,C2137+1)</f>
        <v/>
      </c>
      <c r="D2138" s="2">
        <f>D2137+1</f>
        <v/>
      </c>
      <c r="E2138" s="8">
        <f>IF(DAY(D2138)=DAY($L$1+1),TRUNC((N2137),8),E2137)</f>
        <v/>
      </c>
      <c r="F2138" s="49">
        <f>TRUNC(((1+VLOOKUP(A2138,IPCA!$A$2:$C$140,3,0)))^(C2138/(EDATE(D2138-C2138,1)-(D2138-C2138))),8)</f>
        <v/>
      </c>
      <c r="G2138" s="49">
        <f>TRUNC((E2138*F2138),8)</f>
        <v/>
      </c>
      <c r="H2138" s="49">
        <f>ROUND(((1+$H$4)^(30/360))^(C2138/(EDATE(D2138-B2138,1)-(D2138-B2138))),9)</f>
        <v/>
      </c>
      <c r="I2138" s="49">
        <f>TRUNC((G2138*H2138-G2138),8)</f>
        <v/>
      </c>
      <c r="J2138" s="49">
        <f>G2138+I2138</f>
        <v/>
      </c>
      <c r="K2138" s="256" t="n"/>
      <c r="L2138" s="256" t="n"/>
      <c r="M2138" s="256" t="n"/>
      <c r="N2138" s="256" t="n"/>
      <c r="O2138" s="256" t="n"/>
      <c r="P2138" s="256" t="n"/>
      <c r="Q2138" s="256" t="n"/>
    </row>
    <row r="2139">
      <c r="A2139">
        <f>IF(DAY(D2139)=DAY($L$1+1),A2138+1,A2138)</f>
        <v/>
      </c>
      <c r="B2139" s="46">
        <f>IF(DAY(D2139)=DAY($L$1+1),1,B2138+1)</f>
        <v/>
      </c>
      <c r="C2139" s="46">
        <f>IF(DAY(D2139)=DAY($L$1+1),1,C2138+1)</f>
        <v/>
      </c>
      <c r="D2139" s="2">
        <f>D2138+1</f>
        <v/>
      </c>
      <c r="E2139" s="8">
        <f>IF(DAY(D2139)=DAY($L$1+1),TRUNC((N2138),8),E2138)</f>
        <v/>
      </c>
      <c r="F2139" s="49">
        <f>TRUNC(((1+VLOOKUP(A2139,IPCA!$A$2:$C$140,3,0)))^(C2139/(EDATE(D2139-C2139,1)-(D2139-C2139))),8)</f>
        <v/>
      </c>
      <c r="G2139" s="49">
        <f>TRUNC((E2139*F2139),8)</f>
        <v/>
      </c>
      <c r="H2139" s="49">
        <f>ROUND(((1+$H$4)^(30/360))^(C2139/(EDATE(D2139-B2139,1)-(D2139-B2139))),9)</f>
        <v/>
      </c>
      <c r="I2139" s="49">
        <f>TRUNC((G2139*H2139-G2139),8)</f>
        <v/>
      </c>
      <c r="J2139" s="49">
        <f>G2139+I2139</f>
        <v/>
      </c>
      <c r="K2139" s="256" t="n"/>
      <c r="L2139" s="256" t="n"/>
      <c r="M2139" s="256" t="n"/>
      <c r="N2139" s="256" t="n"/>
      <c r="O2139" s="256" t="n"/>
      <c r="P2139" s="256" t="n"/>
      <c r="Q2139" s="256" t="n"/>
    </row>
    <row r="2140">
      <c r="A2140">
        <f>IF(DAY(D2140)=DAY($L$1+1),A2139+1,A2139)</f>
        <v/>
      </c>
      <c r="B2140" s="46">
        <f>IF(DAY(D2140)=DAY($L$1+1),1,B2139+1)</f>
        <v/>
      </c>
      <c r="C2140" s="46">
        <f>IF(DAY(D2140)=DAY($L$1+1),1,C2139+1)</f>
        <v/>
      </c>
      <c r="D2140" s="2">
        <f>D2139+1</f>
        <v/>
      </c>
      <c r="E2140" s="8">
        <f>IF(DAY(D2140)=DAY($L$1+1),TRUNC((N2139),8),E2139)</f>
        <v/>
      </c>
      <c r="F2140" s="49">
        <f>TRUNC(((1+VLOOKUP(A2140,IPCA!$A$2:$C$140,3,0)))^(C2140/(EDATE(D2140-C2140,1)-(D2140-C2140))),8)</f>
        <v/>
      </c>
      <c r="G2140" s="49">
        <f>TRUNC((E2140*F2140),8)</f>
        <v/>
      </c>
      <c r="H2140" s="49">
        <f>ROUND(((1+$H$4)^(30/360))^(C2140/(EDATE(D2140-B2140,1)-(D2140-B2140))),9)</f>
        <v/>
      </c>
      <c r="I2140" s="49">
        <f>TRUNC((G2140*H2140-G2140),8)</f>
        <v/>
      </c>
      <c r="J2140" s="49">
        <f>G2140+I2140</f>
        <v/>
      </c>
      <c r="K2140" s="256" t="n"/>
      <c r="L2140" s="256" t="n"/>
      <c r="M2140" s="256" t="n"/>
      <c r="N2140" s="256" t="n"/>
      <c r="O2140" s="256" t="n"/>
      <c r="P2140" s="256" t="n"/>
      <c r="Q2140" s="256" t="n"/>
    </row>
    <row r="2141">
      <c r="A2141">
        <f>IF(DAY(D2141)=DAY($L$1+1),A2140+1,A2140)</f>
        <v/>
      </c>
      <c r="B2141" s="46">
        <f>IF(DAY(D2141)=DAY($L$1+1),1,B2140+1)</f>
        <v/>
      </c>
      <c r="C2141" s="46">
        <f>IF(DAY(D2141)=DAY($L$1+1),1,C2140+1)</f>
        <v/>
      </c>
      <c r="D2141" s="2">
        <f>D2140+1</f>
        <v/>
      </c>
      <c r="E2141" s="8">
        <f>IF(DAY(D2141)=DAY($L$1+1),TRUNC((N2140),8),E2140)</f>
        <v/>
      </c>
      <c r="F2141" s="49">
        <f>TRUNC(((1+VLOOKUP(A2141,IPCA!$A$2:$C$140,3,0)))^(C2141/(EDATE(D2141-C2141,1)-(D2141-C2141))),8)</f>
        <v/>
      </c>
      <c r="G2141" s="49">
        <f>TRUNC((E2141*F2141),8)</f>
        <v/>
      </c>
      <c r="H2141" s="49">
        <f>ROUND(((1+$H$4)^(30/360))^(C2141/(EDATE(D2141-B2141,1)-(D2141-B2141))),9)</f>
        <v/>
      </c>
      <c r="I2141" s="49">
        <f>TRUNC((G2141*H2141-G2141),8)</f>
        <v/>
      </c>
      <c r="J2141" s="49">
        <f>G2141+I2141</f>
        <v/>
      </c>
      <c r="K2141" s="256" t="n"/>
      <c r="L2141" s="256" t="n"/>
      <c r="M2141" s="256" t="n"/>
      <c r="N2141" s="256" t="n"/>
      <c r="O2141" s="256" t="n"/>
      <c r="P2141" s="256" t="n"/>
      <c r="Q2141" s="256" t="n"/>
    </row>
    <row r="2142">
      <c r="A2142">
        <f>IF(DAY(D2142)=DAY($L$1+1),A2141+1,A2141)</f>
        <v/>
      </c>
      <c r="B2142" s="46">
        <f>IF(DAY(D2142)=DAY($L$1+1),1,B2141+1)</f>
        <v/>
      </c>
      <c r="C2142" s="46">
        <f>IF(DAY(D2142)=DAY($L$1+1),1,C2141+1)</f>
        <v/>
      </c>
      <c r="D2142" s="2">
        <f>D2141+1</f>
        <v/>
      </c>
      <c r="E2142" s="8">
        <f>IF(DAY(D2142)=DAY($L$1+1),TRUNC((N2141),8),E2141)</f>
        <v/>
      </c>
      <c r="F2142" s="49">
        <f>TRUNC(((1+VLOOKUP(A2142,IPCA!$A$2:$C$140,3,0)))^(C2142/(EDATE(D2142-C2142,1)-(D2142-C2142))),8)</f>
        <v/>
      </c>
      <c r="G2142" s="49">
        <f>TRUNC((E2142*F2142),8)</f>
        <v/>
      </c>
      <c r="H2142" s="49">
        <f>ROUND(((1+$H$4)^(30/360))^(C2142/(EDATE(D2142-B2142,1)-(D2142-B2142))),9)</f>
        <v/>
      </c>
      <c r="I2142" s="49">
        <f>TRUNC((G2142*H2142-G2142),8)</f>
        <v/>
      </c>
      <c r="J2142" s="49">
        <f>G2142+I2142</f>
        <v/>
      </c>
      <c r="K2142" s="256" t="n"/>
      <c r="L2142" s="256" t="n"/>
      <c r="M2142" s="256" t="n"/>
      <c r="N2142" s="256" t="n"/>
      <c r="O2142" s="256" t="n"/>
      <c r="P2142" s="256" t="n"/>
      <c r="Q2142" s="256" t="n"/>
    </row>
    <row r="2143">
      <c r="A2143">
        <f>IF(DAY(D2143)=DAY($L$1+1),A2142+1,A2142)</f>
        <v/>
      </c>
      <c r="B2143" s="46">
        <f>IF(DAY(D2143)=DAY($L$1+1),1,B2142+1)</f>
        <v/>
      </c>
      <c r="C2143" s="46">
        <f>IF(DAY(D2143)=DAY($L$1+1),1,C2142+1)</f>
        <v/>
      </c>
      <c r="D2143" s="2">
        <f>D2142+1</f>
        <v/>
      </c>
      <c r="E2143" s="8">
        <f>IF(DAY(D2143)=DAY($L$1+1),TRUNC((N2142),8),E2142)</f>
        <v/>
      </c>
      <c r="F2143" s="49">
        <f>TRUNC(((1+VLOOKUP(A2143,IPCA!$A$2:$C$140,3,0)))^(C2143/(EDATE(D2143-C2143,1)-(D2143-C2143))),8)</f>
        <v/>
      </c>
      <c r="G2143" s="49">
        <f>TRUNC((E2143*F2143),8)</f>
        <v/>
      </c>
      <c r="H2143" s="49">
        <f>ROUND(((1+$H$4)^(30/360))^(C2143/(EDATE(D2143-B2143,1)-(D2143-B2143))),9)</f>
        <v/>
      </c>
      <c r="I2143" s="49">
        <f>TRUNC((G2143*H2143-G2143),8)</f>
        <v/>
      </c>
      <c r="J2143" s="49">
        <f>G2143+I2143</f>
        <v/>
      </c>
      <c r="K2143" s="256" t="n"/>
      <c r="L2143" s="256" t="n"/>
      <c r="M2143" s="256" t="n"/>
      <c r="N2143" s="256" t="n"/>
      <c r="O2143" s="256" t="n"/>
      <c r="P2143" s="256" t="n"/>
      <c r="Q2143" s="256" t="n"/>
    </row>
    <row r="2144">
      <c r="A2144">
        <f>IF(DAY(D2144)=DAY($L$1+1),A2143+1,A2143)</f>
        <v/>
      </c>
      <c r="B2144" s="46">
        <f>IF(DAY(D2144)=DAY($L$1+1),1,B2143+1)</f>
        <v/>
      </c>
      <c r="C2144" s="46">
        <f>IF(DAY(D2144)=DAY($L$1+1),1,C2143+1)</f>
        <v/>
      </c>
      <c r="D2144" s="2">
        <f>D2143+1</f>
        <v/>
      </c>
      <c r="E2144" s="8">
        <f>IF(DAY(D2144)=DAY($L$1+1),TRUNC((N2143),8),E2143)</f>
        <v/>
      </c>
      <c r="F2144" s="49">
        <f>TRUNC(((1+VLOOKUP(A2144,IPCA!$A$2:$C$140,3,0)))^(C2144/(EDATE(D2144-C2144,1)-(D2144-C2144))),8)</f>
        <v/>
      </c>
      <c r="G2144" s="49">
        <f>TRUNC((E2144*F2144),8)</f>
        <v/>
      </c>
      <c r="H2144" s="49">
        <f>ROUND(((1+$H$4)^(30/360))^(C2144/(EDATE(D2144-B2144,1)-(D2144-B2144))),9)</f>
        <v/>
      </c>
      <c r="I2144" s="49">
        <f>TRUNC((G2144*H2144-G2144),8)</f>
        <v/>
      </c>
      <c r="J2144" s="49">
        <f>G2144+I2144</f>
        <v/>
      </c>
      <c r="K2144" s="256" t="n"/>
      <c r="L2144" s="256" t="n"/>
      <c r="M2144" s="256" t="n"/>
      <c r="N2144" s="256" t="n"/>
      <c r="O2144" s="256" t="n"/>
      <c r="P2144" s="256" t="n"/>
      <c r="Q2144" s="256" t="n"/>
    </row>
    <row r="2145">
      <c r="A2145">
        <f>IF(DAY(D2145)=DAY($L$1+1),A2144+1,A2144)</f>
        <v/>
      </c>
      <c r="B2145" s="46">
        <f>IF(DAY(D2145)=DAY($L$1+1),1,B2144+1)</f>
        <v/>
      </c>
      <c r="C2145" s="46">
        <f>IF(DAY(D2145)=DAY($L$1+1),1,C2144+1)</f>
        <v/>
      </c>
      <c r="D2145" s="2">
        <f>D2144+1</f>
        <v/>
      </c>
      <c r="E2145" s="8">
        <f>IF(DAY(D2145)=DAY($L$1+1),TRUNC((N2144),8),E2144)</f>
        <v/>
      </c>
      <c r="F2145" s="49">
        <f>TRUNC(((1+VLOOKUP(A2145,IPCA!$A$2:$C$140,3,0)))^(C2145/(EDATE(D2145-C2145,1)-(D2145-C2145))),8)</f>
        <v/>
      </c>
      <c r="G2145" s="49">
        <f>TRUNC((E2145*F2145),8)</f>
        <v/>
      </c>
      <c r="H2145" s="49">
        <f>ROUND(((1+$H$4)^(30/360))^(C2145/(EDATE(D2145-B2145,1)-(D2145-B2145))),9)</f>
        <v/>
      </c>
      <c r="I2145" s="49">
        <f>TRUNC((G2145*H2145-G2145),8)</f>
        <v/>
      </c>
      <c r="J2145" s="49">
        <f>G2145+I2145</f>
        <v/>
      </c>
      <c r="K2145" s="256" t="n"/>
      <c r="L2145" s="256" t="n"/>
      <c r="M2145" s="256" t="n"/>
      <c r="N2145" s="256" t="n"/>
      <c r="O2145" s="256" t="n"/>
      <c r="P2145" s="256" t="n"/>
      <c r="Q2145" s="256" t="n"/>
    </row>
    <row r="2146">
      <c r="A2146">
        <f>IF(DAY(D2146)=DAY($L$1+1),A2145+1,A2145)</f>
        <v/>
      </c>
      <c r="B2146" s="46">
        <f>IF(DAY(D2146)=DAY($L$1+1),1,B2145+1)</f>
        <v/>
      </c>
      <c r="C2146" s="46">
        <f>IF(DAY(D2146)=DAY($L$1+1),1,C2145+1)</f>
        <v/>
      </c>
      <c r="D2146" s="2">
        <f>D2145+1</f>
        <v/>
      </c>
      <c r="E2146" s="8">
        <f>IF(DAY(D2146)=DAY($L$1+1),TRUNC((N2145),8),E2145)</f>
        <v/>
      </c>
      <c r="F2146" s="49">
        <f>TRUNC(((1+VLOOKUP(A2146,IPCA!$A$2:$C$140,3,0)))^(C2146/(EDATE(D2146-C2146,1)-(D2146-C2146))),8)</f>
        <v/>
      </c>
      <c r="G2146" s="49">
        <f>TRUNC((E2146*F2146),8)</f>
        <v/>
      </c>
      <c r="H2146" s="49">
        <f>ROUND(((1+$H$4)^(30/360))^(C2146/(EDATE(D2146-B2146,1)-(D2146-B2146))),9)</f>
        <v/>
      </c>
      <c r="I2146" s="49">
        <f>TRUNC((G2146*H2146-G2146),8)</f>
        <v/>
      </c>
      <c r="J2146" s="49">
        <f>G2146+I2146</f>
        <v/>
      </c>
      <c r="K2146" s="256" t="n"/>
      <c r="L2146" s="256" t="n"/>
      <c r="M2146" s="256" t="n"/>
      <c r="N2146" s="256" t="n"/>
      <c r="O2146" s="256" t="n"/>
      <c r="P2146" s="256" t="n"/>
      <c r="Q2146" s="256" t="n"/>
    </row>
    <row r="2147">
      <c r="A2147">
        <f>IF(DAY(D2147)=DAY($L$1+1),A2146+1,A2146)</f>
        <v/>
      </c>
      <c r="B2147" s="46">
        <f>IF(DAY(D2147)=DAY($L$1+1),1,B2146+1)</f>
        <v/>
      </c>
      <c r="C2147" s="46">
        <f>IF(DAY(D2147)=DAY($L$1+1),1,C2146+1)</f>
        <v/>
      </c>
      <c r="D2147" s="2">
        <f>D2146+1</f>
        <v/>
      </c>
      <c r="E2147" s="8">
        <f>IF(DAY(D2147)=DAY($L$1+1),TRUNC((N2146),8),E2146)</f>
        <v/>
      </c>
      <c r="F2147" s="49">
        <f>TRUNC(((1+VLOOKUP(A2147,IPCA!$A$2:$C$140,3,0)))^(C2147/(EDATE(D2147-C2147,1)-(D2147-C2147))),8)</f>
        <v/>
      </c>
      <c r="G2147" s="49">
        <f>TRUNC((E2147*F2147),8)</f>
        <v/>
      </c>
      <c r="H2147" s="49">
        <f>ROUND(((1+$H$4)^(30/360))^(C2147/(EDATE(D2147-B2147,1)-(D2147-B2147))),9)</f>
        <v/>
      </c>
      <c r="I2147" s="49">
        <f>TRUNC((G2147*H2147-G2147),8)</f>
        <v/>
      </c>
      <c r="J2147" s="49">
        <f>G2147+I2147</f>
        <v/>
      </c>
      <c r="K2147" s="256" t="n"/>
      <c r="L2147" s="256" t="n"/>
      <c r="M2147" s="256" t="n"/>
      <c r="N2147" s="256" t="n"/>
      <c r="O2147" s="256" t="n"/>
      <c r="P2147" s="256" t="n"/>
      <c r="Q2147" s="256" t="n"/>
    </row>
    <row r="2148">
      <c r="A2148">
        <f>IF(DAY(D2148)=DAY($L$1+1),A2147+1,A2147)</f>
        <v/>
      </c>
      <c r="B2148" s="46">
        <f>IF(DAY(D2148)=DAY($L$1+1),1,B2147+1)</f>
        <v/>
      </c>
      <c r="C2148" s="46">
        <f>IF(DAY(D2148)=DAY($L$1+1),1,C2147+1)</f>
        <v/>
      </c>
      <c r="D2148" s="2">
        <f>D2147+1</f>
        <v/>
      </c>
      <c r="E2148" s="8">
        <f>IF(DAY(D2148)=DAY($L$1+1),TRUNC((N2147),8),E2147)</f>
        <v/>
      </c>
      <c r="F2148" s="49">
        <f>TRUNC(((1+VLOOKUP(A2148,IPCA!$A$2:$C$140,3,0)))^(C2148/(EDATE(D2148-C2148,1)-(D2148-C2148))),8)</f>
        <v/>
      </c>
      <c r="G2148" s="49">
        <f>TRUNC((E2148*F2148),8)</f>
        <v/>
      </c>
      <c r="H2148" s="49">
        <f>ROUND(((1+$H$4)^(30/360))^(C2148/(EDATE(D2148-B2148,1)-(D2148-B2148))),9)</f>
        <v/>
      </c>
      <c r="I2148" s="49">
        <f>TRUNC((G2148*H2148-G2148),8)</f>
        <v/>
      </c>
      <c r="J2148" s="49">
        <f>G2148+I2148</f>
        <v/>
      </c>
      <c r="K2148" s="256" t="inlineStr">
        <is>
          <t>Cri Integralizado</t>
        </is>
      </c>
      <c r="L2148" s="270">
        <f>L2118</f>
        <v/>
      </c>
      <c r="M2148" s="256" t="n"/>
      <c r="N2148" s="256" t="n"/>
      <c r="O2148" s="256" t="n"/>
      <c r="P2148" s="256" t="n"/>
      <c r="Q2148" s="256" t="n"/>
    </row>
    <row r="2149">
      <c r="A2149">
        <f>IF(DAY(D2149)=DAY($L$1+1),A2148+1,A2148)</f>
        <v/>
      </c>
      <c r="B2149" s="46">
        <f>IF(DAY(D2149)=DAY($L$1+1),1,B2148+1)</f>
        <v/>
      </c>
      <c r="C2149" s="46">
        <f>IF(DAY(D2149)=DAY($L$1+1),1,C2148+1)</f>
        <v/>
      </c>
      <c r="D2149" s="47">
        <f>D2148+1</f>
        <v/>
      </c>
      <c r="E2149" s="8">
        <f>IF(DAY(D2149)=DAY($L$1+1),TRUNC((N2148),8),E2148)</f>
        <v/>
      </c>
      <c r="F2149" s="49">
        <f>TRUNC(((1+VLOOKUP(A2149,IPCA!$A$2:$C$140,3,0)))^(C2149/(EDATE(D2149-C2149,1)-(D2149-C2149))),8)</f>
        <v/>
      </c>
      <c r="G2149" s="49">
        <f>TRUNC((E2149*F2149),8)</f>
        <v/>
      </c>
      <c r="H2149" s="49">
        <f>ROUND(((1+$H$4)^(30/360))^(C2149/(EDATE(D2149-B2149,1)-(D2149-B2149))),9)</f>
        <v/>
      </c>
      <c r="I2149" s="49">
        <f>TRUNC((G2149*H2149-G2149),8)</f>
        <v/>
      </c>
      <c r="J2149" s="49">
        <f>G2149+I2149</f>
        <v/>
      </c>
      <c r="K2149" s="118" t="inlineStr">
        <is>
          <t>JUROS</t>
        </is>
      </c>
      <c r="L2149" s="118" t="inlineStr">
        <is>
          <t>AMORTIZAÇÃO</t>
        </is>
      </c>
      <c r="M2149" s="118" t="inlineStr">
        <is>
          <t>AMEX</t>
        </is>
      </c>
      <c r="N2149" s="118" t="inlineStr">
        <is>
          <t>RESIDUAL</t>
        </is>
      </c>
      <c r="O2149" s="256" t="n"/>
      <c r="P2149" s="256" t="n"/>
      <c r="Q2149" s="256" t="n"/>
    </row>
    <row r="2150">
      <c r="A2150">
        <f>IF(DAY(D2150)=DAY($L$1+1),A2149+1,A2149)</f>
        <v/>
      </c>
      <c r="B2150" s="111">
        <f>IF(DAY(D2150)=DAY($L$1+1),1,B2149+1)</f>
        <v/>
      </c>
      <c r="C2150" s="111">
        <f>IF(DAY(D2150)=DAY($L$1+1),1,C2149+1)</f>
        <v/>
      </c>
      <c r="D2150" s="112">
        <f>D2149+1</f>
        <v/>
      </c>
      <c r="E2150" s="113">
        <f>IF(DAY(D2150)=DAY($L$1+1),TRUNC((N2149),8),E2149)</f>
        <v/>
      </c>
      <c r="F2150" s="114">
        <f>TRUNC(((1+VLOOKUP(A2150,IPCA!$A$2:$C$140,3,0)))^(C2150/(EDATE(D2150-C2150,1)-(D2150-C2150))),8)</f>
        <v/>
      </c>
      <c r="G2150" s="114">
        <f>TRUNC((E2150*F2150),8)</f>
        <v/>
      </c>
      <c r="H2150" s="114">
        <f>ROUND(((1+$H$4)^(30/360))^(C2150/(EDATE(D2150-B2150,1)-(D2150-B2150))),9)</f>
        <v/>
      </c>
      <c r="I2150" s="114">
        <f>TRUNC((G2150*H2150-G2150),8)</f>
        <v/>
      </c>
      <c r="J2150" s="114">
        <f>G2150+I2150</f>
        <v/>
      </c>
      <c r="K2150" s="119">
        <f>I2150</f>
        <v/>
      </c>
      <c r="L2150" s="120">
        <f>TRUNC(G2150*VLOOKUP(D2150,'Amort TS'!$G$3:$H$140,2,0),8)</f>
        <v/>
      </c>
      <c r="M2150" s="120" t="n">
        <v>0</v>
      </c>
      <c r="N2150" s="120">
        <f>J2150-K2150-L2150-M2150</f>
        <v/>
      </c>
      <c r="O2150" s="256" t="n"/>
      <c r="P2150" s="256" t="n"/>
      <c r="Q2150" s="256" t="n"/>
    </row>
    <row r="2151">
      <c r="A2151">
        <f>IF(DAY(D2151)=DAY($L$1+1),A2150+1,A2150)</f>
        <v/>
      </c>
      <c r="B2151" s="46">
        <f>IF(DAY(D2151)=DAY($L$1+1),1,B2150+1)</f>
        <v/>
      </c>
      <c r="C2151" s="46">
        <f>IF(DAY(D2151)=DAY($L$1+1),1,C2150+1)</f>
        <v/>
      </c>
      <c r="D2151" s="2">
        <f>D2150+1</f>
        <v/>
      </c>
      <c r="E2151" s="8">
        <f>IF(DAY(D2151)=DAY($L$1+1),TRUNC((N2150),8),E2150)</f>
        <v/>
      </c>
      <c r="F2151" s="49">
        <f>TRUNC(((1+VLOOKUP(A2151,IPCA!$A$2:$C$140,3,0)))^(C2151/(EDATE(D2151-C2151,1)-(D2151-C2151))),8)</f>
        <v/>
      </c>
      <c r="G2151" s="49">
        <f>TRUNC((E2151*F2151),8)</f>
        <v/>
      </c>
      <c r="H2151" s="49">
        <f>ROUND(((1+$H$4)^(30/360))^(C2151/(EDATE(D2151-B2151,1)-(D2151-B2151))),9)</f>
        <v/>
      </c>
      <c r="I2151" s="49">
        <f>TRUNC((G2151*H2151-G2151),8)</f>
        <v/>
      </c>
      <c r="J2151" s="49">
        <f>G2151+I2151</f>
        <v/>
      </c>
      <c r="K2151" s="121">
        <f>K2150*L2148</f>
        <v/>
      </c>
      <c r="L2151" s="121">
        <f>L2150*L2148</f>
        <v/>
      </c>
      <c r="M2151" s="121">
        <f>M2150*L2148</f>
        <v/>
      </c>
      <c r="N2151" s="121">
        <f>N2150*L2148</f>
        <v/>
      </c>
      <c r="O2151" s="256" t="n"/>
      <c r="P2151" s="256" t="n"/>
      <c r="Q2151" s="256" t="n"/>
    </row>
    <row r="2152">
      <c r="A2152">
        <f>IF(DAY(D2152)=DAY($L$1+1),A2151+1,A2151)</f>
        <v/>
      </c>
      <c r="B2152" s="46">
        <f>IF(DAY(D2152)=DAY($L$1+1),1,B2151+1)</f>
        <v/>
      </c>
      <c r="C2152" s="46">
        <f>IF(DAY(D2152)=DAY($L$1+1),1,C2151+1)</f>
        <v/>
      </c>
      <c r="D2152" s="47">
        <f>D2151+1</f>
        <v/>
      </c>
      <c r="E2152" s="8">
        <f>IF(DAY(D2152)=DAY($L$1+1),TRUNC((N2151),8),E2151)</f>
        <v/>
      </c>
      <c r="F2152" s="49">
        <f>TRUNC(((1+VLOOKUP(A2152,IPCA!$A$2:$C$140,3,0)))^(C2152/(EDATE(D2152-C2152,1)-(D2152-C2152))),8)</f>
        <v/>
      </c>
      <c r="G2152" s="49">
        <f>TRUNC((E2152*F2152),8)</f>
        <v/>
      </c>
      <c r="H2152" s="49">
        <f>ROUND(((1+$H$4)^(30/360))^(C2152/(EDATE(D2152-B2152,1)-(D2152-B2152))),9)</f>
        <v/>
      </c>
      <c r="I2152" s="49">
        <f>TRUNC((G2152*H2152-G2152),8)</f>
        <v/>
      </c>
      <c r="J2152" s="49">
        <f>G2152+I2152</f>
        <v/>
      </c>
      <c r="K2152" s="256" t="n"/>
      <c r="L2152" s="256" t="n"/>
      <c r="M2152" s="256" t="n"/>
      <c r="N2152" s="256" t="n"/>
      <c r="O2152" s="256" t="n"/>
      <c r="P2152" s="256" t="n"/>
      <c r="Q2152" s="256" t="n"/>
    </row>
    <row r="2153">
      <c r="A2153">
        <f>IF(DAY(D2153)=DAY($L$1+1),A2152+1,A2152)</f>
        <v/>
      </c>
      <c r="B2153" s="46">
        <f>IF(DAY(D2153)=DAY($L$1+1),1,B2152+1)</f>
        <v/>
      </c>
      <c r="C2153" s="46">
        <f>IF(DAY(D2153)=DAY($L$1+1),1,C2152+1)</f>
        <v/>
      </c>
      <c r="D2153" s="2">
        <f>D2152+1</f>
        <v/>
      </c>
      <c r="E2153" s="8">
        <f>IF(DAY(D2153)=DAY($L$1+1),TRUNC((#REF!),8),E2152)</f>
        <v/>
      </c>
      <c r="F2153" s="49">
        <f>TRUNC(((1+VLOOKUP(A2153,IPCA!$A$2:$C$140,3,0)))^(C2153/(EDATE(D2153-C2153,1)-(D2153-C2153))),8)</f>
        <v/>
      </c>
      <c r="G2153" s="49">
        <f>TRUNC((E2153*F2153),8)</f>
        <v/>
      </c>
      <c r="H2153" s="49">
        <f>ROUND(((1+$H$4)^(30/360))^(C2153/(EDATE(D2153-B2153,1)-(D2153-B2153))),9)</f>
        <v/>
      </c>
      <c r="I2153" s="49">
        <f>TRUNC((G2153*H2153-G2153),8)</f>
        <v/>
      </c>
      <c r="J2153" s="49">
        <f>G2153+I2153</f>
        <v/>
      </c>
      <c r="K2153" s="256" t="n"/>
      <c r="L2153" s="256" t="n"/>
      <c r="M2153" s="256" t="n"/>
      <c r="N2153" s="256" t="n"/>
      <c r="O2153" s="256" t="n"/>
      <c r="P2153" s="256" t="n"/>
      <c r="Q2153" s="256" t="n"/>
    </row>
    <row r="2154">
      <c r="A2154">
        <f>IF(DAY(D2154)=DAY($L$1+1),A2153+1,A2153)</f>
        <v/>
      </c>
      <c r="B2154" s="46">
        <f>IF(DAY(D2154)=DAY($L$1+1),1,B2153+1)</f>
        <v/>
      </c>
      <c r="C2154" s="46">
        <f>IF(DAY(D2154)=DAY($L$1+1),1,C2153+1)</f>
        <v/>
      </c>
      <c r="D2154" s="2">
        <f>D2153+1</f>
        <v/>
      </c>
      <c r="E2154" s="8">
        <f>IF(DAY(D2154)=DAY($L$1+1),TRUNC((#REF!),8),E2153)</f>
        <v/>
      </c>
      <c r="F2154" s="49">
        <f>TRUNC(((1+VLOOKUP(A2154,IPCA!$A$2:$C$140,3,0)))^(C2154/(EDATE(D2154-C2154,1)-(D2154-C2154))),8)</f>
        <v/>
      </c>
      <c r="G2154" s="49">
        <f>TRUNC((E2154*F2154),8)</f>
        <v/>
      </c>
      <c r="H2154" s="49">
        <f>ROUND(((1+$H$4)^(30/360))^(C2154/(EDATE(D2154-B2154,1)-(D2154-B2154))),9)</f>
        <v/>
      </c>
      <c r="I2154" s="49">
        <f>TRUNC((G2154*H2154-G2154),8)</f>
        <v/>
      </c>
      <c r="J2154" s="49">
        <f>G2154+I2154</f>
        <v/>
      </c>
      <c r="K2154" s="256" t="n"/>
      <c r="L2154" s="256" t="n"/>
      <c r="M2154" s="256" t="n"/>
      <c r="N2154" s="256" t="n"/>
      <c r="O2154" s="256" t="n"/>
      <c r="P2154" s="256" t="n"/>
      <c r="Q2154" s="256" t="n"/>
    </row>
    <row r="2155">
      <c r="A2155">
        <f>IF(DAY(D2155)=DAY($L$1+1),A2154+1,A2154)</f>
        <v/>
      </c>
      <c r="B2155" s="46">
        <f>IF(DAY(D2155)=DAY($L$1+1),1,B2154+1)</f>
        <v/>
      </c>
      <c r="C2155" s="46">
        <f>IF(DAY(D2155)=DAY($L$1+1),1,C2154+1)</f>
        <v/>
      </c>
      <c r="D2155" s="2">
        <f>D2154+1</f>
        <v/>
      </c>
      <c r="E2155" s="8">
        <f>IF(DAY(D2155)=DAY($L$1+1),TRUNC((#REF!),8),E2154)</f>
        <v/>
      </c>
      <c r="F2155" s="49">
        <f>TRUNC(((1+VLOOKUP(A2155,IPCA!$A$2:$C$140,3,0)))^(C2155/(EDATE(D2155-C2155,1)-(D2155-C2155))),8)</f>
        <v/>
      </c>
      <c r="G2155" s="49">
        <f>TRUNC((E2155*F2155),8)</f>
        <v/>
      </c>
      <c r="H2155" s="49">
        <f>ROUND(((1+$H$4)^(30/360))^(C2155/(EDATE(D2155-B2155,1)-(D2155-B2155))),9)</f>
        <v/>
      </c>
      <c r="I2155" s="49">
        <f>TRUNC((G2155*H2155-G2155),8)</f>
        <v/>
      </c>
      <c r="J2155" s="49">
        <f>G2155+I2155</f>
        <v/>
      </c>
      <c r="K2155" s="256" t="n"/>
      <c r="L2155" s="256" t="n"/>
      <c r="M2155" s="256" t="n"/>
      <c r="N2155" s="256" t="n"/>
      <c r="O2155" s="256" t="n"/>
      <c r="P2155" s="256" t="n"/>
      <c r="Q2155" s="256" t="n"/>
    </row>
    <row r="2156">
      <c r="A2156">
        <f>IF(DAY(D2156)=DAY($L$1+1),A2155+1,A2155)</f>
        <v/>
      </c>
      <c r="B2156" s="46">
        <f>IF(DAY(D2156)=DAY($L$1+1),1,B2155+1)</f>
        <v/>
      </c>
      <c r="C2156" s="46">
        <f>IF(DAY(D2156)=DAY($L$1+1),1,C2155+1)</f>
        <v/>
      </c>
      <c r="D2156" s="2">
        <f>D2155+1</f>
        <v/>
      </c>
      <c r="E2156" s="8">
        <f>IF(DAY(D2156)=DAY($L$1+1),TRUNC((#REF!),8),E2155)</f>
        <v/>
      </c>
      <c r="F2156" s="49">
        <f>TRUNC(((1+VLOOKUP(A2156,IPCA!$A$2:$C$140,3,0)))^(C2156/(EDATE(D2156-C2156,1)-(D2156-C2156))),8)</f>
        <v/>
      </c>
      <c r="G2156" s="49">
        <f>TRUNC((E2156*F2156),8)</f>
        <v/>
      </c>
      <c r="H2156" s="49">
        <f>ROUND(((1+$H$4)^(30/360))^(C2156/(EDATE(D2156-B2156,1)-(D2156-B2156))),9)</f>
        <v/>
      </c>
      <c r="I2156" s="49">
        <f>TRUNC((G2156*H2156-G2156),8)</f>
        <v/>
      </c>
      <c r="J2156" s="49">
        <f>G2156+I2156</f>
        <v/>
      </c>
      <c r="K2156" s="256" t="n"/>
      <c r="L2156" s="256" t="n"/>
      <c r="M2156" s="256" t="n"/>
      <c r="N2156" s="256" t="n"/>
      <c r="O2156" s="256" t="n"/>
      <c r="P2156" s="256" t="n"/>
      <c r="Q2156" s="256" t="n"/>
    </row>
    <row r="2157">
      <c r="A2157">
        <f>IF(DAY(D2157)=DAY($L$1+1),A2156+1,A2156)</f>
        <v/>
      </c>
      <c r="B2157" s="46">
        <f>IF(DAY(D2157)=DAY($L$1+1),1,B2156+1)</f>
        <v/>
      </c>
      <c r="C2157" s="46">
        <f>IF(DAY(D2157)=DAY($L$1+1),1,C2156+1)</f>
        <v/>
      </c>
      <c r="D2157" s="2">
        <f>D2156+1</f>
        <v/>
      </c>
      <c r="E2157" s="8">
        <f>IF(DAY(D2157)=DAY($L$1+1),TRUNC((#REF!),8),E2156)</f>
        <v/>
      </c>
      <c r="F2157" s="49">
        <f>TRUNC(((1+VLOOKUP(A2157,IPCA!$A$2:$C$140,3,0)))^(C2157/(EDATE(D2157-C2157,1)-(D2157-C2157))),8)</f>
        <v/>
      </c>
      <c r="G2157" s="49">
        <f>TRUNC((E2157*F2157),8)</f>
        <v/>
      </c>
      <c r="H2157" s="49">
        <f>ROUND(((1+$H$4)^(30/360))^(C2157/(EDATE(D2157-B2157,1)-(D2157-B2157))),9)</f>
        <v/>
      </c>
      <c r="I2157" s="49">
        <f>TRUNC((G2157*H2157-G2157),8)</f>
        <v/>
      </c>
      <c r="J2157" s="49">
        <f>G2157+I2157</f>
        <v/>
      </c>
      <c r="K2157" s="256" t="n"/>
      <c r="L2157" s="256" t="n"/>
      <c r="M2157" s="256" t="n"/>
      <c r="N2157" s="256" t="n"/>
      <c r="O2157" s="256" t="n"/>
      <c r="P2157" s="256" t="n"/>
      <c r="Q2157" s="256" t="n"/>
    </row>
    <row r="2158">
      <c r="A2158">
        <f>IF(DAY(D2158)=DAY($L$1+1),A2157+1,A2157)</f>
        <v/>
      </c>
      <c r="B2158" s="46">
        <f>IF(DAY(D2158)=DAY($L$1+1),1,B2157+1)</f>
        <v/>
      </c>
      <c r="C2158" s="46">
        <f>IF(DAY(D2158)=DAY($L$1+1),1,C2157+1)</f>
        <v/>
      </c>
      <c r="D2158" s="2">
        <f>D2157+1</f>
        <v/>
      </c>
      <c r="E2158" s="8">
        <f>IF(DAY(D2158)=DAY($L$1+1),TRUNC((#REF!),8),E2157)</f>
        <v/>
      </c>
      <c r="F2158" s="49">
        <f>TRUNC(((1+VLOOKUP(A2158,IPCA!$A$2:$C$140,3,0)))^(C2158/(EDATE(D2158-C2158,1)-(D2158-C2158))),8)</f>
        <v/>
      </c>
      <c r="G2158" s="49">
        <f>TRUNC((E2158*F2158),8)</f>
        <v/>
      </c>
      <c r="H2158" s="49">
        <f>ROUND(((1+$H$4)^(30/360))^(C2158/(EDATE(D2158-B2158,1)-(D2158-B2158))),9)</f>
        <v/>
      </c>
      <c r="I2158" s="49">
        <f>TRUNC((G2158*H2158-G2158),8)</f>
        <v/>
      </c>
      <c r="J2158" s="49">
        <f>G2158+I2158</f>
        <v/>
      </c>
      <c r="K2158" s="256" t="n"/>
      <c r="L2158" s="256" t="n"/>
      <c r="M2158" s="256" t="n"/>
      <c r="N2158" s="256" t="n"/>
      <c r="O2158" s="256" t="n"/>
      <c r="P2158" s="256" t="n"/>
      <c r="Q2158" s="256" t="n"/>
    </row>
    <row r="2159">
      <c r="A2159">
        <f>IF(DAY(D2159)=DAY($L$1+1),A2158+1,A2158)</f>
        <v/>
      </c>
      <c r="B2159" s="46">
        <f>IF(DAY(D2159)=DAY($L$1+1),1,B2158+1)</f>
        <v/>
      </c>
      <c r="C2159" s="46">
        <f>IF(DAY(D2159)=DAY($L$1+1),1,C2158+1)</f>
        <v/>
      </c>
      <c r="D2159" s="2">
        <f>D2158+1</f>
        <v/>
      </c>
      <c r="E2159" s="8">
        <f>IF(DAY(D2159)=DAY($L$1+1),TRUNC((#REF!),8),E2158)</f>
        <v/>
      </c>
      <c r="F2159" s="49">
        <f>TRUNC(((1+VLOOKUP(A2159,IPCA!$A$2:$C$140,3,0)))^(C2159/(EDATE(D2159-C2159,1)-(D2159-C2159))),8)</f>
        <v/>
      </c>
      <c r="G2159" s="49">
        <f>TRUNC((E2159*F2159),8)</f>
        <v/>
      </c>
      <c r="H2159" s="49">
        <f>ROUND(((1+$H$4)^(30/360))^(C2159/(EDATE(D2159-B2159,1)-(D2159-B2159))),9)</f>
        <v/>
      </c>
      <c r="I2159" s="49">
        <f>TRUNC((G2159*H2159-G2159),8)</f>
        <v/>
      </c>
      <c r="J2159" s="49">
        <f>G2159+I2159</f>
        <v/>
      </c>
      <c r="K2159" s="256" t="n"/>
      <c r="L2159" s="256" t="n"/>
      <c r="M2159" s="256" t="n"/>
      <c r="N2159" s="256" t="n"/>
      <c r="O2159" s="256" t="n"/>
      <c r="P2159" s="256" t="n"/>
      <c r="Q2159" s="256" t="n"/>
    </row>
    <row r="2160">
      <c r="A2160">
        <f>IF(DAY(D2160)=DAY($L$1+1),A2159+1,A2159)</f>
        <v/>
      </c>
      <c r="B2160" s="46">
        <f>IF(DAY(D2160)=DAY($L$1+1),1,B2159+1)</f>
        <v/>
      </c>
      <c r="C2160" s="46">
        <f>IF(DAY(D2160)=DAY($L$1+1),1,C2159+1)</f>
        <v/>
      </c>
      <c r="D2160" s="2">
        <f>D2159+1</f>
        <v/>
      </c>
      <c r="E2160" s="8">
        <f>IF(DAY(D2160)=DAY($L$1+1),TRUNC((#REF!),8),E2159)</f>
        <v/>
      </c>
      <c r="F2160" s="49">
        <f>TRUNC(((1+VLOOKUP(A2160,IPCA!$A$2:$C$140,3,0)))^(C2160/(EDATE(D2160-C2160,1)-(D2160-C2160))),8)</f>
        <v/>
      </c>
      <c r="G2160" s="49">
        <f>TRUNC((E2160*F2160),8)</f>
        <v/>
      </c>
      <c r="H2160" s="49">
        <f>ROUND(((1+$H$4)^(30/360))^(C2160/(EDATE(D2160-B2160,1)-(D2160-B2160))),9)</f>
        <v/>
      </c>
      <c r="I2160" s="49">
        <f>TRUNC((G2160*H2160-G2160),8)</f>
        <v/>
      </c>
      <c r="J2160" s="49">
        <f>G2160+I2160</f>
        <v/>
      </c>
      <c r="K2160" s="256" t="n"/>
      <c r="L2160" s="256" t="n"/>
      <c r="M2160" s="256" t="n"/>
      <c r="N2160" s="256" t="n"/>
      <c r="O2160" s="256" t="n"/>
      <c r="P2160" s="256" t="n"/>
      <c r="Q2160" s="256" t="n"/>
    </row>
    <row r="2161">
      <c r="A2161">
        <f>IF(DAY(D2161)=DAY($L$1+1),A2160+1,A2160)</f>
        <v/>
      </c>
      <c r="B2161" s="46">
        <f>IF(DAY(D2161)=DAY($L$1+1),1,B2160+1)</f>
        <v/>
      </c>
      <c r="C2161" s="46">
        <f>IF(DAY(D2161)=DAY($L$1+1),1,C2160+1)</f>
        <v/>
      </c>
      <c r="D2161" s="2">
        <f>D2160+1</f>
        <v/>
      </c>
      <c r="E2161" s="8">
        <f>IF(DAY(D2161)=DAY($L$1+1),TRUNC((#REF!),8),E2160)</f>
        <v/>
      </c>
      <c r="F2161" s="49">
        <f>TRUNC(((1+VLOOKUP(A2161,IPCA!$A$2:$C$140,3,0)))^(C2161/(EDATE(D2161-C2161,1)-(D2161-C2161))),8)</f>
        <v/>
      </c>
      <c r="G2161" s="49">
        <f>TRUNC((E2161*F2161),8)</f>
        <v/>
      </c>
      <c r="H2161" s="49">
        <f>ROUND(((1+$H$4)^(30/360))^(C2161/(EDATE(D2161-B2161,1)-(D2161-B2161))),9)</f>
        <v/>
      </c>
      <c r="I2161" s="49">
        <f>TRUNC((G2161*H2161-G2161),8)</f>
        <v/>
      </c>
      <c r="J2161" s="49">
        <f>G2161+I2161</f>
        <v/>
      </c>
      <c r="K2161" s="256" t="n"/>
      <c r="L2161" s="256" t="n"/>
      <c r="M2161" s="256" t="n"/>
      <c r="N2161" s="256" t="n"/>
      <c r="O2161" s="256" t="n"/>
      <c r="P2161" s="256" t="n"/>
      <c r="Q2161" s="256" t="n"/>
    </row>
    <row r="2162">
      <c r="A2162">
        <f>IF(DAY(D2162)=DAY($L$1+1),A2161+1,A2161)</f>
        <v/>
      </c>
      <c r="B2162" s="46">
        <f>IF(DAY(D2162)=DAY($L$1+1),1,B2161+1)</f>
        <v/>
      </c>
      <c r="C2162" s="46">
        <f>IF(DAY(D2162)=DAY($L$1+1),1,C2161+1)</f>
        <v/>
      </c>
      <c r="D2162" s="2">
        <f>D2161+1</f>
        <v/>
      </c>
      <c r="E2162" s="8">
        <f>IF(DAY(D2162)=DAY($L$1+1),TRUNC((#REF!),8),E2161)</f>
        <v/>
      </c>
      <c r="F2162" s="49">
        <f>TRUNC(((1+VLOOKUP(A2162,IPCA!$A$2:$C$140,3,0)))^(C2162/(EDATE(D2162-C2162,1)-(D2162-C2162))),8)</f>
        <v/>
      </c>
      <c r="G2162" s="49">
        <f>TRUNC((E2162*F2162),8)</f>
        <v/>
      </c>
      <c r="H2162" s="49">
        <f>ROUND(((1+$H$4)^(30/360))^(C2162/(EDATE(D2162-B2162,1)-(D2162-B2162))),9)</f>
        <v/>
      </c>
      <c r="I2162" s="49">
        <f>TRUNC((G2162*H2162-G2162),8)</f>
        <v/>
      </c>
      <c r="J2162" s="49">
        <f>G2162+I2162</f>
        <v/>
      </c>
      <c r="K2162" s="256" t="n"/>
      <c r="L2162" s="256" t="n"/>
      <c r="M2162" s="256" t="n"/>
      <c r="N2162" s="256" t="n"/>
      <c r="O2162" s="256" t="n"/>
      <c r="P2162" s="256" t="n"/>
      <c r="Q2162" s="256" t="n"/>
    </row>
    <row r="2163">
      <c r="A2163">
        <f>IF(DAY(D2163)=DAY($L$1+1),A2162+1,A2162)</f>
        <v/>
      </c>
      <c r="B2163" s="46">
        <f>IF(DAY(D2163)=DAY($L$1+1),1,B2162+1)</f>
        <v/>
      </c>
      <c r="C2163" s="46">
        <f>IF(DAY(D2163)=DAY($L$1+1),1,C2162+1)</f>
        <v/>
      </c>
      <c r="D2163" s="2">
        <f>D2162+1</f>
        <v/>
      </c>
      <c r="E2163" s="8">
        <f>IF(DAY(D2163)=DAY($L$1+1),TRUNC((#REF!),8),E2162)</f>
        <v/>
      </c>
      <c r="F2163" s="49">
        <f>TRUNC(((1+VLOOKUP(A2163,IPCA!$A$2:$C$140,3,0)))^(C2163/(EDATE(D2163-C2163,1)-(D2163-C2163))),8)</f>
        <v/>
      </c>
      <c r="G2163" s="49">
        <f>TRUNC((E2163*F2163),8)</f>
        <v/>
      </c>
      <c r="H2163" s="49">
        <f>ROUND(((1+$H$4)^(30/360))^(C2163/(EDATE(D2163-B2163,1)-(D2163-B2163))),9)</f>
        <v/>
      </c>
      <c r="I2163" s="49">
        <f>TRUNC((G2163*H2163-G2163),8)</f>
        <v/>
      </c>
      <c r="J2163" s="49">
        <f>G2163+I2163</f>
        <v/>
      </c>
      <c r="K2163" s="256" t="n"/>
      <c r="L2163" s="256" t="n"/>
      <c r="M2163" s="256" t="n"/>
      <c r="N2163" s="256" t="n"/>
      <c r="O2163" s="256" t="n"/>
      <c r="P2163" s="256" t="n"/>
      <c r="Q2163" s="256" t="n"/>
    </row>
    <row r="2164">
      <c r="A2164">
        <f>IF(DAY(D2164)=DAY($L$1+1),A2163+1,A2163)</f>
        <v/>
      </c>
      <c r="B2164" s="46">
        <f>IF(DAY(D2164)=DAY($L$1+1),1,B2163+1)</f>
        <v/>
      </c>
      <c r="C2164" s="46">
        <f>IF(DAY(D2164)=DAY($L$1+1),1,C2163+1)</f>
        <v/>
      </c>
      <c r="D2164" s="2">
        <f>D2163+1</f>
        <v/>
      </c>
      <c r="E2164" s="8">
        <f>IF(DAY(D2164)=DAY($L$1+1),TRUNC((#REF!),8),E2163)</f>
        <v/>
      </c>
      <c r="F2164" s="49">
        <f>TRUNC(((1+VLOOKUP(A2164,IPCA!$A$2:$C$140,3,0)))^(C2164/(EDATE(D2164-C2164,1)-(D2164-C2164))),8)</f>
        <v/>
      </c>
      <c r="G2164" s="49">
        <f>TRUNC((E2164*F2164),8)</f>
        <v/>
      </c>
      <c r="H2164" s="49">
        <f>ROUND(((1+$H$4)^(30/360))^(C2164/(EDATE(D2164-B2164,1)-(D2164-B2164))),9)</f>
        <v/>
      </c>
      <c r="I2164" s="49">
        <f>TRUNC((G2164*H2164-G2164),8)</f>
        <v/>
      </c>
      <c r="J2164" s="49">
        <f>G2164+I2164</f>
        <v/>
      </c>
      <c r="K2164" s="256" t="n"/>
      <c r="L2164" s="256" t="n"/>
      <c r="M2164" s="256" t="n"/>
      <c r="N2164" s="256" t="n"/>
      <c r="O2164" s="256" t="n"/>
      <c r="P2164" s="256" t="n"/>
      <c r="Q2164" s="256" t="n"/>
    </row>
    <row r="2165">
      <c r="A2165">
        <f>IF(DAY(D2165)=DAY($L$1+1),A2164+1,A2164)</f>
        <v/>
      </c>
      <c r="B2165" s="46">
        <f>IF(DAY(D2165)=DAY($L$1+1),1,B2164+1)</f>
        <v/>
      </c>
      <c r="C2165" s="46">
        <f>IF(DAY(D2165)=DAY($L$1+1),1,C2164+1)</f>
        <v/>
      </c>
      <c r="D2165" s="2">
        <f>D2164+1</f>
        <v/>
      </c>
      <c r="E2165" s="8">
        <f>IF(DAY(D2165)=DAY($L$1+1),TRUNC((N2164),8),E2164)</f>
        <v/>
      </c>
      <c r="F2165" s="49">
        <f>TRUNC(((1+VLOOKUP(A2165,IPCA!$A$2:$C$140,3,0)))^(C2165/(EDATE(D2165-C2165,1)-(D2165-C2165))),8)</f>
        <v/>
      </c>
      <c r="G2165" s="49">
        <f>TRUNC((E2165*F2165),8)</f>
        <v/>
      </c>
      <c r="H2165" s="49">
        <f>ROUND(((1+$H$4)^(30/360))^(C2165/(EDATE(D2165-B2165,1)-(D2165-B2165))),9)</f>
        <v/>
      </c>
      <c r="I2165" s="49">
        <f>TRUNC((G2165*H2165-G2165),8)</f>
        <v/>
      </c>
      <c r="J2165" s="49">
        <f>G2165+I2165</f>
        <v/>
      </c>
      <c r="K2165" s="123" t="n"/>
      <c r="L2165" s="271" t="n"/>
      <c r="M2165" s="256" t="n"/>
      <c r="N2165" s="256" t="n"/>
      <c r="O2165" s="256" t="n"/>
      <c r="P2165" s="256" t="n"/>
      <c r="Q2165" s="256" t="n"/>
    </row>
    <row r="2166">
      <c r="A2166">
        <f>IF(DAY(D2166)=DAY($L$1+1),A2165+1,A2165)</f>
        <v/>
      </c>
      <c r="B2166" s="46">
        <f>IF(DAY(D2166)=DAY($L$1+1),1,B2165+1)</f>
        <v/>
      </c>
      <c r="C2166" s="46">
        <f>IF(DAY(D2166)=DAY($L$1+1),1,C2165+1)</f>
        <v/>
      </c>
      <c r="D2166" s="2">
        <f>D2165+1</f>
        <v/>
      </c>
      <c r="E2166" s="8">
        <f>IF(DAY(D2166)=DAY($L$1+1),TRUNC((N2165),8),E2165)</f>
        <v/>
      </c>
      <c r="F2166" s="49">
        <f>TRUNC(((1+VLOOKUP(A2166,IPCA!$A$2:$C$140,3,0)))^(C2166/(EDATE(D2166-C2166,1)-(D2166-C2166))),8)</f>
        <v/>
      </c>
      <c r="G2166" s="49">
        <f>TRUNC((E2166*F2166),8)</f>
        <v/>
      </c>
      <c r="H2166" s="49">
        <f>ROUND(((1+$H$4)^(30/360))^(C2166/(EDATE(D2166-B2166,1)-(D2166-B2166))),9)</f>
        <v/>
      </c>
      <c r="I2166" s="49">
        <f>TRUNC((G2166*H2166-G2166),8)</f>
        <v/>
      </c>
      <c r="J2166" s="49">
        <f>G2166+I2166</f>
        <v/>
      </c>
      <c r="K2166" s="256" t="n"/>
      <c r="L2166" s="256" t="n"/>
      <c r="M2166" s="256" t="n"/>
      <c r="N2166" s="256" t="n"/>
      <c r="O2166" s="256" t="n"/>
      <c r="P2166" s="256" t="n"/>
      <c r="Q2166" s="256" t="n"/>
    </row>
    <row r="2167">
      <c r="A2167">
        <f>IF(DAY(D2167)=DAY($L$1+1),A2166+1,A2166)</f>
        <v/>
      </c>
      <c r="B2167" s="46">
        <f>IF(DAY(D2167)=DAY($L$1+1),1,B2166+1)</f>
        <v/>
      </c>
      <c r="C2167" s="46">
        <f>IF(DAY(D2167)=DAY($L$1+1),1,C2166+1)</f>
        <v/>
      </c>
      <c r="D2167" s="2">
        <f>D2166+1</f>
        <v/>
      </c>
      <c r="E2167" s="8">
        <f>IF(DAY(D2167)=DAY($L$1+1),TRUNC((N2166),8),E2166)</f>
        <v/>
      </c>
      <c r="F2167" s="49">
        <f>TRUNC(((1+VLOOKUP(A2167,IPCA!$A$2:$C$140,3,0)))^(C2167/(EDATE(D2167-C2167,1)-(D2167-C2167))),8)</f>
        <v/>
      </c>
      <c r="G2167" s="49">
        <f>TRUNC((E2167*F2167),8)</f>
        <v/>
      </c>
      <c r="H2167" s="49">
        <f>ROUND(((1+$H$4)^(30/360))^(C2167/(EDATE(D2167-B2167,1)-(D2167-B2167))),9)</f>
        <v/>
      </c>
      <c r="I2167" s="49">
        <f>TRUNC((G2167*H2167-G2167),8)</f>
        <v/>
      </c>
      <c r="J2167" s="49">
        <f>G2167+I2167</f>
        <v/>
      </c>
      <c r="K2167" s="256" t="n"/>
      <c r="L2167" s="256" t="n"/>
      <c r="M2167" s="256" t="n"/>
      <c r="N2167" s="256" t="n"/>
      <c r="O2167" s="256" t="n"/>
      <c r="P2167" s="256" t="n"/>
      <c r="Q2167" s="256" t="n"/>
    </row>
    <row r="2168">
      <c r="A2168">
        <f>IF(DAY(D2168)=DAY($L$1+1),A2167+1,A2167)</f>
        <v/>
      </c>
      <c r="B2168" s="46">
        <f>IF(DAY(D2168)=DAY($L$1+1),1,B2167+1)</f>
        <v/>
      </c>
      <c r="C2168" s="46">
        <f>IF(DAY(D2168)=DAY($L$1+1),1,C2167+1)</f>
        <v/>
      </c>
      <c r="D2168" s="2">
        <f>D2167+1</f>
        <v/>
      </c>
      <c r="E2168" s="8">
        <f>IF(DAY(D2168)=DAY($L$1+1),TRUNC((N2167),8),E2167)</f>
        <v/>
      </c>
      <c r="F2168" s="49">
        <f>TRUNC(((1+VLOOKUP(A2168,IPCA!$A$2:$C$140,3,0)))^(C2168/(EDATE(D2168-C2168,1)-(D2168-C2168))),8)</f>
        <v/>
      </c>
      <c r="G2168" s="49">
        <f>TRUNC((E2168*F2168),8)</f>
        <v/>
      </c>
      <c r="H2168" s="49">
        <f>ROUND(((1+$H$4)^(30/360))^(C2168/(EDATE(D2168-B2168,1)-(D2168-B2168))),9)</f>
        <v/>
      </c>
      <c r="I2168" s="49">
        <f>TRUNC((G2168*H2168-G2168),8)</f>
        <v/>
      </c>
      <c r="J2168" s="49">
        <f>G2168+I2168</f>
        <v/>
      </c>
      <c r="K2168" s="256" t="n"/>
      <c r="L2168" s="256" t="n"/>
      <c r="M2168" s="256" t="n"/>
      <c r="N2168" s="256" t="n"/>
      <c r="O2168" s="256" t="n"/>
      <c r="P2168" s="256" t="n"/>
      <c r="Q2168" s="256" t="n"/>
    </row>
    <row r="2169">
      <c r="A2169">
        <f>IF(DAY(D2169)=DAY($L$1+1),A2168+1,A2168)</f>
        <v/>
      </c>
      <c r="B2169" s="46">
        <f>IF(DAY(D2169)=DAY($L$1+1),1,B2168+1)</f>
        <v/>
      </c>
      <c r="C2169" s="46">
        <f>IF(DAY(D2169)=DAY($L$1+1),1,C2168+1)</f>
        <v/>
      </c>
      <c r="D2169" s="2">
        <f>D2168+1</f>
        <v/>
      </c>
      <c r="E2169" s="8">
        <f>IF(DAY(D2169)=DAY($L$1+1),TRUNC((N2168),8),E2168)</f>
        <v/>
      </c>
      <c r="F2169" s="49">
        <f>TRUNC(((1+VLOOKUP(A2169,IPCA!$A$2:$C$140,3,0)))^(C2169/(EDATE(D2169-C2169,1)-(D2169-C2169))),8)</f>
        <v/>
      </c>
      <c r="G2169" s="49">
        <f>TRUNC((E2169*F2169),8)</f>
        <v/>
      </c>
      <c r="H2169" s="49">
        <f>ROUND(((1+$H$4)^(30/360))^(C2169/(EDATE(D2169-B2169,1)-(D2169-B2169))),9)</f>
        <v/>
      </c>
      <c r="I2169" s="49">
        <f>TRUNC((G2169*H2169-G2169),8)</f>
        <v/>
      </c>
      <c r="J2169" s="49">
        <f>G2169+I2169</f>
        <v/>
      </c>
      <c r="K2169" s="256" t="n"/>
      <c r="L2169" s="256" t="n"/>
      <c r="M2169" s="256" t="n"/>
      <c r="N2169" s="256" t="n"/>
      <c r="O2169" s="256" t="n"/>
      <c r="P2169" s="256" t="n"/>
      <c r="Q2169" s="256" t="n"/>
    </row>
    <row r="2170">
      <c r="A2170">
        <f>IF(DAY(D2170)=DAY($L$1+1),A2169+1,A2169)</f>
        <v/>
      </c>
      <c r="B2170" s="46">
        <f>IF(DAY(D2170)=DAY($L$1+1),1,B2169+1)</f>
        <v/>
      </c>
      <c r="C2170" s="46">
        <f>IF(DAY(D2170)=DAY($L$1+1),1,C2169+1)</f>
        <v/>
      </c>
      <c r="D2170" s="2">
        <f>D2169+1</f>
        <v/>
      </c>
      <c r="E2170" s="8">
        <f>IF(DAY(D2170)=DAY($L$1+1),TRUNC((N2169),8),E2169)</f>
        <v/>
      </c>
      <c r="F2170" s="49">
        <f>TRUNC(((1+VLOOKUP(A2170,IPCA!$A$2:$C$140,3,0)))^(C2170/(EDATE(D2170-C2170,1)-(D2170-C2170))),8)</f>
        <v/>
      </c>
      <c r="G2170" s="49">
        <f>TRUNC((E2170*F2170),8)</f>
        <v/>
      </c>
      <c r="H2170" s="49">
        <f>ROUND(((1+$H$4)^(30/360))^(C2170/(EDATE(D2170-B2170,1)-(D2170-B2170))),9)</f>
        <v/>
      </c>
      <c r="I2170" s="49">
        <f>TRUNC((G2170*H2170-G2170),8)</f>
        <v/>
      </c>
      <c r="J2170" s="49">
        <f>G2170+I2170</f>
        <v/>
      </c>
      <c r="K2170" s="256" t="n"/>
      <c r="L2170" s="256" t="n"/>
      <c r="M2170" s="256" t="n"/>
      <c r="N2170" s="256" t="n"/>
      <c r="O2170" s="256" t="n"/>
      <c r="P2170" s="256" t="n"/>
      <c r="Q2170" s="256" t="n"/>
    </row>
    <row r="2171">
      <c r="A2171">
        <f>IF(DAY(D2171)=DAY($L$1+1),A2170+1,A2170)</f>
        <v/>
      </c>
      <c r="B2171" s="46">
        <f>IF(DAY(D2171)=DAY($L$1+1),1,B2170+1)</f>
        <v/>
      </c>
      <c r="C2171" s="46">
        <f>IF(DAY(D2171)=DAY($L$1+1),1,C2170+1)</f>
        <v/>
      </c>
      <c r="D2171" s="2">
        <f>D2170+1</f>
        <v/>
      </c>
      <c r="E2171" s="8">
        <f>IF(DAY(D2171)=DAY($L$1+1),TRUNC((N2170),8),E2170)</f>
        <v/>
      </c>
      <c r="F2171" s="49">
        <f>TRUNC(((1+VLOOKUP(A2171,IPCA!$A$2:$C$140,3,0)))^(C2171/(EDATE(D2171-C2171,1)-(D2171-C2171))),8)</f>
        <v/>
      </c>
      <c r="G2171" s="49">
        <f>TRUNC((E2171*F2171),8)</f>
        <v/>
      </c>
      <c r="H2171" s="49">
        <f>ROUND(((1+$H$4)^(30/360))^(C2171/(EDATE(D2171-B2171,1)-(D2171-B2171))),9)</f>
        <v/>
      </c>
      <c r="I2171" s="49">
        <f>TRUNC((G2171*H2171-G2171),8)</f>
        <v/>
      </c>
      <c r="J2171" s="49">
        <f>G2171+I2171</f>
        <v/>
      </c>
      <c r="K2171" s="256" t="n"/>
      <c r="L2171" s="256" t="n"/>
      <c r="M2171" s="256" t="n"/>
      <c r="N2171" s="256" t="n"/>
      <c r="O2171" s="256" t="n"/>
      <c r="P2171" s="256" t="n"/>
      <c r="Q2171" s="256" t="n"/>
    </row>
    <row r="2172">
      <c r="A2172">
        <f>IF(DAY(D2172)=DAY($L$1+1),A2171+1,A2171)</f>
        <v/>
      </c>
      <c r="B2172" s="46">
        <f>IF(DAY(D2172)=DAY($L$1+1),1,B2171+1)</f>
        <v/>
      </c>
      <c r="C2172" s="46">
        <f>IF(DAY(D2172)=DAY($L$1+1),1,C2171+1)</f>
        <v/>
      </c>
      <c r="D2172" s="2">
        <f>D2171+1</f>
        <v/>
      </c>
      <c r="E2172" s="8">
        <f>IF(DAY(D2172)=DAY($L$1+1),TRUNC((N2171),8),E2171)</f>
        <v/>
      </c>
      <c r="F2172" s="49">
        <f>TRUNC(((1+VLOOKUP(A2172,IPCA!$A$2:$C$140,3,0)))^(C2172/(EDATE(D2172-C2172,1)-(D2172-C2172))),8)</f>
        <v/>
      </c>
      <c r="G2172" s="49">
        <f>TRUNC((E2172*F2172),8)</f>
        <v/>
      </c>
      <c r="H2172" s="49">
        <f>ROUND(((1+$H$4)^(30/360))^(C2172/(EDATE(D2172-B2172,1)-(D2172-B2172))),9)</f>
        <v/>
      </c>
      <c r="I2172" s="49">
        <f>TRUNC((G2172*H2172-G2172),8)</f>
        <v/>
      </c>
      <c r="J2172" s="49">
        <f>G2172+I2172</f>
        <v/>
      </c>
      <c r="K2172" s="256" t="n"/>
      <c r="L2172" s="256" t="n"/>
      <c r="M2172" s="256" t="n"/>
      <c r="N2172" s="256" t="n"/>
      <c r="O2172" s="256" t="n"/>
      <c r="P2172" s="256" t="n"/>
      <c r="Q2172" s="256" t="n"/>
    </row>
    <row r="2173">
      <c r="A2173">
        <f>IF(DAY(D2173)=DAY($L$1+1),A2172+1,A2172)</f>
        <v/>
      </c>
      <c r="B2173" s="46">
        <f>IF(DAY(D2173)=DAY($L$1+1),1,B2172+1)</f>
        <v/>
      </c>
      <c r="C2173" s="46">
        <f>IF(DAY(D2173)=DAY($L$1+1),1,C2172+1)</f>
        <v/>
      </c>
      <c r="D2173" s="2">
        <f>D2172+1</f>
        <v/>
      </c>
      <c r="E2173" s="8">
        <f>IF(DAY(D2173)=DAY($L$1+1),TRUNC((N2172),8),E2172)</f>
        <v/>
      </c>
      <c r="F2173" s="49">
        <f>TRUNC(((1+VLOOKUP(A2173,IPCA!$A$2:$C$140,3,0)))^(C2173/(EDATE(D2173-C2173,1)-(D2173-C2173))),8)</f>
        <v/>
      </c>
      <c r="G2173" s="49">
        <f>TRUNC((E2173*F2173),8)</f>
        <v/>
      </c>
      <c r="H2173" s="49">
        <f>ROUND(((1+$H$4)^(30/360))^(C2173/(EDATE(D2173-B2173,1)-(D2173-B2173))),9)</f>
        <v/>
      </c>
      <c r="I2173" s="49">
        <f>TRUNC((G2173*H2173-G2173),8)</f>
        <v/>
      </c>
      <c r="J2173" s="49">
        <f>G2173+I2173</f>
        <v/>
      </c>
      <c r="K2173" s="256" t="n"/>
      <c r="L2173" s="256" t="n"/>
      <c r="M2173" s="256" t="n"/>
      <c r="N2173" s="256" t="n"/>
      <c r="O2173" s="256" t="n"/>
      <c r="P2173" s="256" t="n"/>
      <c r="Q2173" s="256" t="n"/>
    </row>
    <row r="2174">
      <c r="A2174">
        <f>IF(DAY(D2174)=DAY($L$1+1),A2173+1,A2173)</f>
        <v/>
      </c>
      <c r="B2174" s="46">
        <f>IF(DAY(D2174)=DAY($L$1+1),1,B2173+1)</f>
        <v/>
      </c>
      <c r="C2174" s="46">
        <f>IF(DAY(D2174)=DAY($L$1+1),1,C2173+1)</f>
        <v/>
      </c>
      <c r="D2174" s="2">
        <f>D2173+1</f>
        <v/>
      </c>
      <c r="E2174" s="8">
        <f>IF(DAY(D2174)=DAY($L$1+1),TRUNC((N2173),8),E2173)</f>
        <v/>
      </c>
      <c r="F2174" s="49">
        <f>TRUNC(((1+VLOOKUP(A2174,IPCA!$A$2:$C$140,3,0)))^(C2174/(EDATE(D2174-C2174,1)-(D2174-C2174))),8)</f>
        <v/>
      </c>
      <c r="G2174" s="49">
        <f>TRUNC((E2174*F2174),8)</f>
        <v/>
      </c>
      <c r="H2174" s="49">
        <f>ROUND(((1+$H$4)^(30/360))^(C2174/(EDATE(D2174-B2174,1)-(D2174-B2174))),9)</f>
        <v/>
      </c>
      <c r="I2174" s="49">
        <f>TRUNC((G2174*H2174-G2174),8)</f>
        <v/>
      </c>
      <c r="J2174" s="49">
        <f>G2174+I2174</f>
        <v/>
      </c>
      <c r="K2174" s="256" t="n"/>
      <c r="L2174" s="256" t="n"/>
      <c r="M2174" s="256" t="n"/>
      <c r="N2174" s="256" t="n"/>
      <c r="O2174" s="256" t="n"/>
      <c r="P2174" s="256" t="n"/>
      <c r="Q2174" s="256" t="n"/>
    </row>
    <row r="2175">
      <c r="A2175">
        <f>IF(DAY(D2175)=DAY($L$1+1),A2174+1,A2174)</f>
        <v/>
      </c>
      <c r="B2175" s="46">
        <f>IF(DAY(D2175)=DAY($L$1+1),1,B2174+1)</f>
        <v/>
      </c>
      <c r="C2175" s="46">
        <f>IF(DAY(D2175)=DAY($L$1+1),1,C2174+1)</f>
        <v/>
      </c>
      <c r="D2175" s="2">
        <f>D2174+1</f>
        <v/>
      </c>
      <c r="E2175" s="8">
        <f>IF(DAY(D2175)=DAY($L$1+1),TRUNC((N2174),8),E2174)</f>
        <v/>
      </c>
      <c r="F2175" s="49">
        <f>TRUNC(((1+VLOOKUP(A2175,IPCA!$A$2:$C$140,3,0)))^(C2175/(EDATE(D2175-C2175,1)-(D2175-C2175))),8)</f>
        <v/>
      </c>
      <c r="G2175" s="49">
        <f>TRUNC((E2175*F2175),8)</f>
        <v/>
      </c>
      <c r="H2175" s="49">
        <f>ROUND(((1+$H$4)^(30/360))^(C2175/(EDATE(D2175-B2175,1)-(D2175-B2175))),9)</f>
        <v/>
      </c>
      <c r="I2175" s="49">
        <f>TRUNC((G2175*H2175-G2175),8)</f>
        <v/>
      </c>
      <c r="J2175" s="49">
        <f>G2175+I2175</f>
        <v/>
      </c>
      <c r="K2175" s="256" t="n"/>
      <c r="L2175" s="256" t="n"/>
      <c r="M2175" s="256" t="n"/>
      <c r="N2175" s="256" t="n"/>
      <c r="O2175" s="256" t="n"/>
      <c r="P2175" s="256" t="n"/>
      <c r="Q2175" s="256" t="n"/>
    </row>
    <row r="2176">
      <c r="A2176">
        <f>IF(DAY(D2176)=DAY($L$1+1),A2175+1,A2175)</f>
        <v/>
      </c>
      <c r="B2176" s="46">
        <f>IF(DAY(D2176)=DAY($L$1+1),1,B2175+1)</f>
        <v/>
      </c>
      <c r="C2176" s="46">
        <f>IF(DAY(D2176)=DAY($L$1+1),1,C2175+1)</f>
        <v/>
      </c>
      <c r="D2176" s="2">
        <f>D2175+1</f>
        <v/>
      </c>
      <c r="E2176" s="8">
        <f>IF(DAY(D2176)=DAY($L$1+1),TRUNC((N2175),8),E2175)</f>
        <v/>
      </c>
      <c r="F2176" s="49">
        <f>TRUNC(((1+VLOOKUP(A2176,IPCA!$A$2:$C$140,3,0)))^(C2176/(EDATE(D2176-C2176,1)-(D2176-C2176))),8)</f>
        <v/>
      </c>
      <c r="G2176" s="49">
        <f>TRUNC((E2176*F2176),8)</f>
        <v/>
      </c>
      <c r="H2176" s="49">
        <f>ROUND(((1+$H$4)^(30/360))^(C2176/(EDATE(D2176-B2176,1)-(D2176-B2176))),9)</f>
        <v/>
      </c>
      <c r="I2176" s="49">
        <f>TRUNC((G2176*H2176-G2176),8)</f>
        <v/>
      </c>
      <c r="J2176" s="49">
        <f>G2176+I2176</f>
        <v/>
      </c>
      <c r="K2176" s="256" t="n"/>
      <c r="L2176" s="256" t="n"/>
      <c r="M2176" s="256" t="n"/>
      <c r="N2176" s="256" t="n"/>
      <c r="O2176" s="256" t="n"/>
      <c r="P2176" s="256" t="n"/>
      <c r="Q2176" s="256" t="n"/>
    </row>
    <row r="2177">
      <c r="A2177">
        <f>IF(DAY(D2177)=DAY($L$1+1),A2176+1,A2176)</f>
        <v/>
      </c>
      <c r="B2177" s="46">
        <f>IF(DAY(D2177)=DAY($L$1+1),1,B2176+1)</f>
        <v/>
      </c>
      <c r="C2177" s="46">
        <f>IF(DAY(D2177)=DAY($L$1+1),1,C2176+1)</f>
        <v/>
      </c>
      <c r="D2177" s="2">
        <f>D2176+1</f>
        <v/>
      </c>
      <c r="E2177" s="8">
        <f>IF(DAY(D2177)=DAY($L$1+1),TRUNC((N2176),8),E2176)</f>
        <v/>
      </c>
      <c r="F2177" s="49">
        <f>TRUNC(((1+VLOOKUP(A2177,IPCA!$A$2:$C$140,3,0)))^(C2177/(EDATE(D2177-C2177,1)-(D2177-C2177))),8)</f>
        <v/>
      </c>
      <c r="G2177" s="49">
        <f>TRUNC((E2177*F2177),8)</f>
        <v/>
      </c>
      <c r="H2177" s="49">
        <f>ROUND(((1+$H$4)^(30/360))^(C2177/(EDATE(D2177-B2177,1)-(D2177-B2177))),9)</f>
        <v/>
      </c>
      <c r="I2177" s="49">
        <f>TRUNC((G2177*H2177-G2177),8)</f>
        <v/>
      </c>
      <c r="J2177" s="49">
        <f>G2177+I2177</f>
        <v/>
      </c>
      <c r="K2177" s="256" t="n"/>
      <c r="L2177" s="256" t="n"/>
      <c r="M2177" s="256" t="n"/>
      <c r="N2177" s="256" t="n"/>
      <c r="O2177" s="256" t="n"/>
      <c r="P2177" s="256" t="n"/>
      <c r="Q2177" s="256" t="n"/>
    </row>
    <row r="2178">
      <c r="A2178">
        <f>IF(DAY(D2178)=DAY($L$1+1),A2177+1,A2177)</f>
        <v/>
      </c>
      <c r="B2178" s="46">
        <f>IF(DAY(D2178)=DAY($L$1+1),1,B2177+1)</f>
        <v/>
      </c>
      <c r="C2178" s="46">
        <f>IF(DAY(D2178)=DAY($L$1+1),1,C2177+1)</f>
        <v/>
      </c>
      <c r="D2178" s="2">
        <f>D2177+1</f>
        <v/>
      </c>
      <c r="E2178" s="8">
        <f>IF(DAY(D2178)=DAY($L$1+1),TRUNC((N2177),8),E2177)</f>
        <v/>
      </c>
      <c r="F2178" s="49">
        <f>TRUNC(((1+VLOOKUP(A2178,IPCA!$A$2:$C$140,3,0)))^(C2178/(EDATE(D2178-C2178,1)-(D2178-C2178))),8)</f>
        <v/>
      </c>
      <c r="G2178" s="49">
        <f>TRUNC((E2178*F2178),8)</f>
        <v/>
      </c>
      <c r="H2178" s="49">
        <f>ROUND(((1+$H$4)^(30/360))^(C2178/(EDATE(D2178-B2178,1)-(D2178-B2178))),9)</f>
        <v/>
      </c>
      <c r="I2178" s="49">
        <f>TRUNC((G2178*H2178-G2178),8)</f>
        <v/>
      </c>
      <c r="J2178" s="49">
        <f>G2178+I2178</f>
        <v/>
      </c>
      <c r="K2178" s="256" t="n"/>
      <c r="L2178" s="256" t="n"/>
      <c r="M2178" s="256" t="n"/>
      <c r="N2178" s="256" t="n"/>
      <c r="O2178" s="256" t="n"/>
      <c r="P2178" s="256" t="n"/>
      <c r="Q2178" s="256" t="n"/>
    </row>
    <row r="2179">
      <c r="A2179">
        <f>IF(DAY(D2179)=DAY($L$1+1),A2178+1,A2178)</f>
        <v/>
      </c>
      <c r="B2179" s="46">
        <f>IF(DAY(D2179)=DAY($L$1+1),1,B2178+1)</f>
        <v/>
      </c>
      <c r="C2179" s="46">
        <f>IF(DAY(D2179)=DAY($L$1+1),1,C2178+1)</f>
        <v/>
      </c>
      <c r="D2179" s="2">
        <f>D2178+1</f>
        <v/>
      </c>
      <c r="E2179" s="8">
        <f>IF(DAY(D2179)=DAY($L$1+1),TRUNC((N2178),8),E2178)</f>
        <v/>
      </c>
      <c r="F2179" s="49">
        <f>TRUNC(((1+VLOOKUP(A2179,IPCA!$A$2:$C$140,3,0)))^(C2179/(EDATE(D2179-C2179,1)-(D2179-C2179))),8)</f>
        <v/>
      </c>
      <c r="G2179" s="49">
        <f>TRUNC((E2179*F2179),8)</f>
        <v/>
      </c>
      <c r="H2179" s="49">
        <f>ROUND(((1+$H$4)^(30/360))^(C2179/(EDATE(D2179-B2179,1)-(D2179-B2179))),9)</f>
        <v/>
      </c>
      <c r="I2179" s="49">
        <f>TRUNC((G2179*H2179-G2179),8)</f>
        <v/>
      </c>
      <c r="J2179" s="49">
        <f>G2179+I2179</f>
        <v/>
      </c>
      <c r="K2179" s="256" t="inlineStr">
        <is>
          <t>Cri Integralizado</t>
        </is>
      </c>
      <c r="L2179" s="270">
        <f>L2148</f>
        <v/>
      </c>
      <c r="M2179" s="256" t="n"/>
      <c r="N2179" s="256" t="n"/>
      <c r="O2179" s="256" t="n"/>
      <c r="P2179" s="256" t="n"/>
      <c r="Q2179" s="256" t="n"/>
    </row>
    <row r="2180">
      <c r="A2180">
        <f>IF(DAY(D2180)=DAY($L$1+1),A2179+1,A2179)</f>
        <v/>
      </c>
      <c r="B2180" s="46">
        <f>IF(DAY(D2180)=DAY($L$1+1),1,B2179+1)</f>
        <v/>
      </c>
      <c r="C2180" s="46">
        <f>IF(DAY(D2180)=DAY($L$1+1),1,C2179+1)</f>
        <v/>
      </c>
      <c r="D2180" s="47">
        <f>D2179+1</f>
        <v/>
      </c>
      <c r="E2180" s="8">
        <f>IF(DAY(D2180)=DAY($L$1+1),TRUNC((N2179),8),E2179)</f>
        <v/>
      </c>
      <c r="F2180" s="49">
        <f>TRUNC(((1+VLOOKUP(A2180,IPCA!$A$2:$C$140,3,0)))^(C2180/(EDATE(D2180-C2180,1)-(D2180-C2180))),8)</f>
        <v/>
      </c>
      <c r="G2180" s="49">
        <f>TRUNC((E2180*F2180),8)</f>
        <v/>
      </c>
      <c r="H2180" s="49">
        <f>ROUND(((1+$H$4)^(30/360))^(C2180/(EDATE(D2180-B2180,1)-(D2180-B2180))),9)</f>
        <v/>
      </c>
      <c r="I2180" s="49">
        <f>TRUNC((G2180*H2180-G2180),8)</f>
        <v/>
      </c>
      <c r="J2180" s="49">
        <f>G2180+I2180</f>
        <v/>
      </c>
      <c r="K2180" s="118" t="inlineStr">
        <is>
          <t>JUROS</t>
        </is>
      </c>
      <c r="L2180" s="118" t="inlineStr">
        <is>
          <t>AMORTIZAÇÃO</t>
        </is>
      </c>
      <c r="M2180" s="118" t="inlineStr">
        <is>
          <t>AMEX</t>
        </is>
      </c>
      <c r="N2180" s="118" t="inlineStr">
        <is>
          <t>RESIDUAL</t>
        </is>
      </c>
      <c r="O2180" s="256" t="n"/>
      <c r="P2180" s="256" t="n"/>
      <c r="Q2180" s="256" t="n"/>
    </row>
    <row r="2181">
      <c r="A2181">
        <f>IF(DAY(D2181)=DAY($L$1+1),A2180+1,A2180)</f>
        <v/>
      </c>
      <c r="B2181" s="111">
        <f>IF(DAY(D2181)=DAY($L$1+1),1,B2180+1)</f>
        <v/>
      </c>
      <c r="C2181" s="111">
        <f>IF(DAY(D2181)=DAY($L$1+1),1,C2180+1)</f>
        <v/>
      </c>
      <c r="D2181" s="112">
        <f>D2180+1</f>
        <v/>
      </c>
      <c r="E2181" s="113">
        <f>IF(DAY(D2181)=DAY($L$1+1),TRUNC((N2180),8),E2180)</f>
        <v/>
      </c>
      <c r="F2181" s="114">
        <f>TRUNC(((1+VLOOKUP(A2181,IPCA!$A$2:$C$140,3,0)))^(C2181/(EDATE(D2181-C2181,1)-(D2181-C2181))),8)</f>
        <v/>
      </c>
      <c r="G2181" s="114">
        <f>TRUNC((E2181*F2181),8)</f>
        <v/>
      </c>
      <c r="H2181" s="114">
        <f>ROUND(((1+$H$4)^(30/360))^(C2181/(EDATE(D2181-B2181,1)-(D2181-B2181))),9)</f>
        <v/>
      </c>
      <c r="I2181" s="114">
        <f>TRUNC((G2181*H2181-G2181),8)</f>
        <v/>
      </c>
      <c r="J2181" s="114">
        <f>G2181+I2181</f>
        <v/>
      </c>
      <c r="K2181" s="119">
        <f>I2181</f>
        <v/>
      </c>
      <c r="L2181" s="120">
        <f>TRUNC(G2181*VLOOKUP(D2181,'Amort TS'!$G$3:$H$140,2,0),8)</f>
        <v/>
      </c>
      <c r="M2181" s="120" t="n">
        <v>0</v>
      </c>
      <c r="N2181" s="120">
        <f>J2181-K2181-L2181-M2181</f>
        <v/>
      </c>
      <c r="O2181" s="256" t="n"/>
      <c r="P2181" s="256" t="n"/>
      <c r="Q2181" s="256" t="n"/>
    </row>
    <row r="2182">
      <c r="A2182">
        <f>IF(DAY(D2182)=DAY($L$1+1),A2181+1,A2181)</f>
        <v/>
      </c>
      <c r="B2182" s="46">
        <f>IF(DAY(D2182)=DAY($L$1+1),1,B2181+1)</f>
        <v/>
      </c>
      <c r="C2182" s="46">
        <f>IF(DAY(D2182)=DAY($L$1+1),1,C2181+1)</f>
        <v/>
      </c>
      <c r="D2182" s="2">
        <f>D2181+1</f>
        <v/>
      </c>
      <c r="E2182" s="8">
        <f>IF(DAY(D2182)=DAY($L$1+1),TRUNC((N2181),8),E2181)</f>
        <v/>
      </c>
      <c r="F2182" s="49">
        <f>TRUNC(((1+VLOOKUP(A2182,IPCA!$A$2:$C$140,3,0)))^(C2182/(EDATE(D2182-C2182,1)-(D2182-C2182))),8)</f>
        <v/>
      </c>
      <c r="G2182" s="49">
        <f>TRUNC((E2182*F2182),8)</f>
        <v/>
      </c>
      <c r="H2182" s="49">
        <f>ROUND(((1+$H$4)^(30/360))^(C2182/(EDATE(D2182-B2182,1)-(D2182-B2182))),9)</f>
        <v/>
      </c>
      <c r="I2182" s="49">
        <f>TRUNC((G2182*H2182-G2182),8)</f>
        <v/>
      </c>
      <c r="J2182" s="49">
        <f>G2182+I2182</f>
        <v/>
      </c>
      <c r="K2182" s="121">
        <f>K2181*L2179</f>
        <v/>
      </c>
      <c r="L2182" s="121">
        <f>L2181*L2179</f>
        <v/>
      </c>
      <c r="M2182" s="121">
        <f>M2181*L2179</f>
        <v/>
      </c>
      <c r="N2182" s="121">
        <f>N2181*L2179</f>
        <v/>
      </c>
      <c r="O2182" s="256" t="n"/>
      <c r="P2182" s="256" t="n"/>
      <c r="Q2182" s="256" t="n"/>
    </row>
    <row r="2183">
      <c r="A2183">
        <f>IF(DAY(D2183)=DAY($L$1+1),A2182+1,A2182)</f>
        <v/>
      </c>
      <c r="B2183" s="46">
        <f>IF(DAY(D2183)=DAY($L$1+1),1,B2182+1)</f>
        <v/>
      </c>
      <c r="C2183" s="46">
        <f>IF(DAY(D2183)=DAY($L$1+1),1,C2182+1)</f>
        <v/>
      </c>
      <c r="D2183" s="47">
        <f>D2182+1</f>
        <v/>
      </c>
      <c r="E2183" s="8">
        <f>IF(DAY(D2183)=DAY($L$1+1),TRUNC((N2182),8),E2182)</f>
        <v/>
      </c>
      <c r="F2183" s="49">
        <f>TRUNC(((1+VLOOKUP(A2183,IPCA!$A$2:$C$140,3,0)))^(C2183/(EDATE(D2183-C2183,1)-(D2183-C2183))),8)</f>
        <v/>
      </c>
      <c r="G2183" s="49">
        <f>TRUNC((E2183*F2183),8)</f>
        <v/>
      </c>
      <c r="H2183" s="49">
        <f>ROUND(((1+$H$4)^(30/360))^(C2183/(EDATE(D2183-B2183,1)-(D2183-B2183))),9)</f>
        <v/>
      </c>
      <c r="I2183" s="49">
        <f>TRUNC((G2183*H2183-G2183),8)</f>
        <v/>
      </c>
      <c r="J2183" s="49">
        <f>G2183+I2183</f>
        <v/>
      </c>
      <c r="K2183" s="256" t="n"/>
      <c r="L2183" s="256" t="n"/>
      <c r="M2183" s="256" t="n"/>
      <c r="N2183" s="256" t="n"/>
      <c r="O2183" s="256" t="n"/>
      <c r="P2183" s="256" t="n"/>
      <c r="Q2183" s="256" t="n"/>
    </row>
    <row r="2184">
      <c r="A2184">
        <f>IF(DAY(D2184)=DAY($L$1+1),A2183+1,A2183)</f>
        <v/>
      </c>
      <c r="B2184" s="46">
        <f>IF(DAY(D2184)=DAY($L$1+1),1,B2183+1)</f>
        <v/>
      </c>
      <c r="C2184" s="46">
        <f>IF(DAY(D2184)=DAY($L$1+1),1,C2183+1)</f>
        <v/>
      </c>
      <c r="D2184" s="2">
        <f>D2183+1</f>
        <v/>
      </c>
      <c r="E2184" s="8">
        <f>IF(DAY(D2184)=DAY($L$1+1),TRUNC((#REF!),8),E2183)</f>
        <v/>
      </c>
      <c r="F2184" s="49">
        <f>TRUNC(((1+VLOOKUP(A2184,IPCA!$A$2:$C$140,3,0)))^(C2184/(EDATE(D2184-C2184,1)-(D2184-C2184))),8)</f>
        <v/>
      </c>
      <c r="G2184" s="49">
        <f>TRUNC((E2184*F2184),8)</f>
        <v/>
      </c>
      <c r="H2184" s="49">
        <f>ROUND(((1+$H$4)^(30/360))^(C2184/(EDATE(D2184-B2184,1)-(D2184-B2184))),9)</f>
        <v/>
      </c>
      <c r="I2184" s="49">
        <f>TRUNC((G2184*H2184-G2184),8)</f>
        <v/>
      </c>
      <c r="J2184" s="49">
        <f>G2184+I2184</f>
        <v/>
      </c>
      <c r="K2184" s="256" t="n"/>
      <c r="L2184" s="256" t="n"/>
      <c r="M2184" s="256" t="n"/>
      <c r="N2184" s="256" t="n"/>
      <c r="O2184" s="256" t="n"/>
      <c r="P2184" s="256" t="n"/>
      <c r="Q2184" s="256" t="n"/>
    </row>
    <row r="2185">
      <c r="A2185">
        <f>IF(DAY(D2185)=DAY($L$1+1),A2184+1,A2184)</f>
        <v/>
      </c>
      <c r="B2185" s="46">
        <f>IF(DAY(D2185)=DAY($L$1+1),1,B2184+1)</f>
        <v/>
      </c>
      <c r="C2185" s="46">
        <f>IF(DAY(D2185)=DAY($L$1+1),1,C2184+1)</f>
        <v/>
      </c>
      <c r="D2185" s="2">
        <f>D2184+1</f>
        <v/>
      </c>
      <c r="E2185" s="8">
        <f>IF(DAY(D2185)=DAY($L$1+1),TRUNC((#REF!),8),E2184)</f>
        <v/>
      </c>
      <c r="F2185" s="49">
        <f>TRUNC(((1+VLOOKUP(A2185,IPCA!$A$2:$C$140,3,0)))^(C2185/(EDATE(D2185-C2185,1)-(D2185-C2185))),8)</f>
        <v/>
      </c>
      <c r="G2185" s="49">
        <f>TRUNC((E2185*F2185),8)</f>
        <v/>
      </c>
      <c r="H2185" s="49">
        <f>ROUND(((1+$H$4)^(30/360))^(C2185/(EDATE(D2185-B2185,1)-(D2185-B2185))),9)</f>
        <v/>
      </c>
      <c r="I2185" s="49">
        <f>TRUNC((G2185*H2185-G2185),8)</f>
        <v/>
      </c>
      <c r="J2185" s="49">
        <f>G2185+I2185</f>
        <v/>
      </c>
      <c r="K2185" s="256" t="n"/>
      <c r="L2185" s="256" t="n"/>
      <c r="M2185" s="256" t="n"/>
      <c r="N2185" s="256" t="n"/>
      <c r="O2185" s="256" t="n"/>
      <c r="P2185" s="256" t="n"/>
      <c r="Q2185" s="256" t="n"/>
    </row>
    <row r="2186">
      <c r="A2186">
        <f>IF(DAY(D2186)=DAY($L$1+1),A2185+1,A2185)</f>
        <v/>
      </c>
      <c r="B2186" s="46">
        <f>IF(DAY(D2186)=DAY($L$1+1),1,B2185+1)</f>
        <v/>
      </c>
      <c r="C2186" s="46">
        <f>IF(DAY(D2186)=DAY($L$1+1),1,C2185+1)</f>
        <v/>
      </c>
      <c r="D2186" s="2">
        <f>D2185+1</f>
        <v/>
      </c>
      <c r="E2186" s="8">
        <f>IF(DAY(D2186)=DAY($L$1+1),TRUNC((#REF!),8),E2185)</f>
        <v/>
      </c>
      <c r="F2186" s="49">
        <f>TRUNC(((1+VLOOKUP(A2186,IPCA!$A$2:$C$140,3,0)))^(C2186/(EDATE(D2186-C2186,1)-(D2186-C2186))),8)</f>
        <v/>
      </c>
      <c r="G2186" s="49">
        <f>TRUNC((E2186*F2186),8)</f>
        <v/>
      </c>
      <c r="H2186" s="49">
        <f>ROUND(((1+$H$4)^(30/360))^(C2186/(EDATE(D2186-B2186,1)-(D2186-B2186))),9)</f>
        <v/>
      </c>
      <c r="I2186" s="49">
        <f>TRUNC((G2186*H2186-G2186),8)</f>
        <v/>
      </c>
      <c r="J2186" s="49">
        <f>G2186+I2186</f>
        <v/>
      </c>
      <c r="K2186" s="256" t="n"/>
      <c r="L2186" s="256" t="n"/>
      <c r="M2186" s="256" t="n"/>
      <c r="N2186" s="256" t="n"/>
      <c r="O2186" s="256" t="n"/>
      <c r="P2186" s="256" t="n"/>
      <c r="Q2186" s="256" t="n"/>
    </row>
    <row r="2187">
      <c r="A2187">
        <f>IF(DAY(D2187)=DAY($L$1+1),A2186+1,A2186)</f>
        <v/>
      </c>
      <c r="B2187" s="46">
        <f>IF(DAY(D2187)=DAY($L$1+1),1,B2186+1)</f>
        <v/>
      </c>
      <c r="C2187" s="46">
        <f>IF(DAY(D2187)=DAY($L$1+1),1,C2186+1)</f>
        <v/>
      </c>
      <c r="D2187" s="2">
        <f>D2186+1</f>
        <v/>
      </c>
      <c r="E2187" s="8">
        <f>IF(DAY(D2187)=DAY($L$1+1),TRUNC((#REF!),8),E2186)</f>
        <v/>
      </c>
      <c r="F2187" s="49">
        <f>TRUNC(((1+VLOOKUP(A2187,IPCA!$A$2:$C$140,3,0)))^(C2187/(EDATE(D2187-C2187,1)-(D2187-C2187))),8)</f>
        <v/>
      </c>
      <c r="G2187" s="49">
        <f>TRUNC((E2187*F2187),8)</f>
        <v/>
      </c>
      <c r="H2187" s="49">
        <f>ROUND(((1+$H$4)^(30/360))^(C2187/(EDATE(D2187-B2187,1)-(D2187-B2187))),9)</f>
        <v/>
      </c>
      <c r="I2187" s="49">
        <f>TRUNC((G2187*H2187-G2187),8)</f>
        <v/>
      </c>
      <c r="J2187" s="49">
        <f>G2187+I2187</f>
        <v/>
      </c>
      <c r="K2187" s="256" t="n"/>
      <c r="L2187" s="256" t="n"/>
      <c r="M2187" s="256" t="n"/>
      <c r="N2187" s="256" t="n"/>
      <c r="O2187" s="256" t="n"/>
      <c r="P2187" s="256" t="n"/>
      <c r="Q2187" s="256" t="n"/>
    </row>
    <row r="2188">
      <c r="A2188">
        <f>IF(DAY(D2188)=DAY($L$1+1),A2187+1,A2187)</f>
        <v/>
      </c>
      <c r="B2188" s="46">
        <f>IF(DAY(D2188)=DAY($L$1+1),1,B2187+1)</f>
        <v/>
      </c>
      <c r="C2188" s="46">
        <f>IF(DAY(D2188)=DAY($L$1+1),1,C2187+1)</f>
        <v/>
      </c>
      <c r="D2188" s="2">
        <f>D2187+1</f>
        <v/>
      </c>
      <c r="E2188" s="8">
        <f>IF(DAY(D2188)=DAY($L$1+1),TRUNC((#REF!),8),E2187)</f>
        <v/>
      </c>
      <c r="F2188" s="49">
        <f>TRUNC(((1+VLOOKUP(A2188,IPCA!$A$2:$C$140,3,0)))^(C2188/(EDATE(D2188-C2188,1)-(D2188-C2188))),8)</f>
        <v/>
      </c>
      <c r="G2188" s="49">
        <f>TRUNC((E2188*F2188),8)</f>
        <v/>
      </c>
      <c r="H2188" s="49">
        <f>ROUND(((1+$H$4)^(30/360))^(C2188/(EDATE(D2188-B2188,1)-(D2188-B2188))),9)</f>
        <v/>
      </c>
      <c r="I2188" s="49">
        <f>TRUNC((G2188*H2188-G2188),8)</f>
        <v/>
      </c>
      <c r="J2188" s="49">
        <f>G2188+I2188</f>
        <v/>
      </c>
      <c r="K2188" s="256" t="n"/>
      <c r="L2188" s="256" t="n"/>
      <c r="M2188" s="256" t="n"/>
      <c r="N2188" s="256" t="n"/>
      <c r="O2188" s="256" t="n"/>
      <c r="P2188" s="256" t="n"/>
      <c r="Q2188" s="256" t="n"/>
    </row>
    <row r="2189">
      <c r="A2189">
        <f>IF(DAY(D2189)=DAY($L$1+1),A2188+1,A2188)</f>
        <v/>
      </c>
      <c r="B2189" s="46">
        <f>IF(DAY(D2189)=DAY($L$1+1),1,B2188+1)</f>
        <v/>
      </c>
      <c r="C2189" s="46">
        <f>IF(DAY(D2189)=DAY($L$1+1),1,C2188+1)</f>
        <v/>
      </c>
      <c r="D2189" s="2">
        <f>D2188+1</f>
        <v/>
      </c>
      <c r="E2189" s="8">
        <f>IF(DAY(D2189)=DAY($L$1+1),TRUNC((#REF!),8),E2188)</f>
        <v/>
      </c>
      <c r="F2189" s="49">
        <f>TRUNC(((1+VLOOKUP(A2189,IPCA!$A$2:$C$140,3,0)))^(C2189/(EDATE(D2189-C2189,1)-(D2189-C2189))),8)</f>
        <v/>
      </c>
      <c r="G2189" s="49">
        <f>TRUNC((E2189*F2189),8)</f>
        <v/>
      </c>
      <c r="H2189" s="49">
        <f>ROUND(((1+$H$4)^(30/360))^(C2189/(EDATE(D2189-B2189,1)-(D2189-B2189))),9)</f>
        <v/>
      </c>
      <c r="I2189" s="49">
        <f>TRUNC((G2189*H2189-G2189),8)</f>
        <v/>
      </c>
      <c r="J2189" s="49">
        <f>G2189+I2189</f>
        <v/>
      </c>
      <c r="K2189" s="256" t="n"/>
      <c r="L2189" s="256" t="n"/>
      <c r="M2189" s="256" t="n"/>
      <c r="N2189" s="256" t="n"/>
      <c r="O2189" s="256" t="n"/>
      <c r="P2189" s="256" t="n"/>
      <c r="Q2189" s="256" t="n"/>
    </row>
    <row r="2190">
      <c r="A2190">
        <f>IF(DAY(D2190)=DAY($L$1+1),A2189+1,A2189)</f>
        <v/>
      </c>
      <c r="B2190" s="46">
        <f>IF(DAY(D2190)=DAY($L$1+1),1,B2189+1)</f>
        <v/>
      </c>
      <c r="C2190" s="46">
        <f>IF(DAY(D2190)=DAY($L$1+1),1,C2189+1)</f>
        <v/>
      </c>
      <c r="D2190" s="2">
        <f>D2189+1</f>
        <v/>
      </c>
      <c r="E2190" s="8">
        <f>IF(DAY(D2190)=DAY($L$1+1),TRUNC((#REF!),8),E2189)</f>
        <v/>
      </c>
      <c r="F2190" s="49">
        <f>TRUNC(((1+VLOOKUP(A2190,IPCA!$A$2:$C$140,3,0)))^(C2190/(EDATE(D2190-C2190,1)-(D2190-C2190))),8)</f>
        <v/>
      </c>
      <c r="G2190" s="49">
        <f>TRUNC((E2190*F2190),8)</f>
        <v/>
      </c>
      <c r="H2190" s="49">
        <f>ROUND(((1+$H$4)^(30/360))^(C2190/(EDATE(D2190-B2190,1)-(D2190-B2190))),9)</f>
        <v/>
      </c>
      <c r="I2190" s="49">
        <f>TRUNC((G2190*H2190-G2190),8)</f>
        <v/>
      </c>
      <c r="J2190" s="49">
        <f>G2190+I2190</f>
        <v/>
      </c>
      <c r="K2190" s="256" t="n"/>
      <c r="L2190" s="256" t="n"/>
      <c r="M2190" s="256" t="n"/>
      <c r="N2190" s="256" t="n"/>
      <c r="O2190" s="256" t="n"/>
      <c r="P2190" s="256" t="n"/>
      <c r="Q2190" s="256" t="n"/>
    </row>
    <row r="2191">
      <c r="A2191">
        <f>IF(DAY(D2191)=DAY($L$1+1),A2190+1,A2190)</f>
        <v/>
      </c>
      <c r="B2191" s="46">
        <f>IF(DAY(D2191)=DAY($L$1+1),1,B2190+1)</f>
        <v/>
      </c>
      <c r="C2191" s="46">
        <f>IF(DAY(D2191)=DAY($L$1+1),1,C2190+1)</f>
        <v/>
      </c>
      <c r="D2191" s="2">
        <f>D2190+1</f>
        <v/>
      </c>
      <c r="E2191" s="8">
        <f>IF(DAY(D2191)=DAY($L$1+1),TRUNC((#REF!),8),E2190)</f>
        <v/>
      </c>
      <c r="F2191" s="49">
        <f>TRUNC(((1+VLOOKUP(A2191,IPCA!$A$2:$C$140,3,0)))^(C2191/(EDATE(D2191-C2191,1)-(D2191-C2191))),8)</f>
        <v/>
      </c>
      <c r="G2191" s="49">
        <f>TRUNC((E2191*F2191),8)</f>
        <v/>
      </c>
      <c r="H2191" s="49">
        <f>ROUND(((1+$H$4)^(30/360))^(C2191/(EDATE(D2191-B2191,1)-(D2191-B2191))),9)</f>
        <v/>
      </c>
      <c r="I2191" s="49">
        <f>TRUNC((G2191*H2191-G2191),8)</f>
        <v/>
      </c>
      <c r="J2191" s="49">
        <f>G2191+I2191</f>
        <v/>
      </c>
      <c r="K2191" s="256" t="n"/>
      <c r="L2191" s="256" t="n"/>
      <c r="M2191" s="256" t="n"/>
      <c r="N2191" s="256" t="n"/>
      <c r="O2191" s="256" t="n"/>
      <c r="P2191" s="256" t="n"/>
      <c r="Q2191" s="256" t="n"/>
    </row>
    <row r="2192">
      <c r="A2192">
        <f>IF(DAY(D2192)=DAY($L$1+1),A2191+1,A2191)</f>
        <v/>
      </c>
      <c r="B2192" s="46">
        <f>IF(DAY(D2192)=DAY($L$1+1),1,B2191+1)</f>
        <v/>
      </c>
      <c r="C2192" s="46">
        <f>IF(DAY(D2192)=DAY($L$1+1),1,C2191+1)</f>
        <v/>
      </c>
      <c r="D2192" s="2">
        <f>D2191+1</f>
        <v/>
      </c>
      <c r="E2192" s="8">
        <f>IF(DAY(D2192)=DAY($L$1+1),TRUNC((#REF!),8),E2191)</f>
        <v/>
      </c>
      <c r="F2192" s="49">
        <f>TRUNC(((1+VLOOKUP(A2192,IPCA!$A$2:$C$140,3,0)))^(C2192/(EDATE(D2192-C2192,1)-(D2192-C2192))),8)</f>
        <v/>
      </c>
      <c r="G2192" s="49">
        <f>TRUNC((E2192*F2192),8)</f>
        <v/>
      </c>
      <c r="H2192" s="49">
        <f>ROUND(((1+$H$4)^(30/360))^(C2192/(EDATE(D2192-B2192,1)-(D2192-B2192))),9)</f>
        <v/>
      </c>
      <c r="I2192" s="49">
        <f>TRUNC((G2192*H2192-G2192),8)</f>
        <v/>
      </c>
      <c r="J2192" s="49">
        <f>G2192+I2192</f>
        <v/>
      </c>
      <c r="K2192" s="256" t="n"/>
      <c r="L2192" s="256" t="n"/>
      <c r="M2192" s="256" t="n"/>
      <c r="N2192" s="256" t="n"/>
      <c r="O2192" s="256" t="n"/>
      <c r="P2192" s="256" t="n"/>
      <c r="Q2192" s="256" t="n"/>
    </row>
    <row r="2193">
      <c r="A2193">
        <f>IF(DAY(D2193)=DAY($L$1+1),A2192+1,A2192)</f>
        <v/>
      </c>
      <c r="B2193" s="46">
        <f>IF(DAY(D2193)=DAY($L$1+1),1,B2192+1)</f>
        <v/>
      </c>
      <c r="C2193" s="46">
        <f>IF(DAY(D2193)=DAY($L$1+1),1,C2192+1)</f>
        <v/>
      </c>
      <c r="D2193" s="2">
        <f>D2192+1</f>
        <v/>
      </c>
      <c r="E2193" s="8">
        <f>IF(DAY(D2193)=DAY($L$1+1),TRUNC((#REF!),8),E2192)</f>
        <v/>
      </c>
      <c r="F2193" s="49">
        <f>TRUNC(((1+VLOOKUP(A2193,IPCA!$A$2:$C$140,3,0)))^(C2193/(EDATE(D2193-C2193,1)-(D2193-C2193))),8)</f>
        <v/>
      </c>
      <c r="G2193" s="49">
        <f>TRUNC((E2193*F2193),8)</f>
        <v/>
      </c>
      <c r="H2193" s="49">
        <f>ROUND(((1+$H$4)^(30/360))^(C2193/(EDATE(D2193-B2193,1)-(D2193-B2193))),9)</f>
        <v/>
      </c>
      <c r="I2193" s="49">
        <f>TRUNC((G2193*H2193-G2193),8)</f>
        <v/>
      </c>
      <c r="J2193" s="49">
        <f>G2193+I2193</f>
        <v/>
      </c>
      <c r="K2193" s="256" t="n"/>
      <c r="L2193" s="256" t="n"/>
      <c r="M2193" s="256" t="n"/>
      <c r="N2193" s="256" t="n"/>
      <c r="O2193" s="256" t="n"/>
      <c r="P2193" s="256" t="n"/>
      <c r="Q2193" s="256" t="n"/>
    </row>
    <row r="2194">
      <c r="A2194">
        <f>IF(DAY(D2194)=DAY($L$1+1),A2193+1,A2193)</f>
        <v/>
      </c>
      <c r="B2194" s="46">
        <f>IF(DAY(D2194)=DAY($L$1+1),1,B2193+1)</f>
        <v/>
      </c>
      <c r="C2194" s="46">
        <f>IF(DAY(D2194)=DAY($L$1+1),1,C2193+1)</f>
        <v/>
      </c>
      <c r="D2194" s="2">
        <f>D2193+1</f>
        <v/>
      </c>
      <c r="E2194" s="8">
        <f>IF(DAY(D2194)=DAY($L$1+1),TRUNC((#REF!),8),E2193)</f>
        <v/>
      </c>
      <c r="F2194" s="49">
        <f>TRUNC(((1+VLOOKUP(A2194,IPCA!$A$2:$C$140,3,0)))^(C2194/(EDATE(D2194-C2194,1)-(D2194-C2194))),8)</f>
        <v/>
      </c>
      <c r="G2194" s="49">
        <f>TRUNC((E2194*F2194),8)</f>
        <v/>
      </c>
      <c r="H2194" s="49">
        <f>ROUND(((1+$H$4)^(30/360))^(C2194/(EDATE(D2194-B2194,1)-(D2194-B2194))),9)</f>
        <v/>
      </c>
      <c r="I2194" s="49">
        <f>TRUNC((G2194*H2194-G2194),8)</f>
        <v/>
      </c>
      <c r="J2194" s="49">
        <f>G2194+I2194</f>
        <v/>
      </c>
      <c r="K2194" s="256" t="n"/>
      <c r="L2194" s="256" t="n"/>
      <c r="M2194" s="256" t="n"/>
      <c r="N2194" s="256" t="n"/>
      <c r="O2194" s="256" t="n"/>
      <c r="P2194" s="256" t="n"/>
      <c r="Q2194" s="256" t="n"/>
    </row>
    <row r="2195">
      <c r="A2195">
        <f>IF(DAY(D2195)=DAY($L$1+1),A2194+1,A2194)</f>
        <v/>
      </c>
      <c r="B2195" s="46">
        <f>IF(DAY(D2195)=DAY($L$1+1),1,B2194+1)</f>
        <v/>
      </c>
      <c r="C2195" s="46">
        <f>IF(DAY(D2195)=DAY($L$1+1),1,C2194+1)</f>
        <v/>
      </c>
      <c r="D2195" s="2">
        <f>D2194+1</f>
        <v/>
      </c>
      <c r="E2195" s="8">
        <f>IF(DAY(D2195)=DAY($L$1+1),TRUNC((#REF!),8),E2194)</f>
        <v/>
      </c>
      <c r="F2195" s="49">
        <f>TRUNC(((1+VLOOKUP(A2195,IPCA!$A$2:$C$140,3,0)))^(C2195/(EDATE(D2195-C2195,1)-(D2195-C2195))),8)</f>
        <v/>
      </c>
      <c r="G2195" s="49">
        <f>TRUNC((E2195*F2195),8)</f>
        <v/>
      </c>
      <c r="H2195" s="49">
        <f>ROUND(((1+$H$4)^(30/360))^(C2195/(EDATE(D2195-B2195,1)-(D2195-B2195))),9)</f>
        <v/>
      </c>
      <c r="I2195" s="49">
        <f>TRUNC((G2195*H2195-G2195),8)</f>
        <v/>
      </c>
      <c r="J2195" s="49">
        <f>G2195+I2195</f>
        <v/>
      </c>
      <c r="K2195" s="256" t="n"/>
      <c r="L2195" s="256" t="n"/>
      <c r="M2195" s="256" t="n"/>
      <c r="N2195" s="256" t="n"/>
      <c r="O2195" s="256" t="n"/>
      <c r="P2195" s="256" t="n"/>
      <c r="Q2195" s="256" t="n"/>
    </row>
    <row r="2196">
      <c r="A2196">
        <f>IF(DAY(D2196)=DAY($L$1+1),A2195+1,A2195)</f>
        <v/>
      </c>
      <c r="B2196" s="46">
        <f>IF(DAY(D2196)=DAY($L$1+1),1,B2195+1)</f>
        <v/>
      </c>
      <c r="C2196" s="46">
        <f>IF(DAY(D2196)=DAY($L$1+1),1,C2195+1)</f>
        <v/>
      </c>
      <c r="D2196" s="2">
        <f>D2195+1</f>
        <v/>
      </c>
      <c r="E2196" s="8">
        <f>IF(DAY(D2196)=DAY($L$1+1),TRUNC((#REF!),8),E2195)</f>
        <v/>
      </c>
      <c r="F2196" s="49">
        <f>TRUNC(((1+VLOOKUP(A2196,IPCA!$A$2:$C$140,3,0)))^(C2196/(EDATE(D2196-C2196,1)-(D2196-C2196))),8)</f>
        <v/>
      </c>
      <c r="G2196" s="49">
        <f>TRUNC((E2196*F2196),8)</f>
        <v/>
      </c>
      <c r="H2196" s="49">
        <f>ROUND(((1+$H$4)^(30/360))^(C2196/(EDATE(D2196-B2196,1)-(D2196-B2196))),9)</f>
        <v/>
      </c>
      <c r="I2196" s="49">
        <f>TRUNC((G2196*H2196-G2196),8)</f>
        <v/>
      </c>
      <c r="J2196" s="49">
        <f>G2196+I2196</f>
        <v/>
      </c>
      <c r="K2196" s="256" t="n"/>
      <c r="L2196" s="256" t="n"/>
      <c r="M2196" s="256" t="n"/>
      <c r="N2196" s="256" t="n"/>
      <c r="O2196" s="256" t="n"/>
      <c r="P2196" s="256" t="n"/>
      <c r="Q2196" s="256" t="n"/>
    </row>
    <row r="2197">
      <c r="A2197">
        <f>IF(DAY(D2197)=DAY($L$1+1),A2196+1,A2196)</f>
        <v/>
      </c>
      <c r="B2197" s="46">
        <f>IF(DAY(D2197)=DAY($L$1+1),1,B2196+1)</f>
        <v/>
      </c>
      <c r="C2197" s="46">
        <f>IF(DAY(D2197)=DAY($L$1+1),1,C2196+1)</f>
        <v/>
      </c>
      <c r="D2197" s="2">
        <f>D2196+1</f>
        <v/>
      </c>
      <c r="E2197" s="8">
        <f>IF(DAY(D2197)=DAY($L$1+1),TRUNC((N2196),8),E2196)</f>
        <v/>
      </c>
      <c r="F2197" s="49">
        <f>TRUNC(((1+VLOOKUP(A2197,IPCA!$A$2:$C$140,3,0)))^(C2197/(EDATE(D2197-C2197,1)-(D2197-C2197))),8)</f>
        <v/>
      </c>
      <c r="G2197" s="49">
        <f>TRUNC((E2197*F2197),8)</f>
        <v/>
      </c>
      <c r="H2197" s="49">
        <f>ROUND(((1+$H$4)^(30/360))^(C2197/(EDATE(D2197-B2197,1)-(D2197-B2197))),9)</f>
        <v/>
      </c>
      <c r="I2197" s="49">
        <f>TRUNC((G2197*H2197-G2197),8)</f>
        <v/>
      </c>
      <c r="J2197" s="49">
        <f>G2197+I2197</f>
        <v/>
      </c>
      <c r="K2197" s="256" t="n"/>
      <c r="L2197" s="256" t="n"/>
      <c r="M2197" s="256" t="n"/>
      <c r="N2197" s="256" t="n"/>
      <c r="O2197" s="256" t="n"/>
      <c r="P2197" s="256" t="n"/>
      <c r="Q2197" s="256" t="n"/>
    </row>
    <row r="2198">
      <c r="A2198">
        <f>IF(DAY(D2198)=DAY($L$1+1),A2197+1,A2197)</f>
        <v/>
      </c>
      <c r="B2198" s="46">
        <f>IF(DAY(D2198)=DAY($L$1+1),1,B2197+1)</f>
        <v/>
      </c>
      <c r="C2198" s="46">
        <f>IF(DAY(D2198)=DAY($L$1+1),1,C2197+1)</f>
        <v/>
      </c>
      <c r="D2198" s="2">
        <f>D2197+1</f>
        <v/>
      </c>
      <c r="E2198" s="8">
        <f>IF(DAY(D2198)=DAY($L$1+1),TRUNC((N2197),8),E2197)</f>
        <v/>
      </c>
      <c r="F2198" s="49">
        <f>TRUNC(((1+VLOOKUP(A2198,IPCA!$A$2:$C$140,3,0)))^(C2198/(EDATE(D2198-C2198,1)-(D2198-C2198))),8)</f>
        <v/>
      </c>
      <c r="G2198" s="49">
        <f>TRUNC((E2198*F2198),8)</f>
        <v/>
      </c>
      <c r="H2198" s="49">
        <f>ROUND(((1+$H$4)^(30/360))^(C2198/(EDATE(D2198-B2198,1)-(D2198-B2198))),9)</f>
        <v/>
      </c>
      <c r="I2198" s="49">
        <f>TRUNC((G2198*H2198-G2198),8)</f>
        <v/>
      </c>
      <c r="J2198" s="49">
        <f>G2198+I2198</f>
        <v/>
      </c>
      <c r="K2198" s="256" t="n"/>
      <c r="L2198" s="256" t="n"/>
      <c r="M2198" s="256" t="n"/>
      <c r="N2198" s="256" t="n"/>
      <c r="O2198" s="256" t="n"/>
      <c r="P2198" s="256" t="n"/>
      <c r="Q2198" s="256" t="n"/>
    </row>
    <row r="2199">
      <c r="A2199">
        <f>IF(DAY(D2199)=DAY($L$1+1),A2198+1,A2198)</f>
        <v/>
      </c>
      <c r="B2199" s="46">
        <f>IF(DAY(D2199)=DAY($L$1+1),1,B2198+1)</f>
        <v/>
      </c>
      <c r="C2199" s="46">
        <f>IF(DAY(D2199)=DAY($L$1+1),1,C2198+1)</f>
        <v/>
      </c>
      <c r="D2199" s="2">
        <f>D2198+1</f>
        <v/>
      </c>
      <c r="E2199" s="8">
        <f>IF(DAY(D2199)=DAY($L$1+1),TRUNC((N2198),8),E2198)</f>
        <v/>
      </c>
      <c r="F2199" s="49">
        <f>TRUNC(((1+VLOOKUP(A2199,IPCA!$A$2:$C$140,3,0)))^(C2199/(EDATE(D2199-C2199,1)-(D2199-C2199))),8)</f>
        <v/>
      </c>
      <c r="G2199" s="49">
        <f>TRUNC((E2199*F2199),8)</f>
        <v/>
      </c>
      <c r="H2199" s="49">
        <f>ROUND(((1+$H$4)^(30/360))^(C2199/(EDATE(D2199-B2199,1)-(D2199-B2199))),9)</f>
        <v/>
      </c>
      <c r="I2199" s="49">
        <f>TRUNC((G2199*H2199-G2199),8)</f>
        <v/>
      </c>
      <c r="J2199" s="49">
        <f>G2199+I2199</f>
        <v/>
      </c>
      <c r="K2199" s="256" t="n"/>
      <c r="L2199" s="256" t="n"/>
      <c r="M2199" s="256" t="n"/>
      <c r="N2199" s="256" t="n"/>
      <c r="O2199" s="256" t="n"/>
      <c r="P2199" s="256" t="n"/>
      <c r="Q2199" s="256" t="n"/>
    </row>
    <row r="2200">
      <c r="A2200">
        <f>IF(DAY(D2200)=DAY($L$1+1),A2199+1,A2199)</f>
        <v/>
      </c>
      <c r="B2200" s="46">
        <f>IF(DAY(D2200)=DAY($L$1+1),1,B2199+1)</f>
        <v/>
      </c>
      <c r="C2200" s="46">
        <f>IF(DAY(D2200)=DAY($L$1+1),1,C2199+1)</f>
        <v/>
      </c>
      <c r="D2200" s="2">
        <f>D2199+1</f>
        <v/>
      </c>
      <c r="E2200" s="8">
        <f>IF(DAY(D2200)=DAY($L$1+1),TRUNC((N2199),8),E2199)</f>
        <v/>
      </c>
      <c r="F2200" s="49">
        <f>TRUNC(((1+VLOOKUP(A2200,IPCA!$A$2:$C$140,3,0)))^(C2200/(EDATE(D2200-C2200,1)-(D2200-C2200))),8)</f>
        <v/>
      </c>
      <c r="G2200" s="49">
        <f>TRUNC((E2200*F2200),8)</f>
        <v/>
      </c>
      <c r="H2200" s="49">
        <f>ROUND(((1+$H$4)^(30/360))^(C2200/(EDATE(D2200-B2200,1)-(D2200-B2200))),9)</f>
        <v/>
      </c>
      <c r="I2200" s="49">
        <f>TRUNC((G2200*H2200-G2200),8)</f>
        <v/>
      </c>
      <c r="J2200" s="49">
        <f>G2200+I2200</f>
        <v/>
      </c>
      <c r="K2200" s="256" t="n"/>
      <c r="L2200" s="256" t="n"/>
      <c r="M2200" s="256" t="n"/>
      <c r="N2200" s="256" t="n"/>
      <c r="O2200" s="256" t="n"/>
      <c r="P2200" s="256" t="n"/>
      <c r="Q2200" s="256" t="n"/>
    </row>
    <row r="2201">
      <c r="A2201">
        <f>IF(DAY(D2201)=DAY($L$1+1),A2200+1,A2200)</f>
        <v/>
      </c>
      <c r="B2201" s="46">
        <f>IF(DAY(D2201)=DAY($L$1+1),1,B2200+1)</f>
        <v/>
      </c>
      <c r="C2201" s="46">
        <f>IF(DAY(D2201)=DAY($L$1+1),1,C2200+1)</f>
        <v/>
      </c>
      <c r="D2201" s="2">
        <f>D2200+1</f>
        <v/>
      </c>
      <c r="E2201" s="8">
        <f>IF(DAY(D2201)=DAY($L$1+1),TRUNC((N2200),8),E2200)</f>
        <v/>
      </c>
      <c r="F2201" s="49">
        <f>TRUNC(((1+VLOOKUP(A2201,IPCA!$A$2:$C$140,3,0)))^(C2201/(EDATE(D2201-C2201,1)-(D2201-C2201))),8)</f>
        <v/>
      </c>
      <c r="G2201" s="49">
        <f>TRUNC((E2201*F2201),8)</f>
        <v/>
      </c>
      <c r="H2201" s="49">
        <f>ROUND(((1+$H$4)^(30/360))^(C2201/(EDATE(D2201-B2201,1)-(D2201-B2201))),9)</f>
        <v/>
      </c>
      <c r="I2201" s="49">
        <f>TRUNC((G2201*H2201-G2201),8)</f>
        <v/>
      </c>
      <c r="J2201" s="49">
        <f>G2201+I2201</f>
        <v/>
      </c>
      <c r="K2201" s="256" t="n"/>
      <c r="L2201" s="256" t="n"/>
      <c r="M2201" s="256" t="n"/>
      <c r="N2201" s="256" t="n"/>
      <c r="O2201" s="256" t="n"/>
      <c r="P2201" s="256" t="n"/>
      <c r="Q2201" s="256" t="n"/>
    </row>
    <row r="2202">
      <c r="A2202">
        <f>IF(DAY(D2202)=DAY($L$1+1),A2201+1,A2201)</f>
        <v/>
      </c>
      <c r="B2202" s="46">
        <f>IF(DAY(D2202)=DAY($L$1+1),1,B2201+1)</f>
        <v/>
      </c>
      <c r="C2202" s="46">
        <f>IF(DAY(D2202)=DAY($L$1+1),1,C2201+1)</f>
        <v/>
      </c>
      <c r="D2202" s="2">
        <f>D2201+1</f>
        <v/>
      </c>
      <c r="E2202" s="8">
        <f>IF(DAY(D2202)=DAY($L$1+1),TRUNC((N2201),8),E2201)</f>
        <v/>
      </c>
      <c r="F2202" s="49">
        <f>TRUNC(((1+VLOOKUP(A2202,IPCA!$A$2:$C$140,3,0)))^(C2202/(EDATE(D2202-C2202,1)-(D2202-C2202))),8)</f>
        <v/>
      </c>
      <c r="G2202" s="49">
        <f>TRUNC((E2202*F2202),8)</f>
        <v/>
      </c>
      <c r="H2202" s="49">
        <f>ROUND(((1+$H$4)^(30/360))^(C2202/(EDATE(D2202-B2202,1)-(D2202-B2202))),9)</f>
        <v/>
      </c>
      <c r="I2202" s="49">
        <f>TRUNC((G2202*H2202-G2202),8)</f>
        <v/>
      </c>
      <c r="J2202" s="49">
        <f>G2202+I2202</f>
        <v/>
      </c>
      <c r="K2202" s="256" t="n"/>
      <c r="L2202" s="256" t="n"/>
      <c r="M2202" s="256" t="n"/>
      <c r="N2202" s="256" t="n"/>
      <c r="O2202" s="256" t="n"/>
      <c r="P2202" s="256" t="n"/>
      <c r="Q2202" s="256" t="n"/>
    </row>
    <row r="2203">
      <c r="A2203">
        <f>IF(DAY(D2203)=DAY($L$1+1),A2202+1,A2202)</f>
        <v/>
      </c>
      <c r="B2203" s="46">
        <f>IF(DAY(D2203)=DAY($L$1+1),1,B2202+1)</f>
        <v/>
      </c>
      <c r="C2203" s="46">
        <f>IF(DAY(D2203)=DAY($L$1+1),1,C2202+1)</f>
        <v/>
      </c>
      <c r="D2203" s="2">
        <f>D2202+1</f>
        <v/>
      </c>
      <c r="E2203" s="8">
        <f>IF(DAY(D2203)=DAY($L$1+1),TRUNC((N2202),8),E2202)</f>
        <v/>
      </c>
      <c r="F2203" s="49">
        <f>TRUNC(((1+VLOOKUP(A2203,IPCA!$A$2:$C$140,3,0)))^(C2203/(EDATE(D2203-C2203,1)-(D2203-C2203))),8)</f>
        <v/>
      </c>
      <c r="G2203" s="49">
        <f>TRUNC((E2203*F2203),8)</f>
        <v/>
      </c>
      <c r="H2203" s="49">
        <f>ROUND(((1+$H$4)^(30/360))^(C2203/(EDATE(D2203-B2203,1)-(D2203-B2203))),9)</f>
        <v/>
      </c>
      <c r="I2203" s="49">
        <f>TRUNC((G2203*H2203-G2203),8)</f>
        <v/>
      </c>
      <c r="J2203" s="49">
        <f>G2203+I2203</f>
        <v/>
      </c>
      <c r="K2203" s="256" t="n"/>
      <c r="L2203" s="256" t="n"/>
      <c r="M2203" s="256" t="n"/>
      <c r="N2203" s="256" t="n"/>
      <c r="O2203" s="256" t="n"/>
      <c r="P2203" s="256" t="n"/>
      <c r="Q2203" s="256" t="n"/>
    </row>
    <row r="2204">
      <c r="A2204">
        <f>IF(DAY(D2204)=DAY($L$1+1),A2203+1,A2203)</f>
        <v/>
      </c>
      <c r="B2204" s="46">
        <f>IF(DAY(D2204)=DAY($L$1+1),1,B2203+1)</f>
        <v/>
      </c>
      <c r="C2204" s="46">
        <f>IF(DAY(D2204)=DAY($L$1+1),1,C2203+1)</f>
        <v/>
      </c>
      <c r="D2204" s="2">
        <f>D2203+1</f>
        <v/>
      </c>
      <c r="E2204" s="8">
        <f>IF(DAY(D2204)=DAY($L$1+1),TRUNC((N2203),8),E2203)</f>
        <v/>
      </c>
      <c r="F2204" s="49">
        <f>TRUNC(((1+VLOOKUP(A2204,IPCA!$A$2:$C$140,3,0)))^(C2204/(EDATE(D2204-C2204,1)-(D2204-C2204))),8)</f>
        <v/>
      </c>
      <c r="G2204" s="49">
        <f>TRUNC((E2204*F2204),8)</f>
        <v/>
      </c>
      <c r="H2204" s="49">
        <f>ROUND(((1+$H$4)^(30/360))^(C2204/(EDATE(D2204-B2204,1)-(D2204-B2204))),9)</f>
        <v/>
      </c>
      <c r="I2204" s="49">
        <f>TRUNC((G2204*H2204-G2204),8)</f>
        <v/>
      </c>
      <c r="J2204" s="49">
        <f>G2204+I2204</f>
        <v/>
      </c>
      <c r="K2204" s="256" t="n"/>
      <c r="L2204" s="256" t="n"/>
      <c r="M2204" s="256" t="n"/>
      <c r="N2204" s="256" t="n"/>
      <c r="O2204" s="256" t="n"/>
      <c r="P2204" s="256" t="n"/>
      <c r="Q2204" s="256" t="n"/>
    </row>
    <row r="2205">
      <c r="A2205">
        <f>IF(DAY(D2205)=DAY($L$1+1),A2204+1,A2204)</f>
        <v/>
      </c>
      <c r="B2205" s="46">
        <f>IF(DAY(D2205)=DAY($L$1+1),1,B2204+1)</f>
        <v/>
      </c>
      <c r="C2205" s="46">
        <f>IF(DAY(D2205)=DAY($L$1+1),1,C2204+1)</f>
        <v/>
      </c>
      <c r="D2205" s="2">
        <f>D2204+1</f>
        <v/>
      </c>
      <c r="E2205" s="8">
        <f>IF(DAY(D2205)=DAY($L$1+1),TRUNC((N2204),8),E2204)</f>
        <v/>
      </c>
      <c r="F2205" s="49">
        <f>TRUNC(((1+VLOOKUP(A2205,IPCA!$A$2:$C$140,3,0)))^(C2205/(EDATE(D2205-C2205,1)-(D2205-C2205))),8)</f>
        <v/>
      </c>
      <c r="G2205" s="49">
        <f>TRUNC((E2205*F2205),8)</f>
        <v/>
      </c>
      <c r="H2205" s="49">
        <f>ROUND(((1+$H$4)^(30/360))^(C2205/(EDATE(D2205-B2205,1)-(D2205-B2205))),9)</f>
        <v/>
      </c>
      <c r="I2205" s="49">
        <f>TRUNC((G2205*H2205-G2205),8)</f>
        <v/>
      </c>
      <c r="J2205" s="49">
        <f>G2205+I2205</f>
        <v/>
      </c>
      <c r="K2205" s="256" t="n"/>
      <c r="L2205" s="256" t="n"/>
      <c r="M2205" s="256" t="n"/>
      <c r="N2205" s="256" t="n"/>
      <c r="O2205" s="256" t="n"/>
      <c r="P2205" s="256" t="n"/>
      <c r="Q2205" s="256" t="n"/>
    </row>
    <row r="2206">
      <c r="A2206">
        <f>IF(DAY(D2206)=DAY($L$1+1),A2205+1,A2205)</f>
        <v/>
      </c>
      <c r="B2206" s="46">
        <f>IF(DAY(D2206)=DAY($L$1+1),1,B2205+1)</f>
        <v/>
      </c>
      <c r="C2206" s="46">
        <f>IF(DAY(D2206)=DAY($L$1+1),1,C2205+1)</f>
        <v/>
      </c>
      <c r="D2206" s="2">
        <f>D2205+1</f>
        <v/>
      </c>
      <c r="E2206" s="8">
        <f>IF(DAY(D2206)=DAY($L$1+1),TRUNC((N2205),8),E2205)</f>
        <v/>
      </c>
      <c r="F2206" s="49">
        <f>TRUNC(((1+VLOOKUP(A2206,IPCA!$A$2:$C$140,3,0)))^(C2206/(EDATE(D2206-C2206,1)-(D2206-C2206))),8)</f>
        <v/>
      </c>
      <c r="G2206" s="49">
        <f>TRUNC((E2206*F2206),8)</f>
        <v/>
      </c>
      <c r="H2206" s="49">
        <f>ROUND(((1+$H$4)^(30/360))^(C2206/(EDATE(D2206-B2206,1)-(D2206-B2206))),9)</f>
        <v/>
      </c>
      <c r="I2206" s="49">
        <f>TRUNC((G2206*H2206-G2206),8)</f>
        <v/>
      </c>
      <c r="J2206" s="49">
        <f>G2206+I2206</f>
        <v/>
      </c>
      <c r="K2206" s="256" t="n"/>
      <c r="L2206" s="256" t="n"/>
      <c r="M2206" s="256" t="n"/>
      <c r="N2206" s="256" t="n"/>
      <c r="O2206" s="256" t="n"/>
      <c r="P2206" s="256" t="n"/>
      <c r="Q2206" s="256" t="n"/>
    </row>
    <row r="2207">
      <c r="A2207">
        <f>IF(DAY(D2207)=DAY($L$1+1),A2206+1,A2206)</f>
        <v/>
      </c>
      <c r="B2207" s="46">
        <f>IF(DAY(D2207)=DAY($L$1+1),1,B2206+1)</f>
        <v/>
      </c>
      <c r="C2207" s="46">
        <f>IF(DAY(D2207)=DAY($L$1+1),1,C2206+1)</f>
        <v/>
      </c>
      <c r="D2207" s="2">
        <f>D2206+1</f>
        <v/>
      </c>
      <c r="E2207" s="8">
        <f>IF(DAY(D2207)=DAY($L$1+1),TRUNC((N2206),8),E2206)</f>
        <v/>
      </c>
      <c r="F2207" s="49">
        <f>TRUNC(((1+VLOOKUP(A2207,IPCA!$A$2:$C$140,3,0)))^(C2207/(EDATE(D2207-C2207,1)-(D2207-C2207))),8)</f>
        <v/>
      </c>
      <c r="G2207" s="49">
        <f>TRUNC((E2207*F2207),8)</f>
        <v/>
      </c>
      <c r="H2207" s="49">
        <f>ROUND(((1+$H$4)^(30/360))^(C2207/(EDATE(D2207-B2207,1)-(D2207-B2207))),9)</f>
        <v/>
      </c>
      <c r="I2207" s="49">
        <f>TRUNC((G2207*H2207-G2207),8)</f>
        <v/>
      </c>
      <c r="J2207" s="49">
        <f>G2207+I2207</f>
        <v/>
      </c>
      <c r="K2207" s="256" t="n"/>
      <c r="L2207" s="256" t="n"/>
      <c r="M2207" s="256" t="n"/>
      <c r="N2207" s="256" t="n"/>
      <c r="O2207" s="256" t="n"/>
      <c r="P2207" s="256" t="n"/>
      <c r="Q2207" s="256" t="n"/>
    </row>
    <row r="2208">
      <c r="A2208">
        <f>IF(DAY(D2208)=DAY($L$1+1),A2207+1,A2207)</f>
        <v/>
      </c>
      <c r="B2208" s="46">
        <f>IF(DAY(D2208)=DAY($L$1+1),1,B2207+1)</f>
        <v/>
      </c>
      <c r="C2208" s="46">
        <f>IF(DAY(D2208)=DAY($L$1+1),1,C2207+1)</f>
        <v/>
      </c>
      <c r="D2208" s="2">
        <f>D2207+1</f>
        <v/>
      </c>
      <c r="E2208" s="8">
        <f>IF(DAY(D2208)=DAY($L$1+1),TRUNC((N2207),8),E2207)</f>
        <v/>
      </c>
      <c r="F2208" s="49">
        <f>TRUNC(((1+VLOOKUP(A2208,IPCA!$A$2:$C$140,3,0)))^(C2208/(EDATE(D2208-C2208,1)-(D2208-C2208))),8)</f>
        <v/>
      </c>
      <c r="G2208" s="49">
        <f>TRUNC((E2208*F2208),8)</f>
        <v/>
      </c>
      <c r="H2208" s="49">
        <f>ROUND(((1+$H$4)^(30/360))^(C2208/(EDATE(D2208-B2208,1)-(D2208-B2208))),9)</f>
        <v/>
      </c>
      <c r="I2208" s="49">
        <f>TRUNC((G2208*H2208-G2208),8)</f>
        <v/>
      </c>
      <c r="J2208" s="49">
        <f>G2208+I2208</f>
        <v/>
      </c>
      <c r="K2208" s="256" t="n"/>
      <c r="L2208" s="256" t="n"/>
      <c r="M2208" s="256" t="n"/>
      <c r="N2208" s="256" t="n"/>
      <c r="O2208" s="256" t="n"/>
      <c r="P2208" s="256" t="n"/>
      <c r="Q2208" s="256" t="n"/>
    </row>
    <row r="2209">
      <c r="A2209">
        <f>IF(DAY(D2209)=DAY($L$1+1),A2208+1,A2208)</f>
        <v/>
      </c>
      <c r="B2209" s="46">
        <f>IF(DAY(D2209)=DAY($L$1+1),1,B2208+1)</f>
        <v/>
      </c>
      <c r="C2209" s="46">
        <f>IF(DAY(D2209)=DAY($L$1+1),1,C2208+1)</f>
        <v/>
      </c>
      <c r="D2209" s="2">
        <f>D2208+1</f>
        <v/>
      </c>
      <c r="E2209" s="8">
        <f>IF(DAY(D2209)=DAY($L$1+1),TRUNC((N2208),8),E2208)</f>
        <v/>
      </c>
      <c r="F2209" s="49">
        <f>TRUNC(((1+VLOOKUP(A2209,IPCA!$A$2:$C$140,3,0)))^(C2209/(EDATE(D2209-C2209,1)-(D2209-C2209))),8)</f>
        <v/>
      </c>
      <c r="G2209" s="49">
        <f>TRUNC((E2209*F2209),8)</f>
        <v/>
      </c>
      <c r="H2209" s="49">
        <f>ROUND(((1+$H$4)^(30/360))^(C2209/(EDATE(D2209-B2209,1)-(D2209-B2209))),9)</f>
        <v/>
      </c>
      <c r="I2209" s="49">
        <f>TRUNC((G2209*H2209-G2209),8)</f>
        <v/>
      </c>
      <c r="J2209" s="49">
        <f>G2209+I2209</f>
        <v/>
      </c>
      <c r="K2209" s="256" t="inlineStr">
        <is>
          <t>Cri Integralizado</t>
        </is>
      </c>
      <c r="L2209" s="270">
        <f>L2179</f>
        <v/>
      </c>
      <c r="M2209" s="256" t="n"/>
      <c r="N2209" s="256" t="n"/>
      <c r="O2209" s="256" t="n"/>
      <c r="P2209" s="256" t="n"/>
      <c r="Q2209" s="256" t="n"/>
    </row>
    <row r="2210">
      <c r="A2210">
        <f>IF(DAY(D2210)=DAY($L$1+1),A2209+1,A2209)</f>
        <v/>
      </c>
      <c r="B2210" s="46">
        <f>IF(DAY(D2210)=DAY($L$1+1),1,B2209+1)</f>
        <v/>
      </c>
      <c r="C2210" s="46">
        <f>IF(DAY(D2210)=DAY($L$1+1),1,C2209+1)</f>
        <v/>
      </c>
      <c r="D2210" s="47">
        <f>D2209+1</f>
        <v/>
      </c>
      <c r="E2210" s="8">
        <f>IF(DAY(D2210)=DAY($L$1+1),TRUNC((N2209),8),E2209)</f>
        <v/>
      </c>
      <c r="F2210" s="49">
        <f>TRUNC(((1+VLOOKUP(A2210,IPCA!$A$2:$C$140,3,0)))^(C2210/(EDATE(D2210-C2210,1)-(D2210-C2210))),8)</f>
        <v/>
      </c>
      <c r="G2210" s="49">
        <f>TRUNC((E2210*F2210),8)</f>
        <v/>
      </c>
      <c r="H2210" s="49">
        <f>ROUND(((1+$H$4)^(30/360))^(C2210/(EDATE(D2210-B2210,1)-(D2210-B2210))),9)</f>
        <v/>
      </c>
      <c r="I2210" s="49">
        <f>TRUNC((G2210*H2210-G2210),8)</f>
        <v/>
      </c>
      <c r="J2210" s="49">
        <f>G2210+I2210</f>
        <v/>
      </c>
      <c r="K2210" s="118" t="inlineStr">
        <is>
          <t>JUROS</t>
        </is>
      </c>
      <c r="L2210" s="118" t="inlineStr">
        <is>
          <t>AMORTIZAÇÃO</t>
        </is>
      </c>
      <c r="M2210" s="118" t="inlineStr">
        <is>
          <t>AMEX</t>
        </is>
      </c>
      <c r="N2210" s="118" t="inlineStr">
        <is>
          <t>RESIDUAL</t>
        </is>
      </c>
      <c r="O2210" s="256" t="n"/>
      <c r="P2210" s="256" t="n"/>
      <c r="Q2210" s="256" t="n"/>
    </row>
    <row r="2211">
      <c r="A2211">
        <f>IF(DAY(D2211)=DAY($L$1+1),A2210+1,A2210)</f>
        <v/>
      </c>
      <c r="B2211" s="111">
        <f>IF(DAY(D2211)=DAY($L$1+1),1,B2210+1)</f>
        <v/>
      </c>
      <c r="C2211" s="111">
        <f>IF(DAY(D2211)=DAY($L$1+1),1,C2210+1)</f>
        <v/>
      </c>
      <c r="D2211" s="112">
        <f>D2210+1</f>
        <v/>
      </c>
      <c r="E2211" s="113">
        <f>IF(DAY(D2211)=DAY($L$1+1),TRUNC((N2210),8),E2210)</f>
        <v/>
      </c>
      <c r="F2211" s="114">
        <f>TRUNC(((1+VLOOKUP(A2211,IPCA!$A$2:$C$140,3,0)))^(C2211/(EDATE(D2211-C2211,1)-(D2211-C2211))),8)</f>
        <v/>
      </c>
      <c r="G2211" s="114">
        <f>TRUNC((E2211*F2211),8)</f>
        <v/>
      </c>
      <c r="H2211" s="114">
        <f>ROUND(((1+$H$4)^(30/360))^(C2211/(EDATE(D2211-B2211,1)-(D2211-B2211))),9)</f>
        <v/>
      </c>
      <c r="I2211" s="114">
        <f>TRUNC((G2211*H2211-G2211),8)</f>
        <v/>
      </c>
      <c r="J2211" s="114">
        <f>G2211+I2211</f>
        <v/>
      </c>
      <c r="K2211" s="119">
        <f>I2211</f>
        <v/>
      </c>
      <c r="L2211" s="120">
        <f>TRUNC(G2211*VLOOKUP(D2211,'Amort TS'!$G$3:$H$140,2,0),8)</f>
        <v/>
      </c>
      <c r="M2211" s="120" t="n">
        <v>0</v>
      </c>
      <c r="N2211" s="120">
        <f>J2211-K2211-L2211-M2211</f>
        <v/>
      </c>
      <c r="O2211" s="256" t="n"/>
      <c r="P2211" s="256" t="n"/>
      <c r="Q2211" s="256" t="n"/>
    </row>
    <row r="2212">
      <c r="A2212">
        <f>IF(DAY(D2212)=DAY($L$1+1),A2211+1,A2211)</f>
        <v/>
      </c>
      <c r="B2212" s="46">
        <f>IF(DAY(D2212)=DAY($L$1+1),1,B2211+1)</f>
        <v/>
      </c>
      <c r="C2212" s="46">
        <f>IF(DAY(D2212)=DAY($L$1+1),1,C2211+1)</f>
        <v/>
      </c>
      <c r="D2212" s="2">
        <f>D2211+1</f>
        <v/>
      </c>
      <c r="E2212" s="8">
        <f>IF(DAY(D2212)=DAY($L$1+1),TRUNC((N2211),8),E2211)</f>
        <v/>
      </c>
      <c r="F2212" s="49">
        <f>TRUNC(((1+VLOOKUP(A2212,IPCA!$A$2:$C$140,3,0)))^(C2212/(EDATE(D2212-C2212,1)-(D2212-C2212))),8)</f>
        <v/>
      </c>
      <c r="G2212" s="49">
        <f>TRUNC((E2212*F2212),8)</f>
        <v/>
      </c>
      <c r="H2212" s="49">
        <f>ROUND(((1+$H$4)^(30/360))^(C2212/(EDATE(D2212-B2212,1)-(D2212-B2212))),9)</f>
        <v/>
      </c>
      <c r="I2212" s="49">
        <f>TRUNC((G2212*H2212-G2212),8)</f>
        <v/>
      </c>
      <c r="J2212" s="49">
        <f>G2212+I2212</f>
        <v/>
      </c>
      <c r="K2212" s="121">
        <f>K2211*L2209</f>
        <v/>
      </c>
      <c r="L2212" s="121">
        <f>L2211*L2209</f>
        <v/>
      </c>
      <c r="M2212" s="121">
        <f>M2211*L2209</f>
        <v/>
      </c>
      <c r="N2212" s="121">
        <f>N2211*L2209</f>
        <v/>
      </c>
      <c r="O2212" s="256" t="n"/>
      <c r="P2212" s="256" t="n"/>
      <c r="Q2212" s="256" t="n"/>
    </row>
    <row r="2213">
      <c r="A2213">
        <f>IF(DAY(D2213)=DAY($L$1+1),A2212+1,A2212)</f>
        <v/>
      </c>
      <c r="B2213" s="46">
        <f>IF(DAY(D2213)=DAY($L$1+1),1,B2212+1)</f>
        <v/>
      </c>
      <c r="C2213" s="46">
        <f>IF(DAY(D2213)=DAY($L$1+1),1,C2212+1)</f>
        <v/>
      </c>
      <c r="D2213" s="47">
        <f>D2212+1</f>
        <v/>
      </c>
      <c r="E2213" s="8">
        <f>IF(DAY(D2213)=DAY($L$1+1),TRUNC((N2212),8),E2212)</f>
        <v/>
      </c>
      <c r="F2213" s="49">
        <f>TRUNC(((1+VLOOKUP(A2213,IPCA!$A$2:$C$140,3,0)))^(C2213/(EDATE(D2213-C2213,1)-(D2213-C2213))),8)</f>
        <v/>
      </c>
      <c r="G2213" s="49">
        <f>TRUNC((E2213*F2213),8)</f>
        <v/>
      </c>
      <c r="H2213" s="49">
        <f>ROUND(((1+$H$4)^(30/360))^(C2213/(EDATE(D2213-B2213,1)-(D2213-B2213))),9)</f>
        <v/>
      </c>
      <c r="I2213" s="49">
        <f>TRUNC((G2213*H2213-G2213),8)</f>
        <v/>
      </c>
      <c r="J2213" s="49">
        <f>G2213+I2213</f>
        <v/>
      </c>
      <c r="K2213" s="256" t="n"/>
      <c r="L2213" s="256" t="n"/>
      <c r="M2213" s="256" t="n"/>
      <c r="N2213" s="256" t="n"/>
      <c r="O2213" s="256" t="n"/>
      <c r="P2213" s="256" t="n"/>
      <c r="Q2213" s="256" t="n"/>
    </row>
    <row r="2214">
      <c r="A2214">
        <f>IF(DAY(D2214)=DAY($L$1+1),A2213+1,A2213)</f>
        <v/>
      </c>
      <c r="B2214" s="46">
        <f>IF(DAY(D2214)=DAY($L$1+1),1,B2213+1)</f>
        <v/>
      </c>
      <c r="C2214" s="46">
        <f>IF(DAY(D2214)=DAY($L$1+1),1,C2213+1)</f>
        <v/>
      </c>
      <c r="D2214" s="2">
        <f>D2213+1</f>
        <v/>
      </c>
      <c r="E2214" s="8">
        <f>IF(DAY(D2214)=DAY($L$1+1),TRUNC((#REF!),8),E2213)</f>
        <v/>
      </c>
      <c r="F2214" s="49">
        <f>TRUNC(((1+VLOOKUP(A2214,IPCA!$A$2:$C$140,3,0)))^(C2214/(EDATE(D2214-C2214,1)-(D2214-C2214))),8)</f>
        <v/>
      </c>
      <c r="G2214" s="49">
        <f>TRUNC((E2214*F2214),8)</f>
        <v/>
      </c>
      <c r="H2214" s="49">
        <f>ROUND(((1+$H$4)^(30/360))^(C2214/(EDATE(D2214-B2214,1)-(D2214-B2214))),9)</f>
        <v/>
      </c>
      <c r="I2214" s="49">
        <f>TRUNC((G2214*H2214-G2214),8)</f>
        <v/>
      </c>
      <c r="J2214" s="49">
        <f>G2214+I2214</f>
        <v/>
      </c>
      <c r="K2214" s="256" t="n"/>
      <c r="L2214" s="256" t="n"/>
      <c r="M2214" s="256" t="n"/>
      <c r="N2214" s="256" t="n"/>
      <c r="O2214" s="256" t="n"/>
      <c r="P2214" s="256" t="n"/>
      <c r="Q2214" s="256" t="n"/>
    </row>
    <row r="2215">
      <c r="A2215">
        <f>IF(DAY(D2215)=DAY($L$1+1),A2214+1,A2214)</f>
        <v/>
      </c>
      <c r="B2215" s="46">
        <f>IF(DAY(D2215)=DAY($L$1+1),1,B2214+1)</f>
        <v/>
      </c>
      <c r="C2215" s="46">
        <f>IF(DAY(D2215)=DAY($L$1+1),1,C2214+1)</f>
        <v/>
      </c>
      <c r="D2215" s="2">
        <f>D2214+1</f>
        <v/>
      </c>
      <c r="E2215" s="8">
        <f>IF(DAY(D2215)=DAY($L$1+1),TRUNC((#REF!),8),E2214)</f>
        <v/>
      </c>
      <c r="F2215" s="49">
        <f>TRUNC(((1+VLOOKUP(A2215,IPCA!$A$2:$C$140,3,0)))^(C2215/(EDATE(D2215-C2215,1)-(D2215-C2215))),8)</f>
        <v/>
      </c>
      <c r="G2215" s="49">
        <f>TRUNC((E2215*F2215),8)</f>
        <v/>
      </c>
      <c r="H2215" s="49">
        <f>ROUND(((1+$H$4)^(30/360))^(C2215/(EDATE(D2215-B2215,1)-(D2215-B2215))),9)</f>
        <v/>
      </c>
      <c r="I2215" s="49">
        <f>TRUNC((G2215*H2215-G2215),8)</f>
        <v/>
      </c>
      <c r="J2215" s="49">
        <f>G2215+I2215</f>
        <v/>
      </c>
      <c r="K2215" s="256" t="n"/>
      <c r="L2215" s="256" t="n"/>
      <c r="M2215" s="256" t="n"/>
      <c r="N2215" s="256" t="n"/>
      <c r="O2215" s="256" t="n"/>
      <c r="P2215" s="256" t="n"/>
      <c r="Q2215" s="256" t="n"/>
    </row>
    <row r="2216">
      <c r="A2216">
        <f>IF(DAY(D2216)=DAY($L$1+1),A2215+1,A2215)</f>
        <v/>
      </c>
      <c r="B2216" s="46">
        <f>IF(DAY(D2216)=DAY($L$1+1),1,B2215+1)</f>
        <v/>
      </c>
      <c r="C2216" s="46">
        <f>IF(DAY(D2216)=DAY($L$1+1),1,C2215+1)</f>
        <v/>
      </c>
      <c r="D2216" s="2">
        <f>D2215+1</f>
        <v/>
      </c>
      <c r="E2216" s="8">
        <f>IF(DAY(D2216)=DAY($L$1+1),TRUNC((#REF!),8),E2215)</f>
        <v/>
      </c>
      <c r="F2216" s="49">
        <f>TRUNC(((1+VLOOKUP(A2216,IPCA!$A$2:$C$140,3,0)))^(C2216/(EDATE(D2216-C2216,1)-(D2216-C2216))),8)</f>
        <v/>
      </c>
      <c r="G2216" s="49">
        <f>TRUNC((E2216*F2216),8)</f>
        <v/>
      </c>
      <c r="H2216" s="49">
        <f>ROUND(((1+$H$4)^(30/360))^(C2216/(EDATE(D2216-B2216,1)-(D2216-B2216))),9)</f>
        <v/>
      </c>
      <c r="I2216" s="49">
        <f>TRUNC((G2216*H2216-G2216),8)</f>
        <v/>
      </c>
      <c r="J2216" s="49">
        <f>G2216+I2216</f>
        <v/>
      </c>
      <c r="K2216" s="256" t="n"/>
      <c r="L2216" s="256" t="n"/>
      <c r="M2216" s="256" t="n"/>
      <c r="N2216" s="256" t="n"/>
      <c r="O2216" s="256" t="n"/>
      <c r="P2216" s="256" t="n"/>
      <c r="Q2216" s="256" t="n"/>
    </row>
    <row r="2217">
      <c r="A2217">
        <f>IF(DAY(D2217)=DAY($L$1+1),A2216+1,A2216)</f>
        <v/>
      </c>
      <c r="B2217" s="46">
        <f>IF(DAY(D2217)=DAY($L$1+1),1,B2216+1)</f>
        <v/>
      </c>
      <c r="C2217" s="46">
        <f>IF(DAY(D2217)=DAY($L$1+1),1,C2216+1)</f>
        <v/>
      </c>
      <c r="D2217" s="2">
        <f>D2216+1</f>
        <v/>
      </c>
      <c r="E2217" s="8">
        <f>IF(DAY(D2217)=DAY($L$1+1),TRUNC((#REF!),8),E2216)</f>
        <v/>
      </c>
      <c r="F2217" s="49">
        <f>TRUNC(((1+VLOOKUP(A2217,IPCA!$A$2:$C$140,3,0)))^(C2217/(EDATE(D2217-C2217,1)-(D2217-C2217))),8)</f>
        <v/>
      </c>
      <c r="G2217" s="49">
        <f>TRUNC((E2217*F2217),8)</f>
        <v/>
      </c>
      <c r="H2217" s="49">
        <f>ROUND(((1+$H$4)^(30/360))^(C2217/(EDATE(D2217-B2217,1)-(D2217-B2217))),9)</f>
        <v/>
      </c>
      <c r="I2217" s="49">
        <f>TRUNC((G2217*H2217-G2217),8)</f>
        <v/>
      </c>
      <c r="J2217" s="49">
        <f>G2217+I2217</f>
        <v/>
      </c>
      <c r="K2217" s="256" t="n"/>
      <c r="L2217" s="256" t="n"/>
      <c r="M2217" s="256" t="n"/>
      <c r="N2217" s="256" t="n"/>
      <c r="O2217" s="256" t="n"/>
      <c r="P2217" s="256" t="n"/>
      <c r="Q2217" s="256" t="n"/>
    </row>
    <row r="2218">
      <c r="A2218">
        <f>IF(DAY(D2218)=DAY($L$1+1),A2217+1,A2217)</f>
        <v/>
      </c>
      <c r="B2218" s="46">
        <f>IF(DAY(D2218)=DAY($L$1+1),1,B2217+1)</f>
        <v/>
      </c>
      <c r="C2218" s="46">
        <f>IF(DAY(D2218)=DAY($L$1+1),1,C2217+1)</f>
        <v/>
      </c>
      <c r="D2218" s="2">
        <f>D2217+1</f>
        <v/>
      </c>
      <c r="E2218" s="8">
        <f>IF(DAY(D2218)=DAY($L$1+1),TRUNC((#REF!),8),E2217)</f>
        <v/>
      </c>
      <c r="F2218" s="49">
        <f>TRUNC(((1+VLOOKUP(A2218,IPCA!$A$2:$C$140,3,0)))^(C2218/(EDATE(D2218-C2218,1)-(D2218-C2218))),8)</f>
        <v/>
      </c>
      <c r="G2218" s="49">
        <f>TRUNC((E2218*F2218),8)</f>
        <v/>
      </c>
      <c r="H2218" s="49">
        <f>ROUND(((1+$H$4)^(30/360))^(C2218/(EDATE(D2218-B2218,1)-(D2218-B2218))),9)</f>
        <v/>
      </c>
      <c r="I2218" s="49">
        <f>TRUNC((G2218*H2218-G2218),8)</f>
        <v/>
      </c>
      <c r="J2218" s="49">
        <f>G2218+I2218</f>
        <v/>
      </c>
      <c r="K2218" s="256" t="n"/>
      <c r="L2218" s="256" t="n"/>
      <c r="M2218" s="256" t="n"/>
      <c r="N2218" s="256" t="n"/>
      <c r="O2218" s="256" t="n"/>
      <c r="P2218" s="256" t="n"/>
      <c r="Q2218" s="256" t="n"/>
    </row>
    <row r="2219">
      <c r="A2219">
        <f>IF(DAY(D2219)=DAY($L$1+1),A2218+1,A2218)</f>
        <v/>
      </c>
      <c r="B2219" s="46">
        <f>IF(DAY(D2219)=DAY($L$1+1),1,B2218+1)</f>
        <v/>
      </c>
      <c r="C2219" s="46">
        <f>IF(DAY(D2219)=DAY($L$1+1),1,C2218+1)</f>
        <v/>
      </c>
      <c r="D2219" s="2">
        <f>D2218+1</f>
        <v/>
      </c>
      <c r="E2219" s="8">
        <f>IF(DAY(D2219)=DAY($L$1+1),TRUNC((#REF!),8),E2218)</f>
        <v/>
      </c>
      <c r="F2219" s="49">
        <f>TRUNC(((1+VLOOKUP(A2219,IPCA!$A$2:$C$140,3,0)))^(C2219/(EDATE(D2219-C2219,1)-(D2219-C2219))),8)</f>
        <v/>
      </c>
      <c r="G2219" s="49">
        <f>TRUNC((E2219*F2219),8)</f>
        <v/>
      </c>
      <c r="H2219" s="49">
        <f>ROUND(((1+$H$4)^(30/360))^(C2219/(EDATE(D2219-B2219,1)-(D2219-B2219))),9)</f>
        <v/>
      </c>
      <c r="I2219" s="49">
        <f>TRUNC((G2219*H2219-G2219),8)</f>
        <v/>
      </c>
      <c r="J2219" s="49">
        <f>G2219+I2219</f>
        <v/>
      </c>
      <c r="K2219" s="256" t="n"/>
      <c r="L2219" s="256" t="n"/>
      <c r="M2219" s="256" t="n"/>
      <c r="N2219" s="256" t="n"/>
      <c r="O2219" s="256" t="n"/>
      <c r="P2219" s="256" t="n"/>
      <c r="Q2219" s="256" t="n"/>
    </row>
    <row r="2220">
      <c r="A2220">
        <f>IF(DAY(D2220)=DAY($L$1+1),A2219+1,A2219)</f>
        <v/>
      </c>
      <c r="B2220" s="46">
        <f>IF(DAY(D2220)=DAY($L$1+1),1,B2219+1)</f>
        <v/>
      </c>
      <c r="C2220" s="46">
        <f>IF(DAY(D2220)=DAY($L$1+1),1,C2219+1)</f>
        <v/>
      </c>
      <c r="D2220" s="2">
        <f>D2219+1</f>
        <v/>
      </c>
      <c r="E2220" s="8">
        <f>IF(DAY(D2220)=DAY($L$1+1),TRUNC((#REF!),8),E2219)</f>
        <v/>
      </c>
      <c r="F2220" s="49">
        <f>TRUNC(((1+VLOOKUP(A2220,IPCA!$A$2:$C$140,3,0)))^(C2220/(EDATE(D2220-C2220,1)-(D2220-C2220))),8)</f>
        <v/>
      </c>
      <c r="G2220" s="49">
        <f>TRUNC((E2220*F2220),8)</f>
        <v/>
      </c>
      <c r="H2220" s="49">
        <f>ROUND(((1+$H$4)^(30/360))^(C2220/(EDATE(D2220-B2220,1)-(D2220-B2220))),9)</f>
        <v/>
      </c>
      <c r="I2220" s="49">
        <f>TRUNC((G2220*H2220-G2220),8)</f>
        <v/>
      </c>
      <c r="J2220" s="49">
        <f>G2220+I2220</f>
        <v/>
      </c>
      <c r="K2220" s="256" t="n"/>
      <c r="L2220" s="256" t="n"/>
      <c r="M2220" s="256" t="n"/>
      <c r="N2220" s="256" t="n"/>
      <c r="O2220" s="256" t="n"/>
      <c r="P2220" s="256" t="n"/>
      <c r="Q2220" s="256" t="n"/>
    </row>
    <row r="2221">
      <c r="A2221">
        <f>IF(DAY(D2221)=DAY($L$1+1),A2220+1,A2220)</f>
        <v/>
      </c>
      <c r="B2221" s="46">
        <f>IF(DAY(D2221)=DAY($L$1+1),1,B2220+1)</f>
        <v/>
      </c>
      <c r="C2221" s="46">
        <f>IF(DAY(D2221)=DAY($L$1+1),1,C2220+1)</f>
        <v/>
      </c>
      <c r="D2221" s="2">
        <f>D2220+1</f>
        <v/>
      </c>
      <c r="E2221" s="8">
        <f>IF(DAY(D2221)=DAY($L$1+1),TRUNC((#REF!),8),E2220)</f>
        <v/>
      </c>
      <c r="F2221" s="49">
        <f>TRUNC(((1+VLOOKUP(A2221,IPCA!$A$2:$C$140,3,0)))^(C2221/(EDATE(D2221-C2221,1)-(D2221-C2221))),8)</f>
        <v/>
      </c>
      <c r="G2221" s="49">
        <f>TRUNC((E2221*F2221),8)</f>
        <v/>
      </c>
      <c r="H2221" s="49">
        <f>ROUND(((1+$H$4)^(30/360))^(C2221/(EDATE(D2221-B2221,1)-(D2221-B2221))),9)</f>
        <v/>
      </c>
      <c r="I2221" s="49">
        <f>TRUNC((G2221*H2221-G2221),8)</f>
        <v/>
      </c>
      <c r="J2221" s="49">
        <f>G2221+I2221</f>
        <v/>
      </c>
      <c r="K2221" s="256" t="n"/>
      <c r="L2221" s="256" t="n"/>
      <c r="M2221" s="256" t="n"/>
      <c r="N2221" s="256" t="n"/>
      <c r="O2221" s="256" t="n"/>
      <c r="P2221" s="256" t="n"/>
      <c r="Q2221" s="256" t="n"/>
    </row>
    <row r="2222">
      <c r="A2222">
        <f>IF(DAY(D2222)=DAY($L$1+1),A2221+1,A2221)</f>
        <v/>
      </c>
      <c r="B2222" s="46">
        <f>IF(DAY(D2222)=DAY($L$1+1),1,B2221+1)</f>
        <v/>
      </c>
      <c r="C2222" s="46">
        <f>IF(DAY(D2222)=DAY($L$1+1),1,C2221+1)</f>
        <v/>
      </c>
      <c r="D2222" s="2">
        <f>D2221+1</f>
        <v/>
      </c>
      <c r="E2222" s="8">
        <f>IF(DAY(D2222)=DAY($L$1+1),TRUNC((#REF!),8),E2221)</f>
        <v/>
      </c>
      <c r="F2222" s="49">
        <f>TRUNC(((1+VLOOKUP(A2222,IPCA!$A$2:$C$140,3,0)))^(C2222/(EDATE(D2222-C2222,1)-(D2222-C2222))),8)</f>
        <v/>
      </c>
      <c r="G2222" s="49">
        <f>TRUNC((E2222*F2222),8)</f>
        <v/>
      </c>
      <c r="H2222" s="49">
        <f>ROUND(((1+$H$4)^(30/360))^(C2222/(EDATE(D2222-B2222,1)-(D2222-B2222))),9)</f>
        <v/>
      </c>
      <c r="I2222" s="49">
        <f>TRUNC((G2222*H2222-G2222),8)</f>
        <v/>
      </c>
      <c r="J2222" s="49">
        <f>G2222+I2222</f>
        <v/>
      </c>
      <c r="K2222" s="256" t="n"/>
      <c r="L2222" s="256" t="n"/>
      <c r="M2222" s="256" t="n"/>
      <c r="N2222" s="256" t="n"/>
      <c r="O2222" s="256" t="n"/>
      <c r="P2222" s="256" t="n"/>
      <c r="Q2222" s="256" t="n"/>
    </row>
    <row r="2223">
      <c r="A2223">
        <f>IF(DAY(D2223)=DAY($L$1+1),A2222+1,A2222)</f>
        <v/>
      </c>
      <c r="B2223" s="46">
        <f>IF(DAY(D2223)=DAY($L$1+1),1,B2222+1)</f>
        <v/>
      </c>
      <c r="C2223" s="46">
        <f>IF(DAY(D2223)=DAY($L$1+1),1,C2222+1)</f>
        <v/>
      </c>
      <c r="D2223" s="2">
        <f>D2222+1</f>
        <v/>
      </c>
      <c r="E2223" s="8">
        <f>IF(DAY(D2223)=DAY($L$1+1),TRUNC((#REF!),8),E2222)</f>
        <v/>
      </c>
      <c r="F2223" s="49">
        <f>TRUNC(((1+VLOOKUP(A2223,IPCA!$A$2:$C$140,3,0)))^(C2223/(EDATE(D2223-C2223,1)-(D2223-C2223))),8)</f>
        <v/>
      </c>
      <c r="G2223" s="49">
        <f>TRUNC((E2223*F2223),8)</f>
        <v/>
      </c>
      <c r="H2223" s="49">
        <f>ROUND(((1+$H$4)^(30/360))^(C2223/(EDATE(D2223-B2223,1)-(D2223-B2223))),9)</f>
        <v/>
      </c>
      <c r="I2223" s="49">
        <f>TRUNC((G2223*H2223-G2223),8)</f>
        <v/>
      </c>
      <c r="J2223" s="49">
        <f>G2223+I2223</f>
        <v/>
      </c>
      <c r="K2223" s="256" t="n"/>
      <c r="L2223" s="256" t="n"/>
      <c r="M2223" s="256" t="n"/>
      <c r="N2223" s="256" t="n"/>
      <c r="O2223" s="256" t="n"/>
      <c r="P2223" s="256" t="n"/>
      <c r="Q2223" s="256" t="n"/>
    </row>
    <row r="2224">
      <c r="A2224">
        <f>IF(DAY(D2224)=DAY($L$1+1),A2223+1,A2223)</f>
        <v/>
      </c>
      <c r="B2224" s="46">
        <f>IF(DAY(D2224)=DAY($L$1+1),1,B2223+1)</f>
        <v/>
      </c>
      <c r="C2224" s="46">
        <f>IF(DAY(D2224)=DAY($L$1+1),1,C2223+1)</f>
        <v/>
      </c>
      <c r="D2224" s="2">
        <f>D2223+1</f>
        <v/>
      </c>
      <c r="E2224" s="8">
        <f>IF(DAY(D2224)=DAY($L$1+1),TRUNC((#REF!),8),E2223)</f>
        <v/>
      </c>
      <c r="F2224" s="49">
        <f>TRUNC(((1+VLOOKUP(A2224,IPCA!$A$2:$C$140,3,0)))^(C2224/(EDATE(D2224-C2224,1)-(D2224-C2224))),8)</f>
        <v/>
      </c>
      <c r="G2224" s="49">
        <f>TRUNC((E2224*F2224),8)</f>
        <v/>
      </c>
      <c r="H2224" s="49">
        <f>ROUND(((1+$H$4)^(30/360))^(C2224/(EDATE(D2224-B2224,1)-(D2224-B2224))),9)</f>
        <v/>
      </c>
      <c r="I2224" s="49">
        <f>TRUNC((G2224*H2224-G2224),8)</f>
        <v/>
      </c>
      <c r="J2224" s="49">
        <f>G2224+I2224</f>
        <v/>
      </c>
      <c r="K2224" s="256" t="n"/>
      <c r="L2224" s="256" t="n"/>
      <c r="M2224" s="256" t="n"/>
      <c r="N2224" s="256" t="n"/>
      <c r="O2224" s="256" t="n"/>
      <c r="P2224" s="256" t="n"/>
      <c r="Q2224" s="256" t="n"/>
    </row>
    <row r="2225">
      <c r="A2225">
        <f>IF(DAY(D2225)=DAY($L$1+1),A2224+1,A2224)</f>
        <v/>
      </c>
      <c r="B2225" s="46">
        <f>IF(DAY(D2225)=DAY($L$1+1),1,B2224+1)</f>
        <v/>
      </c>
      <c r="C2225" s="46">
        <f>IF(DAY(D2225)=DAY($L$1+1),1,C2224+1)</f>
        <v/>
      </c>
      <c r="D2225" s="2">
        <f>D2224+1</f>
        <v/>
      </c>
      <c r="E2225" s="8">
        <f>IF(DAY(D2225)=DAY($L$1+1),TRUNC((#REF!),8),E2224)</f>
        <v/>
      </c>
      <c r="F2225" s="49">
        <f>TRUNC(((1+VLOOKUP(A2225,IPCA!$A$2:$C$140,3,0)))^(C2225/(EDATE(D2225-C2225,1)-(D2225-C2225))),8)</f>
        <v/>
      </c>
      <c r="G2225" s="49">
        <f>TRUNC((E2225*F2225),8)</f>
        <v/>
      </c>
      <c r="H2225" s="49">
        <f>ROUND(((1+$H$4)^(30/360))^(C2225/(EDATE(D2225-B2225,1)-(D2225-B2225))),9)</f>
        <v/>
      </c>
      <c r="I2225" s="49">
        <f>TRUNC((G2225*H2225-G2225),8)</f>
        <v/>
      </c>
      <c r="J2225" s="49">
        <f>G2225+I2225</f>
        <v/>
      </c>
      <c r="K2225" s="256" t="n"/>
      <c r="L2225" s="256" t="n"/>
      <c r="M2225" s="256" t="n"/>
      <c r="N2225" s="256" t="n"/>
      <c r="O2225" s="256" t="n"/>
      <c r="P2225" s="256" t="n"/>
      <c r="Q2225" s="256" t="n"/>
    </row>
    <row r="2226">
      <c r="A2226">
        <f>IF(DAY(D2226)=DAY($L$1+1),A2225+1,A2225)</f>
        <v/>
      </c>
      <c r="B2226" s="46">
        <f>IF(DAY(D2226)=DAY($L$1+1),1,B2225+1)</f>
        <v/>
      </c>
      <c r="C2226" s="46">
        <f>IF(DAY(D2226)=DAY($L$1+1),1,C2225+1)</f>
        <v/>
      </c>
      <c r="D2226" s="2">
        <f>D2225+1</f>
        <v/>
      </c>
      <c r="E2226" s="8">
        <f>IF(DAY(D2226)=DAY($L$1+1),TRUNC((#REF!),8),E2225)</f>
        <v/>
      </c>
      <c r="F2226" s="49">
        <f>TRUNC(((1+VLOOKUP(A2226,IPCA!$A$2:$C$140,3,0)))^(C2226/(EDATE(D2226-C2226,1)-(D2226-C2226))),8)</f>
        <v/>
      </c>
      <c r="G2226" s="49">
        <f>TRUNC((E2226*F2226),8)</f>
        <v/>
      </c>
      <c r="H2226" s="49">
        <f>ROUND(((1+$H$4)^(30/360))^(C2226/(EDATE(D2226-B2226,1)-(D2226-B2226))),9)</f>
        <v/>
      </c>
      <c r="I2226" s="49">
        <f>TRUNC((G2226*H2226-G2226),8)</f>
        <v/>
      </c>
      <c r="J2226" s="49">
        <f>G2226+I2226</f>
        <v/>
      </c>
      <c r="K2226" s="256" t="n"/>
      <c r="L2226" s="256" t="n"/>
      <c r="M2226" s="256" t="n"/>
      <c r="N2226" s="256" t="n"/>
      <c r="O2226" s="256" t="n"/>
      <c r="P2226" s="256" t="n"/>
      <c r="Q2226" s="256" t="n"/>
    </row>
    <row r="2227">
      <c r="A2227">
        <f>IF(DAY(D2227)=DAY($L$1+1),A2226+1,A2226)</f>
        <v/>
      </c>
      <c r="B2227" s="46">
        <f>IF(DAY(D2227)=DAY($L$1+1),1,B2226+1)</f>
        <v/>
      </c>
      <c r="C2227" s="46">
        <f>IF(DAY(D2227)=DAY($L$1+1),1,C2226+1)</f>
        <v/>
      </c>
      <c r="D2227" s="2">
        <f>D2226+1</f>
        <v/>
      </c>
      <c r="E2227" s="8">
        <f>IF(DAY(D2227)=DAY($L$1+1),TRUNC((#REF!),8),E2226)</f>
        <v/>
      </c>
      <c r="F2227" s="49">
        <f>TRUNC(((1+VLOOKUP(A2227,IPCA!$A$2:$C$140,3,0)))^(C2227/(EDATE(D2227-C2227,1)-(D2227-C2227))),8)</f>
        <v/>
      </c>
      <c r="G2227" s="49">
        <f>TRUNC((E2227*F2227),8)</f>
        <v/>
      </c>
      <c r="H2227" s="49">
        <f>ROUND(((1+$H$4)^(30/360))^(C2227/(EDATE(D2227-B2227,1)-(D2227-B2227))),9)</f>
        <v/>
      </c>
      <c r="I2227" s="49">
        <f>TRUNC((G2227*H2227-G2227),8)</f>
        <v/>
      </c>
      <c r="J2227" s="49">
        <f>G2227+I2227</f>
        <v/>
      </c>
      <c r="K2227" s="256" t="n"/>
      <c r="L2227" s="256" t="n"/>
      <c r="M2227" s="256" t="n"/>
      <c r="N2227" s="256" t="n"/>
      <c r="O2227" s="256" t="n"/>
      <c r="P2227" s="256" t="n"/>
      <c r="Q2227" s="256" t="n"/>
    </row>
    <row r="2228">
      <c r="A2228">
        <f>IF(DAY(D2228)=DAY($L$1+1),A2227+1,A2227)</f>
        <v/>
      </c>
      <c r="B2228" s="46">
        <f>IF(DAY(D2228)=DAY($L$1+1),1,B2227+1)</f>
        <v/>
      </c>
      <c r="C2228" s="46">
        <f>IF(DAY(D2228)=DAY($L$1+1),1,C2227+1)</f>
        <v/>
      </c>
      <c r="D2228" s="2">
        <f>D2227+1</f>
        <v/>
      </c>
      <c r="E2228" s="8">
        <f>IF(DAY(D2228)=DAY($L$1+1),TRUNC((N2227),8),E2227)</f>
        <v/>
      </c>
      <c r="F2228" s="49">
        <f>TRUNC(((1+VLOOKUP(A2228,IPCA!$A$2:$C$140,3,0)))^(C2228/(EDATE(D2228-C2228,1)-(D2228-C2228))),8)</f>
        <v/>
      </c>
      <c r="G2228" s="49">
        <f>TRUNC((E2228*F2228),8)</f>
        <v/>
      </c>
      <c r="H2228" s="49">
        <f>ROUND(((1+$H$4)^(30/360))^(C2228/(EDATE(D2228-B2228,1)-(D2228-B2228))),9)</f>
        <v/>
      </c>
      <c r="I2228" s="49">
        <f>TRUNC((G2228*H2228-G2228),8)</f>
        <v/>
      </c>
      <c r="J2228" s="49">
        <f>G2228+I2228</f>
        <v/>
      </c>
      <c r="K2228" s="256" t="n"/>
      <c r="L2228" s="256" t="n"/>
      <c r="M2228" s="256" t="n"/>
      <c r="N2228" s="256" t="n"/>
      <c r="O2228" s="256" t="n"/>
      <c r="P2228" s="256" t="n"/>
      <c r="Q2228" s="256" t="n"/>
    </row>
    <row r="2229">
      <c r="A2229">
        <f>IF(DAY(D2229)=DAY($L$1+1),A2228+1,A2228)</f>
        <v/>
      </c>
      <c r="B2229" s="1">
        <f>IF(DAY(D2229)=DAY($L$1+1),1,B2228+1)</f>
        <v/>
      </c>
      <c r="C2229" s="1">
        <f>IF(DAY(D2229)=DAY($L$1+1),1,C2228+1)</f>
        <v/>
      </c>
      <c r="D2229" s="2">
        <f>D2228+1</f>
        <v/>
      </c>
      <c r="E2229" s="8">
        <f>IF(DAY(D2229)=DAY($L$1+1),TRUNC((N2228),8),E2228)</f>
        <v/>
      </c>
      <c r="F2229" s="49">
        <f>TRUNC(((1+VLOOKUP(A2229,IPCA!$A$2:$C$140,3,0)))^(C2229/(EDATE(D2229-C2229,1)-(D2229-C2229))),8)</f>
        <v/>
      </c>
      <c r="G2229" s="4">
        <f>TRUNC((E2229*F2229),8)</f>
        <v/>
      </c>
      <c r="H2229" s="4">
        <f>ROUND(((1+$H$4)^(30/360))^(C2229/(EDATE(D2229-B2229,1)-(D2229-B2229))),9)</f>
        <v/>
      </c>
      <c r="I2229" s="4">
        <f>TRUNC((G2229*H2229-G2229),8)</f>
        <v/>
      </c>
      <c r="J2229" s="49">
        <f>G2229+I2229</f>
        <v/>
      </c>
      <c r="K2229" s="256" t="n"/>
      <c r="L2229" s="256" t="n"/>
      <c r="M2229" s="256" t="n"/>
      <c r="N2229" s="256" t="n"/>
      <c r="O2229" s="256" t="n"/>
      <c r="P2229" s="256" t="n"/>
      <c r="Q2229" s="256" t="n"/>
    </row>
    <row r="2230">
      <c r="A2230">
        <f>IF(DAY(D2230)=DAY($L$1+1),A2229+1,A2229)</f>
        <v/>
      </c>
      <c r="B2230" s="46">
        <f>IF(DAY(D2230)=DAY($L$1+1),1,B2229+1)</f>
        <v/>
      </c>
      <c r="C2230" s="46">
        <f>IF(DAY(D2230)=DAY($L$1+1),1,C2229+1)</f>
        <v/>
      </c>
      <c r="D2230" s="2">
        <f>D2229+1</f>
        <v/>
      </c>
      <c r="E2230" s="8">
        <f>IF(DAY(D2230)=DAY($L$1+1),TRUNC((N2229),8),E2229)</f>
        <v/>
      </c>
      <c r="F2230" s="49">
        <f>TRUNC(((1+VLOOKUP(A2230,IPCA!$A$2:$C$140,3,0)))^(C2230/(EDATE(D2230-C2230,1)-(D2230-C2230))),8)</f>
        <v/>
      </c>
      <c r="G2230" s="4">
        <f>TRUNC((E2230*F2230),8)</f>
        <v/>
      </c>
      <c r="H2230" s="4">
        <f>ROUND(((1+$H$4)^(30/360))^(C2230/(EDATE(D2230-B2230,1)-(D2230-B2230))),9)</f>
        <v/>
      </c>
      <c r="I2230" s="4">
        <f>TRUNC((G2230*H2230-G2230),8)</f>
        <v/>
      </c>
      <c r="J2230" s="49">
        <f>G2230+I2230</f>
        <v/>
      </c>
      <c r="K2230" s="256" t="n"/>
      <c r="L2230" s="256" t="n"/>
      <c r="M2230" s="256" t="n"/>
      <c r="N2230" s="256" t="n"/>
      <c r="O2230" s="256" t="n"/>
      <c r="P2230" s="256" t="n"/>
      <c r="Q2230" s="256" t="n"/>
    </row>
    <row r="2231">
      <c r="A2231">
        <f>IF(DAY(D2231)=DAY($L$1+1),A2230+1,A2230)</f>
        <v/>
      </c>
      <c r="B2231" s="1">
        <f>IF(DAY(D2231)=DAY($L$1+1),1,B2230+1)</f>
        <v/>
      </c>
      <c r="C2231" s="1">
        <f>IF(DAY(D2231)=DAY($L$1+1),1,C2230+1)</f>
        <v/>
      </c>
      <c r="D2231" s="2">
        <f>D2230+1</f>
        <v/>
      </c>
      <c r="E2231" s="8">
        <f>IF(DAY(D2231)=DAY($L$1+1),TRUNC((N2230),8),E2230)</f>
        <v/>
      </c>
      <c r="F2231" s="49">
        <f>TRUNC(((1+VLOOKUP(A2231,IPCA!$A$2:$C$140,3,0)))^(C2231/(EDATE(D2231-C2231,1)-(D2231-C2231))),8)</f>
        <v/>
      </c>
      <c r="G2231" s="4">
        <f>TRUNC((E2231*F2231),8)</f>
        <v/>
      </c>
      <c r="H2231" s="4">
        <f>ROUND(((1+$H$4)^(30/360))^(C2231/(EDATE(D2231-B2231,1)-(D2231-B2231))),9)</f>
        <v/>
      </c>
      <c r="I2231" s="4">
        <f>TRUNC((G2231*H2231-G2231),8)</f>
        <v/>
      </c>
      <c r="J2231" s="49">
        <f>G2231+I2231</f>
        <v/>
      </c>
      <c r="K2231" s="256" t="n"/>
      <c r="L2231" s="256" t="n"/>
      <c r="M2231" s="256" t="n"/>
      <c r="N2231" s="256" t="n"/>
      <c r="O2231" s="256" t="n"/>
      <c r="P2231" s="256" t="n"/>
      <c r="Q2231" s="256" t="n"/>
    </row>
    <row r="2232">
      <c r="A2232">
        <f>IF(DAY(D2232)=DAY($L$1+1),A2231+1,A2231)</f>
        <v/>
      </c>
      <c r="B2232" s="46">
        <f>IF(DAY(D2232)=DAY($L$1+1),1,B2231+1)</f>
        <v/>
      </c>
      <c r="C2232" s="46">
        <f>IF(DAY(D2232)=DAY($L$1+1),1,C2231+1)</f>
        <v/>
      </c>
      <c r="D2232" s="2">
        <f>D2231+1</f>
        <v/>
      </c>
      <c r="E2232" s="8">
        <f>IF(DAY(D2232)=DAY($L$1+1),TRUNC((N2231),8),E2231)</f>
        <v/>
      </c>
      <c r="F2232" s="49">
        <f>TRUNC(((1+VLOOKUP(A2232,IPCA!$A$2:$C$140,3,0)))^(C2232/(EDATE(D2232-C2232,1)-(D2232-C2232))),8)</f>
        <v/>
      </c>
      <c r="G2232" s="4">
        <f>TRUNC((E2232*F2232),8)</f>
        <v/>
      </c>
      <c r="H2232" s="4">
        <f>ROUND(((1+$H$4)^(30/360))^(C2232/(EDATE(D2232-B2232,1)-(D2232-B2232))),9)</f>
        <v/>
      </c>
      <c r="I2232" s="4">
        <f>TRUNC((G2232*H2232-G2232),8)</f>
        <v/>
      </c>
      <c r="J2232" s="49">
        <f>G2232+I2232</f>
        <v/>
      </c>
      <c r="K2232" s="256" t="n"/>
      <c r="L2232" s="256" t="n"/>
      <c r="M2232" s="256" t="n"/>
      <c r="N2232" s="256" t="n"/>
      <c r="O2232" s="256" t="n"/>
      <c r="P2232" s="256" t="n"/>
      <c r="Q2232" s="256" t="n"/>
    </row>
    <row r="2233">
      <c r="A2233">
        <f>IF(DAY(D2233)=DAY($L$1+1),A2232+1,A2232)</f>
        <v/>
      </c>
      <c r="B2233" s="1">
        <f>IF(DAY(D2233)=DAY($L$1+1),1,B2232+1)</f>
        <v/>
      </c>
      <c r="C2233" s="1">
        <f>IF(DAY(D2233)=DAY($L$1+1),1,C2232+1)</f>
        <v/>
      </c>
      <c r="D2233" s="2">
        <f>D2232+1</f>
        <v/>
      </c>
      <c r="E2233" s="8">
        <f>IF(DAY(D2233)=DAY($L$1+1),TRUNC((N2232),8),E2232)</f>
        <v/>
      </c>
      <c r="F2233" s="49">
        <f>TRUNC(((1+VLOOKUP(A2233,IPCA!$A$2:$C$140,3,0)))^(C2233/(EDATE(D2233-C2233,1)-(D2233-C2233))),8)</f>
        <v/>
      </c>
      <c r="G2233" s="44">
        <f>TRUNC((E2233*F2233),8)</f>
        <v/>
      </c>
      <c r="H2233" s="44">
        <f>ROUND(((1+$H$4)^(30/360))^(C2233/(EDATE(D2233-B2233,1)-(D2233-B2233))),9)</f>
        <v/>
      </c>
      <c r="I2233" s="44">
        <f>TRUNC((G2233*H2233-G2233),8)</f>
        <v/>
      </c>
      <c r="J2233" s="49">
        <f>G2233+I2233</f>
        <v/>
      </c>
      <c r="K2233" s="256" t="n"/>
      <c r="L2233" s="256" t="n"/>
      <c r="M2233" s="256" t="n"/>
      <c r="N2233" s="256" t="n"/>
      <c r="O2233" s="256" t="n"/>
      <c r="P2233" s="256" t="n"/>
      <c r="Q2233" s="256" t="n"/>
    </row>
    <row r="2234">
      <c r="A2234">
        <f>IF(DAY(D2234)=DAY($L$1+1),A2233+1,A2233)</f>
        <v/>
      </c>
      <c r="B2234" s="46">
        <f>IF(DAY(D2234)=DAY($L$1+1),1,B2233+1)</f>
        <v/>
      </c>
      <c r="C2234" s="46">
        <f>IF(DAY(D2234)=DAY($L$1+1),1,C2233+1)</f>
        <v/>
      </c>
      <c r="D2234" s="2">
        <f>D2233+1</f>
        <v/>
      </c>
      <c r="E2234" s="8">
        <f>IF(DAY(D2234)=DAY($L$1+1),TRUNC((N2233),8),E2233)</f>
        <v/>
      </c>
      <c r="F2234" s="49">
        <f>TRUNC(((1+VLOOKUP(A2234,IPCA!$A$2:$C$140,3,0)))^(C2234/(EDATE(D2234-C2234,1)-(D2234-C2234))),8)</f>
        <v/>
      </c>
      <c r="G2234" s="44">
        <f>TRUNC((E2234*F2234),8)</f>
        <v/>
      </c>
      <c r="H2234" s="44">
        <f>ROUND(((1+$H$4)^(30/360))^(C2234/(EDATE(D2234-B2234,1)-(D2234-B2234))),9)</f>
        <v/>
      </c>
      <c r="I2234" s="44">
        <f>TRUNC((G2234*H2234-G2234),8)</f>
        <v/>
      </c>
      <c r="J2234" s="49">
        <f>G2234+I2234</f>
        <v/>
      </c>
      <c r="K2234" s="256" t="n"/>
      <c r="L2234" s="256" t="n"/>
      <c r="M2234" s="256" t="n"/>
      <c r="N2234" s="256" t="n"/>
      <c r="O2234" s="256" t="n"/>
      <c r="P2234" s="256" t="n"/>
      <c r="Q2234" s="256" t="n"/>
    </row>
    <row r="2235">
      <c r="A2235">
        <f>IF(DAY(D2235)=DAY($L$1+1),A2234+1,A2234)</f>
        <v/>
      </c>
      <c r="B2235" s="1">
        <f>IF(DAY(D2235)=DAY($L$1+1),1,B2234+1)</f>
        <v/>
      </c>
      <c r="C2235" s="1">
        <f>IF(DAY(D2235)=DAY($L$1+1),1,C2234+1)</f>
        <v/>
      </c>
      <c r="D2235" s="2">
        <f>D2234+1</f>
        <v/>
      </c>
      <c r="E2235" s="8">
        <f>IF(DAY(D2235)=DAY($L$1+1),TRUNC((N2234),8),E2234)</f>
        <v/>
      </c>
      <c r="F2235" s="49">
        <f>TRUNC(((1+VLOOKUP(A2235,IPCA!$A$2:$C$140,3,0)))^(C2235/(EDATE(D2235-C2235,1)-(D2235-C2235))),8)</f>
        <v/>
      </c>
      <c r="G2235" s="44">
        <f>TRUNC((E2235*F2235),8)</f>
        <v/>
      </c>
      <c r="H2235" s="44">
        <f>ROUND(((1+$H$4)^(30/360))^(C2235/(EDATE(D2235-B2235,1)-(D2235-B2235))),9)</f>
        <v/>
      </c>
      <c r="I2235" s="44">
        <f>TRUNC((G2235*H2235-G2235),8)</f>
        <v/>
      </c>
      <c r="J2235" s="49">
        <f>G2235+I2235</f>
        <v/>
      </c>
      <c r="K2235" s="256" t="n"/>
      <c r="L2235" s="256" t="n"/>
      <c r="M2235" s="256" t="n"/>
      <c r="N2235" s="256" t="n"/>
      <c r="O2235" s="256" t="n"/>
      <c r="P2235" s="256" t="n"/>
      <c r="Q2235" s="256" t="n"/>
    </row>
    <row r="2236">
      <c r="A2236">
        <f>IF(DAY(D2236)=DAY($L$1+1),A2235+1,A2235)</f>
        <v/>
      </c>
      <c r="B2236" s="46">
        <f>IF(DAY(D2236)=DAY($L$1+1),1,B2235+1)</f>
        <v/>
      </c>
      <c r="C2236" s="46">
        <f>IF(DAY(D2236)=DAY($L$1+1),1,C2235+1)</f>
        <v/>
      </c>
      <c r="D2236" s="2">
        <f>D2235+1</f>
        <v/>
      </c>
      <c r="E2236" s="8">
        <f>IF(DAY(D2236)=DAY($L$1+1),TRUNC((N2235),8),E2235)</f>
        <v/>
      </c>
      <c r="F2236" s="49">
        <f>TRUNC(((1+VLOOKUP(A2236,IPCA!$A$2:$C$140,3,0)))^(C2236/(EDATE(D2236-C2236,1)-(D2236-C2236))),8)</f>
        <v/>
      </c>
      <c r="G2236" s="44">
        <f>TRUNC((E2236*F2236),8)</f>
        <v/>
      </c>
      <c r="H2236" s="44">
        <f>ROUND(((1+$H$4)^(30/360))^(C2236/(EDATE(D2236-B2236,1)-(D2236-B2236))),9)</f>
        <v/>
      </c>
      <c r="I2236" s="44">
        <f>TRUNC((G2236*H2236-G2236),8)</f>
        <v/>
      </c>
      <c r="J2236" s="49">
        <f>G2236+I2236</f>
        <v/>
      </c>
      <c r="K2236" s="256" t="n"/>
      <c r="L2236" s="256" t="n"/>
      <c r="M2236" s="256" t="n"/>
      <c r="N2236" s="256" t="n"/>
      <c r="O2236" s="256" t="n"/>
      <c r="P2236" s="256" t="n"/>
      <c r="Q2236" s="256" t="n"/>
    </row>
    <row r="2237">
      <c r="A2237">
        <f>IF(DAY(D2237)=DAY($L$1+1),A2236+1,A2236)</f>
        <v/>
      </c>
      <c r="B2237" s="1">
        <f>IF(DAY(D2237)=DAY($L$1+1),1,B2236+1)</f>
        <v/>
      </c>
      <c r="C2237" s="1">
        <f>IF(DAY(D2237)=DAY($L$1+1),1,C2236+1)</f>
        <v/>
      </c>
      <c r="D2237" s="2">
        <f>D2236+1</f>
        <v/>
      </c>
      <c r="E2237" s="8">
        <f>IF(DAY(D2237)=DAY($L$1+1),TRUNC((N2236),8),E2236)</f>
        <v/>
      </c>
      <c r="F2237" s="49">
        <f>TRUNC(((1+VLOOKUP(A2237,IPCA!$A$2:$C$140,3,0)))^(C2237/(EDATE(D2237-C2237,1)-(D2237-C2237))),8)</f>
        <v/>
      </c>
      <c r="G2237" s="44">
        <f>TRUNC((E2237*F2237),8)</f>
        <v/>
      </c>
      <c r="H2237" s="44">
        <f>ROUND(((1+$H$4)^(30/360))^(C2237/(EDATE(D2237-B2237,1)-(D2237-B2237))),9)</f>
        <v/>
      </c>
      <c r="I2237" s="44">
        <f>TRUNC((G2237*H2237-G2237),8)</f>
        <v/>
      </c>
      <c r="J2237" s="49">
        <f>G2237+I2237</f>
        <v/>
      </c>
      <c r="K2237" s="256" t="n"/>
      <c r="L2237" s="256" t="n"/>
      <c r="M2237" s="256" t="n"/>
      <c r="N2237" s="256" t="n"/>
      <c r="O2237" s="256" t="n"/>
      <c r="P2237" s="256" t="n"/>
      <c r="Q2237" s="256" t="n"/>
    </row>
    <row r="2238">
      <c r="A2238">
        <f>IF(DAY(D2238)=DAY($L$1+1),A2237+1,A2237)</f>
        <v/>
      </c>
      <c r="B2238" s="46">
        <f>IF(DAY(D2238)=DAY($L$1+1),1,B2237+1)</f>
        <v/>
      </c>
      <c r="C2238" s="46">
        <f>IF(DAY(D2238)=DAY($L$1+1),1,C2237+1)</f>
        <v/>
      </c>
      <c r="D2238" s="2">
        <f>D2237+1</f>
        <v/>
      </c>
      <c r="E2238" s="8">
        <f>IF(DAY(D2238)=DAY($L$1+1),TRUNC((N2237),8),E2237)</f>
        <v/>
      </c>
      <c r="F2238" s="49">
        <f>TRUNC(((1+VLOOKUP(A2238,IPCA!$A$2:$C$140,3,0)))^(C2238/(EDATE(D2238-C2238,1)-(D2238-C2238))),8)</f>
        <v/>
      </c>
      <c r="G2238" s="44">
        <f>TRUNC((E2238*F2238),8)</f>
        <v/>
      </c>
      <c r="H2238" s="44">
        <f>ROUND(((1+$H$4)^(30/360))^(C2238/(EDATE(D2238-B2238,1)-(D2238-B2238))),9)</f>
        <v/>
      </c>
      <c r="I2238" s="44">
        <f>TRUNC((G2238*H2238-G2238),8)</f>
        <v/>
      </c>
      <c r="J2238" s="49">
        <f>G2238+I2238</f>
        <v/>
      </c>
      <c r="K2238" s="256" t="n"/>
      <c r="L2238" s="256" t="n"/>
      <c r="M2238" s="256" t="n"/>
      <c r="N2238" s="256" t="n"/>
      <c r="O2238" s="256" t="n"/>
      <c r="P2238" s="256" t="n"/>
      <c r="Q2238" s="256" t="n"/>
    </row>
    <row r="2239">
      <c r="A2239">
        <f>IF(DAY(D2239)=DAY($L$1+1),A2238+1,A2238)</f>
        <v/>
      </c>
      <c r="B2239" s="1">
        <f>IF(DAY(D2239)=DAY($L$1+1),1,B2238+1)</f>
        <v/>
      </c>
      <c r="C2239" s="1">
        <f>IF(DAY(D2239)=DAY($L$1+1),1,C2238+1)</f>
        <v/>
      </c>
      <c r="D2239" s="2">
        <f>D2238+1</f>
        <v/>
      </c>
      <c r="E2239" s="8">
        <f>IF(DAY(D2239)=DAY($L$1+1),TRUNC((N2238),8),E2238)</f>
        <v/>
      </c>
      <c r="F2239" s="49">
        <f>TRUNC(((1+VLOOKUP(A2239,IPCA!$A$2:$C$140,3,0)))^(C2239/(EDATE(D2239-C2239,1)-(D2239-C2239))),8)</f>
        <v/>
      </c>
      <c r="G2239" s="44">
        <f>TRUNC((E2239*F2239),8)</f>
        <v/>
      </c>
      <c r="H2239" s="44">
        <f>ROUND(((1+$H$4)^(30/360))^(C2239/(EDATE(D2239-B2239,1)-(D2239-B2239))),9)</f>
        <v/>
      </c>
      <c r="I2239" s="44">
        <f>TRUNC((G2239*H2239-G2239),8)</f>
        <v/>
      </c>
      <c r="J2239" s="49">
        <f>G2239+I2239</f>
        <v/>
      </c>
      <c r="K2239" s="256" t="n"/>
      <c r="L2239" s="256" t="n"/>
      <c r="M2239" s="256" t="n"/>
      <c r="N2239" s="256" t="n"/>
      <c r="O2239" s="256" t="n"/>
      <c r="P2239" s="256" t="n"/>
      <c r="Q2239" s="256" t="n"/>
    </row>
    <row r="2240">
      <c r="A2240">
        <f>IF(DAY(D2240)=DAY($L$1+1),A2239+1,A2239)</f>
        <v/>
      </c>
      <c r="B2240" s="46">
        <f>IF(DAY(D2240)=DAY($L$1+1),1,B2239+1)</f>
        <v/>
      </c>
      <c r="C2240" s="46">
        <f>IF(DAY(D2240)=DAY($L$1+1),1,C2239+1)</f>
        <v/>
      </c>
      <c r="D2240" s="2">
        <f>D2239+1</f>
        <v/>
      </c>
      <c r="E2240" s="8">
        <f>IF(DAY(D2240)=DAY($L$1+1),TRUNC((N2239),8),E2239)</f>
        <v/>
      </c>
      <c r="F2240" s="49">
        <f>TRUNC(((1+VLOOKUP(A2240,IPCA!$A$2:$C$140,3,0)))^(C2240/(EDATE(D2240-C2240,1)-(D2240-C2240))),8)</f>
        <v/>
      </c>
      <c r="G2240" s="49">
        <f>TRUNC((E2240*F2240),8)</f>
        <v/>
      </c>
      <c r="H2240" s="49">
        <f>ROUND(((1+$H$4)^(30/360))^(C2240/(EDATE(D2240-B2240,1)-(D2240-B2240))),9)</f>
        <v/>
      </c>
      <c r="I2240" s="49">
        <f>TRUNC((G2240*H2240-G2240),8)</f>
        <v/>
      </c>
      <c r="J2240" s="49">
        <f>G2240+I2240</f>
        <v/>
      </c>
      <c r="K2240" s="256" t="inlineStr">
        <is>
          <t>Cri Integralizado</t>
        </is>
      </c>
      <c r="L2240" s="270">
        <f>L2209</f>
        <v/>
      </c>
      <c r="M2240" s="256" t="n"/>
      <c r="N2240" s="256" t="n"/>
      <c r="O2240" s="256" t="n"/>
      <c r="P2240" s="256" t="n"/>
      <c r="Q2240" s="256" t="n"/>
    </row>
    <row r="2241">
      <c r="A2241">
        <f>IF(DAY(D2241)=DAY($L$1+1),A2240+1,A2240)</f>
        <v/>
      </c>
      <c r="B2241" s="46">
        <f>IF(DAY(D2241)=DAY($L$1+1),1,B2240+1)</f>
        <v/>
      </c>
      <c r="C2241" s="46">
        <f>IF(DAY(D2241)=DAY($L$1+1),1,C2240+1)</f>
        <v/>
      </c>
      <c r="D2241" s="47">
        <f>D2240+1</f>
        <v/>
      </c>
      <c r="E2241" s="8">
        <f>IF(DAY(D2241)=DAY($L$1+1),TRUNC((N2240),8),E2240)</f>
        <v/>
      </c>
      <c r="F2241" s="49">
        <f>TRUNC(((1+VLOOKUP(A2241,IPCA!$A$2:$C$140,3,0)))^(C2241/(EDATE(D2241-C2241,1)-(D2241-C2241))),8)</f>
        <v/>
      </c>
      <c r="G2241" s="49">
        <f>TRUNC((E2241*F2241),8)</f>
        <v/>
      </c>
      <c r="H2241" s="49">
        <f>ROUND(((1+$H$4)^(30/360))^(C2241/(EDATE(D2241-B2241,1)-(D2241-B2241))),9)</f>
        <v/>
      </c>
      <c r="I2241" s="49">
        <f>TRUNC((G2241*H2241-G2241),8)</f>
        <v/>
      </c>
      <c r="J2241" s="49">
        <f>G2241+I2241</f>
        <v/>
      </c>
      <c r="K2241" s="137" t="inlineStr">
        <is>
          <t>JUROS</t>
        </is>
      </c>
      <c r="L2241" s="118" t="inlineStr">
        <is>
          <t>AMORTIZAÇÃO</t>
        </is>
      </c>
      <c r="M2241" s="118" t="inlineStr">
        <is>
          <t>AMEX</t>
        </is>
      </c>
      <c r="N2241" s="118" t="inlineStr">
        <is>
          <t>RESIDUAL</t>
        </is>
      </c>
      <c r="O2241" s="256" t="n"/>
      <c r="P2241" s="256" t="n"/>
      <c r="Q2241" s="256" t="n"/>
    </row>
    <row r="2242">
      <c r="A2242">
        <f>IF(DAY(D2242)=DAY($L$1+1),A2241+1,A2241)</f>
        <v/>
      </c>
      <c r="B2242" s="111">
        <f>IF(DAY(D2242)=DAY($L$1+1),1,B2241+1)</f>
        <v/>
      </c>
      <c r="C2242" s="111">
        <f>IF(DAY(D2242)=DAY($L$1+1),1,C2241+1)</f>
        <v/>
      </c>
      <c r="D2242" s="112">
        <f>D2241+1</f>
        <v/>
      </c>
      <c r="E2242" s="113">
        <f>IF(DAY(D2242)=DAY($L$1+1),TRUNC((N2241),8),E2241)</f>
        <v/>
      </c>
      <c r="F2242" s="114">
        <f>TRUNC(((1+VLOOKUP(A2242,IPCA!$A$2:$C$140,3,0)))^(C2242/(EDATE(D2242-C2242,1)-(D2242-C2242))),8)</f>
        <v/>
      </c>
      <c r="G2242" s="114">
        <f>TRUNC((E2242*F2242),8)</f>
        <v/>
      </c>
      <c r="H2242" s="114">
        <f>ROUND(((1+$H$4)^(30/360))^(C2242/(EDATE(D2242-B2242,1)-(D2242-B2242))),9)</f>
        <v/>
      </c>
      <c r="I2242" s="114">
        <f>TRUNC((G2242*H2242-G2242),8)</f>
        <v/>
      </c>
      <c r="J2242" s="114">
        <f>G2242+I2242</f>
        <v/>
      </c>
      <c r="K2242" s="119">
        <f>I2242</f>
        <v/>
      </c>
      <c r="L2242" s="120">
        <f>TRUNC(G2242*VLOOKUP(D2242,'Amort TS'!$G$3:$H$140,2,0),8)</f>
        <v/>
      </c>
      <c r="M2242" s="120" t="n">
        <v>0</v>
      </c>
      <c r="N2242" s="120">
        <f>J2242-K2242-L2242-M2242</f>
        <v/>
      </c>
      <c r="O2242" s="256" t="n"/>
      <c r="P2242" s="256" t="n"/>
      <c r="Q2242" s="256" t="n"/>
    </row>
    <row r="2243">
      <c r="A2243">
        <f>IF(DAY(D2243)=DAY($L$1+1),A2242+1,A2242)</f>
        <v/>
      </c>
      <c r="B2243" s="46">
        <f>IF(DAY(D2243)=DAY($L$1+1),1,B2242+1)</f>
        <v/>
      </c>
      <c r="C2243" s="46">
        <f>IF(DAY(D2243)=DAY($L$1+1),1,C2242+1)</f>
        <v/>
      </c>
      <c r="D2243" s="2">
        <f>D2242+1</f>
        <v/>
      </c>
      <c r="E2243" s="8">
        <f>IF(DAY(D2243)=DAY($L$1+1),TRUNC((N2242),8),E2242)</f>
        <v/>
      </c>
      <c r="F2243" s="49">
        <f>TRUNC(((1+VLOOKUP(A2243,IPCA!$A$2:$C$140,3,0)))^(C2243/(EDATE(D2243-C2243,1)-(D2243-C2243))),8)</f>
        <v/>
      </c>
      <c r="G2243" s="49">
        <f>TRUNC((E2243*F2243),8)</f>
        <v/>
      </c>
      <c r="H2243" s="49">
        <f>ROUND(((1+$H$4)^(30/360))^(C2243/(EDATE(D2243-B2243,1)-(D2243-B2243))),9)</f>
        <v/>
      </c>
      <c r="I2243" s="49">
        <f>TRUNC((G2243*H2243-G2243),8)</f>
        <v/>
      </c>
      <c r="J2243" s="49">
        <f>G2243+I2243</f>
        <v/>
      </c>
      <c r="K2243" s="121">
        <f>K2242*L2240</f>
        <v/>
      </c>
      <c r="L2243" s="121">
        <f>L2242*L2240</f>
        <v/>
      </c>
      <c r="M2243" s="121">
        <f>M2242*L2240</f>
        <v/>
      </c>
      <c r="N2243" s="121">
        <f>N2242*L2240</f>
        <v/>
      </c>
      <c r="O2243" s="256" t="n"/>
      <c r="P2243" s="256" t="n"/>
      <c r="Q2243" s="256" t="n"/>
    </row>
    <row r="2244">
      <c r="A2244">
        <f>IF(DAY(D2244)=DAY($L$1+1),A2243+1,A2243)</f>
        <v/>
      </c>
      <c r="B2244" s="46">
        <f>IF(DAY(D2244)=DAY($L$1+1),1,B2243+1)</f>
        <v/>
      </c>
      <c r="C2244" s="46">
        <f>IF(DAY(D2244)=DAY($L$1+1),1,C2243+1)</f>
        <v/>
      </c>
      <c r="D2244" s="47">
        <f>D2243+1</f>
        <v/>
      </c>
      <c r="E2244" s="8">
        <f>IF(DAY(D2244)=DAY($L$1+1),TRUNC((N2243),8),E2243)</f>
        <v/>
      </c>
      <c r="F2244" s="49">
        <f>TRUNC(((1+VLOOKUP(A2244,IPCA!$A$2:$C$140,3,0)))^(C2244/(EDATE(D2244-C2244,1)-(D2244-C2244))),8)</f>
        <v/>
      </c>
      <c r="G2244" s="49">
        <f>TRUNC((E2244*F2244),8)</f>
        <v/>
      </c>
      <c r="H2244" s="49">
        <f>ROUND(((1+$H$4)^(30/360))^(C2244/(EDATE(D2244-B2244,1)-(D2244-B2244))),9)</f>
        <v/>
      </c>
      <c r="I2244" s="49">
        <f>TRUNC((G2244*H2244-G2244),8)</f>
        <v/>
      </c>
      <c r="J2244" s="49">
        <f>G2244+I2244</f>
        <v/>
      </c>
      <c r="K2244" s="256" t="n"/>
      <c r="L2244" s="256" t="n"/>
      <c r="M2244" s="256" t="n"/>
      <c r="N2244" s="256" t="n"/>
      <c r="O2244" s="256" t="n"/>
      <c r="P2244" s="256" t="n"/>
      <c r="Q2244" s="256" t="n"/>
    </row>
    <row r="2245">
      <c r="A2245">
        <f>IF(DAY(D2245)=DAY($L$1+1),A2244+1,A2244)</f>
        <v/>
      </c>
      <c r="B2245" s="1">
        <f>IF(DAY(D2245)=DAY($L$1+1),1,B2244+1)</f>
        <v/>
      </c>
      <c r="C2245" s="1">
        <f>IF(DAY(D2245)=DAY($L$1+1),1,C2244+1)</f>
        <v/>
      </c>
      <c r="D2245" s="2">
        <f>D2244+1</f>
        <v/>
      </c>
      <c r="E2245" s="8">
        <f>IF(DAY(D2245)=DAY($L$1+1),TRUNC((#REF!),8),E2244)</f>
        <v/>
      </c>
      <c r="F2245" s="49">
        <f>TRUNC(((1+VLOOKUP(A2245,IPCA!$A$2:$C$140,3,0)))^(C2245/(EDATE(D2245-C2245,1)-(D2245-C2245))),8)</f>
        <v/>
      </c>
      <c r="G2245" s="44">
        <f>TRUNC((E2245*F2245),8)</f>
        <v/>
      </c>
      <c r="H2245" s="44">
        <f>ROUND(((1+$H$4)^(30/360))^(C2245/(EDATE(D2245-B2245,1)-(D2245-B2245))),9)</f>
        <v/>
      </c>
      <c r="I2245" s="44">
        <f>TRUNC((G2245*H2245-G2245),8)</f>
        <v/>
      </c>
      <c r="J2245" s="49">
        <f>G2245+I2245</f>
        <v/>
      </c>
      <c r="K2245" s="256" t="n"/>
      <c r="L2245" s="256" t="n"/>
      <c r="M2245" s="256" t="n"/>
      <c r="N2245" s="256" t="n"/>
      <c r="O2245" s="256" t="n"/>
      <c r="P2245" s="256" t="n"/>
      <c r="Q2245" s="256" t="n"/>
    </row>
    <row r="2246">
      <c r="A2246">
        <f>IF(DAY(D2246)=DAY($L$1+1),A2245+1,A2245)</f>
        <v/>
      </c>
      <c r="B2246" s="46">
        <f>IF(DAY(D2246)=DAY($L$1+1),1,B2245+1)</f>
        <v/>
      </c>
      <c r="C2246" s="46">
        <f>IF(DAY(D2246)=DAY($L$1+1),1,C2245+1)</f>
        <v/>
      </c>
      <c r="D2246" s="2">
        <f>D2245+1</f>
        <v/>
      </c>
      <c r="E2246" s="8">
        <f>IF(DAY(D2246)=DAY($L$1+1),TRUNC((#REF!),8),E2245)</f>
        <v/>
      </c>
      <c r="F2246" s="49">
        <f>TRUNC(((1+VLOOKUP(A2246,IPCA!$A$2:$C$140,3,0)))^(C2246/(EDATE(D2246-C2246,1)-(D2246-C2246))),8)</f>
        <v/>
      </c>
      <c r="G2246" s="44">
        <f>TRUNC((E2246*F2246),8)</f>
        <v/>
      </c>
      <c r="H2246" s="44">
        <f>ROUND(((1+$H$4)^(30/360))^(C2246/(EDATE(D2246-B2246,1)-(D2246-B2246))),9)</f>
        <v/>
      </c>
      <c r="I2246" s="44">
        <f>TRUNC((G2246*H2246-G2246),8)</f>
        <v/>
      </c>
      <c r="J2246" s="49">
        <f>G2246+I2246</f>
        <v/>
      </c>
      <c r="K2246" s="256" t="n"/>
      <c r="L2246" s="256" t="n"/>
      <c r="M2246" s="256" t="n"/>
      <c r="N2246" s="256" t="n"/>
      <c r="O2246" s="256" t="n"/>
      <c r="P2246" s="256" t="n"/>
      <c r="Q2246" s="256" t="n"/>
    </row>
    <row r="2247">
      <c r="A2247">
        <f>IF(DAY(D2247)=DAY($L$1+1),A2246+1,A2246)</f>
        <v/>
      </c>
      <c r="B2247" s="1">
        <f>IF(DAY(D2247)=DAY($L$1+1),1,B2246+1)</f>
        <v/>
      </c>
      <c r="C2247" s="1">
        <f>IF(DAY(D2247)=DAY($L$1+1),1,C2246+1)</f>
        <v/>
      </c>
      <c r="D2247" s="2">
        <f>D2246+1</f>
        <v/>
      </c>
      <c r="E2247" s="8">
        <f>IF(DAY(D2247)=DAY($L$1+1),TRUNC((#REF!),8),E2246)</f>
        <v/>
      </c>
      <c r="F2247" s="49">
        <f>TRUNC(((1+VLOOKUP(A2247,IPCA!$A$2:$C$140,3,0)))^(C2247/(EDATE(D2247-C2247,1)-(D2247-C2247))),8)</f>
        <v/>
      </c>
      <c r="G2247" s="44">
        <f>TRUNC((E2247*F2247),8)</f>
        <v/>
      </c>
      <c r="H2247" s="44">
        <f>ROUND(((1+$H$4)^(30/360))^(C2247/(EDATE(D2247-B2247,1)-(D2247-B2247))),9)</f>
        <v/>
      </c>
      <c r="I2247" s="44">
        <f>TRUNC((G2247*H2247-G2247),8)</f>
        <v/>
      </c>
      <c r="J2247" s="49">
        <f>G2247+I2247</f>
        <v/>
      </c>
      <c r="K2247" s="256" t="n"/>
      <c r="L2247" s="256" t="n"/>
      <c r="M2247" s="256" t="n"/>
      <c r="N2247" s="256" t="n"/>
      <c r="O2247" s="256" t="n"/>
      <c r="P2247" s="256" t="n"/>
      <c r="Q2247" s="256" t="n"/>
    </row>
    <row r="2248">
      <c r="A2248">
        <f>IF(DAY(D2248)=DAY($L$1+1),A2247+1,A2247)</f>
        <v/>
      </c>
      <c r="B2248" s="46">
        <f>IF(DAY(D2248)=DAY($L$1+1),1,B2247+1)</f>
        <v/>
      </c>
      <c r="C2248" s="46">
        <f>IF(DAY(D2248)=DAY($L$1+1),1,C2247+1)</f>
        <v/>
      </c>
      <c r="D2248" s="2">
        <f>D2247+1</f>
        <v/>
      </c>
      <c r="E2248" s="8">
        <f>IF(DAY(D2248)=DAY($L$1+1),TRUNC((#REF!),8),E2247)</f>
        <v/>
      </c>
      <c r="F2248" s="49">
        <f>TRUNC(((1+VLOOKUP(A2248,IPCA!$A$2:$C$140,3,0)))^(C2248/(EDATE(D2248-C2248,1)-(D2248-C2248))),8)</f>
        <v/>
      </c>
      <c r="G2248" s="44">
        <f>TRUNC((E2248*F2248),8)</f>
        <v/>
      </c>
      <c r="H2248" s="44">
        <f>ROUND(((1+$H$4)^(30/360))^(C2248/(EDATE(D2248-B2248,1)-(D2248-B2248))),9)</f>
        <v/>
      </c>
      <c r="I2248" s="44">
        <f>TRUNC((G2248*H2248-G2248),8)</f>
        <v/>
      </c>
      <c r="J2248" s="49">
        <f>G2248+I2248</f>
        <v/>
      </c>
      <c r="K2248" s="256" t="n"/>
      <c r="L2248" s="256" t="n"/>
      <c r="M2248" s="256" t="n"/>
      <c r="N2248" s="256" t="n"/>
      <c r="O2248" s="256" t="n"/>
      <c r="P2248" s="256" t="n"/>
      <c r="Q2248" s="256" t="n"/>
    </row>
    <row r="2249">
      <c r="A2249">
        <f>IF(DAY(D2249)=DAY($L$1+1),A2248+1,A2248)</f>
        <v/>
      </c>
      <c r="B2249" s="1">
        <f>IF(DAY(D2249)=DAY($L$1+1),1,B2248+1)</f>
        <v/>
      </c>
      <c r="C2249" s="1">
        <f>IF(DAY(D2249)=DAY($L$1+1),1,C2248+1)</f>
        <v/>
      </c>
      <c r="D2249" s="2">
        <f>D2248+1</f>
        <v/>
      </c>
      <c r="E2249" s="8">
        <f>IF(DAY(D2249)=DAY($L$1+1),TRUNC((#REF!),8),E2248)</f>
        <v/>
      </c>
      <c r="F2249" s="49">
        <f>TRUNC(((1+VLOOKUP(A2249,IPCA!$A$2:$C$140,3,0)))^(C2249/(EDATE(D2249-C2249,1)-(D2249-C2249))),8)</f>
        <v/>
      </c>
      <c r="G2249" s="44">
        <f>TRUNC((E2249*F2249),8)</f>
        <v/>
      </c>
      <c r="H2249" s="44">
        <f>ROUND(((1+$H$4)^(30/360))^(C2249/(EDATE(D2249-B2249,1)-(D2249-B2249))),9)</f>
        <v/>
      </c>
      <c r="I2249" s="44">
        <f>TRUNC((G2249*H2249-G2249),8)</f>
        <v/>
      </c>
      <c r="J2249" s="49">
        <f>G2249+I2249</f>
        <v/>
      </c>
      <c r="K2249" s="256" t="n"/>
      <c r="L2249" s="256" t="n"/>
      <c r="M2249" s="256" t="n"/>
      <c r="N2249" s="256" t="n"/>
      <c r="O2249" s="256" t="n"/>
      <c r="P2249" s="256" t="n"/>
      <c r="Q2249" s="256" t="n"/>
    </row>
    <row r="2250">
      <c r="A2250">
        <f>IF(DAY(D2250)=DAY($L$1+1),A2249+1,A2249)</f>
        <v/>
      </c>
      <c r="B2250" s="46">
        <f>IF(DAY(D2250)=DAY($L$1+1),1,B2249+1)</f>
        <v/>
      </c>
      <c r="C2250" s="46">
        <f>IF(DAY(D2250)=DAY($L$1+1),1,C2249+1)</f>
        <v/>
      </c>
      <c r="D2250" s="2">
        <f>D2249+1</f>
        <v/>
      </c>
      <c r="E2250" s="8">
        <f>IF(DAY(D2250)=DAY($L$1+1),TRUNC((#REF!),8),E2249)</f>
        <v/>
      </c>
      <c r="F2250" s="49">
        <f>TRUNC(((1+VLOOKUP(A2250,IPCA!$A$2:$C$140,3,0)))^(C2250/(EDATE(D2250-C2250,1)-(D2250-C2250))),8)</f>
        <v/>
      </c>
      <c r="G2250" s="44">
        <f>TRUNC((E2250*F2250),8)</f>
        <v/>
      </c>
      <c r="H2250" s="44">
        <f>ROUND(((1+$H$4)^(30/360))^(C2250/(EDATE(D2250-B2250,1)-(D2250-B2250))),9)</f>
        <v/>
      </c>
      <c r="I2250" s="44">
        <f>TRUNC((G2250*H2250-G2250),8)</f>
        <v/>
      </c>
      <c r="J2250" s="49">
        <f>G2250+I2250</f>
        <v/>
      </c>
      <c r="K2250" s="256" t="n"/>
      <c r="L2250" s="256" t="n"/>
      <c r="M2250" s="256" t="n"/>
      <c r="N2250" s="256" t="n"/>
      <c r="O2250" s="256" t="n"/>
      <c r="P2250" s="256" t="n"/>
      <c r="Q2250" s="256" t="n"/>
    </row>
    <row r="2251">
      <c r="A2251">
        <f>IF(DAY(D2251)=DAY($L$1+1),A2250+1,A2250)</f>
        <v/>
      </c>
      <c r="B2251" s="1">
        <f>IF(DAY(D2251)=DAY($L$1+1),1,B2250+1)</f>
        <v/>
      </c>
      <c r="C2251" s="1">
        <f>IF(DAY(D2251)=DAY($L$1+1),1,C2250+1)</f>
        <v/>
      </c>
      <c r="D2251" s="2">
        <f>D2250+1</f>
        <v/>
      </c>
      <c r="E2251" s="8">
        <f>IF(DAY(D2251)=DAY($L$1+1),TRUNC((#REF!),8),E2250)</f>
        <v/>
      </c>
      <c r="F2251" s="49">
        <f>TRUNC(((1+VLOOKUP(A2251,IPCA!$A$2:$C$140,3,0)))^(C2251/(EDATE(D2251-C2251,1)-(D2251-C2251))),8)</f>
        <v/>
      </c>
      <c r="G2251" s="44">
        <f>TRUNC((E2251*F2251),8)</f>
        <v/>
      </c>
      <c r="H2251" s="44">
        <f>ROUND(((1+$H$4)^(30/360))^(C2251/(EDATE(D2251-B2251,1)-(D2251-B2251))),9)</f>
        <v/>
      </c>
      <c r="I2251" s="44">
        <f>TRUNC((G2251*H2251-G2251),8)</f>
        <v/>
      </c>
      <c r="J2251" s="49">
        <f>G2251+I2251</f>
        <v/>
      </c>
      <c r="K2251" s="256" t="n"/>
      <c r="L2251" s="256" t="n"/>
      <c r="M2251" s="256" t="n"/>
      <c r="N2251" s="256" t="n"/>
      <c r="O2251" s="256" t="n"/>
      <c r="P2251" s="256" t="n"/>
      <c r="Q2251" s="256" t="n"/>
    </row>
    <row r="2252">
      <c r="A2252">
        <f>IF(DAY(D2252)=DAY($L$1+1),A2251+1,A2251)</f>
        <v/>
      </c>
      <c r="B2252" s="46">
        <f>IF(DAY(D2252)=DAY($L$1+1),1,B2251+1)</f>
        <v/>
      </c>
      <c r="C2252" s="46">
        <f>IF(DAY(D2252)=DAY($L$1+1),1,C2251+1)</f>
        <v/>
      </c>
      <c r="D2252" s="2">
        <f>D2251+1</f>
        <v/>
      </c>
      <c r="E2252" s="8">
        <f>IF(DAY(D2252)=DAY($L$1+1),TRUNC((#REF!),8),E2251)</f>
        <v/>
      </c>
      <c r="F2252" s="49">
        <f>TRUNC(((1+VLOOKUP(A2252,IPCA!$A$2:$C$140,3,0)))^(C2252/(EDATE(D2252-C2252,1)-(D2252-C2252))),8)</f>
        <v/>
      </c>
      <c r="G2252" s="44">
        <f>TRUNC((E2252*F2252),8)</f>
        <v/>
      </c>
      <c r="H2252" s="44">
        <f>ROUND(((1+$H$4)^(30/360))^(C2252/(EDATE(D2252-B2252,1)-(D2252-B2252))),9)</f>
        <v/>
      </c>
      <c r="I2252" s="44">
        <f>TRUNC((G2252*H2252-G2252),8)</f>
        <v/>
      </c>
      <c r="J2252" s="49">
        <f>G2252+I2252</f>
        <v/>
      </c>
      <c r="K2252" s="256" t="n"/>
      <c r="L2252" s="256" t="n"/>
      <c r="M2252" s="256" t="n"/>
      <c r="N2252" s="256" t="n"/>
      <c r="O2252" s="256" t="n"/>
      <c r="P2252" s="256" t="n"/>
      <c r="Q2252" s="256" t="n"/>
    </row>
    <row r="2253">
      <c r="A2253">
        <f>IF(DAY(D2253)=DAY($L$1+1),A2252+1,A2252)</f>
        <v/>
      </c>
      <c r="B2253" s="1">
        <f>IF(DAY(D2253)=DAY($L$1+1),1,B2252+1)</f>
        <v/>
      </c>
      <c r="C2253" s="1">
        <f>IF(DAY(D2253)=DAY($L$1+1),1,C2252+1)</f>
        <v/>
      </c>
      <c r="D2253" s="2">
        <f>D2252+1</f>
        <v/>
      </c>
      <c r="E2253" s="8">
        <f>IF(DAY(D2253)=DAY($L$1+1),TRUNC((#REF!),8),E2252)</f>
        <v/>
      </c>
      <c r="F2253" s="49">
        <f>TRUNC(((1+VLOOKUP(A2253,IPCA!$A$2:$C$140,3,0)))^(C2253/(EDATE(D2253-C2253,1)-(D2253-C2253))),8)</f>
        <v/>
      </c>
      <c r="G2253" s="44">
        <f>TRUNC((E2253*F2253),8)</f>
        <v/>
      </c>
      <c r="H2253" s="44">
        <f>ROUND(((1+$H$4)^(30/360))^(C2253/(EDATE(D2253-B2253,1)-(D2253-B2253))),9)</f>
        <v/>
      </c>
      <c r="I2253" s="44">
        <f>TRUNC((G2253*H2253-G2253),8)</f>
        <v/>
      </c>
      <c r="J2253" s="49">
        <f>G2253+I2253</f>
        <v/>
      </c>
      <c r="K2253" s="256" t="n"/>
      <c r="L2253" s="256" t="n"/>
      <c r="M2253" s="256" t="n"/>
      <c r="N2253" s="256" t="n"/>
      <c r="O2253" s="256" t="n"/>
      <c r="P2253" s="256" t="n"/>
      <c r="Q2253" s="256" t="n"/>
    </row>
    <row r="2254">
      <c r="A2254">
        <f>IF(DAY(D2254)=DAY($L$1+1),A2253+1,A2253)</f>
        <v/>
      </c>
      <c r="B2254" s="46">
        <f>IF(DAY(D2254)=DAY($L$1+1),1,B2253+1)</f>
        <v/>
      </c>
      <c r="C2254" s="46">
        <f>IF(DAY(D2254)=DAY($L$1+1),1,C2253+1)</f>
        <v/>
      </c>
      <c r="D2254" s="2">
        <f>D2253+1</f>
        <v/>
      </c>
      <c r="E2254" s="8">
        <f>IF(DAY(D2254)=DAY($L$1+1),TRUNC((#REF!),8),E2253)</f>
        <v/>
      </c>
      <c r="F2254" s="49">
        <f>TRUNC(((1+VLOOKUP(A2254,IPCA!$A$2:$C$140,3,0)))^(C2254/(EDATE(D2254-C2254,1)-(D2254-C2254))),8)</f>
        <v/>
      </c>
      <c r="G2254" s="44">
        <f>TRUNC((E2254*F2254),8)</f>
        <v/>
      </c>
      <c r="H2254" s="44">
        <f>ROUND(((1+$H$4)^(30/360))^(C2254/(EDATE(D2254-B2254,1)-(D2254-B2254))),9)</f>
        <v/>
      </c>
      <c r="I2254" s="44">
        <f>TRUNC((G2254*H2254-G2254),8)</f>
        <v/>
      </c>
      <c r="J2254" s="49">
        <f>G2254+I2254</f>
        <v/>
      </c>
      <c r="K2254" s="256" t="n"/>
      <c r="L2254" s="256" t="n"/>
      <c r="M2254" s="256" t="n"/>
      <c r="N2254" s="256" t="n"/>
      <c r="O2254" s="256" t="n"/>
      <c r="P2254" s="256" t="n"/>
      <c r="Q2254" s="256" t="n"/>
    </row>
    <row r="2255">
      <c r="A2255">
        <f>IF(DAY(D2255)=DAY($L$1+1),A2254+1,A2254)</f>
        <v/>
      </c>
      <c r="B2255" s="1">
        <f>IF(DAY(D2255)=DAY($L$1+1),1,B2254+1)</f>
        <v/>
      </c>
      <c r="C2255" s="1">
        <f>IF(DAY(D2255)=DAY($L$1+1),1,C2254+1)</f>
        <v/>
      </c>
      <c r="D2255" s="2">
        <f>D2254+1</f>
        <v/>
      </c>
      <c r="E2255" s="8">
        <f>IF(DAY(D2255)=DAY($L$1+1),TRUNC((#REF!),8),E2254)</f>
        <v/>
      </c>
      <c r="F2255" s="49">
        <f>TRUNC(((1+VLOOKUP(A2255,IPCA!$A$2:$C$140,3,0)))^(C2255/(EDATE(D2255-C2255,1)-(D2255-C2255))),8)</f>
        <v/>
      </c>
      <c r="G2255" s="44">
        <f>TRUNC((E2255*F2255),8)</f>
        <v/>
      </c>
      <c r="H2255" s="44">
        <f>ROUND(((1+$H$4)^(30/360))^(C2255/(EDATE(D2255-B2255,1)-(D2255-B2255))),9)</f>
        <v/>
      </c>
      <c r="I2255" s="44">
        <f>TRUNC((G2255*H2255-G2255),8)</f>
        <v/>
      </c>
      <c r="J2255" s="49">
        <f>G2255+I2255</f>
        <v/>
      </c>
      <c r="K2255" s="256" t="n"/>
      <c r="L2255" s="256" t="n"/>
      <c r="M2255" s="256" t="n"/>
      <c r="N2255" s="256" t="n"/>
      <c r="O2255" s="256" t="n"/>
      <c r="P2255" s="256" t="n"/>
      <c r="Q2255" s="256" t="n"/>
    </row>
    <row r="2256">
      <c r="A2256">
        <f>IF(DAY(D2256)=DAY($L$1+1),A2255+1,A2255)</f>
        <v/>
      </c>
      <c r="B2256" s="46">
        <f>IF(DAY(D2256)=DAY($L$1+1),1,B2255+1)</f>
        <v/>
      </c>
      <c r="C2256" s="46">
        <f>IF(DAY(D2256)=DAY($L$1+1),1,C2255+1)</f>
        <v/>
      </c>
      <c r="D2256" s="2">
        <f>D2255+1</f>
        <v/>
      </c>
      <c r="E2256" s="8">
        <f>IF(DAY(D2256)=DAY($L$1+1),TRUNC((#REF!),8),E2255)</f>
        <v/>
      </c>
      <c r="F2256" s="49">
        <f>TRUNC(((1+VLOOKUP(A2256,IPCA!$A$2:$C$140,3,0)))^(C2256/(EDATE(D2256-C2256,1)-(D2256-C2256))),8)</f>
        <v/>
      </c>
      <c r="G2256" s="44">
        <f>TRUNC((E2256*F2256),8)</f>
        <v/>
      </c>
      <c r="H2256" s="44">
        <f>ROUND(((1+$H$4)^(30/360))^(C2256/(EDATE(D2256-B2256,1)-(D2256-B2256))),9)</f>
        <v/>
      </c>
      <c r="I2256" s="44">
        <f>TRUNC((G2256*H2256-G2256),8)</f>
        <v/>
      </c>
      <c r="J2256" s="49">
        <f>G2256+I2256</f>
        <v/>
      </c>
      <c r="K2256" s="256" t="n"/>
      <c r="L2256" s="256" t="n"/>
      <c r="M2256" s="256" t="n"/>
      <c r="N2256" s="256" t="n"/>
      <c r="O2256" s="256" t="n"/>
      <c r="P2256" s="256" t="n"/>
      <c r="Q2256" s="256" t="n"/>
    </row>
    <row r="2257">
      <c r="A2257">
        <f>IF(DAY(D2257)=DAY($L$1+1),A2256+1,A2256)</f>
        <v/>
      </c>
      <c r="B2257" s="1">
        <f>IF(DAY(D2257)=DAY($L$1+1),1,B2256+1)</f>
        <v/>
      </c>
      <c r="C2257" s="1">
        <f>IF(DAY(D2257)=DAY($L$1+1),1,C2256+1)</f>
        <v/>
      </c>
      <c r="D2257" s="2">
        <f>D2256+1</f>
        <v/>
      </c>
      <c r="E2257" s="8">
        <f>IF(DAY(D2257)=DAY($L$1+1),TRUNC((#REF!),8),E2256)</f>
        <v/>
      </c>
      <c r="F2257" s="49">
        <f>TRUNC(((1+VLOOKUP(A2257,IPCA!$A$2:$C$140,3,0)))^(C2257/(EDATE(D2257-C2257,1)-(D2257-C2257))),8)</f>
        <v/>
      </c>
      <c r="G2257" s="44">
        <f>TRUNC((E2257*F2257),8)</f>
        <v/>
      </c>
      <c r="H2257" s="44">
        <f>ROUND(((1+$H$4)^(30/360))^(C2257/(EDATE(D2257-B2257,1)-(D2257-B2257))),9)</f>
        <v/>
      </c>
      <c r="I2257" s="44">
        <f>TRUNC((G2257*H2257-G2257),8)</f>
        <v/>
      </c>
      <c r="J2257" s="49">
        <f>G2257+I2257</f>
        <v/>
      </c>
      <c r="K2257" s="256" t="n"/>
      <c r="L2257" s="256" t="n"/>
      <c r="M2257" s="256" t="n"/>
      <c r="N2257" s="256" t="n"/>
      <c r="O2257" s="256" t="n"/>
      <c r="P2257" s="256" t="n"/>
      <c r="Q2257" s="256" t="n"/>
    </row>
    <row r="2258">
      <c r="A2258">
        <f>IF(DAY(D2258)=DAY($L$1+1),A2257+1,A2257)</f>
        <v/>
      </c>
      <c r="B2258" s="46">
        <f>IF(DAY(D2258)=DAY($L$1+1),1,B2257+1)</f>
        <v/>
      </c>
      <c r="C2258" s="46">
        <f>IF(DAY(D2258)=DAY($L$1+1),1,C2257+1)</f>
        <v/>
      </c>
      <c r="D2258" s="2">
        <f>D2257+1</f>
        <v/>
      </c>
      <c r="E2258" s="8">
        <f>IF(DAY(D2258)=DAY($L$1+1),TRUNC((#REF!),8),E2257)</f>
        <v/>
      </c>
      <c r="F2258" s="49">
        <f>TRUNC(((1+VLOOKUP(A2258,IPCA!$A$2:$C$140,3,0)))^(C2258/(EDATE(D2258-C2258,1)-(D2258-C2258))),8)</f>
        <v/>
      </c>
      <c r="G2258" s="44">
        <f>TRUNC((E2258*F2258),8)</f>
        <v/>
      </c>
      <c r="H2258" s="44">
        <f>ROUND(((1+$H$4)^(30/360))^(C2258/(EDATE(D2258-B2258,1)-(D2258-B2258))),9)</f>
        <v/>
      </c>
      <c r="I2258" s="44">
        <f>TRUNC((G2258*H2258-G2258),8)</f>
        <v/>
      </c>
      <c r="J2258" s="49">
        <f>G2258+I2258</f>
        <v/>
      </c>
      <c r="K2258" s="256" t="n"/>
      <c r="L2258" s="256" t="n"/>
      <c r="M2258" s="256" t="n"/>
      <c r="N2258" s="256" t="n"/>
      <c r="O2258" s="256" t="n"/>
      <c r="P2258" s="256" t="n"/>
      <c r="Q2258" s="256" t="n"/>
    </row>
    <row r="2259">
      <c r="A2259">
        <f>IF(DAY(D2259)=DAY($L$1+1),A2258+1,A2258)</f>
        <v/>
      </c>
      <c r="B2259" s="1">
        <f>IF(DAY(D2259)=DAY($L$1+1),1,B2258+1)</f>
        <v/>
      </c>
      <c r="C2259" s="1">
        <f>IF(DAY(D2259)=DAY($L$1+1),1,C2258+1)</f>
        <v/>
      </c>
      <c r="D2259" s="2">
        <f>D2258+1</f>
        <v/>
      </c>
      <c r="E2259" s="8">
        <f>IF(DAY(D2259)=DAY($L$1+1),TRUNC((#REF!),8),E2258)</f>
        <v/>
      </c>
      <c r="F2259" s="49">
        <f>TRUNC(((1+VLOOKUP(A2259,IPCA!$A$2:$C$140,3,0)))^(C2259/(EDATE(D2259-C2259,1)-(D2259-C2259))),8)</f>
        <v/>
      </c>
      <c r="G2259" s="44">
        <f>TRUNC((E2259*F2259),8)</f>
        <v/>
      </c>
      <c r="H2259" s="44">
        <f>ROUND(((1+$H$4)^(30/360))^(C2259/(EDATE(D2259-B2259,1)-(D2259-B2259))),9)</f>
        <v/>
      </c>
      <c r="I2259" s="44">
        <f>TRUNC((G2259*H2259-G2259),8)</f>
        <v/>
      </c>
      <c r="J2259" s="49">
        <f>G2259+I2259</f>
        <v/>
      </c>
      <c r="K2259" s="256" t="n"/>
      <c r="L2259" s="256" t="n"/>
      <c r="M2259" s="256" t="n"/>
      <c r="N2259" s="256" t="n"/>
      <c r="O2259" s="256" t="n"/>
      <c r="P2259" s="256" t="n"/>
      <c r="Q2259" s="256" t="n"/>
    </row>
    <row r="2260">
      <c r="A2260">
        <f>IF(DAY(D2260)=DAY($L$1+1),A2259+1,A2259)</f>
        <v/>
      </c>
      <c r="B2260" s="46">
        <f>IF(DAY(D2260)=DAY($L$1+1),1,B2259+1)</f>
        <v/>
      </c>
      <c r="C2260" s="46">
        <f>IF(DAY(D2260)=DAY($L$1+1),1,C2259+1)</f>
        <v/>
      </c>
      <c r="D2260" s="2">
        <f>D2259+1</f>
        <v/>
      </c>
      <c r="E2260" s="8">
        <f>IF(DAY(D2260)=DAY($L$1+1),TRUNC((#REF!),8),E2259)</f>
        <v/>
      </c>
      <c r="F2260" s="49">
        <f>TRUNC(((1+VLOOKUP(A2260,IPCA!$A$2:$C$140,3,0)))^(C2260/(EDATE(D2260-C2260,1)-(D2260-C2260))),8)</f>
        <v/>
      </c>
      <c r="G2260" s="44">
        <f>TRUNC((E2260*F2260),8)</f>
        <v/>
      </c>
      <c r="H2260" s="44">
        <f>ROUND(((1+$H$4)^(30/360))^(C2260/(EDATE(D2260-B2260,1)-(D2260-B2260))),9)</f>
        <v/>
      </c>
      <c r="I2260" s="44">
        <f>TRUNC((G2260*H2260-G2260),8)</f>
        <v/>
      </c>
      <c r="J2260" s="49">
        <f>G2260+I2260</f>
        <v/>
      </c>
      <c r="K2260" s="256" t="n"/>
      <c r="L2260" s="256" t="n"/>
      <c r="M2260" s="256" t="n"/>
      <c r="N2260" s="256" t="n"/>
      <c r="O2260" s="256" t="n"/>
      <c r="P2260" s="256" t="n"/>
      <c r="Q2260" s="256" t="n"/>
    </row>
    <row r="2261">
      <c r="A2261">
        <f>IF(DAY(D2261)=DAY($L$1+1),A2260+1,A2260)</f>
        <v/>
      </c>
      <c r="B2261" s="1">
        <f>IF(DAY(D2261)=DAY($L$1+1),1,B2260+1)</f>
        <v/>
      </c>
      <c r="C2261" s="1">
        <f>IF(DAY(D2261)=DAY($L$1+1),1,C2260+1)</f>
        <v/>
      </c>
      <c r="D2261" s="2">
        <f>D2260+1</f>
        <v/>
      </c>
      <c r="E2261" s="8">
        <f>IF(DAY(D2261)=DAY($L$1+1),TRUNC((#REF!),8),E2260)</f>
        <v/>
      </c>
      <c r="F2261" s="49">
        <f>TRUNC(((1+VLOOKUP(A2261,IPCA!$A$2:$C$140,3,0)))^(C2261/(EDATE(D2261-C2261,1)-(D2261-C2261))),8)</f>
        <v/>
      </c>
      <c r="G2261" s="44">
        <f>TRUNC((E2261*F2261),8)</f>
        <v/>
      </c>
      <c r="H2261" s="44">
        <f>ROUND(((1+$H$4)^(30/360))^(C2261/(EDATE(D2261-B2261,1)-(D2261-B2261))),9)</f>
        <v/>
      </c>
      <c r="I2261" s="44">
        <f>TRUNC((G2261*H2261-G2261),8)</f>
        <v/>
      </c>
      <c r="J2261" s="49">
        <f>G2261+I2261</f>
        <v/>
      </c>
      <c r="K2261" s="256" t="n"/>
      <c r="L2261" s="256" t="n"/>
      <c r="M2261" s="256" t="n"/>
      <c r="N2261" s="256" t="n"/>
      <c r="O2261" s="256" t="n"/>
      <c r="P2261" s="256" t="n"/>
      <c r="Q2261" s="256" t="n"/>
    </row>
    <row r="2262">
      <c r="A2262">
        <f>IF(DAY(D2262)=DAY($L$1+1),A2261+1,A2261)</f>
        <v/>
      </c>
      <c r="B2262" s="46">
        <f>IF(DAY(D2262)=DAY($L$1+1),1,B2261+1)</f>
        <v/>
      </c>
      <c r="C2262" s="46">
        <f>IF(DAY(D2262)=DAY($L$1+1),1,C2261+1)</f>
        <v/>
      </c>
      <c r="D2262" s="2">
        <f>D2261+1</f>
        <v/>
      </c>
      <c r="E2262" s="8">
        <f>IF(DAY(D2262)=DAY($L$1+1),TRUNC((N2261),8),E2261)</f>
        <v/>
      </c>
      <c r="F2262" s="49">
        <f>TRUNC(((1+VLOOKUP(A2262,IPCA!$A$2:$C$140,3,0)))^(C2262/(EDATE(D2262-C2262,1)-(D2262-C2262))),8)</f>
        <v/>
      </c>
      <c r="G2262" s="44">
        <f>TRUNC((E2262*F2262),8)</f>
        <v/>
      </c>
      <c r="H2262" s="44">
        <f>ROUND(((1+$H$4)^(30/360))^(C2262/(EDATE(D2262-B2262,1)-(D2262-B2262))),9)</f>
        <v/>
      </c>
      <c r="I2262" s="44">
        <f>TRUNC((G2262*H2262-G2262),8)</f>
        <v/>
      </c>
      <c r="J2262" s="49">
        <f>G2262+I2262</f>
        <v/>
      </c>
      <c r="K2262" s="256" t="n"/>
      <c r="L2262" s="256" t="n"/>
      <c r="M2262" s="256" t="n"/>
      <c r="N2262" s="256" t="n"/>
      <c r="O2262" s="256" t="n"/>
      <c r="P2262" s="256" t="n"/>
      <c r="Q2262" s="256" t="n"/>
    </row>
    <row r="2263">
      <c r="A2263">
        <f>IF(DAY(D2263)=DAY($L$1+1),A2262+1,A2262)</f>
        <v/>
      </c>
      <c r="B2263" s="1">
        <f>IF(DAY(D2263)=DAY($L$1+1),1,B2262+1)</f>
        <v/>
      </c>
      <c r="C2263" s="1">
        <f>IF(DAY(D2263)=DAY($L$1+1),1,C2262+1)</f>
        <v/>
      </c>
      <c r="D2263" s="2">
        <f>D2262+1</f>
        <v/>
      </c>
      <c r="E2263" s="8">
        <f>IF(DAY(D2263)=DAY($L$1+1),TRUNC((N2262),8),E2262)</f>
        <v/>
      </c>
      <c r="F2263" s="49">
        <f>TRUNC(((1+VLOOKUP(A2263,IPCA!$A$2:$C$140,3,0)))^(C2263/(EDATE(D2263-C2263,1)-(D2263-C2263))),8)</f>
        <v/>
      </c>
      <c r="G2263" s="44">
        <f>TRUNC((E2263*F2263),8)</f>
        <v/>
      </c>
      <c r="H2263" s="44">
        <f>ROUND(((1+$H$4)^(30/360))^(C2263/(EDATE(D2263-B2263,1)-(D2263-B2263))),9)</f>
        <v/>
      </c>
      <c r="I2263" s="44">
        <f>TRUNC((G2263*H2263-G2263),8)</f>
        <v/>
      </c>
      <c r="J2263" s="49">
        <f>G2263+I2263</f>
        <v/>
      </c>
      <c r="K2263" s="256" t="n"/>
      <c r="L2263" s="256" t="n"/>
      <c r="M2263" s="256" t="n"/>
      <c r="N2263" s="256" t="n"/>
      <c r="O2263" s="256" t="n"/>
      <c r="P2263" s="256" t="n"/>
      <c r="Q2263" s="256" t="n"/>
    </row>
    <row r="2264">
      <c r="A2264">
        <f>IF(DAY(D2264)=DAY($L$1+1),A2263+1,A2263)</f>
        <v/>
      </c>
      <c r="B2264" s="46">
        <f>IF(DAY(D2264)=DAY($L$1+1),1,B2263+1)</f>
        <v/>
      </c>
      <c r="C2264" s="46">
        <f>IF(DAY(D2264)=DAY($L$1+1),1,C2263+1)</f>
        <v/>
      </c>
      <c r="D2264" s="2">
        <f>D2263+1</f>
        <v/>
      </c>
      <c r="E2264" s="8">
        <f>IF(DAY(D2264)=DAY($L$1+1),TRUNC((N2263),8),E2263)</f>
        <v/>
      </c>
      <c r="F2264" s="49">
        <f>TRUNC(((1+VLOOKUP(A2264,IPCA!$A$2:$C$140,3,0)))^(C2264/(EDATE(D2264-C2264,1)-(D2264-C2264))),8)</f>
        <v/>
      </c>
      <c r="G2264" s="44">
        <f>TRUNC((E2264*F2264),8)</f>
        <v/>
      </c>
      <c r="H2264" s="44">
        <f>ROUND(((1+$H$4)^(30/360))^(C2264/(EDATE(D2264-B2264,1)-(D2264-B2264))),9)</f>
        <v/>
      </c>
      <c r="I2264" s="44">
        <f>TRUNC((G2264*H2264-G2264),8)</f>
        <v/>
      </c>
      <c r="J2264" s="49">
        <f>G2264+I2264</f>
        <v/>
      </c>
      <c r="K2264" s="256" t="n"/>
      <c r="L2264" s="256" t="n"/>
      <c r="M2264" s="256" t="n"/>
      <c r="N2264" s="256" t="n"/>
      <c r="O2264" s="256" t="n"/>
      <c r="P2264" s="256" t="n"/>
      <c r="Q2264" s="256" t="n"/>
    </row>
    <row r="2265">
      <c r="A2265">
        <f>IF(DAY(D2265)=DAY($L$1+1),A2264+1,A2264)</f>
        <v/>
      </c>
      <c r="B2265" s="1">
        <f>IF(DAY(D2265)=DAY($L$1+1),1,B2264+1)</f>
        <v/>
      </c>
      <c r="C2265" s="1">
        <f>IF(DAY(D2265)=DAY($L$1+1),1,C2264+1)</f>
        <v/>
      </c>
      <c r="D2265" s="2">
        <f>D2264+1</f>
        <v/>
      </c>
      <c r="E2265" s="8">
        <f>IF(DAY(D2265)=DAY($L$1+1),TRUNC((N2264),8),E2264)</f>
        <v/>
      </c>
      <c r="F2265" s="49">
        <f>TRUNC(((1+VLOOKUP(A2265,IPCA!$A$2:$C$140,3,0)))^(C2265/(EDATE(D2265-C2265,1)-(D2265-C2265))),8)</f>
        <v/>
      </c>
      <c r="G2265" s="44">
        <f>TRUNC((E2265*F2265),8)</f>
        <v/>
      </c>
      <c r="H2265" s="44">
        <f>ROUND(((1+$H$4)^(30/360))^(C2265/(EDATE(D2265-B2265,1)-(D2265-B2265))),9)</f>
        <v/>
      </c>
      <c r="I2265" s="44">
        <f>TRUNC((G2265*H2265-G2265),8)</f>
        <v/>
      </c>
      <c r="J2265" s="49">
        <f>G2265+I2265</f>
        <v/>
      </c>
      <c r="K2265" s="256" t="n"/>
      <c r="L2265" s="256" t="n"/>
      <c r="M2265" s="256" t="n"/>
      <c r="N2265" s="256" t="n"/>
      <c r="O2265" s="256" t="n"/>
      <c r="P2265" s="256" t="n"/>
      <c r="Q2265" s="256" t="n"/>
    </row>
    <row r="2266">
      <c r="A2266">
        <f>IF(DAY(D2266)=DAY($L$1+1),A2265+1,A2265)</f>
        <v/>
      </c>
      <c r="B2266" s="46">
        <f>IF(DAY(D2266)=DAY($L$1+1),1,B2265+1)</f>
        <v/>
      </c>
      <c r="C2266" s="46">
        <f>IF(DAY(D2266)=DAY($L$1+1),1,C2265+1)</f>
        <v/>
      </c>
      <c r="D2266" s="2">
        <f>D2265+1</f>
        <v/>
      </c>
      <c r="E2266" s="8">
        <f>IF(DAY(D2266)=DAY($L$1+1),TRUNC((N2265),8),E2265)</f>
        <v/>
      </c>
      <c r="F2266" s="49">
        <f>TRUNC(((1+VLOOKUP(A2266,IPCA!$A$2:$C$140,3,0)))^(C2266/(EDATE(D2266-C2266,1)-(D2266-C2266))),8)</f>
        <v/>
      </c>
      <c r="G2266" s="44">
        <f>TRUNC((E2266*F2266),8)</f>
        <v/>
      </c>
      <c r="H2266" s="44">
        <f>ROUND(((1+$H$4)^(30/360))^(C2266/(EDATE(D2266-B2266,1)-(D2266-B2266))),9)</f>
        <v/>
      </c>
      <c r="I2266" s="44">
        <f>TRUNC((G2266*H2266-G2266),8)</f>
        <v/>
      </c>
      <c r="J2266" s="49">
        <f>G2266+I2266</f>
        <v/>
      </c>
      <c r="K2266" s="256" t="n"/>
      <c r="L2266" s="256" t="n"/>
      <c r="M2266" s="256" t="n"/>
      <c r="N2266" s="256" t="n"/>
      <c r="O2266" s="256" t="n"/>
      <c r="P2266" s="256" t="n"/>
      <c r="Q2266" s="256" t="n"/>
    </row>
    <row r="2267">
      <c r="A2267">
        <f>IF(DAY(D2267)=DAY($L$1+1),A2266+1,A2266)</f>
        <v/>
      </c>
      <c r="B2267" s="1">
        <f>IF(DAY(D2267)=DAY($L$1+1),1,B2266+1)</f>
        <v/>
      </c>
      <c r="C2267" s="1">
        <f>IF(DAY(D2267)=DAY($L$1+1),1,C2266+1)</f>
        <v/>
      </c>
      <c r="D2267" s="2">
        <f>D2266+1</f>
        <v/>
      </c>
      <c r="E2267" s="8">
        <f>IF(DAY(D2267)=DAY($L$1+1),TRUNC((N2266),8),E2266)</f>
        <v/>
      </c>
      <c r="F2267" s="49">
        <f>TRUNC(((1+VLOOKUP(A2267,IPCA!$A$2:$C$140,3,0)))^(C2267/(EDATE(D2267-C2267,1)-(D2267-C2267))),8)</f>
        <v/>
      </c>
      <c r="G2267" s="44">
        <f>TRUNC((E2267*F2267),8)</f>
        <v/>
      </c>
      <c r="H2267" s="44">
        <f>ROUND(((1+$H$4)^(30/360))^(C2267/(EDATE(D2267-B2267,1)-(D2267-B2267))),9)</f>
        <v/>
      </c>
      <c r="I2267" s="44">
        <f>TRUNC((G2267*H2267-G2267),8)</f>
        <v/>
      </c>
      <c r="J2267" s="49">
        <f>G2267+I2267</f>
        <v/>
      </c>
      <c r="K2267" s="256" t="n"/>
      <c r="L2267" s="256" t="n"/>
      <c r="M2267" s="256" t="n"/>
      <c r="N2267" s="256" t="n"/>
      <c r="O2267" s="256" t="n"/>
      <c r="P2267" s="256" t="n"/>
      <c r="Q2267" s="256" t="n"/>
    </row>
    <row r="2268">
      <c r="A2268">
        <f>IF(DAY(D2268)=DAY($L$1+1),A2267+1,A2267)</f>
        <v/>
      </c>
      <c r="B2268" s="46">
        <f>IF(DAY(D2268)=DAY($L$1+1),1,B2267+1)</f>
        <v/>
      </c>
      <c r="C2268" s="46">
        <f>IF(DAY(D2268)=DAY($L$1+1),1,C2267+1)</f>
        <v/>
      </c>
      <c r="D2268" s="2">
        <f>D2267+1</f>
        <v/>
      </c>
      <c r="E2268" s="8">
        <f>IF(DAY(D2268)=DAY($L$1+1),TRUNC((N2267),8),E2267)</f>
        <v/>
      </c>
      <c r="F2268" s="49">
        <f>TRUNC(((1+VLOOKUP(A2268,IPCA!$A$2:$C$140,3,0)))^(C2268/(EDATE(D2268-C2268,1)-(D2268-C2268))),8)</f>
        <v/>
      </c>
      <c r="G2268" s="44">
        <f>TRUNC((E2268*F2268),8)</f>
        <v/>
      </c>
      <c r="H2268" s="44">
        <f>ROUND(((1+$H$4)^(30/360))^(C2268/(EDATE(D2268-B2268,1)-(D2268-B2268))),9)</f>
        <v/>
      </c>
      <c r="I2268" s="44">
        <f>TRUNC((G2268*H2268-G2268),8)</f>
        <v/>
      </c>
      <c r="J2268" s="49">
        <f>G2268+I2268</f>
        <v/>
      </c>
      <c r="K2268" s="256" t="n"/>
      <c r="L2268" s="256" t="n"/>
      <c r="M2268" s="256" t="n"/>
      <c r="N2268" s="256" t="n"/>
      <c r="O2268" s="256" t="n"/>
      <c r="P2268" s="256" t="n"/>
      <c r="Q2268" s="256" t="n"/>
    </row>
    <row r="2269">
      <c r="A2269">
        <f>IF(DAY(D2269)=DAY($L$1+1),A2268+1,A2268)</f>
        <v/>
      </c>
      <c r="B2269" s="1">
        <f>IF(DAY(D2269)=DAY($L$1+1),1,B2268+1)</f>
        <v/>
      </c>
      <c r="C2269" s="1">
        <f>IF(DAY(D2269)=DAY($L$1+1),1,C2268+1)</f>
        <v/>
      </c>
      <c r="D2269" s="2">
        <f>D2268+1</f>
        <v/>
      </c>
      <c r="E2269" s="8">
        <f>IF(DAY(D2269)=DAY($L$1+1),TRUNC((N2268),8),E2268)</f>
        <v/>
      </c>
      <c r="F2269" s="49">
        <f>TRUNC(((1+VLOOKUP(A2269,IPCA!$A$2:$C$140,3,0)))^(C2269/(EDATE(D2269-C2269,1)-(D2269-C2269))),8)</f>
        <v/>
      </c>
      <c r="G2269" s="44">
        <f>TRUNC((E2269*F2269),8)</f>
        <v/>
      </c>
      <c r="H2269" s="44">
        <f>ROUND(((1+$H$4)^(30/360))^(C2269/(EDATE(D2269-B2269,1)-(D2269-B2269))),9)</f>
        <v/>
      </c>
      <c r="I2269" s="44">
        <f>TRUNC((G2269*H2269-G2269),8)</f>
        <v/>
      </c>
      <c r="J2269" s="49">
        <f>G2269+I2269</f>
        <v/>
      </c>
      <c r="K2269" s="256" t="n"/>
      <c r="L2269" s="256" t="n"/>
      <c r="M2269" s="256" t="n"/>
      <c r="N2269" s="256" t="n"/>
      <c r="O2269" s="256" t="n"/>
      <c r="P2269" s="256" t="n"/>
      <c r="Q2269" s="256" t="n"/>
    </row>
    <row r="2270">
      <c r="A2270">
        <f>IF(DAY(D2270)=DAY($L$1+1),A2269+1,A2269)</f>
        <v/>
      </c>
      <c r="B2270" s="46">
        <f>IF(DAY(D2270)=DAY($L$1+1),1,B2269+1)</f>
        <v/>
      </c>
      <c r="C2270" s="46">
        <f>IF(DAY(D2270)=DAY($L$1+1),1,C2269+1)</f>
        <v/>
      </c>
      <c r="D2270" s="2">
        <f>D2269+1</f>
        <v/>
      </c>
      <c r="E2270" s="8">
        <f>IF(DAY(D2270)=DAY($L$1+1),TRUNC((N2269),8),E2269)</f>
        <v/>
      </c>
      <c r="F2270" s="49">
        <f>TRUNC(((1+VLOOKUP(A2270,IPCA!$A$2:$C$140,3,0)))^(C2270/(EDATE(D2270-C2270,1)-(D2270-C2270))),8)</f>
        <v/>
      </c>
      <c r="G2270" s="44">
        <f>TRUNC((E2270*F2270),8)</f>
        <v/>
      </c>
      <c r="H2270" s="44">
        <f>ROUND(((1+$H$4)^(30/360))^(C2270/(EDATE(D2270-B2270,1)-(D2270-B2270))),9)</f>
        <v/>
      </c>
      <c r="I2270" s="44">
        <f>TRUNC((G2270*H2270-G2270),8)</f>
        <v/>
      </c>
      <c r="J2270" s="49">
        <f>G2270+I2270</f>
        <v/>
      </c>
      <c r="K2270" s="256" t="n"/>
      <c r="L2270" s="256" t="n"/>
      <c r="M2270" s="256" t="n"/>
      <c r="N2270" s="256" t="n"/>
      <c r="O2270" s="256" t="n"/>
      <c r="P2270" s="256" t="n"/>
      <c r="Q2270" s="256" t="n"/>
    </row>
    <row r="2271">
      <c r="A2271">
        <f>IF(DAY(D2271)=DAY($L$1+1),A2270+1,A2270)</f>
        <v/>
      </c>
      <c r="B2271" s="46">
        <f>IF(DAY(D2271)=DAY($L$1+1),1,B2270+1)</f>
        <v/>
      </c>
      <c r="C2271" s="46">
        <f>IF(DAY(D2271)=DAY($L$1+1),1,C2270+1)</f>
        <v/>
      </c>
      <c r="D2271" s="2">
        <f>D2270+1</f>
        <v/>
      </c>
      <c r="E2271" s="8">
        <f>IF(DAY(D2271)=DAY($L$1+1),TRUNC((N2270),8),E2270)</f>
        <v/>
      </c>
      <c r="F2271" s="49">
        <f>TRUNC(((1+VLOOKUP(A2271,IPCA!$A$2:$C$140,3,0)))^(C2271/(EDATE(D2271-C2271,1)-(D2271-C2271))),8)</f>
        <v/>
      </c>
      <c r="G2271" s="49">
        <f>TRUNC((E2271*F2271),8)</f>
        <v/>
      </c>
      <c r="H2271" s="49">
        <f>ROUND(((1+$H$4)^(30/360))^(C2271/(EDATE(D2271-B2271,1)-(D2271-B2271))),9)</f>
        <v/>
      </c>
      <c r="I2271" s="49">
        <f>TRUNC((G2271*H2271-G2271),8)</f>
        <v/>
      </c>
      <c r="J2271" s="49">
        <f>G2271+I2271</f>
        <v/>
      </c>
      <c r="K2271" s="256" t="inlineStr">
        <is>
          <t>Cri Integralizado</t>
        </is>
      </c>
      <c r="L2271" s="270">
        <f>L2240</f>
        <v/>
      </c>
      <c r="M2271" s="256" t="n"/>
      <c r="N2271" s="256" t="n"/>
      <c r="O2271" s="256" t="n"/>
      <c r="P2271" s="256" t="n"/>
      <c r="Q2271" s="256" t="n"/>
    </row>
    <row r="2272">
      <c r="A2272">
        <f>IF(DAY(D2272)=DAY($L$1+1),A2271+1,A2271)</f>
        <v/>
      </c>
      <c r="B2272" s="46">
        <f>IF(DAY(D2272)=DAY($L$1+1),1,B2271+1)</f>
        <v/>
      </c>
      <c r="C2272" s="46">
        <f>IF(DAY(D2272)=DAY($L$1+1),1,C2271+1)</f>
        <v/>
      </c>
      <c r="D2272" s="47">
        <f>D2271+1</f>
        <v/>
      </c>
      <c r="E2272" s="8">
        <f>IF(DAY(D2272)=DAY($L$1+1),TRUNC((N2271),8),E2271)</f>
        <v/>
      </c>
      <c r="F2272" s="49">
        <f>TRUNC(((1+VLOOKUP(A2272,IPCA!$A$2:$C$140,3,0)))^(C2272/(EDATE(D2272-C2272,1)-(D2272-C2272))),8)</f>
        <v/>
      </c>
      <c r="G2272" s="49">
        <f>TRUNC((E2272*F2272),8)</f>
        <v/>
      </c>
      <c r="H2272" s="49">
        <f>ROUND(((1+$H$4)^(30/360))^(C2272/(EDATE(D2272-B2272,1)-(D2272-B2272))),9)</f>
        <v/>
      </c>
      <c r="I2272" s="49">
        <f>TRUNC((G2272*H2272-G2272),8)</f>
        <v/>
      </c>
      <c r="J2272" s="49">
        <f>G2272+I2272</f>
        <v/>
      </c>
      <c r="K2272" s="137" t="inlineStr">
        <is>
          <t>JUROS</t>
        </is>
      </c>
      <c r="L2272" s="118" t="inlineStr">
        <is>
          <t>AMORTIZAÇÃO</t>
        </is>
      </c>
      <c r="M2272" s="118" t="inlineStr">
        <is>
          <t>AMEX</t>
        </is>
      </c>
      <c r="N2272" s="118" t="inlineStr">
        <is>
          <t>RESIDUAL</t>
        </is>
      </c>
      <c r="O2272" s="256" t="n"/>
      <c r="P2272" s="256" t="n"/>
      <c r="Q2272" s="256" t="n"/>
    </row>
    <row r="2273">
      <c r="A2273">
        <f>IF(DAY(D2273)=DAY($L$1+1),A2272+1,A2272)</f>
        <v/>
      </c>
      <c r="B2273" s="111">
        <f>IF(DAY(D2273)=DAY($L$1+1),1,B2272+1)</f>
        <v/>
      </c>
      <c r="C2273" s="111">
        <f>IF(DAY(D2273)=DAY($L$1+1),1,C2272+1)</f>
        <v/>
      </c>
      <c r="D2273" s="112">
        <f>D2272+1</f>
        <v/>
      </c>
      <c r="E2273" s="113">
        <f>IF(DAY(D2273)=DAY($L$1+1),TRUNC((N2272),8),E2272)</f>
        <v/>
      </c>
      <c r="F2273" s="114">
        <f>TRUNC(((1+VLOOKUP(A2273,IPCA!$A$2:$C$140,3,0)))^(C2273/(EDATE(D2273-C2273,1)-(D2273-C2273))),8)</f>
        <v/>
      </c>
      <c r="G2273" s="114">
        <f>TRUNC((E2273*F2273),8)</f>
        <v/>
      </c>
      <c r="H2273" s="114">
        <f>ROUND(((1+$H$4)^(30/360))^(C2273/(EDATE(D2273-B2273,1)-(D2273-B2273))),9)</f>
        <v/>
      </c>
      <c r="I2273" s="114">
        <f>TRUNC((G2273*H2273-G2273),8)</f>
        <v/>
      </c>
      <c r="J2273" s="114">
        <f>G2273+I2273</f>
        <v/>
      </c>
      <c r="K2273" s="119">
        <f>I2273</f>
        <v/>
      </c>
      <c r="L2273" s="120">
        <f>TRUNC(G2273*VLOOKUP(D2273,'Amort TS'!$G$3:$H$140,2,0),8)</f>
        <v/>
      </c>
      <c r="M2273" s="120" t="n">
        <v>0</v>
      </c>
      <c r="N2273" s="120">
        <f>J2273-K2273-L2273-M2273</f>
        <v/>
      </c>
      <c r="O2273" s="256" t="n"/>
      <c r="P2273" s="256" t="n"/>
      <c r="Q2273" s="256" t="n"/>
    </row>
    <row r="2274">
      <c r="A2274">
        <f>IF(DAY(D2274)=DAY($L$1+1),A2273+1,A2273)</f>
        <v/>
      </c>
      <c r="B2274" s="46">
        <f>IF(DAY(D2274)=DAY($L$1+1),1,B2273+1)</f>
        <v/>
      </c>
      <c r="C2274" s="46">
        <f>IF(DAY(D2274)=DAY($L$1+1),1,C2273+1)</f>
        <v/>
      </c>
      <c r="D2274" s="2">
        <f>D2273+1</f>
        <v/>
      </c>
      <c r="E2274" s="8">
        <f>IF(DAY(D2274)=DAY($L$1+1),TRUNC((N2273),8),E2273)</f>
        <v/>
      </c>
      <c r="F2274" s="49">
        <f>TRUNC(((1+VLOOKUP(A2274,IPCA!$A$2:$C$140,3,0)))^(C2274/(EDATE(D2274-C2274,1)-(D2274-C2274))),8)</f>
        <v/>
      </c>
      <c r="G2274" s="49">
        <f>TRUNC((E2274*F2274),8)</f>
        <v/>
      </c>
      <c r="H2274" s="49">
        <f>ROUND(((1+$H$4)^(30/360))^(C2274/(EDATE(D2274-B2274,1)-(D2274-B2274))),9)</f>
        <v/>
      </c>
      <c r="I2274" s="49">
        <f>TRUNC((G2274*H2274-G2274),8)</f>
        <v/>
      </c>
      <c r="J2274" s="49">
        <f>G2274+I2274</f>
        <v/>
      </c>
      <c r="K2274" s="121">
        <f>K2273*L2271</f>
        <v/>
      </c>
      <c r="L2274" s="121">
        <f>L2273*L2271</f>
        <v/>
      </c>
      <c r="M2274" s="121">
        <f>M2273*L2271</f>
        <v/>
      </c>
      <c r="N2274" s="121">
        <f>N2273*L2271</f>
        <v/>
      </c>
      <c r="O2274" s="256" t="n"/>
      <c r="P2274" s="256" t="n"/>
      <c r="Q2274" s="256" t="n"/>
    </row>
    <row r="2275">
      <c r="A2275">
        <f>IF(DAY(D2275)=DAY($L$1+1),A2274+1,A2274)</f>
        <v/>
      </c>
      <c r="B2275" s="46">
        <f>IF(DAY(D2275)=DAY($L$1+1),1,B2274+1)</f>
        <v/>
      </c>
      <c r="C2275" s="46">
        <f>IF(DAY(D2275)=DAY($L$1+1),1,C2274+1)</f>
        <v/>
      </c>
      <c r="D2275" s="47">
        <f>D2274+1</f>
        <v/>
      </c>
      <c r="E2275" s="8">
        <f>IF(DAY(D2275)=DAY($L$1+1),TRUNC((N2274),8),E2274)</f>
        <v/>
      </c>
      <c r="F2275" s="49">
        <f>TRUNC(((1+VLOOKUP(A2275,IPCA!$A$2:$C$140,3,0)))^(C2275/(EDATE(D2275-C2275,1)-(D2275-C2275))),8)</f>
        <v/>
      </c>
      <c r="G2275" s="49">
        <f>TRUNC((E2275*F2275),8)</f>
        <v/>
      </c>
      <c r="H2275" s="49">
        <f>ROUND(((1+$H$4)^(30/360))^(C2275/(EDATE(D2275-B2275,1)-(D2275-B2275))),9)</f>
        <v/>
      </c>
      <c r="I2275" s="49">
        <f>TRUNC((G2275*H2275-G2275),8)</f>
        <v/>
      </c>
      <c r="J2275" s="49">
        <f>G2275+I2275</f>
        <v/>
      </c>
      <c r="K2275" s="256" t="n"/>
      <c r="L2275" s="256" t="n"/>
      <c r="M2275" s="256" t="n"/>
      <c r="N2275" s="256" t="n"/>
      <c r="O2275" s="256" t="n"/>
      <c r="P2275" s="256" t="n"/>
      <c r="Q2275" s="256" t="n"/>
    </row>
    <row r="2276">
      <c r="A2276">
        <f>IF(DAY(D2276)=DAY($L$1+1),A2275+1,A2275)</f>
        <v/>
      </c>
      <c r="B2276" s="46">
        <f>IF(DAY(D2276)=DAY($L$1+1),1,B2275+1)</f>
        <v/>
      </c>
      <c r="C2276" s="46">
        <f>IF(DAY(D2276)=DAY($L$1+1),1,C2275+1)</f>
        <v/>
      </c>
      <c r="D2276" s="2">
        <f>D2275+1</f>
        <v/>
      </c>
      <c r="E2276" s="8">
        <f>IF(DAY(D2276)=DAY($L$1+1),TRUNC((#REF!),8),E2275)</f>
        <v/>
      </c>
      <c r="F2276" s="49">
        <f>TRUNC(((1+VLOOKUP(A2276,IPCA!$A$2:$C$140,3,0)))^(C2276/(EDATE(D2276-C2276,1)-(D2276-C2276))),8)</f>
        <v/>
      </c>
      <c r="G2276" s="44">
        <f>TRUNC((E2276*F2276),8)</f>
        <v/>
      </c>
      <c r="H2276" s="44">
        <f>ROUND(((1+$H$4)^(30/360))^(C2276/(EDATE(D2276-B2276,1)-(D2276-B2276))),9)</f>
        <v/>
      </c>
      <c r="I2276" s="44">
        <f>TRUNC((G2276*H2276-G2276),8)</f>
        <v/>
      </c>
      <c r="J2276" s="49">
        <f>G2276+I2276</f>
        <v/>
      </c>
      <c r="K2276" s="256" t="n"/>
      <c r="L2276" s="256" t="n"/>
      <c r="M2276" s="256" t="n"/>
      <c r="N2276" s="256" t="n"/>
      <c r="O2276" s="256" t="n"/>
      <c r="P2276" s="256" t="n"/>
      <c r="Q2276" s="256" t="n"/>
    </row>
    <row r="2277">
      <c r="A2277">
        <f>IF(DAY(D2277)=DAY($L$1+1),A2276+1,A2276)</f>
        <v/>
      </c>
      <c r="B2277" s="1">
        <f>IF(DAY(D2277)=DAY($L$1+1),1,B2276+1)</f>
        <v/>
      </c>
      <c r="C2277" s="1">
        <f>IF(DAY(D2277)=DAY($L$1+1),1,C2276+1)</f>
        <v/>
      </c>
      <c r="D2277" s="2">
        <f>D2276+1</f>
        <v/>
      </c>
      <c r="E2277" s="8">
        <f>IF(DAY(D2277)=DAY($L$1+1),TRUNC((#REF!),8),E2276)</f>
        <v/>
      </c>
      <c r="F2277" s="49">
        <f>TRUNC(((1+VLOOKUP(A2277,IPCA!$A$2:$C$140,3,0)))^(C2277/(EDATE(D2277-C2277,1)-(D2277-C2277))),8)</f>
        <v/>
      </c>
      <c r="G2277" s="44">
        <f>TRUNC((E2277*F2277),8)</f>
        <v/>
      </c>
      <c r="H2277" s="44">
        <f>ROUND(((1+$H$4)^(30/360))^(C2277/(EDATE(D2277-B2277,1)-(D2277-B2277))),9)</f>
        <v/>
      </c>
      <c r="I2277" s="44">
        <f>TRUNC((G2277*H2277-G2277),8)</f>
        <v/>
      </c>
      <c r="J2277" s="49">
        <f>G2277+I2277</f>
        <v/>
      </c>
      <c r="K2277" s="256" t="n"/>
      <c r="L2277" s="256" t="n"/>
      <c r="M2277" s="256" t="n"/>
      <c r="N2277" s="256" t="n"/>
      <c r="O2277" s="256" t="n"/>
      <c r="P2277" s="256" t="n"/>
      <c r="Q2277" s="256" t="n"/>
    </row>
    <row r="2278">
      <c r="A2278">
        <f>IF(DAY(D2278)=DAY($L$1+1),A2277+1,A2277)</f>
        <v/>
      </c>
      <c r="B2278" s="46">
        <f>IF(DAY(D2278)=DAY($L$1+1),1,B2277+1)</f>
        <v/>
      </c>
      <c r="C2278" s="46">
        <f>IF(DAY(D2278)=DAY($L$1+1),1,C2277+1)</f>
        <v/>
      </c>
      <c r="D2278" s="2">
        <f>D2277+1</f>
        <v/>
      </c>
      <c r="E2278" s="8">
        <f>IF(DAY(D2278)=DAY($L$1+1),TRUNC((#REF!),8),E2277)</f>
        <v/>
      </c>
      <c r="F2278" s="49">
        <f>TRUNC(((1+VLOOKUP(A2278,IPCA!$A$2:$C$140,3,0)))^(C2278/(EDATE(D2278-C2278,1)-(D2278-C2278))),8)</f>
        <v/>
      </c>
      <c r="G2278" s="44">
        <f>TRUNC((E2278*F2278),8)</f>
        <v/>
      </c>
      <c r="H2278" s="44">
        <f>ROUND(((1+$H$4)^(30/360))^(C2278/(EDATE(D2278-B2278,1)-(D2278-B2278))),9)</f>
        <v/>
      </c>
      <c r="I2278" s="44">
        <f>TRUNC((G2278*H2278-G2278),8)</f>
        <v/>
      </c>
      <c r="J2278" s="49">
        <f>G2278+I2278</f>
        <v/>
      </c>
      <c r="K2278" s="256" t="n"/>
      <c r="L2278" s="256" t="n"/>
      <c r="M2278" s="256" t="n"/>
      <c r="N2278" s="256" t="n"/>
      <c r="O2278" s="256" t="n"/>
      <c r="P2278" s="256" t="n"/>
      <c r="Q2278" s="256" t="n"/>
    </row>
    <row r="2279">
      <c r="A2279">
        <f>IF(DAY(D2279)=DAY($L$1+1),A2278+1,A2278)</f>
        <v/>
      </c>
      <c r="B2279" s="1">
        <f>IF(DAY(D2279)=DAY($L$1+1),1,B2278+1)</f>
        <v/>
      </c>
      <c r="C2279" s="1">
        <f>IF(DAY(D2279)=DAY($L$1+1),1,C2278+1)</f>
        <v/>
      </c>
      <c r="D2279" s="2">
        <f>D2278+1</f>
        <v/>
      </c>
      <c r="E2279" s="8">
        <f>IF(DAY(D2279)=DAY($L$1+1),TRUNC((#REF!),8),E2278)</f>
        <v/>
      </c>
      <c r="F2279" s="49">
        <f>TRUNC(((1+VLOOKUP(A2279,IPCA!$A$2:$C$140,3,0)))^(C2279/(EDATE(D2279-C2279,1)-(D2279-C2279))),8)</f>
        <v/>
      </c>
      <c r="G2279" s="44">
        <f>TRUNC((E2279*F2279),8)</f>
        <v/>
      </c>
      <c r="H2279" s="44">
        <f>ROUND(((1+$H$4)^(30/360))^(C2279/(EDATE(D2279-B2279,1)-(D2279-B2279))),9)</f>
        <v/>
      </c>
      <c r="I2279" s="44">
        <f>TRUNC((G2279*H2279-G2279),8)</f>
        <v/>
      </c>
      <c r="J2279" s="49">
        <f>G2279+I2279</f>
        <v/>
      </c>
      <c r="K2279" s="256" t="n"/>
      <c r="L2279" s="256" t="n"/>
      <c r="M2279" s="256" t="n"/>
      <c r="N2279" s="256" t="n"/>
      <c r="O2279" s="256" t="n"/>
      <c r="P2279" s="256" t="n"/>
      <c r="Q2279" s="256" t="n"/>
    </row>
    <row r="2280">
      <c r="A2280">
        <f>IF(DAY(D2280)=DAY($L$1+1),A2279+1,A2279)</f>
        <v/>
      </c>
      <c r="B2280" s="46">
        <f>IF(DAY(D2280)=DAY($L$1+1),1,B2279+1)</f>
        <v/>
      </c>
      <c r="C2280" s="46">
        <f>IF(DAY(D2280)=DAY($L$1+1),1,C2279+1)</f>
        <v/>
      </c>
      <c r="D2280" s="2">
        <f>D2279+1</f>
        <v/>
      </c>
      <c r="E2280" s="8">
        <f>IF(DAY(D2280)=DAY($L$1+1),TRUNC((#REF!),8),E2279)</f>
        <v/>
      </c>
      <c r="F2280" s="49">
        <f>TRUNC(((1+VLOOKUP(A2280,IPCA!$A$2:$C$140,3,0)))^(C2280/(EDATE(D2280-C2280,1)-(D2280-C2280))),8)</f>
        <v/>
      </c>
      <c r="G2280" s="44">
        <f>TRUNC((E2280*F2280),8)</f>
        <v/>
      </c>
      <c r="H2280" s="44">
        <f>ROUND(((1+$H$4)^(30/360))^(C2280/(EDATE(D2280-B2280,1)-(D2280-B2280))),9)</f>
        <v/>
      </c>
      <c r="I2280" s="44">
        <f>TRUNC((G2280*H2280-G2280),8)</f>
        <v/>
      </c>
      <c r="J2280" s="49">
        <f>G2280+I2280</f>
        <v/>
      </c>
      <c r="K2280" s="256" t="n"/>
      <c r="L2280" s="256" t="n"/>
      <c r="M2280" s="256" t="n"/>
      <c r="N2280" s="256" t="n"/>
      <c r="O2280" s="256" t="n"/>
      <c r="P2280" s="256" t="n"/>
      <c r="Q2280" s="256" t="n"/>
    </row>
    <row r="2281">
      <c r="A2281">
        <f>IF(DAY(D2281)=DAY($L$1+1),A2280+1,A2280)</f>
        <v/>
      </c>
      <c r="B2281" s="1">
        <f>IF(DAY(D2281)=DAY($L$1+1),1,B2280+1)</f>
        <v/>
      </c>
      <c r="C2281" s="1">
        <f>IF(DAY(D2281)=DAY($L$1+1),1,C2280+1)</f>
        <v/>
      </c>
      <c r="D2281" s="2">
        <f>D2280+1</f>
        <v/>
      </c>
      <c r="E2281" s="8">
        <f>IF(DAY(D2281)=DAY($L$1+1),TRUNC((#REF!),8),E2280)</f>
        <v/>
      </c>
      <c r="F2281" s="49">
        <f>TRUNC(((1+VLOOKUP(A2281,IPCA!$A$2:$C$140,3,0)))^(C2281/(EDATE(D2281-C2281,1)-(D2281-C2281))),8)</f>
        <v/>
      </c>
      <c r="G2281" s="44">
        <f>TRUNC((E2281*F2281),8)</f>
        <v/>
      </c>
      <c r="H2281" s="44">
        <f>ROUND(((1+$H$4)^(30/360))^(C2281/(EDATE(D2281-B2281,1)-(D2281-B2281))),9)</f>
        <v/>
      </c>
      <c r="I2281" s="44">
        <f>TRUNC((G2281*H2281-G2281),8)</f>
        <v/>
      </c>
      <c r="J2281" s="49">
        <f>G2281+I2281</f>
        <v/>
      </c>
      <c r="K2281" s="256" t="n"/>
      <c r="L2281" s="256" t="n"/>
      <c r="M2281" s="256" t="n"/>
      <c r="N2281" s="256" t="n"/>
      <c r="O2281" s="256" t="n"/>
      <c r="P2281" s="256" t="n"/>
      <c r="Q2281" s="256" t="n"/>
    </row>
    <row r="2282">
      <c r="A2282">
        <f>IF(DAY(D2282)=DAY($L$1+1),A2281+1,A2281)</f>
        <v/>
      </c>
      <c r="B2282" s="46">
        <f>IF(DAY(D2282)=DAY($L$1+1),1,B2281+1)</f>
        <v/>
      </c>
      <c r="C2282" s="46">
        <f>IF(DAY(D2282)=DAY($L$1+1),1,C2281+1)</f>
        <v/>
      </c>
      <c r="D2282" s="2">
        <f>D2281+1</f>
        <v/>
      </c>
      <c r="E2282" s="8">
        <f>IF(DAY(D2282)=DAY($L$1+1),TRUNC((#REF!),8),E2281)</f>
        <v/>
      </c>
      <c r="F2282" s="49">
        <f>TRUNC(((1+VLOOKUP(A2282,IPCA!$A$2:$C$140,3,0)))^(C2282/(EDATE(D2282-C2282,1)-(D2282-C2282))),8)</f>
        <v/>
      </c>
      <c r="G2282" s="44">
        <f>TRUNC((E2282*F2282),8)</f>
        <v/>
      </c>
      <c r="H2282" s="44">
        <f>ROUND(((1+$H$4)^(30/360))^(C2282/(EDATE(D2282-B2282,1)-(D2282-B2282))),9)</f>
        <v/>
      </c>
      <c r="I2282" s="44">
        <f>TRUNC((G2282*H2282-G2282),8)</f>
        <v/>
      </c>
      <c r="J2282" s="49">
        <f>G2282+I2282</f>
        <v/>
      </c>
      <c r="K2282" s="256" t="n"/>
      <c r="L2282" s="256" t="n"/>
      <c r="M2282" s="256" t="n"/>
      <c r="N2282" s="256" t="n"/>
      <c r="O2282" s="256" t="n"/>
      <c r="P2282" s="256" t="n"/>
      <c r="Q2282" s="256" t="n"/>
    </row>
    <row r="2283">
      <c r="A2283">
        <f>IF(DAY(D2283)=DAY($L$1+1),A2282+1,A2282)</f>
        <v/>
      </c>
      <c r="B2283" s="1">
        <f>IF(DAY(D2283)=DAY($L$1+1),1,B2282+1)</f>
        <v/>
      </c>
      <c r="C2283" s="1">
        <f>IF(DAY(D2283)=DAY($L$1+1),1,C2282+1)</f>
        <v/>
      </c>
      <c r="D2283" s="2">
        <f>D2282+1</f>
        <v/>
      </c>
      <c r="E2283" s="8">
        <f>IF(DAY(D2283)=DAY($L$1+1),TRUNC((#REF!),8),E2282)</f>
        <v/>
      </c>
      <c r="F2283" s="49">
        <f>TRUNC(((1+VLOOKUP(A2283,IPCA!$A$2:$C$140,3,0)))^(C2283/(EDATE(D2283-C2283,1)-(D2283-C2283))),8)</f>
        <v/>
      </c>
      <c r="G2283" s="44">
        <f>TRUNC((E2283*F2283),8)</f>
        <v/>
      </c>
      <c r="H2283" s="44">
        <f>ROUND(((1+$H$4)^(30/360))^(C2283/(EDATE(D2283-B2283,1)-(D2283-B2283))),9)</f>
        <v/>
      </c>
      <c r="I2283" s="44">
        <f>TRUNC((G2283*H2283-G2283),8)</f>
        <v/>
      </c>
      <c r="J2283" s="49">
        <f>G2283+I2283</f>
        <v/>
      </c>
      <c r="K2283" s="256" t="n"/>
      <c r="L2283" s="256" t="n"/>
      <c r="M2283" s="256" t="n"/>
      <c r="N2283" s="256" t="n"/>
      <c r="O2283" s="256" t="n"/>
      <c r="P2283" s="256" t="n"/>
      <c r="Q2283" s="256" t="n"/>
    </row>
    <row r="2284">
      <c r="A2284">
        <f>IF(DAY(D2284)=DAY($L$1+1),A2283+1,A2283)</f>
        <v/>
      </c>
      <c r="B2284" s="46">
        <f>IF(DAY(D2284)=DAY($L$1+1),1,B2283+1)</f>
        <v/>
      </c>
      <c r="C2284" s="46">
        <f>IF(DAY(D2284)=DAY($L$1+1),1,C2283+1)</f>
        <v/>
      </c>
      <c r="D2284" s="2">
        <f>D2283+1</f>
        <v/>
      </c>
      <c r="E2284" s="8">
        <f>IF(DAY(D2284)=DAY($L$1+1),TRUNC((#REF!),8),E2283)</f>
        <v/>
      </c>
      <c r="F2284" s="49">
        <f>TRUNC(((1+VLOOKUP(A2284,IPCA!$A$2:$C$140,3,0)))^(C2284/(EDATE(D2284-C2284,1)-(D2284-C2284))),8)</f>
        <v/>
      </c>
      <c r="G2284" s="44">
        <f>TRUNC((E2284*F2284),8)</f>
        <v/>
      </c>
      <c r="H2284" s="44">
        <f>ROUND(((1+$H$4)^(30/360))^(C2284/(EDATE(D2284-B2284,1)-(D2284-B2284))),9)</f>
        <v/>
      </c>
      <c r="I2284" s="44">
        <f>TRUNC((G2284*H2284-G2284),8)</f>
        <v/>
      </c>
      <c r="J2284" s="49">
        <f>G2284+I2284</f>
        <v/>
      </c>
      <c r="K2284" s="256" t="n"/>
      <c r="L2284" s="256" t="n"/>
      <c r="M2284" s="256" t="n"/>
      <c r="N2284" s="256" t="n"/>
      <c r="O2284" s="256" t="n"/>
      <c r="P2284" s="256" t="n"/>
      <c r="Q2284" s="256" t="n"/>
    </row>
    <row r="2285">
      <c r="A2285">
        <f>IF(DAY(D2285)=DAY($L$1+1),A2284+1,A2284)</f>
        <v/>
      </c>
      <c r="B2285" s="1">
        <f>IF(DAY(D2285)=DAY($L$1+1),1,B2284+1)</f>
        <v/>
      </c>
      <c r="C2285" s="1">
        <f>IF(DAY(D2285)=DAY($L$1+1),1,C2284+1)</f>
        <v/>
      </c>
      <c r="D2285" s="2">
        <f>D2284+1</f>
        <v/>
      </c>
      <c r="E2285" s="8">
        <f>IF(DAY(D2285)=DAY($L$1+1),TRUNC((#REF!),8),E2284)</f>
        <v/>
      </c>
      <c r="F2285" s="49">
        <f>TRUNC(((1+VLOOKUP(A2285,IPCA!$A$2:$C$140,3,0)))^(C2285/(EDATE(D2285-C2285,1)-(D2285-C2285))),8)</f>
        <v/>
      </c>
      <c r="G2285" s="44">
        <f>TRUNC((E2285*F2285),8)</f>
        <v/>
      </c>
      <c r="H2285" s="44">
        <f>ROUND(((1+$H$4)^(30/360))^(C2285/(EDATE(D2285-B2285,1)-(D2285-B2285))),9)</f>
        <v/>
      </c>
      <c r="I2285" s="44">
        <f>TRUNC((G2285*H2285-G2285),8)</f>
        <v/>
      </c>
      <c r="J2285" s="49">
        <f>G2285+I2285</f>
        <v/>
      </c>
      <c r="K2285" s="256" t="n"/>
      <c r="L2285" s="256" t="n"/>
      <c r="M2285" s="256" t="n"/>
      <c r="N2285" s="256" t="n"/>
      <c r="O2285" s="256" t="n"/>
      <c r="P2285" s="256" t="n"/>
      <c r="Q2285" s="256" t="n"/>
    </row>
    <row r="2286">
      <c r="A2286">
        <f>IF(DAY(D2286)=DAY($L$1+1),A2285+1,A2285)</f>
        <v/>
      </c>
      <c r="B2286" s="46">
        <f>IF(DAY(D2286)=DAY($L$1+1),1,B2285+1)</f>
        <v/>
      </c>
      <c r="C2286" s="46">
        <f>IF(DAY(D2286)=DAY($L$1+1),1,C2285+1)</f>
        <v/>
      </c>
      <c r="D2286" s="2">
        <f>D2285+1</f>
        <v/>
      </c>
      <c r="E2286" s="8">
        <f>IF(DAY(D2286)=DAY($L$1+1),TRUNC((#REF!),8),E2285)</f>
        <v/>
      </c>
      <c r="F2286" s="49">
        <f>TRUNC(((1+VLOOKUP(A2286,IPCA!$A$2:$C$140,3,0)))^(C2286/(EDATE(D2286-C2286,1)-(D2286-C2286))),8)</f>
        <v/>
      </c>
      <c r="G2286" s="44">
        <f>TRUNC((E2286*F2286),8)</f>
        <v/>
      </c>
      <c r="H2286" s="44">
        <f>ROUND(((1+$H$4)^(30/360))^(C2286/(EDATE(D2286-B2286,1)-(D2286-B2286))),9)</f>
        <v/>
      </c>
      <c r="I2286" s="44">
        <f>TRUNC((G2286*H2286-G2286),8)</f>
        <v/>
      </c>
      <c r="J2286" s="49">
        <f>G2286+I2286</f>
        <v/>
      </c>
      <c r="K2286" s="256" t="n"/>
      <c r="L2286" s="256" t="n"/>
      <c r="M2286" s="256" t="n"/>
      <c r="N2286" s="256" t="n"/>
      <c r="O2286" s="256" t="n"/>
      <c r="P2286" s="256" t="n"/>
      <c r="Q2286" s="256" t="n"/>
    </row>
    <row r="2287">
      <c r="A2287">
        <f>IF(DAY(D2287)=DAY($L$1+1),A2286+1,A2286)</f>
        <v/>
      </c>
      <c r="B2287" s="1">
        <f>IF(DAY(D2287)=DAY($L$1+1),1,B2286+1)</f>
        <v/>
      </c>
      <c r="C2287" s="1">
        <f>IF(DAY(D2287)=DAY($L$1+1),1,C2286+1)</f>
        <v/>
      </c>
      <c r="D2287" s="2">
        <f>D2286+1</f>
        <v/>
      </c>
      <c r="E2287" s="8">
        <f>IF(DAY(D2287)=DAY($L$1+1),TRUNC((#REF!),8),E2286)</f>
        <v/>
      </c>
      <c r="F2287" s="49">
        <f>TRUNC(((1+VLOOKUP(A2287,IPCA!$A$2:$C$140,3,0)))^(C2287/(EDATE(D2287-C2287,1)-(D2287-C2287))),8)</f>
        <v/>
      </c>
      <c r="G2287" s="44">
        <f>TRUNC((E2287*F2287),8)</f>
        <v/>
      </c>
      <c r="H2287" s="44">
        <f>ROUND(((1+$H$4)^(30/360))^(C2287/(EDATE(D2287-B2287,1)-(D2287-B2287))),9)</f>
        <v/>
      </c>
      <c r="I2287" s="44">
        <f>TRUNC((G2287*H2287-G2287),8)</f>
        <v/>
      </c>
      <c r="J2287" s="49">
        <f>G2287+I2287</f>
        <v/>
      </c>
      <c r="K2287" s="256" t="n"/>
      <c r="L2287" s="256" t="n"/>
      <c r="M2287" s="256" t="n"/>
      <c r="N2287" s="256" t="n"/>
      <c r="O2287" s="256" t="n"/>
      <c r="P2287" s="256" t="n"/>
      <c r="Q2287" s="256" t="n"/>
    </row>
    <row r="2288">
      <c r="A2288">
        <f>IF(DAY(D2288)=DAY($L$1+1),A2287+1,A2287)</f>
        <v/>
      </c>
      <c r="B2288" s="46">
        <f>IF(DAY(D2288)=DAY($L$1+1),1,B2287+1)</f>
        <v/>
      </c>
      <c r="C2288" s="46">
        <f>IF(DAY(D2288)=DAY($L$1+1),1,C2287+1)</f>
        <v/>
      </c>
      <c r="D2288" s="2">
        <f>D2287+1</f>
        <v/>
      </c>
      <c r="E2288" s="8">
        <f>IF(DAY(D2288)=DAY($L$1+1),TRUNC((#REF!),8),E2287)</f>
        <v/>
      </c>
      <c r="F2288" s="49">
        <f>TRUNC(((1+VLOOKUP(A2288,IPCA!$A$2:$C$140,3,0)))^(C2288/(EDATE(D2288-C2288,1)-(D2288-C2288))),8)</f>
        <v/>
      </c>
      <c r="G2288" s="44">
        <f>TRUNC((E2288*F2288),8)</f>
        <v/>
      </c>
      <c r="H2288" s="44">
        <f>ROUND(((1+$H$4)^(30/360))^(C2288/(EDATE(D2288-B2288,1)-(D2288-B2288))),9)</f>
        <v/>
      </c>
      <c r="I2288" s="44">
        <f>TRUNC((G2288*H2288-G2288),8)</f>
        <v/>
      </c>
      <c r="J2288" s="49">
        <f>G2288+I2288</f>
        <v/>
      </c>
      <c r="K2288" s="256" t="n"/>
      <c r="L2288" s="256" t="n"/>
      <c r="M2288" s="256" t="n"/>
      <c r="N2288" s="256" t="n"/>
      <c r="O2288" s="256" t="n"/>
      <c r="P2288" s="256" t="n"/>
      <c r="Q2288" s="256" t="n"/>
    </row>
    <row r="2289">
      <c r="A2289">
        <f>IF(DAY(D2289)=DAY($L$1+1),A2288+1,A2288)</f>
        <v/>
      </c>
      <c r="B2289" s="1">
        <f>IF(DAY(D2289)=DAY($L$1+1),1,B2288+1)</f>
        <v/>
      </c>
      <c r="C2289" s="1">
        <f>IF(DAY(D2289)=DAY($L$1+1),1,C2288+1)</f>
        <v/>
      </c>
      <c r="D2289" s="2">
        <f>D2288+1</f>
        <v/>
      </c>
      <c r="E2289" s="8">
        <f>IF(DAY(D2289)=DAY($L$1+1),TRUNC((#REF!),8),E2288)</f>
        <v/>
      </c>
      <c r="F2289" s="49">
        <f>TRUNC(((1+VLOOKUP(A2289,IPCA!$A$2:$C$140,3,0)))^(C2289/(EDATE(D2289-C2289,1)-(D2289-C2289))),8)</f>
        <v/>
      </c>
      <c r="G2289" s="44">
        <f>TRUNC((E2289*F2289),8)</f>
        <v/>
      </c>
      <c r="H2289" s="44">
        <f>ROUND(((1+$H$4)^(30/360))^(C2289/(EDATE(D2289-B2289,1)-(D2289-B2289))),9)</f>
        <v/>
      </c>
      <c r="I2289" s="44">
        <f>TRUNC((G2289*H2289-G2289),8)</f>
        <v/>
      </c>
      <c r="J2289" s="49">
        <f>G2289+I2289</f>
        <v/>
      </c>
      <c r="K2289" s="256" t="n"/>
      <c r="L2289" s="256" t="n"/>
      <c r="M2289" s="256" t="n"/>
      <c r="N2289" s="256" t="n"/>
      <c r="O2289" s="256" t="n"/>
      <c r="P2289" s="256" t="n"/>
      <c r="Q2289" s="256" t="n"/>
    </row>
    <row r="2290">
      <c r="A2290">
        <f>IF(DAY(D2290)=DAY($L$1+1),A2289+1,A2289)</f>
        <v/>
      </c>
      <c r="B2290" s="46">
        <f>IF(DAY(D2290)=DAY($L$1+1),1,B2289+1)</f>
        <v/>
      </c>
      <c r="C2290" s="46">
        <f>IF(DAY(D2290)=DAY($L$1+1),1,C2289+1)</f>
        <v/>
      </c>
      <c r="D2290" s="2">
        <f>D2289+1</f>
        <v/>
      </c>
      <c r="E2290" s="8">
        <f>IF(DAY(D2290)=DAY($L$1+1),TRUNC((N2289),8),E2289)</f>
        <v/>
      </c>
      <c r="F2290" s="49">
        <f>TRUNC(((1+VLOOKUP(A2290,IPCA!$A$2:$C$140,3,0)))^(C2290/(EDATE(D2290-C2290,1)-(D2290-C2290))),8)</f>
        <v/>
      </c>
      <c r="G2290" s="44">
        <f>TRUNC((E2290*F2290),8)</f>
        <v/>
      </c>
      <c r="H2290" s="44">
        <f>ROUND(((1+$H$4)^(30/360))^(C2290/(EDATE(D2290-B2290,1)-(D2290-B2290))),9)</f>
        <v/>
      </c>
      <c r="I2290" s="44">
        <f>TRUNC((G2290*H2290-G2290),8)</f>
        <v/>
      </c>
      <c r="J2290" s="49">
        <f>G2290+I2290</f>
        <v/>
      </c>
      <c r="K2290" s="256" t="n"/>
      <c r="L2290" s="256" t="n"/>
      <c r="M2290" s="256" t="n"/>
      <c r="N2290" s="256" t="n"/>
      <c r="O2290" s="256" t="n"/>
      <c r="P2290" s="256" t="n"/>
      <c r="Q2290" s="256" t="n"/>
    </row>
    <row r="2291">
      <c r="A2291">
        <f>IF(DAY(D2291)=DAY($L$1+1),A2290+1,A2290)</f>
        <v/>
      </c>
      <c r="B2291" s="1">
        <f>IF(DAY(D2291)=DAY($L$1+1),1,B2290+1)</f>
        <v/>
      </c>
      <c r="C2291" s="1">
        <f>IF(DAY(D2291)=DAY($L$1+1),1,C2290+1)</f>
        <v/>
      </c>
      <c r="D2291" s="2">
        <f>D2290+1</f>
        <v/>
      </c>
      <c r="E2291" s="8">
        <f>IF(DAY(D2291)=DAY($L$1+1),TRUNC((N2290),8),E2290)</f>
        <v/>
      </c>
      <c r="F2291" s="49">
        <f>TRUNC(((1+VLOOKUP(A2291,IPCA!$A$2:$C$140,3,0)))^(C2291/(EDATE(D2291-C2291,1)-(D2291-C2291))),8)</f>
        <v/>
      </c>
      <c r="G2291" s="44">
        <f>TRUNC((E2291*F2291),8)</f>
        <v/>
      </c>
      <c r="H2291" s="44">
        <f>ROUND(((1+$H$4)^(30/360))^(C2291/(EDATE(D2291-B2291,1)-(D2291-B2291))),9)</f>
        <v/>
      </c>
      <c r="I2291" s="44">
        <f>TRUNC((G2291*H2291-G2291),8)</f>
        <v/>
      </c>
      <c r="J2291" s="49">
        <f>G2291+I2291</f>
        <v/>
      </c>
      <c r="K2291" s="256" t="n"/>
      <c r="L2291" s="256" t="n"/>
      <c r="M2291" s="256" t="n"/>
      <c r="N2291" s="256" t="n"/>
      <c r="O2291" s="256" t="n"/>
      <c r="P2291" s="256" t="n"/>
      <c r="Q2291" s="256" t="n"/>
    </row>
    <row r="2292">
      <c r="A2292">
        <f>IF(DAY(D2292)=DAY($L$1+1),A2291+1,A2291)</f>
        <v/>
      </c>
      <c r="B2292" s="46">
        <f>IF(DAY(D2292)=DAY($L$1+1),1,B2291+1)</f>
        <v/>
      </c>
      <c r="C2292" s="46">
        <f>IF(DAY(D2292)=DAY($L$1+1),1,C2291+1)</f>
        <v/>
      </c>
      <c r="D2292" s="2">
        <f>D2291+1</f>
        <v/>
      </c>
      <c r="E2292" s="8">
        <f>IF(DAY(D2292)=DAY($L$1+1),TRUNC((N2291),8),E2291)</f>
        <v/>
      </c>
      <c r="F2292" s="49">
        <f>TRUNC(((1+VLOOKUP(A2292,IPCA!$A$2:$C$140,3,0)))^(C2292/(EDATE(D2292-C2292,1)-(D2292-C2292))),8)</f>
        <v/>
      </c>
      <c r="G2292" s="44">
        <f>TRUNC((E2292*F2292),8)</f>
        <v/>
      </c>
      <c r="H2292" s="44">
        <f>ROUND(((1+$H$4)^(30/360))^(C2292/(EDATE(D2292-B2292,1)-(D2292-B2292))),9)</f>
        <v/>
      </c>
      <c r="I2292" s="44">
        <f>TRUNC((G2292*H2292-G2292),8)</f>
        <v/>
      </c>
      <c r="J2292" s="49">
        <f>G2292+I2292</f>
        <v/>
      </c>
      <c r="K2292" s="256" t="n"/>
      <c r="L2292" s="256" t="n"/>
      <c r="M2292" s="256" t="n"/>
      <c r="N2292" s="256" t="n"/>
      <c r="O2292" s="256" t="n"/>
      <c r="P2292" s="256" t="n"/>
      <c r="Q2292" s="256" t="n"/>
    </row>
    <row r="2293">
      <c r="A2293">
        <f>IF(DAY(D2293)=DAY($L$1+1),A2292+1,A2292)</f>
        <v/>
      </c>
      <c r="B2293" s="1">
        <f>IF(DAY(D2293)=DAY($L$1+1),1,B2292+1)</f>
        <v/>
      </c>
      <c r="C2293" s="1">
        <f>IF(DAY(D2293)=DAY($L$1+1),1,C2292+1)</f>
        <v/>
      </c>
      <c r="D2293" s="2">
        <f>D2292+1</f>
        <v/>
      </c>
      <c r="E2293" s="8">
        <f>IF(DAY(D2293)=DAY($L$1+1),TRUNC((N2292),8),E2292)</f>
        <v/>
      </c>
      <c r="F2293" s="49">
        <f>TRUNC(((1+VLOOKUP(A2293,IPCA!$A$2:$C$140,3,0)))^(C2293/(EDATE(D2293-C2293,1)-(D2293-C2293))),8)</f>
        <v/>
      </c>
      <c r="G2293" s="44">
        <f>TRUNC((E2293*F2293),8)</f>
        <v/>
      </c>
      <c r="H2293" s="44">
        <f>ROUND(((1+$H$4)^(30/360))^(C2293/(EDATE(D2293-B2293,1)-(D2293-B2293))),9)</f>
        <v/>
      </c>
      <c r="I2293" s="44">
        <f>TRUNC((G2293*H2293-G2293),8)</f>
        <v/>
      </c>
      <c r="J2293" s="49">
        <f>G2293+I2293</f>
        <v/>
      </c>
      <c r="K2293" s="256" t="n"/>
      <c r="L2293" s="256" t="n"/>
      <c r="M2293" s="256" t="n"/>
      <c r="N2293" s="256" t="n"/>
      <c r="O2293" s="256" t="n"/>
      <c r="P2293" s="256" t="n"/>
      <c r="Q2293" s="256" t="n"/>
    </row>
    <row r="2294">
      <c r="A2294">
        <f>IF(DAY(D2294)=DAY($L$1+1),A2293+1,A2293)</f>
        <v/>
      </c>
      <c r="B2294" s="46">
        <f>IF(DAY(D2294)=DAY($L$1+1),1,B2293+1)</f>
        <v/>
      </c>
      <c r="C2294" s="46">
        <f>IF(DAY(D2294)=DAY($L$1+1),1,C2293+1)</f>
        <v/>
      </c>
      <c r="D2294" s="2">
        <f>D2293+1</f>
        <v/>
      </c>
      <c r="E2294" s="8">
        <f>IF(DAY(D2294)=DAY($L$1+1),TRUNC((N2293),8),E2293)</f>
        <v/>
      </c>
      <c r="F2294" s="49">
        <f>TRUNC(((1+VLOOKUP(A2294,IPCA!$A$2:$C$140,3,0)))^(C2294/(EDATE(D2294-C2294,1)-(D2294-C2294))),8)</f>
        <v/>
      </c>
      <c r="G2294" s="44">
        <f>TRUNC((E2294*F2294),8)</f>
        <v/>
      </c>
      <c r="H2294" s="44">
        <f>ROUND(((1+$H$4)^(30/360))^(C2294/(EDATE(D2294-B2294,1)-(D2294-B2294))),9)</f>
        <v/>
      </c>
      <c r="I2294" s="44">
        <f>TRUNC((G2294*H2294-G2294),8)</f>
        <v/>
      </c>
      <c r="J2294" s="49">
        <f>G2294+I2294</f>
        <v/>
      </c>
      <c r="K2294" s="256" t="n"/>
      <c r="L2294" s="256" t="n"/>
      <c r="M2294" s="256" t="n"/>
      <c r="N2294" s="256" t="n"/>
      <c r="O2294" s="256" t="n"/>
      <c r="P2294" s="256" t="n"/>
      <c r="Q2294" s="256" t="n"/>
    </row>
    <row r="2295">
      <c r="A2295">
        <f>IF(DAY(D2295)=DAY($L$1+1),A2294+1,A2294)</f>
        <v/>
      </c>
      <c r="B2295" s="1">
        <f>IF(DAY(D2295)=DAY($L$1+1),1,B2294+1)</f>
        <v/>
      </c>
      <c r="C2295" s="1">
        <f>IF(DAY(D2295)=DAY($L$1+1),1,C2294+1)</f>
        <v/>
      </c>
      <c r="D2295" s="2">
        <f>D2294+1</f>
        <v/>
      </c>
      <c r="E2295" s="8">
        <f>IF(DAY(D2295)=DAY($L$1+1),TRUNC((N2294),8),E2294)</f>
        <v/>
      </c>
      <c r="F2295" s="49">
        <f>TRUNC(((1+VLOOKUP(A2295,IPCA!$A$2:$C$140,3,0)))^(C2295/(EDATE(D2295-C2295,1)-(D2295-C2295))),8)</f>
        <v/>
      </c>
      <c r="G2295" s="44">
        <f>TRUNC((E2295*F2295),8)</f>
        <v/>
      </c>
      <c r="H2295" s="44">
        <f>ROUND(((1+$H$4)^(30/360))^(C2295/(EDATE(D2295-B2295,1)-(D2295-B2295))),9)</f>
        <v/>
      </c>
      <c r="I2295" s="44">
        <f>TRUNC((G2295*H2295-G2295),8)</f>
        <v/>
      </c>
      <c r="J2295" s="49">
        <f>G2295+I2295</f>
        <v/>
      </c>
      <c r="K2295" s="256" t="n"/>
      <c r="L2295" s="256" t="n"/>
      <c r="M2295" s="256" t="n"/>
      <c r="N2295" s="256" t="n"/>
      <c r="O2295" s="256" t="n"/>
      <c r="P2295" s="256" t="n"/>
      <c r="Q2295" s="256" t="n"/>
    </row>
    <row r="2296">
      <c r="A2296">
        <f>IF(DAY(D2296)=DAY($L$1+1),A2295+1,A2295)</f>
        <v/>
      </c>
      <c r="B2296" s="46">
        <f>IF(DAY(D2296)=DAY($L$1+1),1,B2295+1)</f>
        <v/>
      </c>
      <c r="C2296" s="46">
        <f>IF(DAY(D2296)=DAY($L$1+1),1,C2295+1)</f>
        <v/>
      </c>
      <c r="D2296" s="2">
        <f>D2295+1</f>
        <v/>
      </c>
      <c r="E2296" s="8">
        <f>IF(DAY(D2296)=DAY($L$1+1),TRUNC((N2295),8),E2295)</f>
        <v/>
      </c>
      <c r="F2296" s="49">
        <f>TRUNC(((1+VLOOKUP(A2296,IPCA!$A$2:$C$140,3,0)))^(C2296/(EDATE(D2296-C2296,1)-(D2296-C2296))),8)</f>
        <v/>
      </c>
      <c r="G2296" s="44">
        <f>TRUNC((E2296*F2296),8)</f>
        <v/>
      </c>
      <c r="H2296" s="44">
        <f>ROUND(((1+$H$4)^(30/360))^(C2296/(EDATE(D2296-B2296,1)-(D2296-B2296))),9)</f>
        <v/>
      </c>
      <c r="I2296" s="44">
        <f>TRUNC((G2296*H2296-G2296),8)</f>
        <v/>
      </c>
      <c r="J2296" s="49">
        <f>G2296+I2296</f>
        <v/>
      </c>
      <c r="K2296" s="256" t="n"/>
      <c r="L2296" s="256" t="n"/>
      <c r="M2296" s="256" t="n"/>
      <c r="N2296" s="256" t="n"/>
      <c r="O2296" s="256" t="n"/>
      <c r="P2296" s="256" t="n"/>
      <c r="Q2296" s="256" t="n"/>
    </row>
    <row r="2297">
      <c r="A2297">
        <f>IF(DAY(D2297)=DAY($L$1+1),A2296+1,A2296)</f>
        <v/>
      </c>
      <c r="B2297" s="1">
        <f>IF(DAY(D2297)=DAY($L$1+1),1,B2296+1)</f>
        <v/>
      </c>
      <c r="C2297" s="1">
        <f>IF(DAY(D2297)=DAY($L$1+1),1,C2296+1)</f>
        <v/>
      </c>
      <c r="D2297" s="2">
        <f>D2296+1</f>
        <v/>
      </c>
      <c r="E2297" s="8">
        <f>IF(DAY(D2297)=DAY($L$1+1),TRUNC((N2296),8),E2296)</f>
        <v/>
      </c>
      <c r="F2297" s="49">
        <f>TRUNC(((1+VLOOKUP(A2297,IPCA!$A$2:$C$140,3,0)))^(C2297/(EDATE(D2297-C2297,1)-(D2297-C2297))),8)</f>
        <v/>
      </c>
      <c r="G2297" s="44">
        <f>TRUNC((E2297*F2297),8)</f>
        <v/>
      </c>
      <c r="H2297" s="44">
        <f>ROUND(((1+$H$4)^(30/360))^(C2297/(EDATE(D2297-B2297,1)-(D2297-B2297))),9)</f>
        <v/>
      </c>
      <c r="I2297" s="44">
        <f>TRUNC((G2297*H2297-G2297),8)</f>
        <v/>
      </c>
      <c r="J2297" s="49">
        <f>G2297+I2297</f>
        <v/>
      </c>
      <c r="K2297" s="256" t="n"/>
      <c r="L2297" s="256" t="n"/>
      <c r="M2297" s="256" t="n"/>
      <c r="N2297" s="256" t="n"/>
      <c r="O2297" s="256" t="n"/>
      <c r="P2297" s="256" t="n"/>
      <c r="Q2297" s="256" t="n"/>
    </row>
    <row r="2298">
      <c r="A2298">
        <f>IF(DAY(D2298)=DAY($L$1+1),A2297+1,A2297)</f>
        <v/>
      </c>
      <c r="B2298" s="46">
        <f>IF(DAY(D2298)=DAY($L$1+1),1,B2297+1)</f>
        <v/>
      </c>
      <c r="C2298" s="46">
        <f>IF(DAY(D2298)=DAY($L$1+1),1,C2297+1)</f>
        <v/>
      </c>
      <c r="D2298" s="2">
        <f>D2297+1</f>
        <v/>
      </c>
      <c r="E2298" s="8">
        <f>IF(DAY(D2298)=DAY($L$1+1),TRUNC((N2297),8),E2297)</f>
        <v/>
      </c>
      <c r="F2298" s="49">
        <f>TRUNC(((1+VLOOKUP(A2298,IPCA!$A$2:$C$140,3,0)))^(C2298/(EDATE(D2298-C2298,1)-(D2298-C2298))),8)</f>
        <v/>
      </c>
      <c r="G2298" s="44">
        <f>TRUNC((E2298*F2298),8)</f>
        <v/>
      </c>
      <c r="H2298" s="44">
        <f>ROUND(((1+$H$4)^(30/360))^(C2298/(EDATE(D2298-B2298,1)-(D2298-B2298))),9)</f>
        <v/>
      </c>
      <c r="I2298" s="44">
        <f>TRUNC((G2298*H2298-G2298),8)</f>
        <v/>
      </c>
      <c r="J2298" s="49">
        <f>G2298+I2298</f>
        <v/>
      </c>
      <c r="K2298" s="256" t="n"/>
      <c r="L2298" s="256" t="n"/>
      <c r="M2298" s="256" t="n"/>
      <c r="N2298" s="256" t="n"/>
      <c r="O2298" s="256" t="n"/>
      <c r="P2298" s="256" t="n"/>
      <c r="Q2298" s="256" t="n"/>
    </row>
    <row r="2299">
      <c r="A2299">
        <f>IF(DAY(D2299)=DAY($L$1+1),A2298+1,A2298)</f>
        <v/>
      </c>
      <c r="B2299" s="1">
        <f>IF(DAY(D2299)=DAY($L$1+1),1,B2298+1)</f>
        <v/>
      </c>
      <c r="C2299" s="1">
        <f>IF(DAY(D2299)=DAY($L$1+1),1,C2298+1)</f>
        <v/>
      </c>
      <c r="D2299" s="2">
        <f>D2298+1</f>
        <v/>
      </c>
      <c r="E2299" s="8">
        <f>IF(DAY(D2299)=DAY($L$1+1),TRUNC((N2298),8),E2298)</f>
        <v/>
      </c>
      <c r="F2299" s="49">
        <f>TRUNC(((1+VLOOKUP(A2299,IPCA!$A$2:$C$140,3,0)))^(C2299/(EDATE(D2299-C2299,1)-(D2299-C2299))),8)</f>
        <v/>
      </c>
      <c r="G2299" s="44">
        <f>TRUNC((E2299*F2299),8)</f>
        <v/>
      </c>
      <c r="H2299" s="44">
        <f>ROUND(((1+$H$4)^(30/360))^(C2299/(EDATE(D2299-B2299,1)-(D2299-B2299))),9)</f>
        <v/>
      </c>
      <c r="I2299" s="44">
        <f>TRUNC((G2299*H2299-G2299),8)</f>
        <v/>
      </c>
      <c r="J2299" s="49">
        <f>G2299+I2299</f>
        <v/>
      </c>
      <c r="K2299" s="256" t="n"/>
      <c r="L2299" s="256" t="n"/>
      <c r="M2299" s="256" t="n"/>
      <c r="N2299" s="256" t="n"/>
      <c r="O2299" s="256" t="n"/>
      <c r="P2299" s="256" t="n"/>
      <c r="Q2299" s="256" t="n"/>
    </row>
    <row r="2300">
      <c r="A2300">
        <f>IF(DAY(D2300)=DAY($L$1+1),A2299+1,A2299)</f>
        <v/>
      </c>
      <c r="B2300" s="46">
        <f>IF(DAY(D2300)=DAY($L$1+1),1,B2299+1)</f>
        <v/>
      </c>
      <c r="C2300" s="46">
        <f>IF(DAY(D2300)=DAY($L$1+1),1,C2299+1)</f>
        <v/>
      </c>
      <c r="D2300" s="2">
        <f>D2299+1</f>
        <v/>
      </c>
      <c r="E2300" s="8">
        <f>IF(DAY(D2300)=DAY($L$1+1),TRUNC((N2299),8),E2299)</f>
        <v/>
      </c>
      <c r="F2300" s="49">
        <f>TRUNC(((1+VLOOKUP(A2300,IPCA!$A$2:$C$140,3,0)))^(C2300/(EDATE(D2300-C2300,1)-(D2300-C2300))),8)</f>
        <v/>
      </c>
      <c r="G2300" s="44">
        <f>TRUNC((E2300*F2300),8)</f>
        <v/>
      </c>
      <c r="H2300" s="44">
        <f>ROUND(((1+$H$4)^(30/360))^(C2300/(EDATE(D2300-B2300,1)-(D2300-B2300))),9)</f>
        <v/>
      </c>
      <c r="I2300" s="44">
        <f>TRUNC((G2300*H2300-G2300),8)</f>
        <v/>
      </c>
      <c r="J2300" s="49">
        <f>G2300+I2300</f>
        <v/>
      </c>
      <c r="K2300" s="256" t="n"/>
      <c r="L2300" s="256" t="n"/>
      <c r="M2300" s="256" t="n"/>
      <c r="N2300" s="256" t="n"/>
      <c r="O2300" s="256" t="n"/>
      <c r="P2300" s="256" t="n"/>
      <c r="Q2300" s="256" t="n"/>
    </row>
    <row r="2301">
      <c r="A2301">
        <f>IF(DAY(D2301)=DAY($L$1+1),A2300+1,A2300)</f>
        <v/>
      </c>
      <c r="B2301" s="46">
        <f>IF(DAY(D2301)=DAY($L$1+1),1,B2300+1)</f>
        <v/>
      </c>
      <c r="C2301" s="46">
        <f>IF(DAY(D2301)=DAY($L$1+1),1,C2300+1)</f>
        <v/>
      </c>
      <c r="D2301" s="2">
        <f>D2300+1</f>
        <v/>
      </c>
      <c r="E2301" s="8">
        <f>IF(DAY(D2301)=DAY($L$1+1),TRUNC((N2300),8),E2300)</f>
        <v/>
      </c>
      <c r="F2301" s="49">
        <f>TRUNC(((1+VLOOKUP(A2301,IPCA!$A$2:$C$140,3,0)))^(C2301/(EDATE(D2301-C2301,1)-(D2301-C2301))),8)</f>
        <v/>
      </c>
      <c r="G2301" s="49">
        <f>TRUNC((E2301*F2301),8)</f>
        <v/>
      </c>
      <c r="H2301" s="49">
        <f>ROUND(((1+$H$4)^(30/360))^(C2301/(EDATE(D2301-B2301,1)-(D2301-B2301))),9)</f>
        <v/>
      </c>
      <c r="I2301" s="49">
        <f>TRUNC((G2301*H2301-G2301),8)</f>
        <v/>
      </c>
      <c r="J2301" s="49">
        <f>G2301+I2301</f>
        <v/>
      </c>
      <c r="K2301" s="256" t="inlineStr">
        <is>
          <t>Cri Integralizado</t>
        </is>
      </c>
      <c r="L2301" s="270">
        <f>L2271</f>
        <v/>
      </c>
      <c r="M2301" s="256" t="n"/>
      <c r="N2301" s="256" t="n"/>
      <c r="O2301" s="256" t="n"/>
      <c r="P2301" s="256" t="n"/>
      <c r="Q2301" s="256" t="n"/>
    </row>
    <row r="2302">
      <c r="A2302">
        <f>IF(DAY(D2302)=DAY($L$1+1),A2301+1,A2301)</f>
        <v/>
      </c>
      <c r="B2302" s="46">
        <f>IF(DAY(D2302)=DAY($L$1+1),1,B2301+1)</f>
        <v/>
      </c>
      <c r="C2302" s="46">
        <f>IF(DAY(D2302)=DAY($L$1+1),1,C2301+1)</f>
        <v/>
      </c>
      <c r="D2302" s="47">
        <f>D2301+1</f>
        <v/>
      </c>
      <c r="E2302" s="8">
        <f>IF(DAY(D2302)=DAY($L$1+1),TRUNC((N2301),8),E2301)</f>
        <v/>
      </c>
      <c r="F2302" s="49">
        <f>TRUNC(((1+VLOOKUP(A2302,IPCA!$A$2:$C$140,3,0)))^(C2302/(EDATE(D2302-C2302,1)-(D2302-C2302))),8)</f>
        <v/>
      </c>
      <c r="G2302" s="49">
        <f>TRUNC((E2302*F2302),8)</f>
        <v/>
      </c>
      <c r="H2302" s="49">
        <f>ROUND(((1+$H$4)^(30/360))^(C2302/(EDATE(D2302-B2302,1)-(D2302-B2302))),9)</f>
        <v/>
      </c>
      <c r="I2302" s="49">
        <f>TRUNC((G2302*H2302-G2302),8)</f>
        <v/>
      </c>
      <c r="J2302" s="49">
        <f>G2302+I2302</f>
        <v/>
      </c>
      <c r="K2302" s="137" t="inlineStr">
        <is>
          <t>JUROS</t>
        </is>
      </c>
      <c r="L2302" s="118" t="inlineStr">
        <is>
          <t>AMORTIZAÇÃO</t>
        </is>
      </c>
      <c r="M2302" s="118" t="inlineStr">
        <is>
          <t>AMEX</t>
        </is>
      </c>
      <c r="N2302" s="118" t="inlineStr">
        <is>
          <t>RESIDUAL</t>
        </is>
      </c>
      <c r="O2302" s="256" t="n"/>
      <c r="P2302" s="256" t="n"/>
      <c r="Q2302" s="256" t="n"/>
    </row>
    <row r="2303">
      <c r="A2303">
        <f>IF(DAY(D2303)=DAY($L$1+1),A2302+1,A2302)</f>
        <v/>
      </c>
      <c r="B2303" s="111">
        <f>IF(DAY(D2303)=DAY($L$1+1),1,B2302+1)</f>
        <v/>
      </c>
      <c r="C2303" s="111">
        <f>IF(DAY(D2303)=DAY($L$1+1),1,C2302+1)</f>
        <v/>
      </c>
      <c r="D2303" s="112">
        <f>D2302+1</f>
        <v/>
      </c>
      <c r="E2303" s="113">
        <f>IF(DAY(D2303)=DAY($L$1+1),TRUNC((N2302),8),E2302)</f>
        <v/>
      </c>
      <c r="F2303" s="114">
        <f>TRUNC(((1+VLOOKUP(A2303,IPCA!$A$2:$C$140,3,0)))^(C2303/(EDATE(D2303-C2303,1)-(D2303-C2303))),8)</f>
        <v/>
      </c>
      <c r="G2303" s="114">
        <f>TRUNC((E2303*F2303),8)</f>
        <v/>
      </c>
      <c r="H2303" s="114">
        <f>ROUND(((1+$H$4)^(30/360))^(C2303/(EDATE(D2303-B2303,1)-(D2303-B2303))),9)</f>
        <v/>
      </c>
      <c r="I2303" s="114">
        <f>TRUNC((G2303*H2303-G2303),8)</f>
        <v/>
      </c>
      <c r="J2303" s="114">
        <f>G2303+I2303</f>
        <v/>
      </c>
      <c r="K2303" s="119">
        <f>I2303</f>
        <v/>
      </c>
      <c r="L2303" s="120">
        <f>TRUNC(G2303*VLOOKUP(D2303,'Amort TS'!$G$3:$H$140,2,0),8)</f>
        <v/>
      </c>
      <c r="M2303" s="120" t="n">
        <v>0</v>
      </c>
      <c r="N2303" s="120">
        <f>J2303-K2303-L2303-M2303</f>
        <v/>
      </c>
      <c r="O2303" s="256" t="n"/>
      <c r="P2303" s="256" t="n"/>
      <c r="Q2303" s="256" t="n"/>
    </row>
    <row r="2304">
      <c r="A2304">
        <f>IF(DAY(D2304)=DAY($L$1+1),A2303+1,A2303)</f>
        <v/>
      </c>
      <c r="B2304" s="46">
        <f>IF(DAY(D2304)=DAY($L$1+1),1,B2303+1)</f>
        <v/>
      </c>
      <c r="C2304" s="46">
        <f>IF(DAY(D2304)=DAY($L$1+1),1,C2303+1)</f>
        <v/>
      </c>
      <c r="D2304" s="2">
        <f>D2303+1</f>
        <v/>
      </c>
      <c r="E2304" s="8">
        <f>IF(DAY(D2304)=DAY($L$1+1),TRUNC((N2303),8),E2303)</f>
        <v/>
      </c>
      <c r="F2304" s="49">
        <f>TRUNC(((1+VLOOKUP(A2304,IPCA!$A$2:$C$140,3,0)))^(C2304/(EDATE(D2304-C2304,1)-(D2304-C2304))),8)</f>
        <v/>
      </c>
      <c r="G2304" s="49">
        <f>TRUNC((E2304*F2304),8)</f>
        <v/>
      </c>
      <c r="H2304" s="49">
        <f>ROUND(((1+$H$4)^(30/360))^(C2304/(EDATE(D2304-B2304,1)-(D2304-B2304))),9)</f>
        <v/>
      </c>
      <c r="I2304" s="49">
        <f>TRUNC((G2304*H2304-G2304),8)</f>
        <v/>
      </c>
      <c r="J2304" s="49">
        <f>G2304+I2304</f>
        <v/>
      </c>
      <c r="K2304" s="121">
        <f>K2303*L2301</f>
        <v/>
      </c>
      <c r="L2304" s="121">
        <f>L2303*L2301</f>
        <v/>
      </c>
      <c r="M2304" s="121">
        <f>M2303*L2301</f>
        <v/>
      </c>
      <c r="N2304" s="121">
        <f>N2303*L2301</f>
        <v/>
      </c>
      <c r="O2304" s="256" t="n"/>
      <c r="P2304" s="256" t="n"/>
      <c r="Q2304" s="256" t="n"/>
    </row>
    <row r="2305">
      <c r="A2305">
        <f>IF(DAY(D2305)=DAY($L$1+1),A2304+1,A2304)</f>
        <v/>
      </c>
      <c r="B2305" s="46">
        <f>IF(DAY(D2305)=DAY($L$1+1),1,B2304+1)</f>
        <v/>
      </c>
      <c r="C2305" s="46">
        <f>IF(DAY(D2305)=DAY($L$1+1),1,C2304+1)</f>
        <v/>
      </c>
      <c r="D2305" s="47">
        <f>D2304+1</f>
        <v/>
      </c>
      <c r="E2305" s="8">
        <f>IF(DAY(D2305)=DAY($L$1+1),TRUNC((N2304),8),E2304)</f>
        <v/>
      </c>
      <c r="F2305" s="49">
        <f>TRUNC(((1+VLOOKUP(A2305,IPCA!$A$2:$C$140,3,0)))^(C2305/(EDATE(D2305-C2305,1)-(D2305-C2305))),8)</f>
        <v/>
      </c>
      <c r="G2305" s="49">
        <f>TRUNC((E2305*F2305),8)</f>
        <v/>
      </c>
      <c r="H2305" s="49">
        <f>ROUND(((1+$H$4)^(30/360))^(C2305/(EDATE(D2305-B2305,1)-(D2305-B2305))),9)</f>
        <v/>
      </c>
      <c r="I2305" s="49">
        <f>TRUNC((G2305*H2305-G2305),8)</f>
        <v/>
      </c>
      <c r="J2305" s="49">
        <f>G2305+I2305</f>
        <v/>
      </c>
      <c r="K2305" s="256" t="n"/>
      <c r="L2305" s="256" t="n"/>
      <c r="M2305" s="256" t="n"/>
      <c r="N2305" s="256" t="n"/>
      <c r="O2305" s="256" t="n"/>
      <c r="P2305" s="256" t="n"/>
      <c r="Q2305" s="256" t="n"/>
    </row>
    <row r="2306">
      <c r="A2306">
        <f>IF(DAY(D2306)=DAY($L$1+1),A2305+1,A2305)</f>
        <v/>
      </c>
      <c r="B2306" s="46">
        <f>IF(DAY(D2306)=DAY($L$1+1),1,B2305+1)</f>
        <v/>
      </c>
      <c r="C2306" s="46">
        <f>IF(DAY(D2306)=DAY($L$1+1),1,C2305+1)</f>
        <v/>
      </c>
      <c r="D2306" s="2">
        <f>D2305+1</f>
        <v/>
      </c>
      <c r="E2306" s="8">
        <f>IF(DAY(D2306)=DAY($L$1+1),TRUNC((#REF!),8),E2305)</f>
        <v/>
      </c>
      <c r="F2306" s="49">
        <f>TRUNC(((1+VLOOKUP(A2306,IPCA!$A$2:$C$140,3,0)))^(C2306/(EDATE(D2306-C2306,1)-(D2306-C2306))),8)</f>
        <v/>
      </c>
      <c r="G2306" s="44">
        <f>TRUNC((E2306*F2306),8)</f>
        <v/>
      </c>
      <c r="H2306" s="44">
        <f>ROUND(((1+$H$4)^(30/360))^(C2306/(EDATE(D2306-B2306,1)-(D2306-B2306))),9)</f>
        <v/>
      </c>
      <c r="I2306" s="44">
        <f>TRUNC((G2306*H2306-G2306),8)</f>
        <v/>
      </c>
      <c r="J2306" s="49">
        <f>G2306+I2306</f>
        <v/>
      </c>
      <c r="K2306" s="256" t="n"/>
      <c r="L2306" s="256" t="n"/>
      <c r="M2306" s="256" t="n"/>
      <c r="N2306" s="256" t="n"/>
      <c r="O2306" s="256" t="n"/>
      <c r="P2306" s="256" t="n"/>
      <c r="Q2306" s="256" t="n"/>
    </row>
    <row r="2307">
      <c r="A2307">
        <f>IF(DAY(D2307)=DAY($L$1+1),A2306+1,A2306)</f>
        <v/>
      </c>
      <c r="B2307" s="1">
        <f>IF(DAY(D2307)=DAY($L$1+1),1,B2306+1)</f>
        <v/>
      </c>
      <c r="C2307" s="1">
        <f>IF(DAY(D2307)=DAY($L$1+1),1,C2306+1)</f>
        <v/>
      </c>
      <c r="D2307" s="2">
        <f>D2306+1</f>
        <v/>
      </c>
      <c r="E2307" s="8">
        <f>IF(DAY(D2307)=DAY($L$1+1),TRUNC((#REF!),8),E2306)</f>
        <v/>
      </c>
      <c r="F2307" s="49">
        <f>TRUNC(((1+VLOOKUP(A2307,IPCA!$A$2:$C$140,3,0)))^(C2307/(EDATE(D2307-C2307,1)-(D2307-C2307))),8)</f>
        <v/>
      </c>
      <c r="G2307" s="44">
        <f>TRUNC((E2307*F2307),8)</f>
        <v/>
      </c>
      <c r="H2307" s="44">
        <f>ROUND(((1+$H$4)^(30/360))^(C2307/(EDATE(D2307-B2307,1)-(D2307-B2307))),9)</f>
        <v/>
      </c>
      <c r="I2307" s="44">
        <f>TRUNC((G2307*H2307-G2307),8)</f>
        <v/>
      </c>
      <c r="J2307" s="49">
        <f>G2307+I2307</f>
        <v/>
      </c>
      <c r="K2307" s="256" t="n"/>
      <c r="L2307" s="256" t="n"/>
      <c r="M2307" s="256" t="n"/>
      <c r="N2307" s="256" t="n"/>
      <c r="O2307" s="256" t="n"/>
      <c r="P2307" s="256" t="n"/>
      <c r="Q2307" s="256" t="n"/>
    </row>
    <row r="2308">
      <c r="A2308">
        <f>IF(DAY(D2308)=DAY($L$1+1),A2307+1,A2307)</f>
        <v/>
      </c>
      <c r="B2308" s="46">
        <f>IF(DAY(D2308)=DAY($L$1+1),1,B2307+1)</f>
        <v/>
      </c>
      <c r="C2308" s="46">
        <f>IF(DAY(D2308)=DAY($L$1+1),1,C2307+1)</f>
        <v/>
      </c>
      <c r="D2308" s="2">
        <f>D2307+1</f>
        <v/>
      </c>
      <c r="E2308" s="8">
        <f>IF(DAY(D2308)=DAY($L$1+1),TRUNC((#REF!),8),E2307)</f>
        <v/>
      </c>
      <c r="F2308" s="49">
        <f>TRUNC(((1+VLOOKUP(A2308,IPCA!$A$2:$C$140,3,0)))^(C2308/(EDATE(D2308-C2308,1)-(D2308-C2308))),8)</f>
        <v/>
      </c>
      <c r="G2308" s="44">
        <f>TRUNC((E2308*F2308),8)</f>
        <v/>
      </c>
      <c r="H2308" s="44">
        <f>ROUND(((1+$H$4)^(30/360))^(C2308/(EDATE(D2308-B2308,1)-(D2308-B2308))),9)</f>
        <v/>
      </c>
      <c r="I2308" s="44">
        <f>TRUNC((G2308*H2308-G2308),8)</f>
        <v/>
      </c>
      <c r="J2308" s="49">
        <f>G2308+I2308</f>
        <v/>
      </c>
      <c r="K2308" s="256" t="n"/>
      <c r="L2308" s="256" t="n"/>
      <c r="M2308" s="256" t="n"/>
      <c r="N2308" s="256" t="n"/>
      <c r="O2308" s="256" t="n"/>
      <c r="P2308" s="256" t="n"/>
      <c r="Q2308" s="256" t="n"/>
    </row>
    <row r="2309">
      <c r="A2309">
        <f>IF(DAY(D2309)=DAY($L$1+1),A2308+1,A2308)</f>
        <v/>
      </c>
      <c r="B2309" s="1">
        <f>IF(DAY(D2309)=DAY($L$1+1),1,B2308+1)</f>
        <v/>
      </c>
      <c r="C2309" s="1">
        <f>IF(DAY(D2309)=DAY($L$1+1),1,C2308+1)</f>
        <v/>
      </c>
      <c r="D2309" s="2">
        <f>D2308+1</f>
        <v/>
      </c>
      <c r="E2309" s="8">
        <f>IF(DAY(D2309)=DAY($L$1+1),TRUNC((#REF!),8),E2308)</f>
        <v/>
      </c>
      <c r="F2309" s="49">
        <f>TRUNC(((1+VLOOKUP(A2309,IPCA!$A$2:$C$140,3,0)))^(C2309/(EDATE(D2309-C2309,1)-(D2309-C2309))),8)</f>
        <v/>
      </c>
      <c r="G2309" s="44">
        <f>TRUNC((E2309*F2309),8)</f>
        <v/>
      </c>
      <c r="H2309" s="44">
        <f>ROUND(((1+$H$4)^(30/360))^(C2309/(EDATE(D2309-B2309,1)-(D2309-B2309))),9)</f>
        <v/>
      </c>
      <c r="I2309" s="44">
        <f>TRUNC((G2309*H2309-G2309),8)</f>
        <v/>
      </c>
      <c r="J2309" s="49">
        <f>G2309+I2309</f>
        <v/>
      </c>
      <c r="K2309" s="256" t="n"/>
      <c r="L2309" s="256" t="n"/>
      <c r="M2309" s="256" t="n"/>
      <c r="N2309" s="256" t="n"/>
      <c r="O2309" s="256" t="n"/>
      <c r="P2309" s="256" t="n"/>
      <c r="Q2309" s="256" t="n"/>
    </row>
    <row r="2310">
      <c r="A2310">
        <f>IF(DAY(D2310)=DAY($L$1+1),A2309+1,A2309)</f>
        <v/>
      </c>
      <c r="B2310" s="46">
        <f>IF(DAY(D2310)=DAY($L$1+1),1,B2309+1)</f>
        <v/>
      </c>
      <c r="C2310" s="46">
        <f>IF(DAY(D2310)=DAY($L$1+1),1,C2309+1)</f>
        <v/>
      </c>
      <c r="D2310" s="2">
        <f>D2309+1</f>
        <v/>
      </c>
      <c r="E2310" s="8">
        <f>IF(DAY(D2310)=DAY($L$1+1),TRUNC((#REF!),8),E2309)</f>
        <v/>
      </c>
      <c r="F2310" s="49">
        <f>TRUNC(((1+VLOOKUP(A2310,IPCA!$A$2:$C$140,3,0)))^(C2310/(EDATE(D2310-C2310,1)-(D2310-C2310))),8)</f>
        <v/>
      </c>
      <c r="G2310" s="44">
        <f>TRUNC((E2310*F2310),8)</f>
        <v/>
      </c>
      <c r="H2310" s="44">
        <f>ROUND(((1+$H$4)^(30/360))^(C2310/(EDATE(D2310-B2310,1)-(D2310-B2310))),9)</f>
        <v/>
      </c>
      <c r="I2310" s="44">
        <f>TRUNC((G2310*H2310-G2310),8)</f>
        <v/>
      </c>
      <c r="J2310" s="49">
        <f>G2310+I2310</f>
        <v/>
      </c>
      <c r="K2310" s="256" t="n"/>
      <c r="L2310" s="256" t="n"/>
      <c r="M2310" s="256" t="n"/>
      <c r="N2310" s="256" t="n"/>
      <c r="O2310" s="256" t="n"/>
      <c r="P2310" s="256" t="n"/>
      <c r="Q2310" s="256" t="n"/>
    </row>
    <row r="2311">
      <c r="A2311">
        <f>IF(DAY(D2311)=DAY($L$1+1),A2310+1,A2310)</f>
        <v/>
      </c>
      <c r="B2311" s="1">
        <f>IF(DAY(D2311)=DAY($L$1+1),1,B2310+1)</f>
        <v/>
      </c>
      <c r="C2311" s="1">
        <f>IF(DAY(D2311)=DAY($L$1+1),1,C2310+1)</f>
        <v/>
      </c>
      <c r="D2311" s="2">
        <f>D2310+1</f>
        <v/>
      </c>
      <c r="E2311" s="8">
        <f>IF(DAY(D2311)=DAY($L$1+1),TRUNC((#REF!),8),E2310)</f>
        <v/>
      </c>
      <c r="F2311" s="49">
        <f>TRUNC(((1+VLOOKUP(A2311,IPCA!$A$2:$C$140,3,0)))^(C2311/(EDATE(D2311-C2311,1)-(D2311-C2311))),8)</f>
        <v/>
      </c>
      <c r="G2311" s="44">
        <f>TRUNC((E2311*F2311),8)</f>
        <v/>
      </c>
      <c r="H2311" s="44">
        <f>ROUND(((1+$H$4)^(30/360))^(C2311/(EDATE(D2311-B2311,1)-(D2311-B2311))),9)</f>
        <v/>
      </c>
      <c r="I2311" s="44">
        <f>TRUNC((G2311*H2311-G2311),8)</f>
        <v/>
      </c>
      <c r="J2311" s="49">
        <f>G2311+I2311</f>
        <v/>
      </c>
      <c r="K2311" s="256" t="n"/>
      <c r="L2311" s="256" t="n"/>
      <c r="M2311" s="256" t="n"/>
      <c r="N2311" s="256" t="n"/>
      <c r="O2311" s="256" t="n"/>
      <c r="P2311" s="256" t="n"/>
      <c r="Q2311" s="256" t="n"/>
    </row>
    <row r="2312">
      <c r="A2312">
        <f>IF(DAY(D2312)=DAY($L$1+1),A2311+1,A2311)</f>
        <v/>
      </c>
      <c r="B2312" s="46">
        <f>IF(DAY(D2312)=DAY($L$1+1),1,B2311+1)</f>
        <v/>
      </c>
      <c r="C2312" s="46">
        <f>IF(DAY(D2312)=DAY($L$1+1),1,C2311+1)</f>
        <v/>
      </c>
      <c r="D2312" s="2">
        <f>D2311+1</f>
        <v/>
      </c>
      <c r="E2312" s="8">
        <f>IF(DAY(D2312)=DAY($L$1+1),TRUNC((#REF!),8),E2311)</f>
        <v/>
      </c>
      <c r="F2312" s="49">
        <f>TRUNC(((1+VLOOKUP(A2312,IPCA!$A$2:$C$140,3,0)))^(C2312/(EDATE(D2312-C2312,1)-(D2312-C2312))),8)</f>
        <v/>
      </c>
      <c r="G2312" s="44">
        <f>TRUNC((E2312*F2312),8)</f>
        <v/>
      </c>
      <c r="H2312" s="44">
        <f>ROUND(((1+$H$4)^(30/360))^(C2312/(EDATE(D2312-B2312,1)-(D2312-B2312))),9)</f>
        <v/>
      </c>
      <c r="I2312" s="44">
        <f>TRUNC((G2312*H2312-G2312),8)</f>
        <v/>
      </c>
      <c r="J2312" s="49">
        <f>G2312+I2312</f>
        <v/>
      </c>
      <c r="K2312" s="256" t="n"/>
      <c r="L2312" s="256" t="n"/>
      <c r="M2312" s="256" t="n"/>
      <c r="N2312" s="256" t="n"/>
      <c r="O2312" s="256" t="n"/>
      <c r="P2312" s="256" t="n"/>
      <c r="Q2312" s="256" t="n"/>
    </row>
    <row r="2313">
      <c r="A2313">
        <f>IF(DAY(D2313)=DAY($L$1+1),A2312+1,A2312)</f>
        <v/>
      </c>
      <c r="B2313" s="1">
        <f>IF(DAY(D2313)=DAY($L$1+1),1,B2312+1)</f>
        <v/>
      </c>
      <c r="C2313" s="1">
        <f>IF(DAY(D2313)=DAY($L$1+1),1,C2312+1)</f>
        <v/>
      </c>
      <c r="D2313" s="2">
        <f>D2312+1</f>
        <v/>
      </c>
      <c r="E2313" s="8">
        <f>IF(DAY(D2313)=DAY($L$1+1),TRUNC((#REF!),8),E2312)</f>
        <v/>
      </c>
      <c r="F2313" s="49">
        <f>TRUNC(((1+VLOOKUP(A2313,IPCA!$A$2:$C$140,3,0)))^(C2313/(EDATE(D2313-C2313,1)-(D2313-C2313))),8)</f>
        <v/>
      </c>
      <c r="G2313" s="44">
        <f>TRUNC((E2313*F2313),8)</f>
        <v/>
      </c>
      <c r="H2313" s="44">
        <f>ROUND(((1+$H$4)^(30/360))^(C2313/(EDATE(D2313-B2313,1)-(D2313-B2313))),9)</f>
        <v/>
      </c>
      <c r="I2313" s="44">
        <f>TRUNC((G2313*H2313-G2313),8)</f>
        <v/>
      </c>
      <c r="J2313" s="49">
        <f>G2313+I2313</f>
        <v/>
      </c>
      <c r="K2313" s="256" t="n"/>
      <c r="L2313" s="256" t="n"/>
      <c r="M2313" s="256" t="n"/>
      <c r="N2313" s="256" t="n"/>
      <c r="O2313" s="256" t="n"/>
      <c r="P2313" s="256" t="n"/>
      <c r="Q2313" s="256" t="n"/>
    </row>
    <row r="2314">
      <c r="A2314">
        <f>IF(DAY(D2314)=DAY($L$1+1),A2313+1,A2313)</f>
        <v/>
      </c>
      <c r="B2314" s="46">
        <f>IF(DAY(D2314)=DAY($L$1+1),1,B2313+1)</f>
        <v/>
      </c>
      <c r="C2314" s="46">
        <f>IF(DAY(D2314)=DAY($L$1+1),1,C2313+1)</f>
        <v/>
      </c>
      <c r="D2314" s="2">
        <f>D2313+1</f>
        <v/>
      </c>
      <c r="E2314" s="8">
        <f>IF(DAY(D2314)=DAY($L$1+1),TRUNC((#REF!),8),E2313)</f>
        <v/>
      </c>
      <c r="F2314" s="49">
        <f>TRUNC(((1+VLOOKUP(A2314,IPCA!$A$2:$C$140,3,0)))^(C2314/(EDATE(D2314-C2314,1)-(D2314-C2314))),8)</f>
        <v/>
      </c>
      <c r="G2314" s="44">
        <f>TRUNC((E2314*F2314),8)</f>
        <v/>
      </c>
      <c r="H2314" s="44">
        <f>ROUND(((1+$H$4)^(30/360))^(C2314/(EDATE(D2314-B2314,1)-(D2314-B2314))),9)</f>
        <v/>
      </c>
      <c r="I2314" s="44">
        <f>TRUNC((G2314*H2314-G2314),8)</f>
        <v/>
      </c>
      <c r="J2314" s="49">
        <f>G2314+I2314</f>
        <v/>
      </c>
      <c r="K2314" s="256" t="n"/>
      <c r="L2314" s="256" t="n"/>
      <c r="M2314" s="256" t="n"/>
      <c r="N2314" s="256" t="n"/>
      <c r="O2314" s="256" t="n"/>
      <c r="P2314" s="256" t="n"/>
      <c r="Q2314" s="256" t="n"/>
    </row>
    <row r="2315">
      <c r="A2315">
        <f>IF(DAY(D2315)=DAY($L$1+1),A2314+1,A2314)</f>
        <v/>
      </c>
      <c r="B2315" s="1">
        <f>IF(DAY(D2315)=DAY($L$1+1),1,B2314+1)</f>
        <v/>
      </c>
      <c r="C2315" s="1">
        <f>IF(DAY(D2315)=DAY($L$1+1),1,C2314+1)</f>
        <v/>
      </c>
      <c r="D2315" s="2">
        <f>D2314+1</f>
        <v/>
      </c>
      <c r="E2315" s="8">
        <f>IF(DAY(D2315)=DAY($L$1+1),TRUNC((#REF!),8),E2314)</f>
        <v/>
      </c>
      <c r="F2315" s="49">
        <f>TRUNC(((1+VLOOKUP(A2315,IPCA!$A$2:$C$140,3,0)))^(C2315/(EDATE(D2315-C2315,1)-(D2315-C2315))),8)</f>
        <v/>
      </c>
      <c r="G2315" s="44">
        <f>TRUNC((E2315*F2315),8)</f>
        <v/>
      </c>
      <c r="H2315" s="44">
        <f>ROUND(((1+$H$4)^(30/360))^(C2315/(EDATE(D2315-B2315,1)-(D2315-B2315))),9)</f>
        <v/>
      </c>
      <c r="I2315" s="44">
        <f>TRUNC((G2315*H2315-G2315),8)</f>
        <v/>
      </c>
      <c r="J2315" s="49">
        <f>G2315+I2315</f>
        <v/>
      </c>
      <c r="K2315" s="256" t="n"/>
      <c r="L2315" s="256" t="n"/>
      <c r="M2315" s="256" t="n"/>
      <c r="N2315" s="256" t="n"/>
      <c r="O2315" s="256" t="n"/>
      <c r="P2315" s="256" t="n"/>
      <c r="Q2315" s="256" t="n"/>
    </row>
    <row r="2316">
      <c r="A2316">
        <f>IF(DAY(D2316)=DAY($L$1+1),A2315+1,A2315)</f>
        <v/>
      </c>
      <c r="B2316" s="46">
        <f>IF(DAY(D2316)=DAY($L$1+1),1,B2315+1)</f>
        <v/>
      </c>
      <c r="C2316" s="46">
        <f>IF(DAY(D2316)=DAY($L$1+1),1,C2315+1)</f>
        <v/>
      </c>
      <c r="D2316" s="2">
        <f>D2315+1</f>
        <v/>
      </c>
      <c r="E2316" s="8">
        <f>IF(DAY(D2316)=DAY($L$1+1),TRUNC((#REF!),8),E2315)</f>
        <v/>
      </c>
      <c r="F2316" s="49">
        <f>TRUNC(((1+VLOOKUP(A2316,IPCA!$A$2:$C$140,3,0)))^(C2316/(EDATE(D2316-C2316,1)-(D2316-C2316))),8)</f>
        <v/>
      </c>
      <c r="G2316" s="44">
        <f>TRUNC((E2316*F2316),8)</f>
        <v/>
      </c>
      <c r="H2316" s="44">
        <f>ROUND(((1+$H$4)^(30/360))^(C2316/(EDATE(D2316-B2316,1)-(D2316-B2316))),9)</f>
        <v/>
      </c>
      <c r="I2316" s="44">
        <f>TRUNC((G2316*H2316-G2316),8)</f>
        <v/>
      </c>
      <c r="J2316" s="49">
        <f>G2316+I2316</f>
        <v/>
      </c>
      <c r="K2316" s="256" t="n"/>
      <c r="L2316" s="256" t="n"/>
      <c r="M2316" s="256" t="n"/>
      <c r="N2316" s="256" t="n"/>
      <c r="O2316" s="256" t="n"/>
      <c r="P2316" s="256" t="n"/>
      <c r="Q2316" s="256" t="n"/>
    </row>
    <row r="2317">
      <c r="A2317">
        <f>IF(DAY(D2317)=DAY($L$1+1),A2316+1,A2316)</f>
        <v/>
      </c>
      <c r="B2317" s="1">
        <f>IF(DAY(D2317)=DAY($L$1+1),1,B2316+1)</f>
        <v/>
      </c>
      <c r="C2317" s="1">
        <f>IF(DAY(D2317)=DAY($L$1+1),1,C2316+1)</f>
        <v/>
      </c>
      <c r="D2317" s="2">
        <f>D2316+1</f>
        <v/>
      </c>
      <c r="E2317" s="8">
        <f>IF(DAY(D2317)=DAY($L$1+1),TRUNC((#REF!),8),E2316)</f>
        <v/>
      </c>
      <c r="F2317" s="49">
        <f>TRUNC(((1+VLOOKUP(A2317,IPCA!$A$2:$C$140,3,0)))^(C2317/(EDATE(D2317-C2317,1)-(D2317-C2317))),8)</f>
        <v/>
      </c>
      <c r="G2317" s="44">
        <f>TRUNC((E2317*F2317),8)</f>
        <v/>
      </c>
      <c r="H2317" s="44">
        <f>ROUND(((1+$H$4)^(30/360))^(C2317/(EDATE(D2317-B2317,1)-(D2317-B2317))),9)</f>
        <v/>
      </c>
      <c r="I2317" s="44">
        <f>TRUNC((G2317*H2317-G2317),8)</f>
        <v/>
      </c>
      <c r="J2317" s="49">
        <f>G2317+I2317</f>
        <v/>
      </c>
      <c r="K2317" s="256" t="n"/>
      <c r="L2317" s="256" t="n"/>
      <c r="M2317" s="256" t="n"/>
      <c r="N2317" s="256" t="n"/>
      <c r="O2317" s="256" t="n"/>
      <c r="P2317" s="256" t="n"/>
      <c r="Q2317" s="256" t="n"/>
    </row>
    <row r="2318">
      <c r="A2318">
        <f>IF(DAY(D2318)=DAY($L$1+1),A2317+1,A2317)</f>
        <v/>
      </c>
      <c r="B2318" s="46">
        <f>IF(DAY(D2318)=DAY($L$1+1),1,B2317+1)</f>
        <v/>
      </c>
      <c r="C2318" s="46">
        <f>IF(DAY(D2318)=DAY($L$1+1),1,C2317+1)</f>
        <v/>
      </c>
      <c r="D2318" s="2">
        <f>D2317+1</f>
        <v/>
      </c>
      <c r="E2318" s="8">
        <f>IF(DAY(D2318)=DAY($L$1+1),TRUNC((#REF!),8),E2317)</f>
        <v/>
      </c>
      <c r="F2318" s="49">
        <f>TRUNC(((1+VLOOKUP(A2318,IPCA!$A$2:$C$140,3,0)))^(C2318/(EDATE(D2318-C2318,1)-(D2318-C2318))),8)</f>
        <v/>
      </c>
      <c r="G2318" s="44">
        <f>TRUNC((E2318*F2318),8)</f>
        <v/>
      </c>
      <c r="H2318" s="44">
        <f>ROUND(((1+$H$4)^(30/360))^(C2318/(EDATE(D2318-B2318,1)-(D2318-B2318))),9)</f>
        <v/>
      </c>
      <c r="I2318" s="44">
        <f>TRUNC((G2318*H2318-G2318),8)</f>
        <v/>
      </c>
      <c r="J2318" s="49">
        <f>G2318+I2318</f>
        <v/>
      </c>
      <c r="K2318" s="256" t="n"/>
      <c r="L2318" s="256" t="n"/>
      <c r="M2318" s="256" t="n"/>
      <c r="N2318" s="256" t="n"/>
      <c r="O2318" s="256" t="n"/>
      <c r="P2318" s="256" t="n"/>
      <c r="Q2318" s="256" t="n"/>
    </row>
    <row r="2319">
      <c r="A2319">
        <f>IF(DAY(D2319)=DAY($L$1+1),A2318+1,A2318)</f>
        <v/>
      </c>
      <c r="B2319" s="1">
        <f>IF(DAY(D2319)=DAY($L$1+1),1,B2318+1)</f>
        <v/>
      </c>
      <c r="C2319" s="1">
        <f>IF(DAY(D2319)=DAY($L$1+1),1,C2318+1)</f>
        <v/>
      </c>
      <c r="D2319" s="2">
        <f>D2318+1</f>
        <v/>
      </c>
      <c r="E2319" s="8">
        <f>IF(DAY(D2319)=DAY($L$1+1),TRUNC((#REF!),8),E2318)</f>
        <v/>
      </c>
      <c r="F2319" s="49">
        <f>TRUNC(((1+VLOOKUP(A2319,IPCA!$A$2:$C$140,3,0)))^(C2319/(EDATE(D2319-C2319,1)-(D2319-C2319))),8)</f>
        <v/>
      </c>
      <c r="G2319" s="44">
        <f>TRUNC((E2319*F2319),8)</f>
        <v/>
      </c>
      <c r="H2319" s="44">
        <f>ROUND(((1+$H$4)^(30/360))^(C2319/(EDATE(D2319-B2319,1)-(D2319-B2319))),9)</f>
        <v/>
      </c>
      <c r="I2319" s="44">
        <f>TRUNC((G2319*H2319-G2319),8)</f>
        <v/>
      </c>
      <c r="J2319" s="49">
        <f>G2319+I2319</f>
        <v/>
      </c>
      <c r="K2319" s="256" t="n"/>
      <c r="L2319" s="256" t="n"/>
      <c r="M2319" s="256" t="n"/>
      <c r="N2319" s="256" t="n"/>
      <c r="O2319" s="256" t="n"/>
      <c r="P2319" s="256" t="n"/>
      <c r="Q2319" s="256" t="n"/>
    </row>
    <row r="2320">
      <c r="A2320">
        <f>IF(DAY(D2320)=DAY($L$1+1),A2319+1,A2319)</f>
        <v/>
      </c>
      <c r="B2320" s="46">
        <f>IF(DAY(D2320)=DAY($L$1+1),1,B2319+1)</f>
        <v/>
      </c>
      <c r="C2320" s="46">
        <f>IF(DAY(D2320)=DAY($L$1+1),1,C2319+1)</f>
        <v/>
      </c>
      <c r="D2320" s="2">
        <f>D2319+1</f>
        <v/>
      </c>
      <c r="E2320" s="8">
        <f>IF(DAY(D2320)=DAY($L$1+1),TRUNC((#REF!),8),E2319)</f>
        <v/>
      </c>
      <c r="F2320" s="49">
        <f>TRUNC(((1+VLOOKUP(A2320,IPCA!$A$2:$C$140,3,0)))^(C2320/(EDATE(D2320-C2320,1)-(D2320-C2320))),8)</f>
        <v/>
      </c>
      <c r="G2320" s="44">
        <f>TRUNC((E2320*F2320),8)</f>
        <v/>
      </c>
      <c r="H2320" s="44">
        <f>ROUND(((1+$H$4)^(30/360))^(C2320/(EDATE(D2320-B2320,1)-(D2320-B2320))),9)</f>
        <v/>
      </c>
      <c r="I2320" s="44">
        <f>TRUNC((G2320*H2320-G2320),8)</f>
        <v/>
      </c>
      <c r="J2320" s="49">
        <f>G2320+I2320</f>
        <v/>
      </c>
      <c r="K2320" s="256" t="n"/>
      <c r="L2320" s="256" t="n"/>
      <c r="M2320" s="256" t="n"/>
      <c r="N2320" s="256" t="n"/>
      <c r="O2320" s="256" t="n"/>
      <c r="P2320" s="256" t="n"/>
      <c r="Q2320" s="256" t="n"/>
    </row>
    <row r="2321">
      <c r="A2321">
        <f>IF(DAY(D2321)=DAY($L$1+1),A2320+1,A2320)</f>
        <v/>
      </c>
      <c r="B2321" s="1">
        <f>IF(DAY(D2321)=DAY($L$1+1),1,B2320+1)</f>
        <v/>
      </c>
      <c r="C2321" s="1">
        <f>IF(DAY(D2321)=DAY($L$1+1),1,C2320+1)</f>
        <v/>
      </c>
      <c r="D2321" s="2">
        <f>D2320+1</f>
        <v/>
      </c>
      <c r="E2321" s="8">
        <f>IF(DAY(D2321)=DAY($L$1+1),TRUNC((N2320),8),E2320)</f>
        <v/>
      </c>
      <c r="F2321" s="49">
        <f>TRUNC(((1+VLOOKUP(A2321,IPCA!$A$2:$C$140,3,0)))^(C2321/(EDATE(D2321-C2321,1)-(D2321-C2321))),8)</f>
        <v/>
      </c>
      <c r="G2321" s="44">
        <f>TRUNC((E2321*F2321),8)</f>
        <v/>
      </c>
      <c r="H2321" s="44">
        <f>ROUND(((1+$H$4)^(30/360))^(C2321/(EDATE(D2321-B2321,1)-(D2321-B2321))),9)</f>
        <v/>
      </c>
      <c r="I2321" s="44">
        <f>TRUNC((G2321*H2321-G2321),8)</f>
        <v/>
      </c>
      <c r="J2321" s="49">
        <f>G2321+I2321</f>
        <v/>
      </c>
      <c r="K2321" s="256" t="n"/>
      <c r="L2321" s="256" t="n"/>
      <c r="M2321" s="256" t="n"/>
      <c r="N2321" s="256" t="n"/>
      <c r="O2321" s="256" t="n"/>
      <c r="P2321" s="256" t="n"/>
      <c r="Q2321" s="256" t="n"/>
    </row>
    <row r="2322">
      <c r="A2322">
        <f>IF(DAY(D2322)=DAY($L$1+1),A2321+1,A2321)</f>
        <v/>
      </c>
      <c r="B2322" s="46">
        <f>IF(DAY(D2322)=DAY($L$1+1),1,B2321+1)</f>
        <v/>
      </c>
      <c r="C2322" s="46">
        <f>IF(DAY(D2322)=DAY($L$1+1),1,C2321+1)</f>
        <v/>
      </c>
      <c r="D2322" s="2">
        <f>D2321+1</f>
        <v/>
      </c>
      <c r="E2322" s="8">
        <f>IF(DAY(D2322)=DAY($L$1+1),TRUNC((N2321),8),E2321)</f>
        <v/>
      </c>
      <c r="F2322" s="49">
        <f>TRUNC(((1+VLOOKUP(A2322,IPCA!$A$2:$C$140,3,0)))^(C2322/(EDATE(D2322-C2322,1)-(D2322-C2322))),8)</f>
        <v/>
      </c>
      <c r="G2322" s="44">
        <f>TRUNC((E2322*F2322),8)</f>
        <v/>
      </c>
      <c r="H2322" s="44">
        <f>ROUND(((1+$H$4)^(30/360))^(C2322/(EDATE(D2322-B2322,1)-(D2322-B2322))),9)</f>
        <v/>
      </c>
      <c r="I2322" s="44">
        <f>TRUNC((G2322*H2322-G2322),8)</f>
        <v/>
      </c>
      <c r="J2322" s="49">
        <f>G2322+I2322</f>
        <v/>
      </c>
      <c r="K2322" s="256" t="n"/>
      <c r="L2322" s="256" t="n"/>
      <c r="M2322" s="256" t="n"/>
      <c r="N2322" s="256" t="n"/>
      <c r="O2322" s="256" t="n"/>
      <c r="P2322" s="256" t="n"/>
      <c r="Q2322" s="256" t="n"/>
    </row>
    <row r="2323">
      <c r="A2323">
        <f>IF(DAY(D2323)=DAY($L$1+1),A2322+1,A2322)</f>
        <v/>
      </c>
      <c r="B2323" s="1">
        <f>IF(DAY(D2323)=DAY($L$1+1),1,B2322+1)</f>
        <v/>
      </c>
      <c r="C2323" s="1">
        <f>IF(DAY(D2323)=DAY($L$1+1),1,C2322+1)</f>
        <v/>
      </c>
      <c r="D2323" s="2">
        <f>D2322+1</f>
        <v/>
      </c>
      <c r="E2323" s="8">
        <f>IF(DAY(D2323)=DAY($L$1+1),TRUNC((N2322),8),E2322)</f>
        <v/>
      </c>
      <c r="F2323" s="49">
        <f>TRUNC(((1+VLOOKUP(A2323,IPCA!$A$2:$C$140,3,0)))^(C2323/(EDATE(D2323-C2323,1)-(D2323-C2323))),8)</f>
        <v/>
      </c>
      <c r="G2323" s="44">
        <f>TRUNC((E2323*F2323),8)</f>
        <v/>
      </c>
      <c r="H2323" s="44">
        <f>ROUND(((1+$H$4)^(30/360))^(C2323/(EDATE(D2323-B2323,1)-(D2323-B2323))),9)</f>
        <v/>
      </c>
      <c r="I2323" s="44">
        <f>TRUNC((G2323*H2323-G2323),8)</f>
        <v/>
      </c>
      <c r="J2323" s="49">
        <f>G2323+I2323</f>
        <v/>
      </c>
      <c r="K2323" s="256" t="n"/>
      <c r="L2323" s="256" t="n"/>
      <c r="M2323" s="256" t="n"/>
      <c r="N2323" s="256" t="n"/>
      <c r="O2323" s="256" t="n"/>
      <c r="P2323" s="256" t="n"/>
      <c r="Q2323" s="256" t="n"/>
    </row>
    <row r="2324">
      <c r="A2324">
        <f>IF(DAY(D2324)=DAY($L$1+1),A2323+1,A2323)</f>
        <v/>
      </c>
      <c r="B2324" s="46">
        <f>IF(DAY(D2324)=DAY($L$1+1),1,B2323+1)</f>
        <v/>
      </c>
      <c r="C2324" s="46">
        <f>IF(DAY(D2324)=DAY($L$1+1),1,C2323+1)</f>
        <v/>
      </c>
      <c r="D2324" s="2">
        <f>D2323+1</f>
        <v/>
      </c>
      <c r="E2324" s="8">
        <f>IF(DAY(D2324)=DAY($L$1+1),TRUNC((N2323),8),E2323)</f>
        <v/>
      </c>
      <c r="F2324" s="49">
        <f>TRUNC(((1+VLOOKUP(A2324,IPCA!$A$2:$C$140,3,0)))^(C2324/(EDATE(D2324-C2324,1)-(D2324-C2324))),8)</f>
        <v/>
      </c>
      <c r="G2324" s="44">
        <f>TRUNC((E2324*F2324),8)</f>
        <v/>
      </c>
      <c r="H2324" s="44">
        <f>ROUND(((1+$H$4)^(30/360))^(C2324/(EDATE(D2324-B2324,1)-(D2324-B2324))),9)</f>
        <v/>
      </c>
      <c r="I2324" s="44">
        <f>TRUNC((G2324*H2324-G2324),8)</f>
        <v/>
      </c>
      <c r="J2324" s="49">
        <f>G2324+I2324</f>
        <v/>
      </c>
      <c r="K2324" s="256" t="n"/>
      <c r="L2324" s="256" t="n"/>
      <c r="M2324" s="256" t="n"/>
      <c r="N2324" s="256" t="n"/>
      <c r="O2324" s="256" t="n"/>
      <c r="P2324" s="256" t="n"/>
      <c r="Q2324" s="256" t="n"/>
    </row>
    <row r="2325">
      <c r="A2325">
        <f>IF(DAY(D2325)=DAY($L$1+1),A2324+1,A2324)</f>
        <v/>
      </c>
      <c r="B2325" s="1">
        <f>IF(DAY(D2325)=DAY($L$1+1),1,B2324+1)</f>
        <v/>
      </c>
      <c r="C2325" s="1">
        <f>IF(DAY(D2325)=DAY($L$1+1),1,C2324+1)</f>
        <v/>
      </c>
      <c r="D2325" s="2">
        <f>D2324+1</f>
        <v/>
      </c>
      <c r="E2325" s="8">
        <f>IF(DAY(D2325)=DAY($L$1+1),TRUNC((N2324),8),E2324)</f>
        <v/>
      </c>
      <c r="F2325" s="49">
        <f>TRUNC(((1+VLOOKUP(A2325,IPCA!$A$2:$C$140,3,0)))^(C2325/(EDATE(D2325-C2325,1)-(D2325-C2325))),8)</f>
        <v/>
      </c>
      <c r="G2325" s="44">
        <f>TRUNC((E2325*F2325),8)</f>
        <v/>
      </c>
      <c r="H2325" s="44">
        <f>ROUND(((1+$H$4)^(30/360))^(C2325/(EDATE(D2325-B2325,1)-(D2325-B2325))),9)</f>
        <v/>
      </c>
      <c r="I2325" s="44">
        <f>TRUNC((G2325*H2325-G2325),8)</f>
        <v/>
      </c>
      <c r="J2325" s="49">
        <f>G2325+I2325</f>
        <v/>
      </c>
      <c r="K2325" s="256" t="n"/>
      <c r="L2325" s="256" t="n"/>
      <c r="M2325" s="256" t="n"/>
      <c r="N2325" s="256" t="n"/>
      <c r="O2325" s="256" t="n"/>
      <c r="P2325" s="256" t="n"/>
      <c r="Q2325" s="256" t="n"/>
    </row>
    <row r="2326">
      <c r="A2326">
        <f>IF(DAY(D2326)=DAY($L$1+1),A2325+1,A2325)</f>
        <v/>
      </c>
      <c r="B2326" s="46">
        <f>IF(DAY(D2326)=DAY($L$1+1),1,B2325+1)</f>
        <v/>
      </c>
      <c r="C2326" s="46">
        <f>IF(DAY(D2326)=DAY($L$1+1),1,C2325+1)</f>
        <v/>
      </c>
      <c r="D2326" s="2">
        <f>D2325+1</f>
        <v/>
      </c>
      <c r="E2326" s="8">
        <f>IF(DAY(D2326)=DAY($L$1+1),TRUNC((N2325),8),E2325)</f>
        <v/>
      </c>
      <c r="F2326" s="49">
        <f>TRUNC(((1+VLOOKUP(A2326,IPCA!$A$2:$C$140,3,0)))^(C2326/(EDATE(D2326-C2326,1)-(D2326-C2326))),8)</f>
        <v/>
      </c>
      <c r="G2326" s="44">
        <f>TRUNC((E2326*F2326),8)</f>
        <v/>
      </c>
      <c r="H2326" s="44">
        <f>ROUND(((1+$H$4)^(30/360))^(C2326/(EDATE(D2326-B2326,1)-(D2326-B2326))),9)</f>
        <v/>
      </c>
      <c r="I2326" s="44">
        <f>TRUNC((G2326*H2326-G2326),8)</f>
        <v/>
      </c>
      <c r="J2326" s="49">
        <f>G2326+I2326</f>
        <v/>
      </c>
      <c r="K2326" s="256" t="n"/>
      <c r="L2326" s="256" t="n"/>
      <c r="M2326" s="256" t="n"/>
      <c r="N2326" s="256" t="n"/>
      <c r="O2326" s="256" t="n"/>
      <c r="P2326" s="256" t="n"/>
      <c r="Q2326" s="256" t="n"/>
    </row>
    <row r="2327">
      <c r="A2327">
        <f>IF(DAY(D2327)=DAY($L$1+1),A2326+1,A2326)</f>
        <v/>
      </c>
      <c r="B2327" s="1">
        <f>IF(DAY(D2327)=DAY($L$1+1),1,B2326+1)</f>
        <v/>
      </c>
      <c r="C2327" s="1">
        <f>IF(DAY(D2327)=DAY($L$1+1),1,C2326+1)</f>
        <v/>
      </c>
      <c r="D2327" s="2">
        <f>D2326+1</f>
        <v/>
      </c>
      <c r="E2327" s="8">
        <f>IF(DAY(D2327)=DAY($L$1+1),TRUNC((N2326),8),E2326)</f>
        <v/>
      </c>
      <c r="F2327" s="49">
        <f>TRUNC(((1+VLOOKUP(A2327,IPCA!$A$2:$C$140,3,0)))^(C2327/(EDATE(D2327-C2327,1)-(D2327-C2327))),8)</f>
        <v/>
      </c>
      <c r="G2327" s="44">
        <f>TRUNC((E2327*F2327),8)</f>
        <v/>
      </c>
      <c r="H2327" s="44">
        <f>ROUND(((1+$H$4)^(30/360))^(C2327/(EDATE(D2327-B2327,1)-(D2327-B2327))),9)</f>
        <v/>
      </c>
      <c r="I2327" s="44">
        <f>TRUNC((G2327*H2327-G2327),8)</f>
        <v/>
      </c>
      <c r="J2327" s="49">
        <f>G2327+I2327</f>
        <v/>
      </c>
      <c r="K2327" s="256" t="n"/>
      <c r="L2327" s="256" t="n"/>
      <c r="M2327" s="256" t="n"/>
      <c r="N2327" s="256" t="n"/>
      <c r="O2327" s="256" t="n"/>
      <c r="P2327" s="256" t="n"/>
      <c r="Q2327" s="256" t="n"/>
    </row>
    <row r="2328">
      <c r="A2328">
        <f>IF(DAY(D2328)=DAY($L$1+1),A2327+1,A2327)</f>
        <v/>
      </c>
      <c r="B2328" s="46">
        <f>IF(DAY(D2328)=DAY($L$1+1),1,B2327+1)</f>
        <v/>
      </c>
      <c r="C2328" s="46">
        <f>IF(DAY(D2328)=DAY($L$1+1),1,C2327+1)</f>
        <v/>
      </c>
      <c r="D2328" s="2">
        <f>D2327+1</f>
        <v/>
      </c>
      <c r="E2328" s="8">
        <f>IF(DAY(D2328)=DAY($L$1+1),TRUNC((N2327),8),E2327)</f>
        <v/>
      </c>
      <c r="F2328" s="49">
        <f>TRUNC(((1+VLOOKUP(A2328,IPCA!$A$2:$C$140,3,0)))^(C2328/(EDATE(D2328-C2328,1)-(D2328-C2328))),8)</f>
        <v/>
      </c>
      <c r="G2328" s="44">
        <f>TRUNC((E2328*F2328),8)</f>
        <v/>
      </c>
      <c r="H2328" s="44">
        <f>ROUND(((1+$H$4)^(30/360))^(C2328/(EDATE(D2328-B2328,1)-(D2328-B2328))),9)</f>
        <v/>
      </c>
      <c r="I2328" s="44">
        <f>TRUNC((G2328*H2328-G2328),8)</f>
        <v/>
      </c>
      <c r="J2328" s="49">
        <f>G2328+I2328</f>
        <v/>
      </c>
      <c r="K2328" s="256" t="n"/>
      <c r="L2328" s="256" t="n"/>
      <c r="M2328" s="256" t="n"/>
      <c r="N2328" s="256" t="n"/>
      <c r="O2328" s="256" t="n"/>
      <c r="P2328" s="256" t="n"/>
      <c r="Q2328" s="256" t="n"/>
    </row>
    <row r="2329">
      <c r="A2329">
        <f>IF(DAY(D2329)=DAY($L$1+1),A2328+1,A2328)</f>
        <v/>
      </c>
      <c r="B2329" s="1">
        <f>IF(DAY(D2329)=DAY($L$1+1),1,B2328+1)</f>
        <v/>
      </c>
      <c r="C2329" s="1">
        <f>IF(DAY(D2329)=DAY($L$1+1),1,C2328+1)</f>
        <v/>
      </c>
      <c r="D2329" s="2">
        <f>D2328+1</f>
        <v/>
      </c>
      <c r="E2329" s="8">
        <f>IF(DAY(D2329)=DAY($L$1+1),TRUNC((N2328),8),E2328)</f>
        <v/>
      </c>
      <c r="F2329" s="49">
        <f>TRUNC(((1+VLOOKUP(A2329,IPCA!$A$2:$C$140,3,0)))^(C2329/(EDATE(D2329-C2329,1)-(D2329-C2329))),8)</f>
        <v/>
      </c>
      <c r="G2329" s="44">
        <f>TRUNC((E2329*F2329),8)</f>
        <v/>
      </c>
      <c r="H2329" s="44">
        <f>ROUND(((1+$H$4)^(30/360))^(C2329/(EDATE(D2329-B2329,1)-(D2329-B2329))),9)</f>
        <v/>
      </c>
      <c r="I2329" s="44">
        <f>TRUNC((G2329*H2329-G2329),8)</f>
        <v/>
      </c>
      <c r="J2329" s="49">
        <f>G2329+I2329</f>
        <v/>
      </c>
      <c r="K2329" s="256" t="n"/>
      <c r="L2329" s="256" t="n"/>
      <c r="M2329" s="256" t="n"/>
      <c r="N2329" s="256" t="n"/>
      <c r="O2329" s="256" t="n"/>
      <c r="P2329" s="256" t="n"/>
      <c r="Q2329" s="256" t="n"/>
    </row>
    <row r="2330">
      <c r="A2330">
        <f>IF(DAY(D2330)=DAY($L$1+1),A2329+1,A2329)</f>
        <v/>
      </c>
      <c r="B2330" s="46">
        <f>IF(DAY(D2330)=DAY($L$1+1),1,B2329+1)</f>
        <v/>
      </c>
      <c r="C2330" s="46">
        <f>IF(DAY(D2330)=DAY($L$1+1),1,C2329+1)</f>
        <v/>
      </c>
      <c r="D2330" s="2">
        <f>D2329+1</f>
        <v/>
      </c>
      <c r="E2330" s="8">
        <f>IF(DAY(D2330)=DAY($L$1+1),TRUNC((N2329),8),E2329)</f>
        <v/>
      </c>
      <c r="F2330" s="49">
        <f>TRUNC(((1+VLOOKUP(A2330,IPCA!$A$2:$C$140,3,0)))^(C2330/(EDATE(D2330-C2330,1)-(D2330-C2330))),8)</f>
        <v/>
      </c>
      <c r="G2330" s="44">
        <f>TRUNC((E2330*F2330),8)</f>
        <v/>
      </c>
      <c r="H2330" s="44">
        <f>ROUND(((1+$H$4)^(30/360))^(C2330/(EDATE(D2330-B2330,1)-(D2330-B2330))),9)</f>
        <v/>
      </c>
      <c r="I2330" s="44">
        <f>TRUNC((G2330*H2330-G2330),8)</f>
        <v/>
      </c>
      <c r="J2330" s="49">
        <f>G2330+I2330</f>
        <v/>
      </c>
      <c r="K2330" s="256" t="n"/>
      <c r="L2330" s="256" t="n"/>
      <c r="M2330" s="256" t="n"/>
      <c r="N2330" s="256" t="n"/>
      <c r="O2330" s="256" t="n"/>
      <c r="P2330" s="256" t="n"/>
      <c r="Q2330" s="256" t="n"/>
    </row>
    <row r="2331">
      <c r="A2331">
        <f>IF(DAY(D2331)=DAY($L$1+1),A2330+1,A2330)</f>
        <v/>
      </c>
      <c r="B2331" s="1">
        <f>IF(DAY(D2331)=DAY($L$1+1),1,B2330+1)</f>
        <v/>
      </c>
      <c r="C2331" s="1">
        <f>IF(DAY(D2331)=DAY($L$1+1),1,C2330+1)</f>
        <v/>
      </c>
      <c r="D2331" s="2">
        <f>D2330+1</f>
        <v/>
      </c>
      <c r="E2331" s="8">
        <f>IF(DAY(D2331)=DAY($L$1+1),TRUNC((N2330),8),E2330)</f>
        <v/>
      </c>
      <c r="F2331" s="49">
        <f>TRUNC(((1+VLOOKUP(A2331,IPCA!$A$2:$C$140,3,0)))^(C2331/(EDATE(D2331-C2331,1)-(D2331-C2331))),8)</f>
        <v/>
      </c>
      <c r="G2331" s="44">
        <f>TRUNC((E2331*F2331),8)</f>
        <v/>
      </c>
      <c r="H2331" s="44">
        <f>ROUND(((1+$H$4)^(30/360))^(C2331/(EDATE(D2331-B2331,1)-(D2331-B2331))),9)</f>
        <v/>
      </c>
      <c r="I2331" s="44">
        <f>TRUNC((G2331*H2331-G2331),8)</f>
        <v/>
      </c>
      <c r="J2331" s="49">
        <f>G2331+I2331</f>
        <v/>
      </c>
      <c r="K2331" s="256" t="n"/>
      <c r="L2331" s="256" t="n"/>
      <c r="M2331" s="256" t="n"/>
      <c r="N2331" s="256" t="n"/>
      <c r="O2331" s="256" t="n"/>
      <c r="P2331" s="256" t="n"/>
      <c r="Q2331" s="256" t="n"/>
    </row>
    <row r="2332">
      <c r="A2332">
        <f>IF(DAY(D2332)=DAY($L$1+1),A2331+1,A2331)</f>
        <v/>
      </c>
      <c r="B2332" s="46">
        <f>IF(DAY(D2332)=DAY($L$1+1),1,B2331+1)</f>
        <v/>
      </c>
      <c r="C2332" s="46">
        <f>IF(DAY(D2332)=DAY($L$1+1),1,C2331+1)</f>
        <v/>
      </c>
      <c r="D2332" s="2">
        <f>D2331+1</f>
        <v/>
      </c>
      <c r="E2332" s="8">
        <f>IF(DAY(D2332)=DAY($L$1+1),TRUNC((N2331),8),E2331)</f>
        <v/>
      </c>
      <c r="F2332" s="49">
        <f>TRUNC(((1+VLOOKUP(A2332,IPCA!$A$2:$C$140,3,0)))^(C2332/(EDATE(D2332-C2332,1)-(D2332-C2332))),8)</f>
        <v/>
      </c>
      <c r="G2332" s="49">
        <f>TRUNC((E2332*F2332),8)</f>
        <v/>
      </c>
      <c r="H2332" s="49">
        <f>ROUND(((1+$H$4)^(30/360))^(C2332/(EDATE(D2332-B2332,1)-(D2332-B2332))),9)</f>
        <v/>
      </c>
      <c r="I2332" s="49">
        <f>TRUNC((G2332*H2332-G2332),8)</f>
        <v/>
      </c>
      <c r="J2332" s="49">
        <f>G2332+I2332</f>
        <v/>
      </c>
      <c r="K2332" s="256" t="inlineStr">
        <is>
          <t>Cri Integralizado</t>
        </is>
      </c>
      <c r="L2332" s="270">
        <f>L2301</f>
        <v/>
      </c>
      <c r="M2332" s="256" t="n"/>
      <c r="N2332" s="256" t="n"/>
      <c r="O2332" s="256" t="n"/>
      <c r="P2332" s="256" t="n"/>
      <c r="Q2332" s="256" t="n"/>
    </row>
    <row r="2333">
      <c r="A2333">
        <f>IF(DAY(D2333)=DAY($L$1+1),A2332+1,A2332)</f>
        <v/>
      </c>
      <c r="B2333" s="46">
        <f>IF(DAY(D2333)=DAY($L$1+1),1,B2332+1)</f>
        <v/>
      </c>
      <c r="C2333" s="46">
        <f>IF(DAY(D2333)=DAY($L$1+1),1,C2332+1)</f>
        <v/>
      </c>
      <c r="D2333" s="47">
        <f>D2332+1</f>
        <v/>
      </c>
      <c r="E2333" s="8">
        <f>IF(DAY(D2333)=DAY($L$1+1),TRUNC((N2332),8),E2332)</f>
        <v/>
      </c>
      <c r="F2333" s="49">
        <f>TRUNC(((1+VLOOKUP(A2333,IPCA!$A$2:$C$140,3,0)))^(C2333/(EDATE(D2333-C2333,1)-(D2333-C2333))),8)</f>
        <v/>
      </c>
      <c r="G2333" s="49">
        <f>TRUNC((E2333*F2333),8)</f>
        <v/>
      </c>
      <c r="H2333" s="49">
        <f>ROUND(((1+$H$4)^(30/360))^(C2333/(EDATE(D2333-B2333,1)-(D2333-B2333))),9)</f>
        <v/>
      </c>
      <c r="I2333" s="49">
        <f>TRUNC((G2333*H2333-G2333),8)</f>
        <v/>
      </c>
      <c r="J2333" s="49">
        <f>G2333+I2333</f>
        <v/>
      </c>
      <c r="K2333" s="137" t="inlineStr">
        <is>
          <t>JUROS</t>
        </is>
      </c>
      <c r="L2333" s="118" t="inlineStr">
        <is>
          <t>AMORTIZAÇÃO</t>
        </is>
      </c>
      <c r="M2333" s="118" t="inlineStr">
        <is>
          <t>AMEX</t>
        </is>
      </c>
      <c r="N2333" s="118" t="inlineStr">
        <is>
          <t>RESIDUAL</t>
        </is>
      </c>
      <c r="O2333" s="256" t="n"/>
      <c r="P2333" s="256" t="n"/>
      <c r="Q2333" s="256" t="n"/>
    </row>
    <row r="2334">
      <c r="A2334">
        <f>IF(DAY(D2334)=DAY($L$1+1),A2333+1,A2333)</f>
        <v/>
      </c>
      <c r="B2334" s="111">
        <f>IF(DAY(D2334)=DAY($L$1+1),1,B2333+1)</f>
        <v/>
      </c>
      <c r="C2334" s="111">
        <f>IF(DAY(D2334)=DAY($L$1+1),1,C2333+1)</f>
        <v/>
      </c>
      <c r="D2334" s="112">
        <f>D2333+1</f>
        <v/>
      </c>
      <c r="E2334" s="113">
        <f>IF(DAY(D2334)=DAY($L$1+1),TRUNC((N2333),8),E2333)</f>
        <v/>
      </c>
      <c r="F2334" s="114">
        <f>TRUNC(((1+VLOOKUP(A2334,IPCA!$A$2:$C$140,3,0)))^(C2334/(EDATE(D2334-C2334,1)-(D2334-C2334))),8)</f>
        <v/>
      </c>
      <c r="G2334" s="114">
        <f>TRUNC((E2334*F2334),8)</f>
        <v/>
      </c>
      <c r="H2334" s="114">
        <f>ROUND(((1+$H$4)^(30/360))^(C2334/(EDATE(D2334-B2334,1)-(D2334-B2334))),9)</f>
        <v/>
      </c>
      <c r="I2334" s="114">
        <f>TRUNC((G2334*H2334-G2334),8)</f>
        <v/>
      </c>
      <c r="J2334" s="114">
        <f>G2334+I2334</f>
        <v/>
      </c>
      <c r="K2334" s="119">
        <f>I2334</f>
        <v/>
      </c>
      <c r="L2334" s="120">
        <f>TRUNC(G2334*VLOOKUP(D2334,'Amort TS'!$G$3:$H$140,2,0),8)</f>
        <v/>
      </c>
      <c r="M2334" s="120" t="n">
        <v>0</v>
      </c>
      <c r="N2334" s="120">
        <f>J2334-K2334-L2334-M2334</f>
        <v/>
      </c>
      <c r="O2334" s="256" t="n"/>
      <c r="P2334" s="256" t="n"/>
      <c r="Q2334" s="256" t="n"/>
    </row>
    <row r="2335">
      <c r="A2335">
        <f>IF(DAY(D2335)=DAY($L$1+1),A2334+1,A2334)</f>
        <v/>
      </c>
      <c r="B2335" s="46">
        <f>IF(DAY(D2335)=DAY($L$1+1),1,B2334+1)</f>
        <v/>
      </c>
      <c r="C2335" s="46">
        <f>IF(DAY(D2335)=DAY($L$1+1),1,C2334+1)</f>
        <v/>
      </c>
      <c r="D2335" s="2">
        <f>D2334+1</f>
        <v/>
      </c>
      <c r="E2335" s="8">
        <f>IF(DAY(D2335)=DAY($L$1+1),TRUNC((N2334),8),E2334)</f>
        <v/>
      </c>
      <c r="F2335" s="49">
        <f>TRUNC(((1+VLOOKUP(A2335,IPCA!$A$2:$C$140,3,0)))^(C2335/(EDATE(D2335-C2335,1)-(D2335-C2335))),8)</f>
        <v/>
      </c>
      <c r="G2335" s="49">
        <f>TRUNC((E2335*F2335),8)</f>
        <v/>
      </c>
      <c r="H2335" s="49">
        <f>ROUND(((1+$H$4)^(30/360))^(C2335/(EDATE(D2335-B2335,1)-(D2335-B2335))),9)</f>
        <v/>
      </c>
      <c r="I2335" s="49">
        <f>TRUNC((G2335*H2335-G2335),8)</f>
        <v/>
      </c>
      <c r="J2335" s="49">
        <f>G2335+I2335</f>
        <v/>
      </c>
      <c r="K2335" s="121">
        <f>K2334*L2332</f>
        <v/>
      </c>
      <c r="L2335" s="121">
        <f>L2334*L2332</f>
        <v/>
      </c>
      <c r="M2335" s="121">
        <f>M2334*L2332</f>
        <v/>
      </c>
      <c r="N2335" s="121">
        <f>N2334*L2332</f>
        <v/>
      </c>
      <c r="O2335" s="256" t="n"/>
      <c r="P2335" s="256" t="n"/>
      <c r="Q2335" s="256" t="n"/>
    </row>
    <row r="2336">
      <c r="A2336">
        <f>IF(DAY(D2336)=DAY($L$1+1),A2335+1,A2335)</f>
        <v/>
      </c>
      <c r="B2336" s="46">
        <f>IF(DAY(D2336)=DAY($L$1+1),1,B2335+1)</f>
        <v/>
      </c>
      <c r="C2336" s="46">
        <f>IF(DAY(D2336)=DAY($L$1+1),1,C2335+1)</f>
        <v/>
      </c>
      <c r="D2336" s="47">
        <f>D2335+1</f>
        <v/>
      </c>
      <c r="E2336" s="8">
        <f>IF(DAY(D2336)=DAY($L$1+1),TRUNC((N2335),8),E2335)</f>
        <v/>
      </c>
      <c r="F2336" s="49">
        <f>TRUNC(((1+VLOOKUP(A2336,IPCA!$A$2:$C$140,3,0)))^(C2336/(EDATE(D2336-C2336,1)-(D2336-C2336))),8)</f>
        <v/>
      </c>
      <c r="G2336" s="49">
        <f>TRUNC((E2336*F2336),8)</f>
        <v/>
      </c>
      <c r="H2336" s="49">
        <f>ROUND(((1+$H$4)^(30/360))^(C2336/(EDATE(D2336-B2336,1)-(D2336-B2336))),9)</f>
        <v/>
      </c>
      <c r="I2336" s="49">
        <f>TRUNC((G2336*H2336-G2336),8)</f>
        <v/>
      </c>
      <c r="J2336" s="49">
        <f>G2336+I2336</f>
        <v/>
      </c>
      <c r="K2336" s="256" t="n"/>
      <c r="L2336" s="256" t="n"/>
      <c r="M2336" s="256" t="n"/>
      <c r="N2336" s="256" t="n"/>
      <c r="O2336" s="256" t="n"/>
      <c r="P2336" s="256" t="n"/>
      <c r="Q2336" s="256" t="n"/>
    </row>
    <row r="2337">
      <c r="A2337">
        <f>IF(DAY(D2337)=DAY($L$1+1),A2336+1,A2336)</f>
        <v/>
      </c>
      <c r="B2337" s="1">
        <f>IF(DAY(D2337)=DAY($L$1+1),1,B2336+1)</f>
        <v/>
      </c>
      <c r="C2337" s="1">
        <f>IF(DAY(D2337)=DAY($L$1+1),1,C2336+1)</f>
        <v/>
      </c>
      <c r="D2337" s="2">
        <f>D2336+1</f>
        <v/>
      </c>
      <c r="E2337" s="8">
        <f>IF(DAY(D2337)=DAY($L$1+1),TRUNC((#REF!),8),E2336)</f>
        <v/>
      </c>
      <c r="F2337" s="49">
        <f>TRUNC(((1+VLOOKUP(A2337,IPCA!$A$2:$C$140,3,0)))^(C2337/(EDATE(D2337-C2337,1)-(D2337-C2337))),8)</f>
        <v/>
      </c>
      <c r="G2337" s="44">
        <f>TRUNC((E2337*F2337),8)</f>
        <v/>
      </c>
      <c r="H2337" s="44">
        <f>ROUND(((1+$H$4)^(30/360))^(C2337/(EDATE(D2337-B2337,1)-(D2337-B2337))),9)</f>
        <v/>
      </c>
      <c r="I2337" s="44">
        <f>TRUNC((G2337*H2337-G2337),8)</f>
        <v/>
      </c>
      <c r="J2337" s="49">
        <f>G2337+I2337</f>
        <v/>
      </c>
      <c r="K2337" s="256" t="n"/>
      <c r="L2337" s="256" t="n"/>
      <c r="M2337" s="256" t="n"/>
      <c r="N2337" s="256" t="n"/>
      <c r="O2337" s="256" t="n"/>
      <c r="P2337" s="256" t="n"/>
      <c r="Q2337" s="256" t="n"/>
    </row>
    <row r="2338">
      <c r="A2338">
        <f>IF(DAY(D2338)=DAY($L$1+1),A2337+1,A2337)</f>
        <v/>
      </c>
      <c r="B2338" s="46">
        <f>IF(DAY(D2338)=DAY($L$1+1),1,B2337+1)</f>
        <v/>
      </c>
      <c r="C2338" s="46">
        <f>IF(DAY(D2338)=DAY($L$1+1),1,C2337+1)</f>
        <v/>
      </c>
      <c r="D2338" s="2">
        <f>D2337+1</f>
        <v/>
      </c>
      <c r="E2338" s="8">
        <f>IF(DAY(D2338)=DAY($L$1+1),TRUNC((#REF!),8),E2337)</f>
        <v/>
      </c>
      <c r="F2338" s="49">
        <f>TRUNC(((1+VLOOKUP(A2338,IPCA!$A$2:$C$140,3,0)))^(C2338/(EDATE(D2338-C2338,1)-(D2338-C2338))),8)</f>
        <v/>
      </c>
      <c r="G2338" s="44">
        <f>TRUNC((E2338*F2338),8)</f>
        <v/>
      </c>
      <c r="H2338" s="44">
        <f>ROUND(((1+$H$4)^(30/360))^(C2338/(EDATE(D2338-B2338,1)-(D2338-B2338))),9)</f>
        <v/>
      </c>
      <c r="I2338" s="44">
        <f>TRUNC((G2338*H2338-G2338),8)</f>
        <v/>
      </c>
      <c r="J2338" s="49">
        <f>G2338+I2338</f>
        <v/>
      </c>
      <c r="K2338" s="256" t="n"/>
      <c r="L2338" s="256" t="n"/>
      <c r="M2338" s="256" t="n"/>
      <c r="N2338" s="256" t="n"/>
      <c r="O2338" s="256" t="n"/>
      <c r="P2338" s="256" t="n"/>
      <c r="Q2338" s="256" t="n"/>
    </row>
    <row r="2339">
      <c r="A2339">
        <f>IF(DAY(D2339)=DAY($L$1+1),A2338+1,A2338)</f>
        <v/>
      </c>
      <c r="B2339" s="1">
        <f>IF(DAY(D2339)=DAY($L$1+1),1,B2338+1)</f>
        <v/>
      </c>
      <c r="C2339" s="1">
        <f>IF(DAY(D2339)=DAY($L$1+1),1,C2338+1)</f>
        <v/>
      </c>
      <c r="D2339" s="2">
        <f>D2338+1</f>
        <v/>
      </c>
      <c r="E2339" s="8">
        <f>IF(DAY(D2339)=DAY($L$1+1),TRUNC((#REF!),8),E2338)</f>
        <v/>
      </c>
      <c r="F2339" s="49">
        <f>TRUNC(((1+VLOOKUP(A2339,IPCA!$A$2:$C$140,3,0)))^(C2339/(EDATE(D2339-C2339,1)-(D2339-C2339))),8)</f>
        <v/>
      </c>
      <c r="G2339" s="44">
        <f>TRUNC((E2339*F2339),8)</f>
        <v/>
      </c>
      <c r="H2339" s="44">
        <f>ROUND(((1+$H$4)^(30/360))^(C2339/(EDATE(D2339-B2339,1)-(D2339-B2339))),9)</f>
        <v/>
      </c>
      <c r="I2339" s="44">
        <f>TRUNC((G2339*H2339-G2339),8)</f>
        <v/>
      </c>
      <c r="J2339" s="49">
        <f>G2339+I2339</f>
        <v/>
      </c>
      <c r="K2339" s="256" t="n"/>
      <c r="L2339" s="256" t="n"/>
      <c r="M2339" s="256" t="n"/>
      <c r="N2339" s="256" t="n"/>
      <c r="O2339" s="256" t="n"/>
      <c r="P2339" s="256" t="n"/>
      <c r="Q2339" s="256" t="n"/>
    </row>
    <row r="2340">
      <c r="A2340">
        <f>IF(DAY(D2340)=DAY($L$1+1),A2339+1,A2339)</f>
        <v/>
      </c>
      <c r="B2340" s="46">
        <f>IF(DAY(D2340)=DAY($L$1+1),1,B2339+1)</f>
        <v/>
      </c>
      <c r="C2340" s="46">
        <f>IF(DAY(D2340)=DAY($L$1+1),1,C2339+1)</f>
        <v/>
      </c>
      <c r="D2340" s="2">
        <f>D2339+1</f>
        <v/>
      </c>
      <c r="E2340" s="8">
        <f>IF(DAY(D2340)=DAY($L$1+1),TRUNC((#REF!),8),E2339)</f>
        <v/>
      </c>
      <c r="F2340" s="49">
        <f>TRUNC(((1+VLOOKUP(A2340,IPCA!$A$2:$C$140,3,0)))^(C2340/(EDATE(D2340-C2340,1)-(D2340-C2340))),8)</f>
        <v/>
      </c>
      <c r="G2340" s="44">
        <f>TRUNC((E2340*F2340),8)</f>
        <v/>
      </c>
      <c r="H2340" s="44">
        <f>ROUND(((1+$H$4)^(30/360))^(C2340/(EDATE(D2340-B2340,1)-(D2340-B2340))),9)</f>
        <v/>
      </c>
      <c r="I2340" s="44">
        <f>TRUNC((G2340*H2340-G2340),8)</f>
        <v/>
      </c>
      <c r="J2340" s="49">
        <f>G2340+I2340</f>
        <v/>
      </c>
      <c r="K2340" s="256" t="n"/>
      <c r="L2340" s="256" t="n"/>
      <c r="M2340" s="256" t="n"/>
      <c r="N2340" s="256" t="n"/>
      <c r="O2340" s="256" t="n"/>
      <c r="P2340" s="256" t="n"/>
      <c r="Q2340" s="256" t="n"/>
    </row>
    <row r="2341">
      <c r="A2341">
        <f>IF(DAY(D2341)=DAY($L$1+1),A2340+1,A2340)</f>
        <v/>
      </c>
      <c r="B2341" s="1">
        <f>IF(DAY(D2341)=DAY($L$1+1),1,B2340+1)</f>
        <v/>
      </c>
      <c r="C2341" s="1">
        <f>IF(DAY(D2341)=DAY($L$1+1),1,C2340+1)</f>
        <v/>
      </c>
      <c r="D2341" s="2">
        <f>D2340+1</f>
        <v/>
      </c>
      <c r="E2341" s="8">
        <f>IF(DAY(D2341)=DAY($L$1+1),TRUNC((#REF!),8),E2340)</f>
        <v/>
      </c>
      <c r="F2341" s="49">
        <f>TRUNC(((1+VLOOKUP(A2341,IPCA!$A$2:$C$140,3,0)))^(C2341/(EDATE(D2341-C2341,1)-(D2341-C2341))),8)</f>
        <v/>
      </c>
      <c r="G2341" s="44">
        <f>TRUNC((E2341*F2341),8)</f>
        <v/>
      </c>
      <c r="H2341" s="44">
        <f>ROUND(((1+$H$4)^(30/360))^(C2341/(EDATE(D2341-B2341,1)-(D2341-B2341))),9)</f>
        <v/>
      </c>
      <c r="I2341" s="44">
        <f>TRUNC((G2341*H2341-G2341),8)</f>
        <v/>
      </c>
      <c r="J2341" s="49">
        <f>G2341+I2341</f>
        <v/>
      </c>
      <c r="K2341" s="256" t="n"/>
      <c r="L2341" s="256" t="n"/>
      <c r="M2341" s="256" t="n"/>
      <c r="N2341" s="256" t="n"/>
      <c r="O2341" s="256" t="n"/>
      <c r="P2341" s="256" t="n"/>
      <c r="Q2341" s="256" t="n"/>
    </row>
    <row r="2342">
      <c r="A2342">
        <f>IF(DAY(D2342)=DAY($L$1+1),A2341+1,A2341)</f>
        <v/>
      </c>
      <c r="B2342" s="46">
        <f>IF(DAY(D2342)=DAY($L$1+1),1,B2341+1)</f>
        <v/>
      </c>
      <c r="C2342" s="46">
        <f>IF(DAY(D2342)=DAY($L$1+1),1,C2341+1)</f>
        <v/>
      </c>
      <c r="D2342" s="2">
        <f>D2341+1</f>
        <v/>
      </c>
      <c r="E2342" s="8">
        <f>IF(DAY(D2342)=DAY($L$1+1),TRUNC((#REF!),8),E2341)</f>
        <v/>
      </c>
      <c r="F2342" s="49">
        <f>TRUNC(((1+VLOOKUP(A2342,IPCA!$A$2:$C$140,3,0)))^(C2342/(EDATE(D2342-C2342,1)-(D2342-C2342))),8)</f>
        <v/>
      </c>
      <c r="G2342" s="44">
        <f>TRUNC((E2342*F2342),8)</f>
        <v/>
      </c>
      <c r="H2342" s="44">
        <f>ROUND(((1+$H$4)^(30/360))^(C2342/(EDATE(D2342-B2342,1)-(D2342-B2342))),9)</f>
        <v/>
      </c>
      <c r="I2342" s="44">
        <f>TRUNC((G2342*H2342-G2342),8)</f>
        <v/>
      </c>
      <c r="J2342" s="49">
        <f>G2342+I2342</f>
        <v/>
      </c>
      <c r="K2342" s="256" t="n"/>
      <c r="L2342" s="256" t="n"/>
      <c r="M2342" s="256" t="n"/>
      <c r="N2342" s="256" t="n"/>
      <c r="O2342" s="256" t="n"/>
      <c r="P2342" s="256" t="n"/>
      <c r="Q2342" s="256" t="n"/>
    </row>
    <row r="2343">
      <c r="A2343">
        <f>IF(DAY(D2343)=DAY($L$1+1),A2342+1,A2342)</f>
        <v/>
      </c>
      <c r="B2343" s="1">
        <f>IF(DAY(D2343)=DAY($L$1+1),1,B2342+1)</f>
        <v/>
      </c>
      <c r="C2343" s="1">
        <f>IF(DAY(D2343)=DAY($L$1+1),1,C2342+1)</f>
        <v/>
      </c>
      <c r="D2343" s="2">
        <f>D2342+1</f>
        <v/>
      </c>
      <c r="E2343" s="8">
        <f>IF(DAY(D2343)=DAY($L$1+1),TRUNC((#REF!),8),E2342)</f>
        <v/>
      </c>
      <c r="F2343" s="49">
        <f>TRUNC(((1+VLOOKUP(A2343,IPCA!$A$2:$C$140,3,0)))^(C2343/(EDATE(D2343-C2343,1)-(D2343-C2343))),8)</f>
        <v/>
      </c>
      <c r="G2343" s="44">
        <f>TRUNC((E2343*F2343),8)</f>
        <v/>
      </c>
      <c r="H2343" s="44">
        <f>ROUND(((1+$H$4)^(30/360))^(C2343/(EDATE(D2343-B2343,1)-(D2343-B2343))),9)</f>
        <v/>
      </c>
      <c r="I2343" s="44">
        <f>TRUNC((G2343*H2343-G2343),8)</f>
        <v/>
      </c>
      <c r="J2343" s="49">
        <f>G2343+I2343</f>
        <v/>
      </c>
      <c r="K2343" s="256" t="n"/>
      <c r="L2343" s="256" t="n"/>
      <c r="M2343" s="256" t="n"/>
      <c r="N2343" s="256" t="n"/>
      <c r="O2343" s="256" t="n"/>
      <c r="P2343" s="256" t="n"/>
      <c r="Q2343" s="256" t="n"/>
    </row>
    <row r="2344">
      <c r="A2344">
        <f>IF(DAY(D2344)=DAY($L$1+1),A2343+1,A2343)</f>
        <v/>
      </c>
      <c r="B2344" s="46">
        <f>IF(DAY(D2344)=DAY($L$1+1),1,B2343+1)</f>
        <v/>
      </c>
      <c r="C2344" s="46">
        <f>IF(DAY(D2344)=DAY($L$1+1),1,C2343+1)</f>
        <v/>
      </c>
      <c r="D2344" s="2">
        <f>D2343+1</f>
        <v/>
      </c>
      <c r="E2344" s="8">
        <f>IF(DAY(D2344)=DAY($L$1+1),TRUNC((#REF!),8),E2343)</f>
        <v/>
      </c>
      <c r="F2344" s="49">
        <f>TRUNC(((1+VLOOKUP(A2344,IPCA!$A$2:$C$140,3,0)))^(C2344/(EDATE(D2344-C2344,1)-(D2344-C2344))),8)</f>
        <v/>
      </c>
      <c r="G2344" s="44">
        <f>TRUNC((E2344*F2344),8)</f>
        <v/>
      </c>
      <c r="H2344" s="44">
        <f>ROUND(((1+$H$4)^(30/360))^(C2344/(EDATE(D2344-B2344,1)-(D2344-B2344))),9)</f>
        <v/>
      </c>
      <c r="I2344" s="44">
        <f>TRUNC((G2344*H2344-G2344),8)</f>
        <v/>
      </c>
      <c r="J2344" s="49">
        <f>G2344+I2344</f>
        <v/>
      </c>
      <c r="K2344" s="256" t="n"/>
      <c r="L2344" s="256" t="n"/>
      <c r="M2344" s="256" t="n"/>
      <c r="N2344" s="256" t="n"/>
      <c r="O2344" s="256" t="n"/>
      <c r="P2344" s="256" t="n"/>
      <c r="Q2344" s="256" t="n"/>
    </row>
    <row r="2345">
      <c r="A2345">
        <f>IF(DAY(D2345)=DAY($L$1+1),A2344+1,A2344)</f>
        <v/>
      </c>
      <c r="B2345" s="1">
        <f>IF(DAY(D2345)=DAY($L$1+1),1,B2344+1)</f>
        <v/>
      </c>
      <c r="C2345" s="1">
        <f>IF(DAY(D2345)=DAY($L$1+1),1,C2344+1)</f>
        <v/>
      </c>
      <c r="D2345" s="2">
        <f>D2344+1</f>
        <v/>
      </c>
      <c r="E2345" s="8">
        <f>IF(DAY(D2345)=DAY($L$1+1),TRUNC((#REF!),8),E2344)</f>
        <v/>
      </c>
      <c r="F2345" s="49">
        <f>TRUNC(((1+VLOOKUP(A2345,IPCA!$A$2:$C$140,3,0)))^(C2345/(EDATE(D2345-C2345,1)-(D2345-C2345))),8)</f>
        <v/>
      </c>
      <c r="G2345" s="44">
        <f>TRUNC((E2345*F2345),8)</f>
        <v/>
      </c>
      <c r="H2345" s="44">
        <f>ROUND(((1+$H$4)^(30/360))^(C2345/(EDATE(D2345-B2345,1)-(D2345-B2345))),9)</f>
        <v/>
      </c>
      <c r="I2345" s="44">
        <f>TRUNC((G2345*H2345-G2345),8)</f>
        <v/>
      </c>
      <c r="J2345" s="49">
        <f>G2345+I2345</f>
        <v/>
      </c>
      <c r="K2345" s="256" t="n"/>
      <c r="L2345" s="256" t="n"/>
      <c r="M2345" s="256" t="n"/>
      <c r="N2345" s="256" t="n"/>
      <c r="O2345" s="256" t="n"/>
      <c r="P2345" s="256" t="n"/>
      <c r="Q2345" s="256" t="n"/>
    </row>
    <row r="2346">
      <c r="A2346">
        <f>IF(DAY(D2346)=DAY($L$1+1),A2345+1,A2345)</f>
        <v/>
      </c>
      <c r="B2346" s="46">
        <f>IF(DAY(D2346)=DAY($L$1+1),1,B2345+1)</f>
        <v/>
      </c>
      <c r="C2346" s="46">
        <f>IF(DAY(D2346)=DAY($L$1+1),1,C2345+1)</f>
        <v/>
      </c>
      <c r="D2346" s="2">
        <f>D2345+1</f>
        <v/>
      </c>
      <c r="E2346" s="8">
        <f>IF(DAY(D2346)=DAY($L$1+1),TRUNC((#REF!),8),E2345)</f>
        <v/>
      </c>
      <c r="F2346" s="49">
        <f>TRUNC(((1+VLOOKUP(A2346,IPCA!$A$2:$C$140,3,0)))^(C2346/(EDATE(D2346-C2346,1)-(D2346-C2346))),8)</f>
        <v/>
      </c>
      <c r="G2346" s="44">
        <f>TRUNC((E2346*F2346),8)</f>
        <v/>
      </c>
      <c r="H2346" s="44">
        <f>ROUND(((1+$H$4)^(30/360))^(C2346/(EDATE(D2346-B2346,1)-(D2346-B2346))),9)</f>
        <v/>
      </c>
      <c r="I2346" s="44">
        <f>TRUNC((G2346*H2346-G2346),8)</f>
        <v/>
      </c>
      <c r="J2346" s="49">
        <f>G2346+I2346</f>
        <v/>
      </c>
      <c r="K2346" s="256" t="n"/>
      <c r="L2346" s="256" t="n"/>
      <c r="M2346" s="256" t="n"/>
      <c r="N2346" s="256" t="n"/>
      <c r="O2346" s="256" t="n"/>
      <c r="P2346" s="256" t="n"/>
      <c r="Q2346" s="256" t="n"/>
    </row>
    <row r="2347">
      <c r="A2347">
        <f>IF(DAY(D2347)=DAY($L$1+1),A2346+1,A2346)</f>
        <v/>
      </c>
      <c r="B2347" s="1">
        <f>IF(DAY(D2347)=DAY($L$1+1),1,B2346+1)</f>
        <v/>
      </c>
      <c r="C2347" s="1">
        <f>IF(DAY(D2347)=DAY($L$1+1),1,C2346+1)</f>
        <v/>
      </c>
      <c r="D2347" s="2">
        <f>D2346+1</f>
        <v/>
      </c>
      <c r="E2347" s="8">
        <f>IF(DAY(D2347)=DAY($L$1+1),TRUNC((#REF!),8),E2346)</f>
        <v/>
      </c>
      <c r="F2347" s="49">
        <f>TRUNC(((1+VLOOKUP(A2347,IPCA!$A$2:$C$140,3,0)))^(C2347/(EDATE(D2347-C2347,1)-(D2347-C2347))),8)</f>
        <v/>
      </c>
      <c r="G2347" s="44">
        <f>TRUNC((E2347*F2347),8)</f>
        <v/>
      </c>
      <c r="H2347" s="44">
        <f>ROUND(((1+$H$4)^(30/360))^(C2347/(EDATE(D2347-B2347,1)-(D2347-B2347))),9)</f>
        <v/>
      </c>
      <c r="I2347" s="44">
        <f>TRUNC((G2347*H2347-G2347),8)</f>
        <v/>
      </c>
      <c r="J2347" s="49">
        <f>G2347+I2347</f>
        <v/>
      </c>
      <c r="K2347" s="256" t="n"/>
      <c r="L2347" s="256" t="n"/>
      <c r="M2347" s="256" t="n"/>
      <c r="N2347" s="256" t="n"/>
      <c r="O2347" s="256" t="n"/>
      <c r="P2347" s="256" t="n"/>
      <c r="Q2347" s="256" t="n"/>
    </row>
    <row r="2348">
      <c r="A2348">
        <f>IF(DAY(D2348)=DAY($L$1+1),A2347+1,A2347)</f>
        <v/>
      </c>
      <c r="B2348" s="46">
        <f>IF(DAY(D2348)=DAY($L$1+1),1,B2347+1)</f>
        <v/>
      </c>
      <c r="C2348" s="46">
        <f>IF(DAY(D2348)=DAY($L$1+1),1,C2347+1)</f>
        <v/>
      </c>
      <c r="D2348" s="2">
        <f>D2347+1</f>
        <v/>
      </c>
      <c r="E2348" s="8">
        <f>IF(DAY(D2348)=DAY($L$1+1),TRUNC((#REF!),8),E2347)</f>
        <v/>
      </c>
      <c r="F2348" s="49">
        <f>TRUNC(((1+VLOOKUP(A2348,IPCA!$A$2:$C$140,3,0)))^(C2348/(EDATE(D2348-C2348,1)-(D2348-C2348))),8)</f>
        <v/>
      </c>
      <c r="G2348" s="44">
        <f>TRUNC((E2348*F2348),8)</f>
        <v/>
      </c>
      <c r="H2348" s="44">
        <f>ROUND(((1+$H$4)^(30/360))^(C2348/(EDATE(D2348-B2348,1)-(D2348-B2348))),9)</f>
        <v/>
      </c>
      <c r="I2348" s="44">
        <f>TRUNC((G2348*H2348-G2348),8)</f>
        <v/>
      </c>
      <c r="J2348" s="49">
        <f>G2348+I2348</f>
        <v/>
      </c>
      <c r="K2348" s="256" t="n"/>
      <c r="L2348" s="256" t="n"/>
      <c r="M2348" s="256" t="n"/>
      <c r="N2348" s="256" t="n"/>
      <c r="O2348" s="256" t="n"/>
      <c r="P2348" s="256" t="n"/>
      <c r="Q2348" s="256" t="n"/>
    </row>
    <row r="2349">
      <c r="A2349">
        <f>IF(DAY(D2349)=DAY($L$1+1),A2348+1,A2348)</f>
        <v/>
      </c>
      <c r="B2349" s="1">
        <f>IF(DAY(D2349)=DAY($L$1+1),1,B2348+1)</f>
        <v/>
      </c>
      <c r="C2349" s="1">
        <f>IF(DAY(D2349)=DAY($L$1+1),1,C2348+1)</f>
        <v/>
      </c>
      <c r="D2349" s="2">
        <f>D2348+1</f>
        <v/>
      </c>
      <c r="E2349" s="8">
        <f>IF(DAY(D2349)=DAY($L$1+1),TRUNC((#REF!),8),E2348)</f>
        <v/>
      </c>
      <c r="F2349" s="49">
        <f>TRUNC(((1+VLOOKUP(A2349,IPCA!$A$2:$C$140,3,0)))^(C2349/(EDATE(D2349-C2349,1)-(D2349-C2349))),8)</f>
        <v/>
      </c>
      <c r="G2349" s="44">
        <f>TRUNC((E2349*F2349),8)</f>
        <v/>
      </c>
      <c r="H2349" s="44">
        <f>ROUND(((1+$H$4)^(30/360))^(C2349/(EDATE(D2349-B2349,1)-(D2349-B2349))),9)</f>
        <v/>
      </c>
      <c r="I2349" s="44">
        <f>TRUNC((G2349*H2349-G2349),8)</f>
        <v/>
      </c>
      <c r="J2349" s="49">
        <f>G2349+I2349</f>
        <v/>
      </c>
      <c r="K2349" s="256" t="n"/>
      <c r="L2349" s="256" t="n"/>
      <c r="M2349" s="256" t="n"/>
      <c r="N2349" s="256" t="n"/>
      <c r="O2349" s="256" t="n"/>
      <c r="P2349" s="256" t="n"/>
      <c r="Q2349" s="256" t="n"/>
    </row>
    <row r="2350">
      <c r="A2350">
        <f>IF(DAY(D2350)=DAY($L$1+1),A2349+1,A2349)</f>
        <v/>
      </c>
      <c r="B2350" s="46">
        <f>IF(DAY(D2350)=DAY($L$1+1),1,B2349+1)</f>
        <v/>
      </c>
      <c r="C2350" s="46">
        <f>IF(DAY(D2350)=DAY($L$1+1),1,C2349+1)</f>
        <v/>
      </c>
      <c r="D2350" s="2">
        <f>D2349+1</f>
        <v/>
      </c>
      <c r="E2350" s="8">
        <f>IF(DAY(D2350)=DAY($L$1+1),TRUNC((#REF!),8),E2349)</f>
        <v/>
      </c>
      <c r="F2350" s="49">
        <f>TRUNC(((1+VLOOKUP(A2350,IPCA!$A$2:$C$140,3,0)))^(C2350/(EDATE(D2350-C2350,1)-(D2350-C2350))),8)</f>
        <v/>
      </c>
      <c r="G2350" s="44">
        <f>TRUNC((E2350*F2350),8)</f>
        <v/>
      </c>
      <c r="H2350" s="44">
        <f>ROUND(((1+$H$4)^(30/360))^(C2350/(EDATE(D2350-B2350,1)-(D2350-B2350))),9)</f>
        <v/>
      </c>
      <c r="I2350" s="44">
        <f>TRUNC((G2350*H2350-G2350),8)</f>
        <v/>
      </c>
      <c r="J2350" s="49">
        <f>G2350+I2350</f>
        <v/>
      </c>
      <c r="K2350" s="256" t="n"/>
      <c r="L2350" s="256" t="n"/>
      <c r="M2350" s="256" t="n"/>
      <c r="N2350" s="256" t="n"/>
      <c r="O2350" s="256" t="n"/>
      <c r="P2350" s="256" t="n"/>
      <c r="Q2350" s="256" t="n"/>
    </row>
    <row r="2351">
      <c r="A2351">
        <f>IF(DAY(D2351)=DAY($L$1+1),A2350+1,A2350)</f>
        <v/>
      </c>
      <c r="B2351" s="1">
        <f>IF(DAY(D2351)=DAY($L$1+1),1,B2350+1)</f>
        <v/>
      </c>
      <c r="C2351" s="1">
        <f>IF(DAY(D2351)=DAY($L$1+1),1,C2350+1)</f>
        <v/>
      </c>
      <c r="D2351" s="2">
        <f>D2350+1</f>
        <v/>
      </c>
      <c r="E2351" s="8">
        <f>IF(DAY(D2351)=DAY($L$1+1),TRUNC((#REF!),8),E2350)</f>
        <v/>
      </c>
      <c r="F2351" s="49">
        <f>TRUNC(((1+VLOOKUP(A2351,IPCA!$A$2:$C$140,3,0)))^(C2351/(EDATE(D2351-C2351,1)-(D2351-C2351))),8)</f>
        <v/>
      </c>
      <c r="G2351" s="44">
        <f>TRUNC((E2351*F2351),8)</f>
        <v/>
      </c>
      <c r="H2351" s="44">
        <f>ROUND(((1+$H$4)^(30/360))^(C2351/(EDATE(D2351-B2351,1)-(D2351-B2351))),9)</f>
        <v/>
      </c>
      <c r="I2351" s="44">
        <f>TRUNC((G2351*H2351-G2351),8)</f>
        <v/>
      </c>
      <c r="J2351" s="49">
        <f>G2351+I2351</f>
        <v/>
      </c>
      <c r="K2351" s="256" t="n"/>
      <c r="L2351" s="256" t="n"/>
      <c r="M2351" s="256" t="n"/>
      <c r="N2351" s="256" t="n"/>
      <c r="O2351" s="256" t="n"/>
      <c r="P2351" s="256" t="n"/>
      <c r="Q2351" s="256" t="n"/>
    </row>
    <row r="2352">
      <c r="A2352">
        <f>IF(DAY(D2352)=DAY($L$1+1),A2351+1,A2351)</f>
        <v/>
      </c>
      <c r="B2352" s="46">
        <f>IF(DAY(D2352)=DAY($L$1+1),1,B2351+1)</f>
        <v/>
      </c>
      <c r="C2352" s="46">
        <f>IF(DAY(D2352)=DAY($L$1+1),1,C2351+1)</f>
        <v/>
      </c>
      <c r="D2352" s="2">
        <f>D2351+1</f>
        <v/>
      </c>
      <c r="E2352" s="8">
        <f>IF(DAY(D2352)=DAY($L$1+1),TRUNC((N2351),8),E2351)</f>
        <v/>
      </c>
      <c r="F2352" s="49">
        <f>TRUNC(((1+VLOOKUP(A2352,IPCA!$A$2:$C$140,3,0)))^(C2352/(EDATE(D2352-C2352,1)-(D2352-C2352))),8)</f>
        <v/>
      </c>
      <c r="G2352" s="44">
        <f>TRUNC((E2352*F2352),8)</f>
        <v/>
      </c>
      <c r="H2352" s="44">
        <f>ROUND(((1+$H$4)^(30/360))^(C2352/(EDATE(D2352-B2352,1)-(D2352-B2352))),9)</f>
        <v/>
      </c>
      <c r="I2352" s="44">
        <f>TRUNC((G2352*H2352-G2352),8)</f>
        <v/>
      </c>
      <c r="J2352" s="49">
        <f>G2352+I2352</f>
        <v/>
      </c>
      <c r="K2352" s="256" t="n"/>
      <c r="L2352" s="256" t="n"/>
      <c r="M2352" s="256" t="n"/>
      <c r="N2352" s="256" t="n"/>
      <c r="O2352" s="256" t="n"/>
      <c r="P2352" s="256" t="n"/>
      <c r="Q2352" s="256" t="n"/>
    </row>
    <row r="2353">
      <c r="A2353">
        <f>IF(DAY(D2353)=DAY($L$1+1),A2352+1,A2352)</f>
        <v/>
      </c>
      <c r="B2353" s="1">
        <f>IF(DAY(D2353)=DAY($L$1+1),1,B2352+1)</f>
        <v/>
      </c>
      <c r="C2353" s="1">
        <f>IF(DAY(D2353)=DAY($L$1+1),1,C2352+1)</f>
        <v/>
      </c>
      <c r="D2353" s="2">
        <f>D2352+1</f>
        <v/>
      </c>
      <c r="E2353" s="8">
        <f>IF(DAY(D2353)=DAY($L$1+1),TRUNC((N2352),8),E2352)</f>
        <v/>
      </c>
      <c r="F2353" s="49">
        <f>TRUNC(((1+VLOOKUP(A2353,IPCA!$A$2:$C$140,3,0)))^(C2353/(EDATE(D2353-C2353,1)-(D2353-C2353))),8)</f>
        <v/>
      </c>
      <c r="G2353" s="44">
        <f>TRUNC((E2353*F2353),8)</f>
        <v/>
      </c>
      <c r="H2353" s="44">
        <f>ROUND(((1+$H$4)^(30/360))^(C2353/(EDATE(D2353-B2353,1)-(D2353-B2353))),9)</f>
        <v/>
      </c>
      <c r="I2353" s="44">
        <f>TRUNC((G2353*H2353-G2353),8)</f>
        <v/>
      </c>
      <c r="J2353" s="49">
        <f>G2353+I2353</f>
        <v/>
      </c>
      <c r="K2353" s="256" t="n"/>
      <c r="L2353" s="256" t="n"/>
      <c r="M2353" s="256" t="n"/>
      <c r="N2353" s="256" t="n"/>
      <c r="O2353" s="256" t="n"/>
      <c r="P2353" s="256" t="n"/>
      <c r="Q2353" s="256" t="n"/>
    </row>
    <row r="2354">
      <c r="A2354">
        <f>IF(DAY(D2354)=DAY($L$1+1),A2353+1,A2353)</f>
        <v/>
      </c>
      <c r="B2354" s="46">
        <f>IF(DAY(D2354)=DAY($L$1+1),1,B2353+1)</f>
        <v/>
      </c>
      <c r="C2354" s="46">
        <f>IF(DAY(D2354)=DAY($L$1+1),1,C2353+1)</f>
        <v/>
      </c>
      <c r="D2354" s="2">
        <f>D2353+1</f>
        <v/>
      </c>
      <c r="E2354" s="8">
        <f>IF(DAY(D2354)=DAY($L$1+1),TRUNC((N2353),8),E2353)</f>
        <v/>
      </c>
      <c r="F2354" s="49">
        <f>TRUNC(((1+VLOOKUP(A2354,IPCA!$A$2:$C$140,3,0)))^(C2354/(EDATE(D2354-C2354,1)-(D2354-C2354))),8)</f>
        <v/>
      </c>
      <c r="G2354" s="44">
        <f>TRUNC((E2354*F2354),8)</f>
        <v/>
      </c>
      <c r="H2354" s="44">
        <f>ROUND(((1+$H$4)^(30/360))^(C2354/(EDATE(D2354-B2354,1)-(D2354-B2354))),9)</f>
        <v/>
      </c>
      <c r="I2354" s="44">
        <f>TRUNC((G2354*H2354-G2354),8)</f>
        <v/>
      </c>
      <c r="J2354" s="49">
        <f>G2354+I2354</f>
        <v/>
      </c>
      <c r="K2354" s="256" t="n"/>
      <c r="L2354" s="256" t="n"/>
      <c r="M2354" s="256" t="n"/>
      <c r="N2354" s="256" t="n"/>
      <c r="O2354" s="256" t="n"/>
      <c r="P2354" s="256" t="n"/>
      <c r="Q2354" s="256" t="n"/>
    </row>
    <row r="2355">
      <c r="A2355">
        <f>IF(DAY(D2355)=DAY($L$1+1),A2354+1,A2354)</f>
        <v/>
      </c>
      <c r="B2355" s="1">
        <f>IF(DAY(D2355)=DAY($L$1+1),1,B2354+1)</f>
        <v/>
      </c>
      <c r="C2355" s="1">
        <f>IF(DAY(D2355)=DAY($L$1+1),1,C2354+1)</f>
        <v/>
      </c>
      <c r="D2355" s="2">
        <f>D2354+1</f>
        <v/>
      </c>
      <c r="E2355" s="8">
        <f>IF(DAY(D2355)=DAY($L$1+1),TRUNC((N2354),8),E2354)</f>
        <v/>
      </c>
      <c r="F2355" s="49">
        <f>TRUNC(((1+VLOOKUP(A2355,IPCA!$A$2:$C$140,3,0)))^(C2355/(EDATE(D2355-C2355,1)-(D2355-C2355))),8)</f>
        <v/>
      </c>
      <c r="G2355" s="44">
        <f>TRUNC((E2355*F2355),8)</f>
        <v/>
      </c>
      <c r="H2355" s="44">
        <f>ROUND(((1+$H$4)^(30/360))^(C2355/(EDATE(D2355-B2355,1)-(D2355-B2355))),9)</f>
        <v/>
      </c>
      <c r="I2355" s="44">
        <f>TRUNC((G2355*H2355-G2355),8)</f>
        <v/>
      </c>
      <c r="J2355" s="49">
        <f>G2355+I2355</f>
        <v/>
      </c>
      <c r="K2355" s="256" t="n"/>
      <c r="L2355" s="256" t="n"/>
      <c r="M2355" s="256" t="n"/>
      <c r="N2355" s="256" t="n"/>
      <c r="O2355" s="256" t="n"/>
      <c r="P2355" s="256" t="n"/>
      <c r="Q2355" s="256" t="n"/>
    </row>
    <row r="2356">
      <c r="A2356">
        <f>IF(DAY(D2356)=DAY($L$1+1),A2355+1,A2355)</f>
        <v/>
      </c>
      <c r="B2356" s="46">
        <f>IF(DAY(D2356)=DAY($L$1+1),1,B2355+1)</f>
        <v/>
      </c>
      <c r="C2356" s="46">
        <f>IF(DAY(D2356)=DAY($L$1+1),1,C2355+1)</f>
        <v/>
      </c>
      <c r="D2356" s="2">
        <f>D2355+1</f>
        <v/>
      </c>
      <c r="E2356" s="8">
        <f>IF(DAY(D2356)=DAY($L$1+1),TRUNC((N2355),8),E2355)</f>
        <v/>
      </c>
      <c r="F2356" s="49">
        <f>TRUNC(((1+VLOOKUP(A2356,IPCA!$A$2:$C$140,3,0)))^(C2356/(EDATE(D2356-C2356,1)-(D2356-C2356))),8)</f>
        <v/>
      </c>
      <c r="G2356" s="44">
        <f>TRUNC((E2356*F2356),8)</f>
        <v/>
      </c>
      <c r="H2356" s="44">
        <f>ROUND(((1+$H$4)^(30/360))^(C2356/(EDATE(D2356-B2356,1)-(D2356-B2356))),9)</f>
        <v/>
      </c>
      <c r="I2356" s="44">
        <f>TRUNC((G2356*H2356-G2356),8)</f>
        <v/>
      </c>
      <c r="J2356" s="49">
        <f>G2356+I2356</f>
        <v/>
      </c>
      <c r="K2356" s="256" t="n"/>
      <c r="L2356" s="256" t="n"/>
      <c r="M2356" s="256" t="n"/>
      <c r="N2356" s="256" t="n"/>
      <c r="O2356" s="256" t="n"/>
      <c r="P2356" s="256" t="n"/>
      <c r="Q2356" s="256" t="n"/>
    </row>
    <row r="2357">
      <c r="A2357">
        <f>IF(DAY(D2357)=DAY($L$1+1),A2356+1,A2356)</f>
        <v/>
      </c>
      <c r="B2357" s="1">
        <f>IF(DAY(D2357)=DAY($L$1+1),1,B2356+1)</f>
        <v/>
      </c>
      <c r="C2357" s="1">
        <f>IF(DAY(D2357)=DAY($L$1+1),1,C2356+1)</f>
        <v/>
      </c>
      <c r="D2357" s="2">
        <f>D2356+1</f>
        <v/>
      </c>
      <c r="E2357" s="8">
        <f>IF(DAY(D2357)=DAY($L$1+1),TRUNC((N2356),8),E2356)</f>
        <v/>
      </c>
      <c r="F2357" s="49">
        <f>TRUNC(((1+VLOOKUP(A2357,IPCA!$A$2:$C$140,3,0)))^(C2357/(EDATE(D2357-C2357,1)-(D2357-C2357))),8)</f>
        <v/>
      </c>
      <c r="G2357" s="44">
        <f>TRUNC((E2357*F2357),8)</f>
        <v/>
      </c>
      <c r="H2357" s="44">
        <f>ROUND(((1+$H$4)^(30/360))^(C2357/(EDATE(D2357-B2357,1)-(D2357-B2357))),9)</f>
        <v/>
      </c>
      <c r="I2357" s="44">
        <f>TRUNC((G2357*H2357-G2357),8)</f>
        <v/>
      </c>
      <c r="J2357" s="49">
        <f>G2357+I2357</f>
        <v/>
      </c>
      <c r="K2357" s="256" t="n"/>
      <c r="L2357" s="256" t="n"/>
      <c r="M2357" s="256" t="n"/>
      <c r="N2357" s="256" t="n"/>
      <c r="O2357" s="256" t="n"/>
      <c r="P2357" s="256" t="n"/>
      <c r="Q2357" s="256" t="n"/>
    </row>
    <row r="2358">
      <c r="A2358">
        <f>IF(DAY(D2358)=DAY($L$1+1),A2357+1,A2357)</f>
        <v/>
      </c>
      <c r="B2358" s="46">
        <f>IF(DAY(D2358)=DAY($L$1+1),1,B2357+1)</f>
        <v/>
      </c>
      <c r="C2358" s="46">
        <f>IF(DAY(D2358)=DAY($L$1+1),1,C2357+1)</f>
        <v/>
      </c>
      <c r="D2358" s="2">
        <f>D2357+1</f>
        <v/>
      </c>
      <c r="E2358" s="8">
        <f>IF(DAY(D2358)=DAY($L$1+1),TRUNC((N2357),8),E2357)</f>
        <v/>
      </c>
      <c r="F2358" s="49">
        <f>TRUNC(((1+VLOOKUP(A2358,IPCA!$A$2:$C$140,3,0)))^(C2358/(EDATE(D2358-C2358,1)-(D2358-C2358))),8)</f>
        <v/>
      </c>
      <c r="G2358" s="44">
        <f>TRUNC((E2358*F2358),8)</f>
        <v/>
      </c>
      <c r="H2358" s="44">
        <f>ROUND(((1+$H$4)^(30/360))^(C2358/(EDATE(D2358-B2358,1)-(D2358-B2358))),9)</f>
        <v/>
      </c>
      <c r="I2358" s="44">
        <f>TRUNC((G2358*H2358-G2358),8)</f>
        <v/>
      </c>
      <c r="J2358" s="49">
        <f>G2358+I2358</f>
        <v/>
      </c>
      <c r="K2358" s="256" t="n"/>
      <c r="L2358" s="256" t="n"/>
      <c r="M2358" s="256" t="n"/>
      <c r="N2358" s="256" t="n"/>
      <c r="O2358" s="256" t="n"/>
      <c r="P2358" s="256" t="n"/>
      <c r="Q2358" s="256" t="n"/>
    </row>
    <row r="2359">
      <c r="A2359">
        <f>IF(DAY(D2359)=DAY($L$1+1),A2358+1,A2358)</f>
        <v/>
      </c>
      <c r="B2359" s="1">
        <f>IF(DAY(D2359)=DAY($L$1+1),1,B2358+1)</f>
        <v/>
      </c>
      <c r="C2359" s="1">
        <f>IF(DAY(D2359)=DAY($L$1+1),1,C2358+1)</f>
        <v/>
      </c>
      <c r="D2359" s="2">
        <f>D2358+1</f>
        <v/>
      </c>
      <c r="E2359" s="8">
        <f>IF(DAY(D2359)=DAY($L$1+1),TRUNC((N2358),8),E2358)</f>
        <v/>
      </c>
      <c r="F2359" s="49">
        <f>TRUNC(((1+VLOOKUP(A2359,IPCA!$A$2:$C$140,3,0)))^(C2359/(EDATE(D2359-C2359,1)-(D2359-C2359))),8)</f>
        <v/>
      </c>
      <c r="G2359" s="44">
        <f>TRUNC((E2359*F2359),8)</f>
        <v/>
      </c>
      <c r="H2359" s="44">
        <f>ROUND(((1+$H$4)^(30/360))^(C2359/(EDATE(D2359-B2359,1)-(D2359-B2359))),9)</f>
        <v/>
      </c>
      <c r="I2359" s="44">
        <f>TRUNC((G2359*H2359-G2359),8)</f>
        <v/>
      </c>
      <c r="J2359" s="49">
        <f>G2359+I2359</f>
        <v/>
      </c>
      <c r="K2359" s="256" t="n"/>
      <c r="L2359" s="256" t="n"/>
      <c r="M2359" s="256" t="n"/>
      <c r="N2359" s="256" t="n"/>
      <c r="O2359" s="256" t="n"/>
      <c r="P2359" s="256" t="n"/>
      <c r="Q2359" s="256" t="n"/>
    </row>
    <row r="2360">
      <c r="A2360">
        <f>IF(DAY(D2360)=DAY($L$1+1),A2359+1,A2359)</f>
        <v/>
      </c>
      <c r="B2360" s="46">
        <f>IF(DAY(D2360)=DAY($L$1+1),1,B2359+1)</f>
        <v/>
      </c>
      <c r="C2360" s="46">
        <f>IF(DAY(D2360)=DAY($L$1+1),1,C2359+1)</f>
        <v/>
      </c>
      <c r="D2360" s="2">
        <f>D2359+1</f>
        <v/>
      </c>
      <c r="E2360" s="8">
        <f>IF(DAY(D2360)=DAY($L$1+1),TRUNC((N2359),8),E2359)</f>
        <v/>
      </c>
      <c r="F2360" s="49">
        <f>TRUNC(((1+VLOOKUP(A2360,IPCA!$A$2:$C$140,3,0)))^(C2360/(EDATE(D2360-C2360,1)-(D2360-C2360))),8)</f>
        <v/>
      </c>
      <c r="G2360" s="44">
        <f>TRUNC((E2360*F2360),8)</f>
        <v/>
      </c>
      <c r="H2360" s="44">
        <f>ROUND(((1+$H$4)^(30/360))^(C2360/(EDATE(D2360-B2360,1)-(D2360-B2360))),9)</f>
        <v/>
      </c>
      <c r="I2360" s="44">
        <f>TRUNC((G2360*H2360-G2360),8)</f>
        <v/>
      </c>
      <c r="J2360" s="49">
        <f>G2360+I2360</f>
        <v/>
      </c>
      <c r="K2360" s="256" t="n"/>
      <c r="L2360" s="256" t="n"/>
      <c r="M2360" s="256" t="n"/>
      <c r="N2360" s="256" t="n"/>
      <c r="O2360" s="256" t="n"/>
      <c r="P2360" s="256" t="n"/>
      <c r="Q2360" s="256" t="n"/>
    </row>
    <row r="2361">
      <c r="A2361">
        <f>IF(DAY(D2361)=DAY($L$1+1),A2360+1,A2360)</f>
        <v/>
      </c>
      <c r="B2361" s="1">
        <f>IF(DAY(D2361)=DAY($L$1+1),1,B2360+1)</f>
        <v/>
      </c>
      <c r="C2361" s="1">
        <f>IF(DAY(D2361)=DAY($L$1+1),1,C2360+1)</f>
        <v/>
      </c>
      <c r="D2361" s="2">
        <f>D2360+1</f>
        <v/>
      </c>
      <c r="E2361" s="8">
        <f>IF(DAY(D2361)=DAY($L$1+1),TRUNC((N2360),8),E2360)</f>
        <v/>
      </c>
      <c r="F2361" s="49">
        <f>TRUNC(((1+VLOOKUP(A2361,IPCA!$A$2:$C$140,3,0)))^(C2361/(EDATE(D2361-C2361,1)-(D2361-C2361))),8)</f>
        <v/>
      </c>
      <c r="G2361" s="44">
        <f>TRUNC((E2361*F2361),8)</f>
        <v/>
      </c>
      <c r="H2361" s="44">
        <f>ROUND(((1+$H$4)^(30/360))^(C2361/(EDATE(D2361-B2361,1)-(D2361-B2361))),9)</f>
        <v/>
      </c>
      <c r="I2361" s="44">
        <f>TRUNC((G2361*H2361-G2361),8)</f>
        <v/>
      </c>
      <c r="J2361" s="49">
        <f>G2361+I2361</f>
        <v/>
      </c>
      <c r="K2361" s="256" t="n"/>
      <c r="L2361" s="256" t="n"/>
      <c r="M2361" s="256" t="n"/>
      <c r="N2361" s="256" t="n"/>
      <c r="O2361" s="256" t="n"/>
      <c r="P2361" s="256" t="n"/>
      <c r="Q2361" s="256" t="n"/>
    </row>
    <row r="2362">
      <c r="A2362">
        <f>IF(DAY(D2362)=DAY($L$1+1),A2361+1,A2361)</f>
        <v/>
      </c>
      <c r="B2362" s="46">
        <f>IF(DAY(D2362)=DAY($L$1+1),1,B2361+1)</f>
        <v/>
      </c>
      <c r="C2362" s="46">
        <f>IF(DAY(D2362)=DAY($L$1+1),1,C2361+1)</f>
        <v/>
      </c>
      <c r="D2362" s="2">
        <f>D2361+1</f>
        <v/>
      </c>
      <c r="E2362" s="8">
        <f>IF(DAY(D2362)=DAY($L$1+1),TRUNC((N2361),8),E2361)</f>
        <v/>
      </c>
      <c r="F2362" s="49">
        <f>TRUNC(((1+VLOOKUP(A2362,IPCA!$A$2:$C$140,3,0)))^(C2362/(EDATE(D2362-C2362,1)-(D2362-C2362))),8)</f>
        <v/>
      </c>
      <c r="G2362" s="49">
        <f>TRUNC((E2362*F2362),8)</f>
        <v/>
      </c>
      <c r="H2362" s="49">
        <f>ROUND(((1+$H$4)^(30/360))^(C2362/(EDATE(D2362-B2362,1)-(D2362-B2362))),9)</f>
        <v/>
      </c>
      <c r="I2362" s="49">
        <f>TRUNC((G2362*H2362-G2362),8)</f>
        <v/>
      </c>
      <c r="J2362" s="49">
        <f>G2362+I2362</f>
        <v/>
      </c>
      <c r="K2362" s="256" t="inlineStr">
        <is>
          <t>Cri Integralizado</t>
        </is>
      </c>
      <c r="L2362" s="270">
        <f>L2332</f>
        <v/>
      </c>
      <c r="M2362" s="256" t="n"/>
      <c r="N2362" s="256" t="n"/>
      <c r="O2362" s="256" t="n"/>
      <c r="P2362" s="256" t="n"/>
      <c r="Q2362" s="256" t="n"/>
    </row>
    <row r="2363">
      <c r="A2363">
        <f>IF(DAY(D2363)=DAY($L$1+1),A2362+1,A2362)</f>
        <v/>
      </c>
      <c r="B2363" s="46">
        <f>IF(DAY(D2363)=DAY($L$1+1),1,B2362+1)</f>
        <v/>
      </c>
      <c r="C2363" s="46">
        <f>IF(DAY(D2363)=DAY($L$1+1),1,C2362+1)</f>
        <v/>
      </c>
      <c r="D2363" s="47">
        <f>D2362+1</f>
        <v/>
      </c>
      <c r="E2363" s="8">
        <f>IF(DAY(D2363)=DAY($L$1+1),TRUNC((N2362),8),E2362)</f>
        <v/>
      </c>
      <c r="F2363" s="49">
        <f>TRUNC(((1+VLOOKUP(A2363,IPCA!$A$2:$C$140,3,0)))^(C2363/(EDATE(D2363-C2363,1)-(D2363-C2363))),8)</f>
        <v/>
      </c>
      <c r="G2363" s="49">
        <f>TRUNC((E2363*F2363),8)</f>
        <v/>
      </c>
      <c r="H2363" s="49">
        <f>ROUND(((1+$H$4)^(30/360))^(C2363/(EDATE(D2363-B2363,1)-(D2363-B2363))),9)</f>
        <v/>
      </c>
      <c r="I2363" s="49">
        <f>TRUNC((G2363*H2363-G2363),8)</f>
        <v/>
      </c>
      <c r="J2363" s="49">
        <f>G2363+I2363</f>
        <v/>
      </c>
      <c r="K2363" s="137" t="inlineStr">
        <is>
          <t>JUROS</t>
        </is>
      </c>
      <c r="L2363" s="118" t="inlineStr">
        <is>
          <t>AMORTIZAÇÃO</t>
        </is>
      </c>
      <c r="M2363" s="118" t="inlineStr">
        <is>
          <t>AMEX</t>
        </is>
      </c>
      <c r="N2363" s="118" t="inlineStr">
        <is>
          <t>RESIDUAL</t>
        </is>
      </c>
      <c r="O2363" s="256" t="n"/>
      <c r="P2363" s="256" t="n"/>
      <c r="Q2363" s="256" t="n"/>
    </row>
    <row r="2364">
      <c r="A2364">
        <f>IF(DAY(D2364)=DAY($L$1+1),A2363+1,A2363)</f>
        <v/>
      </c>
      <c r="B2364" s="111">
        <f>IF(DAY(D2364)=DAY($L$1+1),1,B2363+1)</f>
        <v/>
      </c>
      <c r="C2364" s="111">
        <f>IF(DAY(D2364)=DAY($L$1+1),1,C2363+1)</f>
        <v/>
      </c>
      <c r="D2364" s="112">
        <f>D2363+1</f>
        <v/>
      </c>
      <c r="E2364" s="113">
        <f>IF(DAY(D2364)=DAY($L$1+1),TRUNC((N2363),8),E2363)</f>
        <v/>
      </c>
      <c r="F2364" s="114">
        <f>TRUNC(((1+VLOOKUP(A2364,IPCA!$A$2:$C$140,3,0)))^(C2364/(EDATE(D2364-C2364,1)-(D2364-C2364))),8)</f>
        <v/>
      </c>
      <c r="G2364" s="114">
        <f>TRUNC((E2364*F2364),8)</f>
        <v/>
      </c>
      <c r="H2364" s="114">
        <f>ROUND(((1+$H$4)^(30/360))^(C2364/(EDATE(D2364-B2364,1)-(D2364-B2364))),9)</f>
        <v/>
      </c>
      <c r="I2364" s="114">
        <f>TRUNC((G2364*H2364-G2364),8)</f>
        <v/>
      </c>
      <c r="J2364" s="114">
        <f>G2364+I2364</f>
        <v/>
      </c>
      <c r="K2364" s="119">
        <f>I2364</f>
        <v/>
      </c>
      <c r="L2364" s="120">
        <f>TRUNC(G2364*VLOOKUP(D2364,'Amort TS'!$G$3:$H$140,2,0),8)</f>
        <v/>
      </c>
      <c r="M2364" s="120" t="n">
        <v>0</v>
      </c>
      <c r="N2364" s="120">
        <f>J2364-K2364-L2364-M2364</f>
        <v/>
      </c>
      <c r="O2364" s="256" t="n"/>
      <c r="P2364" s="256" t="n"/>
      <c r="Q2364" s="256" t="n"/>
    </row>
    <row r="2365">
      <c r="A2365">
        <f>IF(DAY(D2365)=DAY($L$1+1),A2364+1,A2364)</f>
        <v/>
      </c>
      <c r="B2365" s="46">
        <f>IF(DAY(D2365)=DAY($L$1+1),1,B2364+1)</f>
        <v/>
      </c>
      <c r="C2365" s="46">
        <f>IF(DAY(D2365)=DAY($L$1+1),1,C2364+1)</f>
        <v/>
      </c>
      <c r="D2365" s="2">
        <f>D2364+1</f>
        <v/>
      </c>
      <c r="E2365" s="8">
        <f>IF(DAY(D2365)=DAY($L$1+1),TRUNC((N2364),8),E2364)</f>
        <v/>
      </c>
      <c r="F2365" s="49">
        <f>TRUNC(((1+VLOOKUP(A2365,IPCA!$A$2:$C$140,3,0)))^(C2365/(EDATE(D2365-C2365,1)-(D2365-C2365))),8)</f>
        <v/>
      </c>
      <c r="G2365" s="49">
        <f>TRUNC((E2365*F2365),8)</f>
        <v/>
      </c>
      <c r="H2365" s="49">
        <f>ROUND(((1+$H$4)^(30/360))^(C2365/(EDATE(D2365-B2365,1)-(D2365-B2365))),9)</f>
        <v/>
      </c>
      <c r="I2365" s="49">
        <f>TRUNC((G2365*H2365-G2365),8)</f>
        <v/>
      </c>
      <c r="J2365" s="49">
        <f>G2365+I2365</f>
        <v/>
      </c>
      <c r="K2365" s="121">
        <f>K2364*L2362</f>
        <v/>
      </c>
      <c r="L2365" s="121">
        <f>L2364*L2362</f>
        <v/>
      </c>
      <c r="M2365" s="121">
        <f>M2364*L2362</f>
        <v/>
      </c>
      <c r="N2365" s="121">
        <f>N2364*L2362</f>
        <v/>
      </c>
      <c r="O2365" s="256" t="n"/>
      <c r="P2365" s="256" t="n"/>
      <c r="Q2365" s="256" t="n"/>
    </row>
    <row r="2366">
      <c r="A2366">
        <f>IF(DAY(D2366)=DAY($L$1+1),A2365+1,A2365)</f>
        <v/>
      </c>
      <c r="B2366" s="46">
        <f>IF(DAY(D2366)=DAY($L$1+1),1,B2365+1)</f>
        <v/>
      </c>
      <c r="C2366" s="46">
        <f>IF(DAY(D2366)=DAY($L$1+1),1,C2365+1)</f>
        <v/>
      </c>
      <c r="D2366" s="47">
        <f>D2365+1</f>
        <v/>
      </c>
      <c r="E2366" s="8">
        <f>IF(DAY(D2366)=DAY($L$1+1),TRUNC((N2365),8),E2365)</f>
        <v/>
      </c>
      <c r="F2366" s="49">
        <f>TRUNC(((1+VLOOKUP(A2366,IPCA!$A$2:$C$140,3,0)))^(C2366/(EDATE(D2366-C2366,1)-(D2366-C2366))),8)</f>
        <v/>
      </c>
      <c r="G2366" s="49">
        <f>TRUNC((E2366*F2366),8)</f>
        <v/>
      </c>
      <c r="H2366" s="49">
        <f>ROUND(((1+$H$4)^(30/360))^(C2366/(EDATE(D2366-B2366,1)-(D2366-B2366))),9)</f>
        <v/>
      </c>
      <c r="I2366" s="49">
        <f>TRUNC((G2366*H2366-G2366),8)</f>
        <v/>
      </c>
      <c r="J2366" s="49">
        <f>G2366+I2366</f>
        <v/>
      </c>
      <c r="K2366" s="256" t="n"/>
      <c r="L2366" s="256" t="n"/>
      <c r="M2366" s="256" t="n"/>
      <c r="N2366" s="256" t="n"/>
      <c r="O2366" s="256" t="n"/>
      <c r="P2366" s="256" t="n"/>
      <c r="Q2366" s="256" t="n"/>
    </row>
    <row r="2367">
      <c r="A2367">
        <f>IF(DAY(D2367)=DAY($L$1+1),A2366+1,A2366)</f>
        <v/>
      </c>
      <c r="B2367" s="1">
        <f>IF(DAY(D2367)=DAY($L$1+1),1,B2366+1)</f>
        <v/>
      </c>
      <c r="C2367" s="1">
        <f>IF(DAY(D2367)=DAY($L$1+1),1,C2366+1)</f>
        <v/>
      </c>
      <c r="D2367" s="2">
        <f>D2366+1</f>
        <v/>
      </c>
      <c r="E2367" s="8">
        <f>IF(DAY(D2367)=DAY($L$1+1),TRUNC((#REF!),8),E2366)</f>
        <v/>
      </c>
      <c r="F2367" s="49">
        <f>TRUNC(((1+VLOOKUP(A2367,IPCA!$A$2:$C$140,3,0)))^(C2367/(EDATE(D2367-C2367,1)-(D2367-C2367))),8)</f>
        <v/>
      </c>
      <c r="G2367" s="44">
        <f>TRUNC((E2367*F2367),8)</f>
        <v/>
      </c>
      <c r="H2367" s="44">
        <f>ROUND(((1+$H$4)^(30/360))^(C2367/(EDATE(D2367-B2367,1)-(D2367-B2367))),9)</f>
        <v/>
      </c>
      <c r="I2367" s="44">
        <f>TRUNC((G2367*H2367-G2367),8)</f>
        <v/>
      </c>
      <c r="J2367" s="49">
        <f>G2367+I2367</f>
        <v/>
      </c>
      <c r="K2367" s="256" t="n"/>
      <c r="L2367" s="256" t="n"/>
      <c r="M2367" s="256" t="n"/>
      <c r="N2367" s="256" t="n"/>
      <c r="O2367" s="256" t="n"/>
      <c r="P2367" s="256" t="n"/>
      <c r="Q2367" s="256" t="n"/>
    </row>
    <row r="2368">
      <c r="A2368">
        <f>IF(DAY(D2368)=DAY($L$1+1),A2367+1,A2367)</f>
        <v/>
      </c>
      <c r="B2368" s="46">
        <f>IF(DAY(D2368)=DAY($L$1+1),1,B2367+1)</f>
        <v/>
      </c>
      <c r="C2368" s="46">
        <f>IF(DAY(D2368)=DAY($L$1+1),1,C2367+1)</f>
        <v/>
      </c>
      <c r="D2368" s="2">
        <f>D2367+1</f>
        <v/>
      </c>
      <c r="E2368" s="8">
        <f>IF(DAY(D2368)=DAY($L$1+1),TRUNC((#REF!),8),E2367)</f>
        <v/>
      </c>
      <c r="F2368" s="49">
        <f>TRUNC(((1+VLOOKUP(A2368,IPCA!$A$2:$C$140,3,0)))^(C2368/(EDATE(D2368-C2368,1)-(D2368-C2368))),8)</f>
        <v/>
      </c>
      <c r="G2368" s="44">
        <f>TRUNC((E2368*F2368),8)</f>
        <v/>
      </c>
      <c r="H2368" s="44">
        <f>ROUND(((1+$H$4)^(30/360))^(C2368/(EDATE(D2368-B2368,1)-(D2368-B2368))),9)</f>
        <v/>
      </c>
      <c r="I2368" s="44">
        <f>TRUNC((G2368*H2368-G2368),8)</f>
        <v/>
      </c>
      <c r="J2368" s="49">
        <f>G2368+I2368</f>
        <v/>
      </c>
      <c r="K2368" s="256" t="n"/>
      <c r="L2368" s="256" t="n"/>
      <c r="M2368" s="256" t="n"/>
      <c r="N2368" s="256" t="n"/>
      <c r="O2368" s="256" t="n"/>
      <c r="P2368" s="256" t="n"/>
      <c r="Q2368" s="256" t="n"/>
    </row>
    <row r="2369">
      <c r="A2369">
        <f>IF(DAY(D2369)=DAY($L$1+1),A2368+1,A2368)</f>
        <v/>
      </c>
      <c r="B2369" s="1">
        <f>IF(DAY(D2369)=DAY($L$1+1),1,B2368+1)</f>
        <v/>
      </c>
      <c r="C2369" s="1">
        <f>IF(DAY(D2369)=DAY($L$1+1),1,C2368+1)</f>
        <v/>
      </c>
      <c r="D2369" s="2">
        <f>D2368+1</f>
        <v/>
      </c>
      <c r="E2369" s="8">
        <f>IF(DAY(D2369)=DAY($L$1+1),TRUNC((#REF!),8),E2368)</f>
        <v/>
      </c>
      <c r="F2369" s="49">
        <f>TRUNC(((1+VLOOKUP(A2369,IPCA!$A$2:$C$140,3,0)))^(C2369/(EDATE(D2369-C2369,1)-(D2369-C2369))),8)</f>
        <v/>
      </c>
      <c r="G2369" s="44">
        <f>TRUNC((E2369*F2369),8)</f>
        <v/>
      </c>
      <c r="H2369" s="44">
        <f>ROUND(((1+$H$4)^(30/360))^(C2369/(EDATE(D2369-B2369,1)-(D2369-B2369))),9)</f>
        <v/>
      </c>
      <c r="I2369" s="44">
        <f>TRUNC((G2369*H2369-G2369),8)</f>
        <v/>
      </c>
      <c r="J2369" s="49">
        <f>G2369+I2369</f>
        <v/>
      </c>
      <c r="K2369" s="256" t="n"/>
      <c r="L2369" s="256" t="n"/>
      <c r="M2369" s="256" t="n"/>
      <c r="N2369" s="256" t="n"/>
      <c r="O2369" s="256" t="n"/>
      <c r="P2369" s="256" t="n"/>
      <c r="Q2369" s="256" t="n"/>
    </row>
    <row r="2370">
      <c r="A2370">
        <f>IF(DAY(D2370)=DAY($L$1+1),A2369+1,A2369)</f>
        <v/>
      </c>
      <c r="B2370" s="46">
        <f>IF(DAY(D2370)=DAY($L$1+1),1,B2369+1)</f>
        <v/>
      </c>
      <c r="C2370" s="46">
        <f>IF(DAY(D2370)=DAY($L$1+1),1,C2369+1)</f>
        <v/>
      </c>
      <c r="D2370" s="2">
        <f>D2369+1</f>
        <v/>
      </c>
      <c r="E2370" s="8">
        <f>IF(DAY(D2370)=DAY($L$1+1),TRUNC((#REF!),8),E2369)</f>
        <v/>
      </c>
      <c r="F2370" s="49">
        <f>TRUNC(((1+VLOOKUP(A2370,IPCA!$A$2:$C$140,3,0)))^(C2370/(EDATE(D2370-C2370,1)-(D2370-C2370))),8)</f>
        <v/>
      </c>
      <c r="G2370" s="44">
        <f>TRUNC((E2370*F2370),8)</f>
        <v/>
      </c>
      <c r="H2370" s="44">
        <f>ROUND(((1+$H$4)^(30/360))^(C2370/(EDATE(D2370-B2370,1)-(D2370-B2370))),9)</f>
        <v/>
      </c>
      <c r="I2370" s="44">
        <f>TRUNC((G2370*H2370-G2370),8)</f>
        <v/>
      </c>
      <c r="J2370" s="49">
        <f>G2370+I2370</f>
        <v/>
      </c>
      <c r="K2370" s="256" t="n"/>
      <c r="L2370" s="256" t="n"/>
      <c r="M2370" s="256" t="n"/>
      <c r="N2370" s="256" t="n"/>
      <c r="O2370" s="256" t="n"/>
      <c r="P2370" s="256" t="n"/>
      <c r="Q2370" s="256" t="n"/>
    </row>
    <row r="2371">
      <c r="A2371">
        <f>IF(DAY(D2371)=DAY($L$1+1),A2370+1,A2370)</f>
        <v/>
      </c>
      <c r="B2371" s="1">
        <f>IF(DAY(D2371)=DAY($L$1+1),1,B2370+1)</f>
        <v/>
      </c>
      <c r="C2371" s="1">
        <f>IF(DAY(D2371)=DAY($L$1+1),1,C2370+1)</f>
        <v/>
      </c>
      <c r="D2371" s="2">
        <f>D2370+1</f>
        <v/>
      </c>
      <c r="E2371" s="8">
        <f>IF(DAY(D2371)=DAY($L$1+1),TRUNC((#REF!),8),E2370)</f>
        <v/>
      </c>
      <c r="F2371" s="49">
        <f>TRUNC(((1+VLOOKUP(A2371,IPCA!$A$2:$C$140,3,0)))^(C2371/(EDATE(D2371-C2371,1)-(D2371-C2371))),8)</f>
        <v/>
      </c>
      <c r="G2371" s="44">
        <f>TRUNC((E2371*F2371),8)</f>
        <v/>
      </c>
      <c r="H2371" s="44">
        <f>ROUND(((1+$H$4)^(30/360))^(C2371/(EDATE(D2371-B2371,1)-(D2371-B2371))),9)</f>
        <v/>
      </c>
      <c r="I2371" s="44">
        <f>TRUNC((G2371*H2371-G2371),8)</f>
        <v/>
      </c>
      <c r="J2371" s="49">
        <f>G2371+I2371</f>
        <v/>
      </c>
      <c r="K2371" s="256" t="n"/>
      <c r="L2371" s="256" t="n"/>
      <c r="M2371" s="256" t="n"/>
      <c r="N2371" s="256" t="n"/>
      <c r="O2371" s="256" t="n"/>
      <c r="P2371" s="256" t="n"/>
      <c r="Q2371" s="256" t="n"/>
    </row>
    <row r="2372">
      <c r="A2372">
        <f>IF(DAY(D2372)=DAY($L$1+1),A2371+1,A2371)</f>
        <v/>
      </c>
      <c r="B2372" s="46">
        <f>IF(DAY(D2372)=DAY($L$1+1),1,B2371+1)</f>
        <v/>
      </c>
      <c r="C2372" s="46">
        <f>IF(DAY(D2372)=DAY($L$1+1),1,C2371+1)</f>
        <v/>
      </c>
      <c r="D2372" s="2">
        <f>D2371+1</f>
        <v/>
      </c>
      <c r="E2372" s="8">
        <f>IF(DAY(D2372)=DAY($L$1+1),TRUNC((#REF!),8),E2371)</f>
        <v/>
      </c>
      <c r="F2372" s="49">
        <f>TRUNC(((1+VLOOKUP(A2372,IPCA!$A$2:$C$140,3,0)))^(C2372/(EDATE(D2372-C2372,1)-(D2372-C2372))),8)</f>
        <v/>
      </c>
      <c r="G2372" s="44">
        <f>TRUNC((E2372*F2372),8)</f>
        <v/>
      </c>
      <c r="H2372" s="44">
        <f>ROUND(((1+$H$4)^(30/360))^(C2372/(EDATE(D2372-B2372,1)-(D2372-B2372))),9)</f>
        <v/>
      </c>
      <c r="I2372" s="44">
        <f>TRUNC((G2372*H2372-G2372),8)</f>
        <v/>
      </c>
      <c r="J2372" s="49">
        <f>G2372+I2372</f>
        <v/>
      </c>
      <c r="K2372" s="256" t="n"/>
      <c r="L2372" s="256" t="n"/>
      <c r="M2372" s="256" t="n"/>
      <c r="N2372" s="256" t="n"/>
      <c r="O2372" s="256" t="n"/>
      <c r="P2372" s="256" t="n"/>
      <c r="Q2372" s="256" t="n"/>
    </row>
    <row r="2373">
      <c r="A2373">
        <f>IF(DAY(D2373)=DAY($L$1+1),A2372+1,A2372)</f>
        <v/>
      </c>
      <c r="B2373" s="1">
        <f>IF(DAY(D2373)=DAY($L$1+1),1,B2372+1)</f>
        <v/>
      </c>
      <c r="C2373" s="1">
        <f>IF(DAY(D2373)=DAY($L$1+1),1,C2372+1)</f>
        <v/>
      </c>
      <c r="D2373" s="2">
        <f>D2372+1</f>
        <v/>
      </c>
      <c r="E2373" s="8">
        <f>IF(DAY(D2373)=DAY($L$1+1),TRUNC((#REF!),8),E2372)</f>
        <v/>
      </c>
      <c r="F2373" s="49">
        <f>TRUNC(((1+VLOOKUP(A2373,IPCA!$A$2:$C$140,3,0)))^(C2373/(EDATE(D2373-C2373,1)-(D2373-C2373))),8)</f>
        <v/>
      </c>
      <c r="G2373" s="44">
        <f>TRUNC((E2373*F2373),8)</f>
        <v/>
      </c>
      <c r="H2373" s="44">
        <f>ROUND(((1+$H$4)^(30/360))^(C2373/(EDATE(D2373-B2373,1)-(D2373-B2373))),9)</f>
        <v/>
      </c>
      <c r="I2373" s="44">
        <f>TRUNC((G2373*H2373-G2373),8)</f>
        <v/>
      </c>
      <c r="J2373" s="49">
        <f>G2373+I2373</f>
        <v/>
      </c>
      <c r="K2373" s="256" t="n"/>
      <c r="L2373" s="256" t="n"/>
      <c r="M2373" s="256" t="n"/>
      <c r="N2373" s="256" t="n"/>
      <c r="O2373" s="256" t="n"/>
      <c r="P2373" s="256" t="n"/>
      <c r="Q2373" s="256" t="n"/>
    </row>
    <row r="2374">
      <c r="A2374">
        <f>IF(DAY(D2374)=DAY($L$1+1),A2373+1,A2373)</f>
        <v/>
      </c>
      <c r="B2374" s="46">
        <f>IF(DAY(D2374)=DAY($L$1+1),1,B2373+1)</f>
        <v/>
      </c>
      <c r="C2374" s="46">
        <f>IF(DAY(D2374)=DAY($L$1+1),1,C2373+1)</f>
        <v/>
      </c>
      <c r="D2374" s="2">
        <f>D2373+1</f>
        <v/>
      </c>
      <c r="E2374" s="8">
        <f>IF(DAY(D2374)=DAY($L$1+1),TRUNC((#REF!),8),E2373)</f>
        <v/>
      </c>
      <c r="F2374" s="49">
        <f>TRUNC(((1+VLOOKUP(A2374,IPCA!$A$2:$C$140,3,0)))^(C2374/(EDATE(D2374-C2374,1)-(D2374-C2374))),8)</f>
        <v/>
      </c>
      <c r="G2374" s="44">
        <f>TRUNC((E2374*F2374),8)</f>
        <v/>
      </c>
      <c r="H2374" s="44">
        <f>ROUND(((1+$H$4)^(30/360))^(C2374/(EDATE(D2374-B2374,1)-(D2374-B2374))),9)</f>
        <v/>
      </c>
      <c r="I2374" s="44">
        <f>TRUNC((G2374*H2374-G2374),8)</f>
        <v/>
      </c>
      <c r="J2374" s="49">
        <f>G2374+I2374</f>
        <v/>
      </c>
      <c r="K2374" s="256" t="n"/>
      <c r="L2374" s="256" t="n"/>
      <c r="M2374" s="256" t="n"/>
      <c r="N2374" s="256" t="n"/>
      <c r="O2374" s="256" t="n"/>
      <c r="P2374" s="256" t="n"/>
      <c r="Q2374" s="256" t="n"/>
    </row>
    <row r="2375">
      <c r="A2375">
        <f>IF(DAY(D2375)=DAY($L$1+1),A2374+1,A2374)</f>
        <v/>
      </c>
      <c r="B2375" s="1">
        <f>IF(DAY(D2375)=DAY($L$1+1),1,B2374+1)</f>
        <v/>
      </c>
      <c r="C2375" s="1">
        <f>IF(DAY(D2375)=DAY($L$1+1),1,C2374+1)</f>
        <v/>
      </c>
      <c r="D2375" s="2">
        <f>D2374+1</f>
        <v/>
      </c>
      <c r="E2375" s="8">
        <f>IF(DAY(D2375)=DAY($L$1+1),TRUNC((#REF!),8),E2374)</f>
        <v/>
      </c>
      <c r="F2375" s="49">
        <f>TRUNC(((1+VLOOKUP(A2375,IPCA!$A$2:$C$140,3,0)))^(C2375/(EDATE(D2375-C2375,1)-(D2375-C2375))),8)</f>
        <v/>
      </c>
      <c r="G2375" s="44">
        <f>TRUNC((E2375*F2375),8)</f>
        <v/>
      </c>
      <c r="H2375" s="44">
        <f>ROUND(((1+$H$4)^(30/360))^(C2375/(EDATE(D2375-B2375,1)-(D2375-B2375))),9)</f>
        <v/>
      </c>
      <c r="I2375" s="44">
        <f>TRUNC((G2375*H2375-G2375),8)</f>
        <v/>
      </c>
      <c r="J2375" s="49">
        <f>G2375+I2375</f>
        <v/>
      </c>
      <c r="K2375" s="256" t="n"/>
      <c r="L2375" s="256" t="n"/>
      <c r="M2375" s="256" t="n"/>
      <c r="N2375" s="256" t="n"/>
      <c r="O2375" s="256" t="n"/>
      <c r="P2375" s="256" t="n"/>
      <c r="Q2375" s="256" t="n"/>
    </row>
    <row r="2376">
      <c r="A2376">
        <f>IF(DAY(D2376)=DAY($L$1+1),A2375+1,A2375)</f>
        <v/>
      </c>
      <c r="B2376" s="46">
        <f>IF(DAY(D2376)=DAY($L$1+1),1,B2375+1)</f>
        <v/>
      </c>
      <c r="C2376" s="46">
        <f>IF(DAY(D2376)=DAY($L$1+1),1,C2375+1)</f>
        <v/>
      </c>
      <c r="D2376" s="2">
        <f>D2375+1</f>
        <v/>
      </c>
      <c r="E2376" s="8">
        <f>IF(DAY(D2376)=DAY($L$1+1),TRUNC((#REF!),8),E2375)</f>
        <v/>
      </c>
      <c r="F2376" s="49">
        <f>TRUNC(((1+VLOOKUP(A2376,IPCA!$A$2:$C$140,3,0)))^(C2376/(EDATE(D2376-C2376,1)-(D2376-C2376))),8)</f>
        <v/>
      </c>
      <c r="G2376" s="44">
        <f>TRUNC((E2376*F2376),8)</f>
        <v/>
      </c>
      <c r="H2376" s="44">
        <f>ROUND(((1+$H$4)^(30/360))^(C2376/(EDATE(D2376-B2376,1)-(D2376-B2376))),9)</f>
        <v/>
      </c>
      <c r="I2376" s="44">
        <f>TRUNC((G2376*H2376-G2376),8)</f>
        <v/>
      </c>
      <c r="J2376" s="49">
        <f>G2376+I2376</f>
        <v/>
      </c>
      <c r="K2376" s="256" t="n"/>
      <c r="L2376" s="256" t="n"/>
      <c r="M2376" s="256" t="n"/>
      <c r="N2376" s="256" t="n"/>
      <c r="O2376" s="256" t="n"/>
      <c r="P2376" s="256" t="n"/>
      <c r="Q2376" s="256" t="n"/>
    </row>
    <row r="2377">
      <c r="A2377">
        <f>IF(DAY(D2377)=DAY($L$1+1),A2376+1,A2376)</f>
        <v/>
      </c>
      <c r="B2377" s="1">
        <f>IF(DAY(D2377)=DAY($L$1+1),1,B2376+1)</f>
        <v/>
      </c>
      <c r="C2377" s="1">
        <f>IF(DAY(D2377)=DAY($L$1+1),1,C2376+1)</f>
        <v/>
      </c>
      <c r="D2377" s="2">
        <f>D2376+1</f>
        <v/>
      </c>
      <c r="E2377" s="8">
        <f>IF(DAY(D2377)=DAY($L$1+1),TRUNC((#REF!),8),E2376)</f>
        <v/>
      </c>
      <c r="F2377" s="49">
        <f>TRUNC(((1+VLOOKUP(A2377,IPCA!$A$2:$C$140,3,0)))^(C2377/(EDATE(D2377-C2377,1)-(D2377-C2377))),8)</f>
        <v/>
      </c>
      <c r="G2377" s="44">
        <f>TRUNC((E2377*F2377),8)</f>
        <v/>
      </c>
      <c r="H2377" s="44">
        <f>ROUND(((1+$H$4)^(30/360))^(C2377/(EDATE(D2377-B2377,1)-(D2377-B2377))),9)</f>
        <v/>
      </c>
      <c r="I2377" s="44">
        <f>TRUNC((G2377*H2377-G2377),8)</f>
        <v/>
      </c>
      <c r="J2377" s="49">
        <f>G2377+I2377</f>
        <v/>
      </c>
      <c r="K2377" s="256" t="n"/>
      <c r="L2377" s="256" t="n"/>
      <c r="M2377" s="256" t="n"/>
      <c r="N2377" s="256" t="n"/>
      <c r="O2377" s="256" t="n"/>
      <c r="P2377" s="256" t="n"/>
      <c r="Q2377" s="256" t="n"/>
    </row>
    <row r="2378">
      <c r="A2378">
        <f>IF(DAY(D2378)=DAY($L$1+1),A2377+1,A2377)</f>
        <v/>
      </c>
      <c r="B2378" s="46">
        <f>IF(DAY(D2378)=DAY($L$1+1),1,B2377+1)</f>
        <v/>
      </c>
      <c r="C2378" s="46">
        <f>IF(DAY(D2378)=DAY($L$1+1),1,C2377+1)</f>
        <v/>
      </c>
      <c r="D2378" s="2">
        <f>D2377+1</f>
        <v/>
      </c>
      <c r="E2378" s="8">
        <f>IF(DAY(D2378)=DAY($L$1+1),TRUNC((N2377),8),E2377)</f>
        <v/>
      </c>
      <c r="F2378" s="49">
        <f>TRUNC(((1+VLOOKUP(A2378,IPCA!$A$2:$C$140,3,0)))^(C2378/(EDATE(D2378-C2378,1)-(D2378-C2378))),8)</f>
        <v/>
      </c>
      <c r="G2378" s="44">
        <f>TRUNC((E2378*F2378),8)</f>
        <v/>
      </c>
      <c r="H2378" s="44">
        <f>ROUND(((1+$H$4)^(30/360))^(C2378/(EDATE(D2378-B2378,1)-(D2378-B2378))),9)</f>
        <v/>
      </c>
      <c r="I2378" s="44">
        <f>TRUNC((G2378*H2378-G2378),8)</f>
        <v/>
      </c>
      <c r="J2378" s="49">
        <f>G2378+I2378</f>
        <v/>
      </c>
      <c r="K2378" s="256" t="n"/>
      <c r="L2378" s="256" t="n"/>
      <c r="M2378" s="256" t="n"/>
      <c r="N2378" s="256" t="n"/>
      <c r="O2378" s="256" t="n"/>
      <c r="P2378" s="256" t="n"/>
      <c r="Q2378" s="256" t="n"/>
    </row>
    <row r="2379">
      <c r="A2379">
        <f>IF(DAY(D2379)=DAY($L$1+1),A2378+1,A2378)</f>
        <v/>
      </c>
      <c r="B2379" s="1">
        <f>IF(DAY(D2379)=DAY($L$1+1),1,B2378+1)</f>
        <v/>
      </c>
      <c r="C2379" s="1">
        <f>IF(DAY(D2379)=DAY($L$1+1),1,C2378+1)</f>
        <v/>
      </c>
      <c r="D2379" s="2">
        <f>D2378+1</f>
        <v/>
      </c>
      <c r="E2379" s="8">
        <f>IF(DAY(D2379)=DAY($L$1+1),TRUNC((N2378),8),E2378)</f>
        <v/>
      </c>
      <c r="F2379" s="49">
        <f>TRUNC(((1+VLOOKUP(A2379,IPCA!$A$2:$C$140,3,0)))^(C2379/(EDATE(D2379-C2379,1)-(D2379-C2379))),8)</f>
        <v/>
      </c>
      <c r="G2379" s="44">
        <f>TRUNC((E2379*F2379),8)</f>
        <v/>
      </c>
      <c r="H2379" s="44">
        <f>ROUND(((1+$H$4)^(30/360))^(C2379/(EDATE(D2379-B2379,1)-(D2379-B2379))),9)</f>
        <v/>
      </c>
      <c r="I2379" s="44">
        <f>TRUNC((G2379*H2379-G2379),8)</f>
        <v/>
      </c>
      <c r="J2379" s="49">
        <f>G2379+I2379</f>
        <v/>
      </c>
      <c r="K2379" s="256" t="n"/>
      <c r="L2379" s="256" t="n"/>
      <c r="M2379" s="256" t="n"/>
      <c r="N2379" s="256" t="n"/>
      <c r="O2379" s="256" t="n"/>
      <c r="P2379" s="256" t="n"/>
      <c r="Q2379" s="256" t="n"/>
    </row>
    <row r="2380">
      <c r="A2380">
        <f>IF(DAY(D2380)=DAY($L$1+1),A2379+1,A2379)</f>
        <v/>
      </c>
      <c r="B2380" s="46">
        <f>IF(DAY(D2380)=DAY($L$1+1),1,B2379+1)</f>
        <v/>
      </c>
      <c r="C2380" s="46">
        <f>IF(DAY(D2380)=DAY($L$1+1),1,C2379+1)</f>
        <v/>
      </c>
      <c r="D2380" s="2">
        <f>D2379+1</f>
        <v/>
      </c>
      <c r="E2380" s="8">
        <f>IF(DAY(D2380)=DAY($L$1+1),TRUNC((N2379),8),E2379)</f>
        <v/>
      </c>
      <c r="F2380" s="49">
        <f>TRUNC(((1+VLOOKUP(A2380,IPCA!$A$2:$C$140,3,0)))^(C2380/(EDATE(D2380-C2380,1)-(D2380-C2380))),8)</f>
        <v/>
      </c>
      <c r="G2380" s="44">
        <f>TRUNC((E2380*F2380),8)</f>
        <v/>
      </c>
      <c r="H2380" s="44">
        <f>ROUND(((1+$H$4)^(30/360))^(C2380/(EDATE(D2380-B2380,1)-(D2380-B2380))),9)</f>
        <v/>
      </c>
      <c r="I2380" s="44">
        <f>TRUNC((G2380*H2380-G2380),8)</f>
        <v/>
      </c>
      <c r="J2380" s="49">
        <f>G2380+I2380</f>
        <v/>
      </c>
      <c r="K2380" s="256" t="n"/>
      <c r="L2380" s="256" t="n"/>
      <c r="M2380" s="256" t="n"/>
      <c r="N2380" s="256" t="n"/>
      <c r="O2380" s="256" t="n"/>
      <c r="P2380" s="256" t="n"/>
      <c r="Q2380" s="256" t="n"/>
    </row>
    <row r="2381">
      <c r="A2381">
        <f>IF(DAY(D2381)=DAY($L$1+1),A2380+1,A2380)</f>
        <v/>
      </c>
      <c r="B2381" s="1">
        <f>IF(DAY(D2381)=DAY($L$1+1),1,B2380+1)</f>
        <v/>
      </c>
      <c r="C2381" s="1">
        <f>IF(DAY(D2381)=DAY($L$1+1),1,C2380+1)</f>
        <v/>
      </c>
      <c r="D2381" s="2">
        <f>D2380+1</f>
        <v/>
      </c>
      <c r="E2381" s="8">
        <f>IF(DAY(D2381)=DAY($L$1+1),TRUNC((N2380),8),E2380)</f>
        <v/>
      </c>
      <c r="F2381" s="49">
        <f>TRUNC(((1+VLOOKUP(A2381,IPCA!$A$2:$C$140,3,0)))^(C2381/(EDATE(D2381-C2381,1)-(D2381-C2381))),8)</f>
        <v/>
      </c>
      <c r="G2381" s="44">
        <f>TRUNC((E2381*F2381),8)</f>
        <v/>
      </c>
      <c r="H2381" s="44">
        <f>ROUND(((1+$H$4)^(30/360))^(C2381/(EDATE(D2381-B2381,1)-(D2381-B2381))),9)</f>
        <v/>
      </c>
      <c r="I2381" s="44">
        <f>TRUNC((G2381*H2381-G2381),8)</f>
        <v/>
      </c>
      <c r="J2381" s="49">
        <f>G2381+I2381</f>
        <v/>
      </c>
      <c r="K2381" s="256" t="n"/>
      <c r="L2381" s="256" t="n"/>
      <c r="M2381" s="256" t="n"/>
      <c r="N2381" s="256" t="n"/>
      <c r="O2381" s="256" t="n"/>
      <c r="P2381" s="256" t="n"/>
      <c r="Q2381" s="256" t="n"/>
    </row>
    <row r="2382">
      <c r="A2382">
        <f>IF(DAY(D2382)=DAY($L$1+1),A2381+1,A2381)</f>
        <v/>
      </c>
      <c r="B2382" s="46">
        <f>IF(DAY(D2382)=DAY($L$1+1),1,B2381+1)</f>
        <v/>
      </c>
      <c r="C2382" s="46">
        <f>IF(DAY(D2382)=DAY($L$1+1),1,C2381+1)</f>
        <v/>
      </c>
      <c r="D2382" s="2">
        <f>D2381+1</f>
        <v/>
      </c>
      <c r="E2382" s="8">
        <f>IF(DAY(D2382)=DAY($L$1+1),TRUNC((N2381),8),E2381)</f>
        <v/>
      </c>
      <c r="F2382" s="49">
        <f>TRUNC(((1+VLOOKUP(A2382,IPCA!$A$2:$C$140,3,0)))^(C2382/(EDATE(D2382-C2382,1)-(D2382-C2382))),8)</f>
        <v/>
      </c>
      <c r="G2382" s="44">
        <f>TRUNC((E2382*F2382),8)</f>
        <v/>
      </c>
      <c r="H2382" s="44">
        <f>ROUND(((1+$H$4)^(30/360))^(C2382/(EDATE(D2382-B2382,1)-(D2382-B2382))),9)</f>
        <v/>
      </c>
      <c r="I2382" s="44">
        <f>TRUNC((G2382*H2382-G2382),8)</f>
        <v/>
      </c>
      <c r="J2382" s="49">
        <f>G2382+I2382</f>
        <v/>
      </c>
      <c r="K2382" s="256" t="n"/>
      <c r="L2382" s="256" t="n"/>
      <c r="M2382" s="256" t="n"/>
      <c r="N2382" s="256" t="n"/>
      <c r="O2382" s="256" t="n"/>
      <c r="P2382" s="256" t="n"/>
      <c r="Q2382" s="256" t="n"/>
    </row>
    <row r="2383">
      <c r="A2383">
        <f>IF(DAY(D2383)=DAY($L$1+1),A2382+1,A2382)</f>
        <v/>
      </c>
      <c r="B2383" s="1">
        <f>IF(DAY(D2383)=DAY($L$1+1),1,B2382+1)</f>
        <v/>
      </c>
      <c r="C2383" s="1">
        <f>IF(DAY(D2383)=DAY($L$1+1),1,C2382+1)</f>
        <v/>
      </c>
      <c r="D2383" s="2">
        <f>D2382+1</f>
        <v/>
      </c>
      <c r="E2383" s="8">
        <f>IF(DAY(D2383)=DAY($L$1+1),TRUNC((N2382),8),E2382)</f>
        <v/>
      </c>
      <c r="F2383" s="49">
        <f>TRUNC(((1+VLOOKUP(A2383,IPCA!$A$2:$C$140,3,0)))^(C2383/(EDATE(D2383-C2383,1)-(D2383-C2383))),8)</f>
        <v/>
      </c>
      <c r="G2383" s="44">
        <f>TRUNC((E2383*F2383),8)</f>
        <v/>
      </c>
      <c r="H2383" s="44">
        <f>ROUND(((1+$H$4)^(30/360))^(C2383/(EDATE(D2383-B2383,1)-(D2383-B2383))),9)</f>
        <v/>
      </c>
      <c r="I2383" s="44">
        <f>TRUNC((G2383*H2383-G2383),8)</f>
        <v/>
      </c>
      <c r="J2383" s="49">
        <f>G2383+I2383</f>
        <v/>
      </c>
      <c r="K2383" s="256" t="n"/>
      <c r="L2383" s="256" t="n"/>
      <c r="M2383" s="256" t="n"/>
      <c r="N2383" s="256" t="n"/>
      <c r="O2383" s="256" t="n"/>
      <c r="P2383" s="256" t="n"/>
      <c r="Q2383" s="256" t="n"/>
    </row>
    <row r="2384">
      <c r="A2384">
        <f>IF(DAY(D2384)=DAY($L$1+1),A2383+1,A2383)</f>
        <v/>
      </c>
      <c r="B2384" s="46">
        <f>IF(DAY(D2384)=DAY($L$1+1),1,B2383+1)</f>
        <v/>
      </c>
      <c r="C2384" s="46">
        <f>IF(DAY(D2384)=DAY($L$1+1),1,C2383+1)</f>
        <v/>
      </c>
      <c r="D2384" s="2">
        <f>D2383+1</f>
        <v/>
      </c>
      <c r="E2384" s="8">
        <f>IF(DAY(D2384)=DAY($L$1+1),TRUNC((N2383),8),E2383)</f>
        <v/>
      </c>
      <c r="F2384" s="49">
        <f>TRUNC(((1+VLOOKUP(A2384,IPCA!$A$2:$C$140,3,0)))^(C2384/(EDATE(D2384-C2384,1)-(D2384-C2384))),8)</f>
        <v/>
      </c>
      <c r="G2384" s="44">
        <f>TRUNC((E2384*F2384),8)</f>
        <v/>
      </c>
      <c r="H2384" s="44">
        <f>ROUND(((1+$H$4)^(30/360))^(C2384/(EDATE(D2384-B2384,1)-(D2384-B2384))),9)</f>
        <v/>
      </c>
      <c r="I2384" s="44">
        <f>TRUNC((G2384*H2384-G2384),8)</f>
        <v/>
      </c>
      <c r="J2384" s="49">
        <f>G2384+I2384</f>
        <v/>
      </c>
      <c r="K2384" s="256" t="n"/>
      <c r="L2384" s="256" t="n"/>
      <c r="M2384" s="256" t="n"/>
      <c r="N2384" s="256" t="n"/>
      <c r="O2384" s="256" t="n"/>
      <c r="P2384" s="256" t="n"/>
      <c r="Q2384" s="256" t="n"/>
    </row>
    <row r="2385">
      <c r="A2385">
        <f>IF(DAY(D2385)=DAY($L$1+1),A2384+1,A2384)</f>
        <v/>
      </c>
      <c r="B2385" s="1">
        <f>IF(DAY(D2385)=DAY($L$1+1),1,B2384+1)</f>
        <v/>
      </c>
      <c r="C2385" s="1">
        <f>IF(DAY(D2385)=DAY($L$1+1),1,C2384+1)</f>
        <v/>
      </c>
      <c r="D2385" s="2">
        <f>D2384+1</f>
        <v/>
      </c>
      <c r="E2385" s="8">
        <f>IF(DAY(D2385)=DAY($L$1+1),TRUNC((N2384),8),E2384)</f>
        <v/>
      </c>
      <c r="F2385" s="49">
        <f>TRUNC(((1+VLOOKUP(A2385,IPCA!$A$2:$C$140,3,0)))^(C2385/(EDATE(D2385-C2385,1)-(D2385-C2385))),8)</f>
        <v/>
      </c>
      <c r="G2385" s="44">
        <f>TRUNC((E2385*F2385),8)</f>
        <v/>
      </c>
      <c r="H2385" s="44">
        <f>ROUND(((1+$H$4)^(30/360))^(C2385/(EDATE(D2385-B2385,1)-(D2385-B2385))),9)</f>
        <v/>
      </c>
      <c r="I2385" s="44">
        <f>TRUNC((G2385*H2385-G2385),8)</f>
        <v/>
      </c>
      <c r="J2385" s="49">
        <f>G2385+I2385</f>
        <v/>
      </c>
      <c r="K2385" s="256" t="n"/>
      <c r="L2385" s="256" t="n"/>
      <c r="M2385" s="256" t="n"/>
      <c r="N2385" s="256" t="n"/>
      <c r="O2385" s="256" t="n"/>
      <c r="P2385" s="256" t="n"/>
      <c r="Q2385" s="256" t="n"/>
    </row>
    <row r="2386">
      <c r="A2386">
        <f>IF(DAY(D2386)=DAY($L$1+1),A2385+1,A2385)</f>
        <v/>
      </c>
      <c r="B2386" s="46">
        <f>IF(DAY(D2386)=DAY($L$1+1),1,B2385+1)</f>
        <v/>
      </c>
      <c r="C2386" s="46">
        <f>IF(DAY(D2386)=DAY($L$1+1),1,C2385+1)</f>
        <v/>
      </c>
      <c r="D2386" s="2">
        <f>D2385+1</f>
        <v/>
      </c>
      <c r="E2386" s="8">
        <f>IF(DAY(D2386)=DAY($L$1+1),TRUNC((N2385),8),E2385)</f>
        <v/>
      </c>
      <c r="F2386" s="49">
        <f>TRUNC(((1+VLOOKUP(A2386,IPCA!$A$2:$C$140,3,0)))^(C2386/(EDATE(D2386-C2386,1)-(D2386-C2386))),8)</f>
        <v/>
      </c>
      <c r="G2386" s="44">
        <f>TRUNC((E2386*F2386),8)</f>
        <v/>
      </c>
      <c r="H2386" s="44">
        <f>ROUND(((1+$H$4)^(30/360))^(C2386/(EDATE(D2386-B2386,1)-(D2386-B2386))),9)</f>
        <v/>
      </c>
      <c r="I2386" s="44">
        <f>TRUNC((G2386*H2386-G2386),8)</f>
        <v/>
      </c>
      <c r="J2386" s="49">
        <f>G2386+I2386</f>
        <v/>
      </c>
      <c r="K2386" s="256" t="n"/>
      <c r="L2386" s="256" t="n"/>
      <c r="M2386" s="256" t="n"/>
      <c r="N2386" s="256" t="n"/>
      <c r="O2386" s="256" t="n"/>
      <c r="P2386" s="256" t="n"/>
      <c r="Q2386" s="256" t="n"/>
    </row>
    <row r="2387">
      <c r="A2387">
        <f>IF(DAY(D2387)=DAY($L$1+1),A2386+1,A2386)</f>
        <v/>
      </c>
      <c r="B2387" s="1">
        <f>IF(DAY(D2387)=DAY($L$1+1),1,B2386+1)</f>
        <v/>
      </c>
      <c r="C2387" s="1">
        <f>IF(DAY(D2387)=DAY($L$1+1),1,C2386+1)</f>
        <v/>
      </c>
      <c r="D2387" s="2">
        <f>D2386+1</f>
        <v/>
      </c>
      <c r="E2387" s="8">
        <f>IF(DAY(D2387)=DAY($L$1+1),TRUNC((N2386),8),E2386)</f>
        <v/>
      </c>
      <c r="F2387" s="49">
        <f>TRUNC(((1+VLOOKUP(A2387,IPCA!$A$2:$C$140,3,0)))^(C2387/(EDATE(D2387-C2387,1)-(D2387-C2387))),8)</f>
        <v/>
      </c>
      <c r="G2387" s="44">
        <f>TRUNC((E2387*F2387),8)</f>
        <v/>
      </c>
      <c r="H2387" s="44">
        <f>ROUND(((1+$H$4)^(30/360))^(C2387/(EDATE(D2387-B2387,1)-(D2387-B2387))),9)</f>
        <v/>
      </c>
      <c r="I2387" s="44">
        <f>TRUNC((G2387*H2387-G2387),8)</f>
        <v/>
      </c>
      <c r="J2387" s="49">
        <f>G2387+I2387</f>
        <v/>
      </c>
      <c r="K2387" s="256" t="n"/>
      <c r="L2387" s="256" t="n"/>
      <c r="M2387" s="256" t="n"/>
      <c r="N2387" s="256" t="n"/>
      <c r="O2387" s="256" t="n"/>
      <c r="P2387" s="256" t="n"/>
      <c r="Q2387" s="256" t="n"/>
    </row>
    <row r="2388">
      <c r="A2388">
        <f>IF(DAY(D2388)=DAY($L$1+1),A2387+1,A2387)</f>
        <v/>
      </c>
      <c r="B2388" s="46">
        <f>IF(DAY(D2388)=DAY($L$1+1),1,B2387+1)</f>
        <v/>
      </c>
      <c r="C2388" s="46">
        <f>IF(DAY(D2388)=DAY($L$1+1),1,C2387+1)</f>
        <v/>
      </c>
      <c r="D2388" s="2">
        <f>D2387+1</f>
        <v/>
      </c>
      <c r="E2388" s="8">
        <f>IF(DAY(D2388)=DAY($L$1+1),TRUNC((N2387),8),E2387)</f>
        <v/>
      </c>
      <c r="F2388" s="49">
        <f>TRUNC(((1+VLOOKUP(A2388,IPCA!$A$2:$C$140,3,0)))^(C2388/(EDATE(D2388-C2388,1)-(D2388-C2388))),8)</f>
        <v/>
      </c>
      <c r="G2388" s="44">
        <f>TRUNC((E2388*F2388),8)</f>
        <v/>
      </c>
      <c r="H2388" s="44">
        <f>ROUND(((1+$H$4)^(30/360))^(C2388/(EDATE(D2388-B2388,1)-(D2388-B2388))),9)</f>
        <v/>
      </c>
      <c r="I2388" s="44">
        <f>TRUNC((G2388*H2388-G2388),8)</f>
        <v/>
      </c>
      <c r="J2388" s="49">
        <f>G2388+I2388</f>
        <v/>
      </c>
      <c r="K2388" s="256" t="n"/>
      <c r="L2388" s="256" t="n"/>
      <c r="M2388" s="256" t="n"/>
      <c r="N2388" s="256" t="n"/>
      <c r="O2388" s="256" t="n"/>
      <c r="P2388" s="256" t="n"/>
      <c r="Q2388" s="256" t="n"/>
    </row>
    <row r="2389">
      <c r="A2389">
        <f>IF(DAY(D2389)=DAY($L$1+1),A2388+1,A2388)</f>
        <v/>
      </c>
      <c r="B2389" s="1">
        <f>IF(DAY(D2389)=DAY($L$1+1),1,B2388+1)</f>
        <v/>
      </c>
      <c r="C2389" s="1">
        <f>IF(DAY(D2389)=DAY($L$1+1),1,C2388+1)</f>
        <v/>
      </c>
      <c r="D2389" s="2">
        <f>D2388+1</f>
        <v/>
      </c>
      <c r="E2389" s="8">
        <f>IF(DAY(D2389)=DAY($L$1+1),TRUNC((N2388),8),E2388)</f>
        <v/>
      </c>
      <c r="F2389" s="49">
        <f>TRUNC(((1+VLOOKUP(A2389,IPCA!$A$2:$C$140,3,0)))^(C2389/(EDATE(D2389-C2389,1)-(D2389-C2389))),8)</f>
        <v/>
      </c>
      <c r="G2389" s="44">
        <f>TRUNC((E2389*F2389),8)</f>
        <v/>
      </c>
      <c r="H2389" s="44">
        <f>ROUND(((1+$H$4)^(30/360))^(C2389/(EDATE(D2389-B2389,1)-(D2389-B2389))),9)</f>
        <v/>
      </c>
      <c r="I2389" s="44">
        <f>TRUNC((G2389*H2389-G2389),8)</f>
        <v/>
      </c>
      <c r="J2389" s="49">
        <f>G2389+I2389</f>
        <v/>
      </c>
      <c r="K2389" s="256" t="n"/>
      <c r="L2389" s="256" t="n"/>
      <c r="M2389" s="256" t="n"/>
      <c r="N2389" s="256" t="n"/>
      <c r="O2389" s="256" t="n"/>
      <c r="P2389" s="256" t="n"/>
      <c r="Q2389" s="256" t="n"/>
    </row>
    <row r="2390">
      <c r="A2390">
        <f>IF(DAY(D2390)=DAY($L$1+1),A2389+1,A2389)</f>
        <v/>
      </c>
      <c r="B2390" s="46">
        <f>IF(DAY(D2390)=DAY($L$1+1),1,B2389+1)</f>
        <v/>
      </c>
      <c r="C2390" s="46">
        <f>IF(DAY(D2390)=DAY($L$1+1),1,C2389+1)</f>
        <v/>
      </c>
      <c r="D2390" s="2">
        <f>D2389+1</f>
        <v/>
      </c>
      <c r="E2390" s="8">
        <f>IF(DAY(D2390)=DAY($L$1+1),TRUNC((N2389),8),E2389)</f>
        <v/>
      </c>
      <c r="F2390" s="49">
        <f>TRUNC(((1+VLOOKUP(A2390,IPCA!$A$2:$C$140,3,0)))^(C2390/(EDATE(D2390-C2390,1)-(D2390-C2390))),8)</f>
        <v/>
      </c>
      <c r="G2390" s="44">
        <f>TRUNC((E2390*F2390),8)</f>
        <v/>
      </c>
      <c r="H2390" s="44">
        <f>ROUND(((1+$H$4)^(30/360))^(C2390/(EDATE(D2390-B2390,1)-(D2390-B2390))),9)</f>
        <v/>
      </c>
      <c r="I2390" s="44">
        <f>TRUNC((G2390*H2390-G2390),8)</f>
        <v/>
      </c>
      <c r="J2390" s="49">
        <f>G2390+I2390</f>
        <v/>
      </c>
      <c r="K2390" s="256" t="n"/>
      <c r="L2390" s="256" t="n"/>
      <c r="M2390" s="256" t="n"/>
      <c r="N2390" s="256" t="n"/>
      <c r="O2390" s="256" t="n"/>
      <c r="P2390" s="256" t="n"/>
      <c r="Q2390" s="256" t="n"/>
    </row>
    <row r="2391">
      <c r="A2391">
        <f>IF(DAY(D2391)=DAY($L$1+1),A2390+1,A2390)</f>
        <v/>
      </c>
      <c r="B2391" s="1">
        <f>IF(DAY(D2391)=DAY($L$1+1),1,B2390+1)</f>
        <v/>
      </c>
      <c r="C2391" s="1">
        <f>IF(DAY(D2391)=DAY($L$1+1),1,C2390+1)</f>
        <v/>
      </c>
      <c r="D2391" s="2">
        <f>D2390+1</f>
        <v/>
      </c>
      <c r="E2391" s="8">
        <f>IF(DAY(D2391)=DAY($L$1+1),TRUNC((N2390),8),E2390)</f>
        <v/>
      </c>
      <c r="F2391" s="49">
        <f>TRUNC(((1+VLOOKUP(A2391,IPCA!$A$2:$C$140,3,0)))^(C2391/(EDATE(D2391-C2391,1)-(D2391-C2391))),8)</f>
        <v/>
      </c>
      <c r="G2391" s="44">
        <f>TRUNC((E2391*F2391),8)</f>
        <v/>
      </c>
      <c r="H2391" s="44">
        <f>ROUND(((1+$H$4)^(30/360))^(C2391/(EDATE(D2391-B2391,1)-(D2391-B2391))),9)</f>
        <v/>
      </c>
      <c r="I2391" s="44">
        <f>TRUNC((G2391*H2391-G2391),8)</f>
        <v/>
      </c>
      <c r="J2391" s="49">
        <f>G2391+I2391</f>
        <v/>
      </c>
      <c r="K2391" s="256" t="n"/>
      <c r="L2391" s="256" t="n"/>
      <c r="M2391" s="256" t="n"/>
      <c r="N2391" s="256" t="n"/>
      <c r="O2391" s="256" t="n"/>
      <c r="P2391" s="256" t="n"/>
      <c r="Q2391" s="256" t="n"/>
    </row>
    <row r="2392">
      <c r="A2392">
        <f>IF(DAY(D2392)=DAY($L$1+1),A2391+1,A2391)</f>
        <v/>
      </c>
      <c r="B2392" s="46">
        <f>IF(DAY(D2392)=DAY($L$1+1),1,B2391+1)</f>
        <v/>
      </c>
      <c r="C2392" s="46">
        <f>IF(DAY(D2392)=DAY($L$1+1),1,C2391+1)</f>
        <v/>
      </c>
      <c r="D2392" s="2">
        <f>D2391+1</f>
        <v/>
      </c>
      <c r="E2392" s="8">
        <f>IF(DAY(D2392)=DAY($L$1+1),TRUNC((N2391),8),E2391)</f>
        <v/>
      </c>
      <c r="F2392" s="49">
        <f>TRUNC(((1+VLOOKUP(A2392,IPCA!$A$2:$C$140,3,0)))^(C2392/(EDATE(D2392-C2392,1)-(D2392-C2392))),8)</f>
        <v/>
      </c>
      <c r="G2392" s="44">
        <f>TRUNC((E2392*F2392),8)</f>
        <v/>
      </c>
      <c r="H2392" s="44">
        <f>ROUND(((1+$H$4)^(30/360))^(C2392/(EDATE(D2392-B2392,1)-(D2392-B2392))),9)</f>
        <v/>
      </c>
      <c r="I2392" s="44">
        <f>TRUNC((G2392*H2392-G2392),8)</f>
        <v/>
      </c>
      <c r="J2392" s="49">
        <f>G2392+I2392</f>
        <v/>
      </c>
      <c r="K2392" s="256" t="n"/>
      <c r="L2392" s="256" t="n"/>
      <c r="M2392" s="256" t="n"/>
      <c r="N2392" s="256" t="n"/>
      <c r="O2392" s="256" t="n"/>
      <c r="P2392" s="256" t="n"/>
      <c r="Q2392" s="256" t="n"/>
    </row>
    <row r="2393">
      <c r="A2393">
        <f>IF(DAY(D2393)=DAY($L$1+1),A2392+1,A2392)</f>
        <v/>
      </c>
      <c r="B2393" s="46">
        <f>IF(DAY(D2393)=DAY($L$1+1),1,B2392+1)</f>
        <v/>
      </c>
      <c r="C2393" s="46">
        <f>IF(DAY(D2393)=DAY($L$1+1),1,C2392+1)</f>
        <v/>
      </c>
      <c r="D2393" s="2">
        <f>D2392+1</f>
        <v/>
      </c>
      <c r="E2393" s="8">
        <f>IF(DAY(D2393)=DAY($L$1+1),TRUNC((N2392),8),E2392)</f>
        <v/>
      </c>
      <c r="F2393" s="49">
        <f>TRUNC(((1+VLOOKUP(A2393,IPCA!$A$2:$C$140,3,0)))^(C2393/(EDATE(D2393-C2393,1)-(D2393-C2393))),8)</f>
        <v/>
      </c>
      <c r="G2393" s="49">
        <f>TRUNC((E2393*F2393),8)</f>
        <v/>
      </c>
      <c r="H2393" s="49">
        <f>ROUND(((1+$H$4)^(30/360))^(C2393/(EDATE(D2393-B2393,1)-(D2393-B2393))),9)</f>
        <v/>
      </c>
      <c r="I2393" s="49">
        <f>TRUNC((G2393*H2393-G2393),8)</f>
        <v/>
      </c>
      <c r="J2393" s="49">
        <f>G2393+I2393</f>
        <v/>
      </c>
      <c r="K2393" s="256" t="inlineStr">
        <is>
          <t>Cri Integralizado</t>
        </is>
      </c>
      <c r="L2393" s="270">
        <f>L2362</f>
        <v/>
      </c>
      <c r="M2393" s="256" t="n"/>
      <c r="N2393" s="256" t="n"/>
      <c r="O2393" s="256" t="n"/>
      <c r="P2393" s="256" t="n"/>
      <c r="Q2393" s="256" t="n"/>
    </row>
    <row r="2394">
      <c r="A2394">
        <f>IF(DAY(D2394)=DAY($L$1+1),A2393+1,A2393)</f>
        <v/>
      </c>
      <c r="B2394" s="46">
        <f>IF(DAY(D2394)=DAY($L$1+1),1,B2393+1)</f>
        <v/>
      </c>
      <c r="C2394" s="46">
        <f>IF(DAY(D2394)=DAY($L$1+1),1,C2393+1)</f>
        <v/>
      </c>
      <c r="D2394" s="47">
        <f>D2393+1</f>
        <v/>
      </c>
      <c r="E2394" s="8">
        <f>IF(DAY(D2394)=DAY($L$1+1),TRUNC((N2393),8),E2393)</f>
        <v/>
      </c>
      <c r="F2394" s="49">
        <f>TRUNC(((1+VLOOKUP(A2394,IPCA!$A$2:$C$140,3,0)))^(C2394/(EDATE(D2394-C2394,1)-(D2394-C2394))),8)</f>
        <v/>
      </c>
      <c r="G2394" s="49">
        <f>TRUNC((E2394*F2394),8)</f>
        <v/>
      </c>
      <c r="H2394" s="49">
        <f>ROUND(((1+$H$4)^(30/360))^(C2394/(EDATE(D2394-B2394,1)-(D2394-B2394))),9)</f>
        <v/>
      </c>
      <c r="I2394" s="49">
        <f>TRUNC((G2394*H2394-G2394),8)</f>
        <v/>
      </c>
      <c r="J2394" s="49">
        <f>G2394+I2394</f>
        <v/>
      </c>
      <c r="K2394" s="137" t="inlineStr">
        <is>
          <t>JUROS</t>
        </is>
      </c>
      <c r="L2394" s="118" t="inlineStr">
        <is>
          <t>AMORTIZAÇÃO</t>
        </is>
      </c>
      <c r="M2394" s="118" t="inlineStr">
        <is>
          <t>AMEX</t>
        </is>
      </c>
      <c r="N2394" s="118" t="inlineStr">
        <is>
          <t>RESIDUAL</t>
        </is>
      </c>
      <c r="O2394" s="256" t="n"/>
      <c r="P2394" s="256" t="n"/>
      <c r="Q2394" s="256" t="n"/>
    </row>
    <row r="2395">
      <c r="A2395">
        <f>IF(DAY(D2395)=DAY($L$1+1),A2394+1,A2394)</f>
        <v/>
      </c>
      <c r="B2395" s="111">
        <f>IF(DAY(D2395)=DAY($L$1+1),1,B2394+1)</f>
        <v/>
      </c>
      <c r="C2395" s="111">
        <f>IF(DAY(D2395)=DAY($L$1+1),1,C2394+1)</f>
        <v/>
      </c>
      <c r="D2395" s="112">
        <f>D2394+1</f>
        <v/>
      </c>
      <c r="E2395" s="113">
        <f>IF(DAY(D2395)=DAY($L$1+1),TRUNC((N2394),8),E2394)</f>
        <v/>
      </c>
      <c r="F2395" s="114">
        <f>TRUNC(((1+VLOOKUP(A2395,IPCA!$A$2:$C$140,3,0)))^(C2395/(EDATE(D2395-C2395,1)-(D2395-C2395))),8)</f>
        <v/>
      </c>
      <c r="G2395" s="114">
        <f>TRUNC((E2395*F2395),8)</f>
        <v/>
      </c>
      <c r="H2395" s="114">
        <f>ROUND(((1+$H$4)^(30/360))^(C2395/(EDATE(D2395-B2395,1)-(D2395-B2395))),9)</f>
        <v/>
      </c>
      <c r="I2395" s="114">
        <f>TRUNC((G2395*H2395-G2395),8)</f>
        <v/>
      </c>
      <c r="J2395" s="114">
        <f>G2395+I2395</f>
        <v/>
      </c>
      <c r="K2395" s="119">
        <f>I2395</f>
        <v/>
      </c>
      <c r="L2395" s="120">
        <f>TRUNC(G2395*VLOOKUP(D2395,'Amort TS'!$G$3:$H$140,2,0),8)</f>
        <v/>
      </c>
      <c r="M2395" s="120" t="n">
        <v>0</v>
      </c>
      <c r="N2395" s="120">
        <f>J2395-K2395-L2395-M2395</f>
        <v/>
      </c>
      <c r="O2395" s="256" t="n"/>
      <c r="P2395" s="256" t="n"/>
      <c r="Q2395" s="256" t="n"/>
    </row>
    <row r="2396">
      <c r="A2396">
        <f>IF(DAY(D2396)=DAY($L$1+1),A2395+1,A2395)</f>
        <v/>
      </c>
      <c r="B2396" s="46">
        <f>IF(DAY(D2396)=DAY($L$1+1),1,B2395+1)</f>
        <v/>
      </c>
      <c r="C2396" s="46">
        <f>IF(DAY(D2396)=DAY($L$1+1),1,C2395+1)</f>
        <v/>
      </c>
      <c r="D2396" s="2">
        <f>D2395+1</f>
        <v/>
      </c>
      <c r="E2396" s="8">
        <f>IF(DAY(D2396)=DAY($L$1+1),TRUNC((N2395),8),E2395)</f>
        <v/>
      </c>
      <c r="F2396" s="49">
        <f>TRUNC(((1+VLOOKUP(A2396,IPCA!$A$2:$C$140,3,0)))^(C2396/(EDATE(D2396-C2396,1)-(D2396-C2396))),8)</f>
        <v/>
      </c>
      <c r="G2396" s="49">
        <f>TRUNC((E2396*F2396),8)</f>
        <v/>
      </c>
      <c r="H2396" s="49">
        <f>ROUND(((1+$H$4)^(30/360))^(C2396/(EDATE(D2396-B2396,1)-(D2396-B2396))),9)</f>
        <v/>
      </c>
      <c r="I2396" s="49">
        <f>TRUNC((G2396*H2396-G2396),8)</f>
        <v/>
      </c>
      <c r="J2396" s="49">
        <f>G2396+I2396</f>
        <v/>
      </c>
      <c r="K2396" s="121">
        <f>K2395*L2393</f>
        <v/>
      </c>
      <c r="L2396" s="121">
        <f>L2395*L2393</f>
        <v/>
      </c>
      <c r="M2396" s="121">
        <f>M2395*L2393</f>
        <v/>
      </c>
      <c r="N2396" s="121">
        <f>N2395*L2393</f>
        <v/>
      </c>
      <c r="O2396" s="256" t="n"/>
      <c r="P2396" s="256" t="n"/>
      <c r="Q2396" s="256" t="n"/>
    </row>
    <row r="2397">
      <c r="A2397">
        <f>IF(DAY(D2397)=DAY($L$1+1),A2396+1,A2396)</f>
        <v/>
      </c>
      <c r="B2397" s="46">
        <f>IF(DAY(D2397)=DAY($L$1+1),1,B2396+1)</f>
        <v/>
      </c>
      <c r="C2397" s="46">
        <f>IF(DAY(D2397)=DAY($L$1+1),1,C2396+1)</f>
        <v/>
      </c>
      <c r="D2397" s="47">
        <f>D2396+1</f>
        <v/>
      </c>
      <c r="E2397" s="8">
        <f>IF(DAY(D2397)=DAY($L$1+1),TRUNC((N2396),8),E2396)</f>
        <v/>
      </c>
      <c r="F2397" s="49">
        <f>TRUNC(((1+VLOOKUP(A2397,IPCA!$A$2:$C$140,3,0)))^(C2397/(EDATE(D2397-C2397,1)-(D2397-C2397))),8)</f>
        <v/>
      </c>
      <c r="G2397" s="49">
        <f>TRUNC((E2397*F2397),8)</f>
        <v/>
      </c>
      <c r="H2397" s="49">
        <f>ROUND(((1+$H$4)^(30/360))^(C2397/(EDATE(D2397-B2397,1)-(D2397-B2397))),9)</f>
        <v/>
      </c>
      <c r="I2397" s="49">
        <f>TRUNC((G2397*H2397-G2397),8)</f>
        <v/>
      </c>
      <c r="J2397" s="49">
        <f>G2397+I2397</f>
        <v/>
      </c>
      <c r="K2397" s="256" t="n"/>
      <c r="L2397" s="256" t="n"/>
      <c r="M2397" s="256" t="n"/>
      <c r="N2397" s="256" t="n"/>
      <c r="O2397" s="256" t="n"/>
      <c r="P2397" s="256" t="n"/>
      <c r="Q2397" s="256" t="n"/>
    </row>
    <row r="2398">
      <c r="A2398">
        <f>IF(DAY(D2398)=DAY($L$1+1),A2397+1,A2397)</f>
        <v/>
      </c>
      <c r="B2398" s="46">
        <f>IF(DAY(D2398)=DAY($L$1+1),1,B2397+1)</f>
        <v/>
      </c>
      <c r="C2398" s="46">
        <f>IF(DAY(D2398)=DAY($L$1+1),1,C2397+1)</f>
        <v/>
      </c>
      <c r="D2398" s="2">
        <f>D2397+1</f>
        <v/>
      </c>
      <c r="E2398" s="8">
        <f>IF(DAY(D2398)=DAY($L$1+1),TRUNC((#REF!),8),E2397)</f>
        <v/>
      </c>
      <c r="F2398" s="49">
        <f>TRUNC(((1+VLOOKUP(A2398,IPCA!$A$2:$C$140,3,0)))^(C2398/(EDATE(D2398-C2398,1)-(D2398-C2398))),8)</f>
        <v/>
      </c>
      <c r="G2398" s="44">
        <f>TRUNC((E2398*F2398),8)</f>
        <v/>
      </c>
      <c r="H2398" s="44">
        <f>ROUND(((1+$H$4)^(30/360))^(C2398/(EDATE(D2398-B2398,1)-(D2398-B2398))),9)</f>
        <v/>
      </c>
      <c r="I2398" s="44">
        <f>TRUNC((G2398*H2398-G2398),8)</f>
        <v/>
      </c>
      <c r="J2398" s="49">
        <f>G2398+I2398</f>
        <v/>
      </c>
      <c r="K2398" s="256" t="n"/>
      <c r="L2398" s="256" t="n"/>
      <c r="M2398" s="256" t="n"/>
      <c r="N2398" s="256" t="n"/>
      <c r="O2398" s="256" t="n"/>
      <c r="P2398" s="256" t="n"/>
      <c r="Q2398" s="256" t="n"/>
    </row>
    <row r="2399">
      <c r="A2399">
        <f>IF(DAY(D2399)=DAY($L$1+1),A2398+1,A2398)</f>
        <v/>
      </c>
      <c r="B2399" s="1">
        <f>IF(DAY(D2399)=DAY($L$1+1),1,B2398+1)</f>
        <v/>
      </c>
      <c r="C2399" s="1">
        <f>IF(DAY(D2399)=DAY($L$1+1),1,C2398+1)</f>
        <v/>
      </c>
      <c r="D2399" s="2">
        <f>D2398+1</f>
        <v/>
      </c>
      <c r="E2399" s="8">
        <f>IF(DAY(D2399)=DAY($L$1+1),TRUNC((#REF!),8),E2398)</f>
        <v/>
      </c>
      <c r="F2399" s="49">
        <f>TRUNC(((1+VLOOKUP(A2399,IPCA!$A$2:$C$140,3,0)))^(C2399/(EDATE(D2399-C2399,1)-(D2399-C2399))),8)</f>
        <v/>
      </c>
      <c r="G2399" s="44">
        <f>TRUNC((E2399*F2399),8)</f>
        <v/>
      </c>
      <c r="H2399" s="44">
        <f>ROUND(((1+$H$4)^(30/360))^(C2399/(EDATE(D2399-B2399,1)-(D2399-B2399))),9)</f>
        <v/>
      </c>
      <c r="I2399" s="44">
        <f>TRUNC((G2399*H2399-G2399),8)</f>
        <v/>
      </c>
      <c r="J2399" s="49">
        <f>G2399+I2399</f>
        <v/>
      </c>
      <c r="K2399" s="256" t="n"/>
      <c r="L2399" s="256" t="n"/>
      <c r="M2399" s="256" t="n"/>
      <c r="N2399" s="256" t="n"/>
      <c r="O2399" s="256" t="n"/>
      <c r="P2399" s="256" t="n"/>
      <c r="Q2399" s="256" t="n"/>
    </row>
    <row r="2400">
      <c r="A2400">
        <f>IF(DAY(D2400)=DAY($L$1+1),A2399+1,A2399)</f>
        <v/>
      </c>
      <c r="B2400" s="46">
        <f>IF(DAY(D2400)=DAY($L$1+1),1,B2399+1)</f>
        <v/>
      </c>
      <c r="C2400" s="46">
        <f>IF(DAY(D2400)=DAY($L$1+1),1,C2399+1)</f>
        <v/>
      </c>
      <c r="D2400" s="2">
        <f>D2399+1</f>
        <v/>
      </c>
      <c r="E2400" s="8">
        <f>IF(DAY(D2400)=DAY($L$1+1),TRUNC((#REF!),8),E2399)</f>
        <v/>
      </c>
      <c r="F2400" s="49">
        <f>TRUNC(((1+VLOOKUP(A2400,IPCA!$A$2:$C$140,3,0)))^(C2400/(EDATE(D2400-C2400,1)-(D2400-C2400))),8)</f>
        <v/>
      </c>
      <c r="G2400" s="44">
        <f>TRUNC((E2400*F2400),8)</f>
        <v/>
      </c>
      <c r="H2400" s="44">
        <f>ROUND(((1+$H$4)^(30/360))^(C2400/(EDATE(D2400-B2400,1)-(D2400-B2400))),9)</f>
        <v/>
      </c>
      <c r="I2400" s="44">
        <f>TRUNC((G2400*H2400-G2400),8)</f>
        <v/>
      </c>
      <c r="J2400" s="49">
        <f>G2400+I2400</f>
        <v/>
      </c>
      <c r="K2400" s="256" t="n"/>
      <c r="L2400" s="256" t="n"/>
      <c r="M2400" s="256" t="n"/>
      <c r="N2400" s="256" t="n"/>
      <c r="O2400" s="256" t="n"/>
      <c r="P2400" s="256" t="n"/>
      <c r="Q2400" s="256" t="n"/>
    </row>
    <row r="2401">
      <c r="A2401">
        <f>IF(DAY(D2401)=DAY($L$1+1),A2400+1,A2400)</f>
        <v/>
      </c>
      <c r="B2401" s="1">
        <f>IF(DAY(D2401)=DAY($L$1+1),1,B2400+1)</f>
        <v/>
      </c>
      <c r="C2401" s="1">
        <f>IF(DAY(D2401)=DAY($L$1+1),1,C2400+1)</f>
        <v/>
      </c>
      <c r="D2401" s="2">
        <f>D2400+1</f>
        <v/>
      </c>
      <c r="E2401" s="8">
        <f>IF(DAY(D2401)=DAY($L$1+1),TRUNC((#REF!),8),E2400)</f>
        <v/>
      </c>
      <c r="F2401" s="49">
        <f>TRUNC(((1+VLOOKUP(A2401,IPCA!$A$2:$C$140,3,0)))^(C2401/(EDATE(D2401-C2401,1)-(D2401-C2401))),8)</f>
        <v/>
      </c>
      <c r="G2401" s="44">
        <f>TRUNC((E2401*F2401),8)</f>
        <v/>
      </c>
      <c r="H2401" s="44">
        <f>ROUND(((1+$H$4)^(30/360))^(C2401/(EDATE(D2401-B2401,1)-(D2401-B2401))),9)</f>
        <v/>
      </c>
      <c r="I2401" s="44">
        <f>TRUNC((G2401*H2401-G2401),8)</f>
        <v/>
      </c>
      <c r="J2401" s="49">
        <f>G2401+I2401</f>
        <v/>
      </c>
      <c r="K2401" s="256" t="n"/>
      <c r="L2401" s="256" t="n"/>
      <c r="M2401" s="256" t="n"/>
      <c r="N2401" s="256" t="n"/>
      <c r="O2401" s="256" t="n"/>
      <c r="P2401" s="256" t="n"/>
      <c r="Q2401" s="256" t="n"/>
    </row>
    <row r="2402">
      <c r="A2402">
        <f>IF(DAY(D2402)=DAY($L$1+1),A2401+1,A2401)</f>
        <v/>
      </c>
      <c r="B2402" s="46">
        <f>IF(DAY(D2402)=DAY($L$1+1),1,B2401+1)</f>
        <v/>
      </c>
      <c r="C2402" s="46">
        <f>IF(DAY(D2402)=DAY($L$1+1),1,C2401+1)</f>
        <v/>
      </c>
      <c r="D2402" s="2">
        <f>D2401+1</f>
        <v/>
      </c>
      <c r="E2402" s="8">
        <f>IF(DAY(D2402)=DAY($L$1+1),TRUNC((#REF!),8),E2401)</f>
        <v/>
      </c>
      <c r="F2402" s="49">
        <f>TRUNC(((1+VLOOKUP(A2402,IPCA!$A$2:$C$140,3,0)))^(C2402/(EDATE(D2402-C2402,1)-(D2402-C2402))),8)</f>
        <v/>
      </c>
      <c r="G2402" s="44">
        <f>TRUNC((E2402*F2402),8)</f>
        <v/>
      </c>
      <c r="H2402" s="44">
        <f>ROUND(((1+$H$4)^(30/360))^(C2402/(EDATE(D2402-B2402,1)-(D2402-B2402))),9)</f>
        <v/>
      </c>
      <c r="I2402" s="44">
        <f>TRUNC((G2402*H2402-G2402),8)</f>
        <v/>
      </c>
      <c r="J2402" s="49">
        <f>G2402+I2402</f>
        <v/>
      </c>
      <c r="K2402" s="256" t="n"/>
      <c r="L2402" s="256" t="n"/>
      <c r="M2402" s="256" t="n"/>
      <c r="N2402" s="256" t="n"/>
      <c r="O2402" s="256" t="n"/>
      <c r="P2402" s="256" t="n"/>
      <c r="Q2402" s="256" t="n"/>
    </row>
    <row r="2403">
      <c r="A2403">
        <f>IF(DAY(D2403)=DAY($L$1+1),A2402+1,A2402)</f>
        <v/>
      </c>
      <c r="B2403" s="1">
        <f>IF(DAY(D2403)=DAY($L$1+1),1,B2402+1)</f>
        <v/>
      </c>
      <c r="C2403" s="1">
        <f>IF(DAY(D2403)=DAY($L$1+1),1,C2402+1)</f>
        <v/>
      </c>
      <c r="D2403" s="2">
        <f>D2402+1</f>
        <v/>
      </c>
      <c r="E2403" s="8">
        <f>IF(DAY(D2403)=DAY($L$1+1),TRUNC((#REF!),8),E2402)</f>
        <v/>
      </c>
      <c r="F2403" s="49">
        <f>TRUNC(((1+VLOOKUP(A2403,IPCA!$A$2:$C$140,3,0)))^(C2403/(EDATE(D2403-C2403,1)-(D2403-C2403))),8)</f>
        <v/>
      </c>
      <c r="G2403" s="44">
        <f>TRUNC((E2403*F2403),8)</f>
        <v/>
      </c>
      <c r="H2403" s="44">
        <f>ROUND(((1+$H$4)^(30/360))^(C2403/(EDATE(D2403-B2403,1)-(D2403-B2403))),9)</f>
        <v/>
      </c>
      <c r="I2403" s="44">
        <f>TRUNC((G2403*H2403-G2403),8)</f>
        <v/>
      </c>
      <c r="J2403" s="49">
        <f>G2403+I2403</f>
        <v/>
      </c>
      <c r="K2403" s="256" t="n"/>
      <c r="L2403" s="256" t="n"/>
      <c r="M2403" s="256" t="n"/>
      <c r="N2403" s="256" t="n"/>
      <c r="O2403" s="256" t="n"/>
      <c r="P2403" s="256" t="n"/>
      <c r="Q2403" s="256" t="n"/>
    </row>
    <row r="2404">
      <c r="A2404">
        <f>IF(DAY(D2404)=DAY($L$1+1),A2403+1,A2403)</f>
        <v/>
      </c>
      <c r="B2404" s="46">
        <f>IF(DAY(D2404)=DAY($L$1+1),1,B2403+1)</f>
        <v/>
      </c>
      <c r="C2404" s="46">
        <f>IF(DAY(D2404)=DAY($L$1+1),1,C2403+1)</f>
        <v/>
      </c>
      <c r="D2404" s="2">
        <f>D2403+1</f>
        <v/>
      </c>
      <c r="E2404" s="8">
        <f>IF(DAY(D2404)=DAY($L$1+1),TRUNC((#REF!),8),E2403)</f>
        <v/>
      </c>
      <c r="F2404" s="49">
        <f>TRUNC(((1+VLOOKUP(A2404,IPCA!$A$2:$C$140,3,0)))^(C2404/(EDATE(D2404-C2404,1)-(D2404-C2404))),8)</f>
        <v/>
      </c>
      <c r="G2404" s="44">
        <f>TRUNC((E2404*F2404),8)</f>
        <v/>
      </c>
      <c r="H2404" s="44">
        <f>ROUND(((1+$H$4)^(30/360))^(C2404/(EDATE(D2404-B2404,1)-(D2404-B2404))),9)</f>
        <v/>
      </c>
      <c r="I2404" s="44">
        <f>TRUNC((G2404*H2404-G2404),8)</f>
        <v/>
      </c>
      <c r="J2404" s="49">
        <f>G2404+I2404</f>
        <v/>
      </c>
      <c r="K2404" s="256" t="n"/>
      <c r="L2404" s="256" t="n"/>
      <c r="M2404" s="256" t="n"/>
      <c r="N2404" s="256" t="n"/>
      <c r="O2404" s="256" t="n"/>
      <c r="P2404" s="256" t="n"/>
      <c r="Q2404" s="256" t="n"/>
    </row>
    <row r="2405">
      <c r="A2405">
        <f>IF(DAY(D2405)=DAY($L$1+1),A2404+1,A2404)</f>
        <v/>
      </c>
      <c r="B2405" s="1">
        <f>IF(DAY(D2405)=DAY($L$1+1),1,B2404+1)</f>
        <v/>
      </c>
      <c r="C2405" s="1">
        <f>IF(DAY(D2405)=DAY($L$1+1),1,C2404+1)</f>
        <v/>
      </c>
      <c r="D2405" s="2">
        <f>D2404+1</f>
        <v/>
      </c>
      <c r="E2405" s="8">
        <f>IF(DAY(D2405)=DAY($L$1+1),TRUNC((#REF!),8),E2404)</f>
        <v/>
      </c>
      <c r="F2405" s="49">
        <f>TRUNC(((1+VLOOKUP(A2405,IPCA!$A$2:$C$140,3,0)))^(C2405/(EDATE(D2405-C2405,1)-(D2405-C2405))),8)</f>
        <v/>
      </c>
      <c r="G2405" s="44">
        <f>TRUNC((E2405*F2405),8)</f>
        <v/>
      </c>
      <c r="H2405" s="44">
        <f>ROUND(((1+$H$4)^(30/360))^(C2405/(EDATE(D2405-B2405,1)-(D2405-B2405))),9)</f>
        <v/>
      </c>
      <c r="I2405" s="44">
        <f>TRUNC((G2405*H2405-G2405),8)</f>
        <v/>
      </c>
      <c r="J2405" s="49">
        <f>G2405+I2405</f>
        <v/>
      </c>
      <c r="K2405" s="256" t="n"/>
      <c r="L2405" s="256" t="n"/>
      <c r="M2405" s="256" t="n"/>
      <c r="N2405" s="256" t="n"/>
      <c r="O2405" s="256" t="n"/>
      <c r="P2405" s="256" t="n"/>
      <c r="Q2405" s="256" t="n"/>
    </row>
    <row r="2406">
      <c r="A2406">
        <f>IF(DAY(D2406)=DAY($L$1+1),A2405+1,A2405)</f>
        <v/>
      </c>
      <c r="B2406" s="46">
        <f>IF(DAY(D2406)=DAY($L$1+1),1,B2405+1)</f>
        <v/>
      </c>
      <c r="C2406" s="46">
        <f>IF(DAY(D2406)=DAY($L$1+1),1,C2405+1)</f>
        <v/>
      </c>
      <c r="D2406" s="2">
        <f>D2405+1</f>
        <v/>
      </c>
      <c r="E2406" s="8">
        <f>IF(DAY(D2406)=DAY($L$1+1),TRUNC((#REF!),8),E2405)</f>
        <v/>
      </c>
      <c r="F2406" s="49">
        <f>TRUNC(((1+VLOOKUP(A2406,IPCA!$A$2:$C$140,3,0)))^(C2406/(EDATE(D2406-C2406,1)-(D2406-C2406))),8)</f>
        <v/>
      </c>
      <c r="G2406" s="44">
        <f>TRUNC((E2406*F2406),8)</f>
        <v/>
      </c>
      <c r="H2406" s="44">
        <f>ROUND(((1+$H$4)^(30/360))^(C2406/(EDATE(D2406-B2406,1)-(D2406-B2406))),9)</f>
        <v/>
      </c>
      <c r="I2406" s="44">
        <f>TRUNC((G2406*H2406-G2406),8)</f>
        <v/>
      </c>
      <c r="J2406" s="49">
        <f>G2406+I2406</f>
        <v/>
      </c>
      <c r="K2406" s="256" t="n"/>
      <c r="L2406" s="256" t="n"/>
      <c r="M2406" s="256" t="n"/>
      <c r="N2406" s="256" t="n"/>
      <c r="O2406" s="256" t="n"/>
      <c r="P2406" s="256" t="n"/>
      <c r="Q2406" s="256" t="n"/>
    </row>
    <row r="2407">
      <c r="A2407">
        <f>IF(DAY(D2407)=DAY($L$1+1),A2406+1,A2406)</f>
        <v/>
      </c>
      <c r="B2407" s="1">
        <f>IF(DAY(D2407)=DAY($L$1+1),1,B2406+1)</f>
        <v/>
      </c>
      <c r="C2407" s="1">
        <f>IF(DAY(D2407)=DAY($L$1+1),1,C2406+1)</f>
        <v/>
      </c>
      <c r="D2407" s="2">
        <f>D2406+1</f>
        <v/>
      </c>
      <c r="E2407" s="8">
        <f>IF(DAY(D2407)=DAY($L$1+1),TRUNC((#REF!),8),E2406)</f>
        <v/>
      </c>
      <c r="F2407" s="49">
        <f>TRUNC(((1+VLOOKUP(A2407,IPCA!$A$2:$C$140,3,0)))^(C2407/(EDATE(D2407-C2407,1)-(D2407-C2407))),8)</f>
        <v/>
      </c>
      <c r="G2407" s="44">
        <f>TRUNC((E2407*F2407),8)</f>
        <v/>
      </c>
      <c r="H2407" s="44">
        <f>ROUND(((1+$H$4)^(30/360))^(C2407/(EDATE(D2407-B2407,1)-(D2407-B2407))),9)</f>
        <v/>
      </c>
      <c r="I2407" s="44">
        <f>TRUNC((G2407*H2407-G2407),8)</f>
        <v/>
      </c>
      <c r="J2407" s="49">
        <f>G2407+I2407</f>
        <v/>
      </c>
      <c r="K2407" s="256" t="n"/>
      <c r="L2407" s="256" t="n"/>
      <c r="M2407" s="256" t="n"/>
      <c r="N2407" s="256" t="n"/>
      <c r="O2407" s="256" t="n"/>
      <c r="P2407" s="256" t="n"/>
      <c r="Q2407" s="256" t="n"/>
    </row>
    <row r="2408">
      <c r="A2408">
        <f>IF(DAY(D2408)=DAY($L$1+1),A2407+1,A2407)</f>
        <v/>
      </c>
      <c r="B2408" s="46">
        <f>IF(DAY(D2408)=DAY($L$1+1),1,B2407+1)</f>
        <v/>
      </c>
      <c r="C2408" s="46">
        <f>IF(DAY(D2408)=DAY($L$1+1),1,C2407+1)</f>
        <v/>
      </c>
      <c r="D2408" s="2">
        <f>D2407+1</f>
        <v/>
      </c>
      <c r="E2408" s="8">
        <f>IF(DAY(D2408)=DAY($L$1+1),TRUNC((#REF!),8),E2407)</f>
        <v/>
      </c>
      <c r="F2408" s="49">
        <f>TRUNC(((1+VLOOKUP(A2408,IPCA!$A$2:$C$140,3,0)))^(C2408/(EDATE(D2408-C2408,1)-(D2408-C2408))),8)</f>
        <v/>
      </c>
      <c r="G2408" s="44">
        <f>TRUNC((E2408*F2408),8)</f>
        <v/>
      </c>
      <c r="H2408" s="44">
        <f>ROUND(((1+$H$4)^(30/360))^(C2408/(EDATE(D2408-B2408,1)-(D2408-B2408))),9)</f>
        <v/>
      </c>
      <c r="I2408" s="44">
        <f>TRUNC((G2408*H2408-G2408),8)</f>
        <v/>
      </c>
      <c r="J2408" s="49">
        <f>G2408+I2408</f>
        <v/>
      </c>
      <c r="K2408" s="256" t="n"/>
      <c r="L2408" s="256" t="n"/>
      <c r="M2408" s="256" t="n"/>
      <c r="N2408" s="256" t="n"/>
      <c r="O2408" s="256" t="n"/>
      <c r="P2408" s="256" t="n"/>
      <c r="Q2408" s="256" t="n"/>
    </row>
    <row r="2409">
      <c r="A2409">
        <f>IF(DAY(D2409)=DAY($L$1+1),A2408+1,A2408)</f>
        <v/>
      </c>
      <c r="B2409" s="1">
        <f>IF(DAY(D2409)=DAY($L$1+1),1,B2408+1)</f>
        <v/>
      </c>
      <c r="C2409" s="1">
        <f>IF(DAY(D2409)=DAY($L$1+1),1,C2408+1)</f>
        <v/>
      </c>
      <c r="D2409" s="2">
        <f>D2408+1</f>
        <v/>
      </c>
      <c r="E2409" s="8">
        <f>IF(DAY(D2409)=DAY($L$1+1),TRUNC((#REF!),8),E2408)</f>
        <v/>
      </c>
      <c r="F2409" s="49">
        <f>TRUNC(((1+VLOOKUP(A2409,IPCA!$A$2:$C$140,3,0)))^(C2409/(EDATE(D2409-C2409,1)-(D2409-C2409))),8)</f>
        <v/>
      </c>
      <c r="G2409" s="44">
        <f>TRUNC((E2409*F2409),8)</f>
        <v/>
      </c>
      <c r="H2409" s="44">
        <f>ROUND(((1+$H$4)^(30/360))^(C2409/(EDATE(D2409-B2409,1)-(D2409-B2409))),9)</f>
        <v/>
      </c>
      <c r="I2409" s="44">
        <f>TRUNC((G2409*H2409-G2409),8)</f>
        <v/>
      </c>
      <c r="J2409" s="49">
        <f>G2409+I2409</f>
        <v/>
      </c>
      <c r="K2409" s="256" t="n"/>
      <c r="L2409" s="256" t="n"/>
      <c r="M2409" s="256" t="n"/>
      <c r="N2409" s="256" t="n"/>
      <c r="O2409" s="256" t="n"/>
      <c r="P2409" s="256" t="n"/>
      <c r="Q2409" s="256" t="n"/>
    </row>
    <row r="2410">
      <c r="A2410">
        <f>IF(DAY(D2410)=DAY($L$1+1),A2409+1,A2409)</f>
        <v/>
      </c>
      <c r="B2410" s="46">
        <f>IF(DAY(D2410)=DAY($L$1+1),1,B2409+1)</f>
        <v/>
      </c>
      <c r="C2410" s="46">
        <f>IF(DAY(D2410)=DAY($L$1+1),1,C2409+1)</f>
        <v/>
      </c>
      <c r="D2410" s="2">
        <f>D2409+1</f>
        <v/>
      </c>
      <c r="E2410" s="8">
        <f>IF(DAY(D2410)=DAY($L$1+1),TRUNC((#REF!),8),E2409)</f>
        <v/>
      </c>
      <c r="F2410" s="49">
        <f>TRUNC(((1+VLOOKUP(A2410,IPCA!$A$2:$C$140,3,0)))^(C2410/(EDATE(D2410-C2410,1)-(D2410-C2410))),8)</f>
        <v/>
      </c>
      <c r="G2410" s="44">
        <f>TRUNC((E2410*F2410),8)</f>
        <v/>
      </c>
      <c r="H2410" s="44">
        <f>ROUND(((1+$H$4)^(30/360))^(C2410/(EDATE(D2410-B2410,1)-(D2410-B2410))),9)</f>
        <v/>
      </c>
      <c r="I2410" s="44">
        <f>TRUNC((G2410*H2410-G2410),8)</f>
        <v/>
      </c>
      <c r="J2410" s="49">
        <f>G2410+I2410</f>
        <v/>
      </c>
      <c r="K2410" s="256" t="n"/>
      <c r="L2410" s="256" t="n"/>
      <c r="M2410" s="256" t="n"/>
      <c r="N2410" s="256" t="n"/>
      <c r="O2410" s="256" t="n"/>
      <c r="P2410" s="256" t="n"/>
      <c r="Q2410" s="256" t="n"/>
    </row>
    <row r="2411">
      <c r="A2411">
        <f>IF(DAY(D2411)=DAY($L$1+1),A2410+1,A2410)</f>
        <v/>
      </c>
      <c r="B2411" s="1">
        <f>IF(DAY(D2411)=DAY($L$1+1),1,B2410+1)</f>
        <v/>
      </c>
      <c r="C2411" s="1">
        <f>IF(DAY(D2411)=DAY($L$1+1),1,C2410+1)</f>
        <v/>
      </c>
      <c r="D2411" s="2">
        <f>D2410+1</f>
        <v/>
      </c>
      <c r="E2411" s="8">
        <f>IF(DAY(D2411)=DAY($L$1+1),TRUNC((#REF!),8),E2410)</f>
        <v/>
      </c>
      <c r="F2411" s="49">
        <f>TRUNC(((1+VLOOKUP(A2411,IPCA!$A$2:$C$140,3,0)))^(C2411/(EDATE(D2411-C2411,1)-(D2411-C2411))),8)</f>
        <v/>
      </c>
      <c r="G2411" s="44">
        <f>TRUNC((E2411*F2411),8)</f>
        <v/>
      </c>
      <c r="H2411" s="44">
        <f>ROUND(((1+$H$4)^(30/360))^(C2411/(EDATE(D2411-B2411,1)-(D2411-B2411))),9)</f>
        <v/>
      </c>
      <c r="I2411" s="44">
        <f>TRUNC((G2411*H2411-G2411),8)</f>
        <v/>
      </c>
      <c r="J2411" s="49">
        <f>G2411+I2411</f>
        <v/>
      </c>
      <c r="K2411" s="256" t="n"/>
      <c r="L2411" s="256" t="n"/>
      <c r="M2411" s="256" t="n"/>
      <c r="N2411" s="256" t="n"/>
      <c r="O2411" s="256" t="n"/>
      <c r="P2411" s="256" t="n"/>
      <c r="Q2411" s="256" t="n"/>
    </row>
    <row r="2412">
      <c r="A2412">
        <f>IF(DAY(D2412)=DAY($L$1+1),A2411+1,A2411)</f>
        <v/>
      </c>
      <c r="B2412" s="46">
        <f>IF(DAY(D2412)=DAY($L$1+1),1,B2411+1)</f>
        <v/>
      </c>
      <c r="C2412" s="46">
        <f>IF(DAY(D2412)=DAY($L$1+1),1,C2411+1)</f>
        <v/>
      </c>
      <c r="D2412" s="2">
        <f>D2411+1</f>
        <v/>
      </c>
      <c r="E2412" s="8">
        <f>IF(DAY(D2412)=DAY($L$1+1),TRUNC((#REF!),8),E2411)</f>
        <v/>
      </c>
      <c r="F2412" s="49">
        <f>TRUNC(((1+VLOOKUP(A2412,IPCA!$A$2:$C$140,3,0)))^(C2412/(EDATE(D2412-C2412,1)-(D2412-C2412))),8)</f>
        <v/>
      </c>
      <c r="G2412" s="44">
        <f>TRUNC((E2412*F2412),8)</f>
        <v/>
      </c>
      <c r="H2412" s="44">
        <f>ROUND(((1+$H$4)^(30/360))^(C2412/(EDATE(D2412-B2412,1)-(D2412-B2412))),9)</f>
        <v/>
      </c>
      <c r="I2412" s="44">
        <f>TRUNC((G2412*H2412-G2412),8)</f>
        <v/>
      </c>
      <c r="J2412" s="49">
        <f>G2412+I2412</f>
        <v/>
      </c>
      <c r="K2412" s="256" t="n"/>
      <c r="L2412" s="256" t="n"/>
      <c r="M2412" s="256" t="n"/>
      <c r="N2412" s="256" t="n"/>
      <c r="O2412" s="256" t="n"/>
      <c r="P2412" s="256" t="n"/>
      <c r="Q2412" s="256" t="n"/>
    </row>
    <row r="2413">
      <c r="A2413">
        <f>IF(DAY(D2413)=DAY($L$1+1),A2412+1,A2412)</f>
        <v/>
      </c>
      <c r="B2413" s="1">
        <f>IF(DAY(D2413)=DAY($L$1+1),1,B2412+1)</f>
        <v/>
      </c>
      <c r="C2413" s="1">
        <f>IF(DAY(D2413)=DAY($L$1+1),1,C2412+1)</f>
        <v/>
      </c>
      <c r="D2413" s="2">
        <f>D2412+1</f>
        <v/>
      </c>
      <c r="E2413" s="8">
        <f>IF(DAY(D2413)=DAY($L$1+1),TRUNC((N2412),8),E2412)</f>
        <v/>
      </c>
      <c r="F2413" s="49">
        <f>TRUNC(((1+VLOOKUP(A2413,IPCA!$A$2:$C$140,3,0)))^(C2413/(EDATE(D2413-C2413,1)-(D2413-C2413))),8)</f>
        <v/>
      </c>
      <c r="G2413" s="44">
        <f>TRUNC((E2413*F2413),8)</f>
        <v/>
      </c>
      <c r="H2413" s="44">
        <f>ROUND(((1+$H$4)^(30/360))^(C2413/(EDATE(D2413-B2413,1)-(D2413-B2413))),9)</f>
        <v/>
      </c>
      <c r="I2413" s="44">
        <f>TRUNC((G2413*H2413-G2413),8)</f>
        <v/>
      </c>
      <c r="J2413" s="49">
        <f>G2413+I2413</f>
        <v/>
      </c>
      <c r="K2413" s="256" t="n"/>
      <c r="L2413" s="256" t="n"/>
      <c r="M2413" s="256" t="n"/>
      <c r="N2413" s="256" t="n"/>
      <c r="O2413" s="256" t="n"/>
      <c r="P2413" s="256" t="n"/>
      <c r="Q2413" s="256" t="n"/>
    </row>
    <row r="2414">
      <c r="A2414">
        <f>IF(DAY(D2414)=DAY($L$1+1),A2413+1,A2413)</f>
        <v/>
      </c>
      <c r="B2414" s="46">
        <f>IF(DAY(D2414)=DAY($L$1+1),1,B2413+1)</f>
        <v/>
      </c>
      <c r="C2414" s="46">
        <f>IF(DAY(D2414)=DAY($L$1+1),1,C2413+1)</f>
        <v/>
      </c>
      <c r="D2414" s="2">
        <f>D2413+1</f>
        <v/>
      </c>
      <c r="E2414" s="8">
        <f>IF(DAY(D2414)=DAY($L$1+1),TRUNC((N2413),8),E2413)</f>
        <v/>
      </c>
      <c r="F2414" s="49">
        <f>TRUNC(((1+VLOOKUP(A2414,IPCA!$A$2:$C$140,3,0)))^(C2414/(EDATE(D2414-C2414,1)-(D2414-C2414))),8)</f>
        <v/>
      </c>
      <c r="G2414" s="44">
        <f>TRUNC((E2414*F2414),8)</f>
        <v/>
      </c>
      <c r="H2414" s="44">
        <f>ROUND(((1+$H$4)^(30/360))^(C2414/(EDATE(D2414-B2414,1)-(D2414-B2414))),9)</f>
        <v/>
      </c>
      <c r="I2414" s="44">
        <f>TRUNC((G2414*H2414-G2414),8)</f>
        <v/>
      </c>
      <c r="J2414" s="49">
        <f>G2414+I2414</f>
        <v/>
      </c>
      <c r="K2414" s="256" t="n"/>
      <c r="L2414" s="256" t="n"/>
      <c r="M2414" s="256" t="n"/>
      <c r="N2414" s="256" t="n"/>
      <c r="O2414" s="256" t="n"/>
      <c r="P2414" s="256" t="n"/>
      <c r="Q2414" s="256" t="n"/>
    </row>
    <row r="2415">
      <c r="A2415">
        <f>IF(DAY(D2415)=DAY($L$1+1),A2414+1,A2414)</f>
        <v/>
      </c>
      <c r="B2415" s="1">
        <f>IF(DAY(D2415)=DAY($L$1+1),1,B2414+1)</f>
        <v/>
      </c>
      <c r="C2415" s="1">
        <f>IF(DAY(D2415)=DAY($L$1+1),1,C2414+1)</f>
        <v/>
      </c>
      <c r="D2415" s="2">
        <f>D2414+1</f>
        <v/>
      </c>
      <c r="E2415" s="8">
        <f>IF(DAY(D2415)=DAY($L$1+1),TRUNC((N2414),8),E2414)</f>
        <v/>
      </c>
      <c r="F2415" s="49">
        <f>TRUNC(((1+VLOOKUP(A2415,IPCA!$A$2:$C$140,3,0)))^(C2415/(EDATE(D2415-C2415,1)-(D2415-C2415))),8)</f>
        <v/>
      </c>
      <c r="G2415" s="44">
        <f>TRUNC((E2415*F2415),8)</f>
        <v/>
      </c>
      <c r="H2415" s="44">
        <f>ROUND(((1+$H$4)^(30/360))^(C2415/(EDATE(D2415-B2415,1)-(D2415-B2415))),9)</f>
        <v/>
      </c>
      <c r="I2415" s="44">
        <f>TRUNC((G2415*H2415-G2415),8)</f>
        <v/>
      </c>
      <c r="J2415" s="49">
        <f>G2415+I2415</f>
        <v/>
      </c>
      <c r="K2415" s="256" t="n"/>
      <c r="L2415" s="256" t="n"/>
      <c r="M2415" s="256" t="n"/>
      <c r="N2415" s="256" t="n"/>
      <c r="O2415" s="256" t="n"/>
      <c r="P2415" s="256" t="n"/>
      <c r="Q2415" s="256" t="n"/>
    </row>
    <row r="2416">
      <c r="A2416">
        <f>IF(DAY(D2416)=DAY($L$1+1),A2415+1,A2415)</f>
        <v/>
      </c>
      <c r="B2416" s="46">
        <f>IF(DAY(D2416)=DAY($L$1+1),1,B2415+1)</f>
        <v/>
      </c>
      <c r="C2416" s="46">
        <f>IF(DAY(D2416)=DAY($L$1+1),1,C2415+1)</f>
        <v/>
      </c>
      <c r="D2416" s="2">
        <f>D2415+1</f>
        <v/>
      </c>
      <c r="E2416" s="8">
        <f>IF(DAY(D2416)=DAY($L$1+1),TRUNC((N2415),8),E2415)</f>
        <v/>
      </c>
      <c r="F2416" s="49">
        <f>TRUNC(((1+VLOOKUP(A2416,IPCA!$A$2:$C$140,3,0)))^(C2416/(EDATE(D2416-C2416,1)-(D2416-C2416))),8)</f>
        <v/>
      </c>
      <c r="G2416" s="44">
        <f>TRUNC((E2416*F2416),8)</f>
        <v/>
      </c>
      <c r="H2416" s="44">
        <f>ROUND(((1+$H$4)^(30/360))^(C2416/(EDATE(D2416-B2416,1)-(D2416-B2416))),9)</f>
        <v/>
      </c>
      <c r="I2416" s="44">
        <f>TRUNC((G2416*H2416-G2416),8)</f>
        <v/>
      </c>
      <c r="J2416" s="49">
        <f>G2416+I2416</f>
        <v/>
      </c>
      <c r="K2416" s="256" t="n"/>
      <c r="L2416" s="256" t="n"/>
      <c r="M2416" s="256" t="n"/>
      <c r="N2416" s="256" t="n"/>
      <c r="O2416" s="256" t="n"/>
      <c r="P2416" s="256" t="n"/>
      <c r="Q2416" s="256" t="n"/>
    </row>
    <row r="2417">
      <c r="A2417">
        <f>IF(DAY(D2417)=DAY($L$1+1),A2416+1,A2416)</f>
        <v/>
      </c>
      <c r="B2417" s="1">
        <f>IF(DAY(D2417)=DAY($L$1+1),1,B2416+1)</f>
        <v/>
      </c>
      <c r="C2417" s="1">
        <f>IF(DAY(D2417)=DAY($L$1+1),1,C2416+1)</f>
        <v/>
      </c>
      <c r="D2417" s="2">
        <f>D2416+1</f>
        <v/>
      </c>
      <c r="E2417" s="8">
        <f>IF(DAY(D2417)=DAY($L$1+1),TRUNC((N2416),8),E2416)</f>
        <v/>
      </c>
      <c r="F2417" s="49">
        <f>TRUNC(((1+VLOOKUP(A2417,IPCA!$A$2:$C$140,3,0)))^(C2417/(EDATE(D2417-C2417,1)-(D2417-C2417))),8)</f>
        <v/>
      </c>
      <c r="G2417" s="44">
        <f>TRUNC((E2417*F2417),8)</f>
        <v/>
      </c>
      <c r="H2417" s="44">
        <f>ROUND(((1+$H$4)^(30/360))^(C2417/(EDATE(D2417-B2417,1)-(D2417-B2417))),9)</f>
        <v/>
      </c>
      <c r="I2417" s="44">
        <f>TRUNC((G2417*H2417-G2417),8)</f>
        <v/>
      </c>
      <c r="J2417" s="49">
        <f>G2417+I2417</f>
        <v/>
      </c>
      <c r="K2417" s="256" t="n"/>
      <c r="L2417" s="256" t="n"/>
      <c r="M2417" s="256" t="n"/>
      <c r="N2417" s="256" t="n"/>
      <c r="O2417" s="256" t="n"/>
      <c r="P2417" s="256" t="n"/>
      <c r="Q2417" s="256" t="n"/>
    </row>
    <row r="2418">
      <c r="A2418">
        <f>IF(DAY(D2418)=DAY($L$1+1),A2417+1,A2417)</f>
        <v/>
      </c>
      <c r="B2418" s="46">
        <f>IF(DAY(D2418)=DAY($L$1+1),1,B2417+1)</f>
        <v/>
      </c>
      <c r="C2418" s="46">
        <f>IF(DAY(D2418)=DAY($L$1+1),1,C2417+1)</f>
        <v/>
      </c>
      <c r="D2418" s="2">
        <f>D2417+1</f>
        <v/>
      </c>
      <c r="E2418" s="8">
        <f>IF(DAY(D2418)=DAY($L$1+1),TRUNC((N2417),8),E2417)</f>
        <v/>
      </c>
      <c r="F2418" s="49">
        <f>TRUNC(((1+VLOOKUP(A2418,IPCA!$A$2:$C$140,3,0)))^(C2418/(EDATE(D2418-C2418,1)-(D2418-C2418))),8)</f>
        <v/>
      </c>
      <c r="G2418" s="44">
        <f>TRUNC((E2418*F2418),8)</f>
        <v/>
      </c>
      <c r="H2418" s="44">
        <f>ROUND(((1+$H$4)^(30/360))^(C2418/(EDATE(D2418-B2418,1)-(D2418-B2418))),9)</f>
        <v/>
      </c>
      <c r="I2418" s="44">
        <f>TRUNC((G2418*H2418-G2418),8)</f>
        <v/>
      </c>
      <c r="J2418" s="49">
        <f>G2418+I2418</f>
        <v/>
      </c>
      <c r="K2418" s="256" t="n"/>
      <c r="L2418" s="256" t="n"/>
      <c r="M2418" s="256" t="n"/>
      <c r="N2418" s="256" t="n"/>
      <c r="O2418" s="256" t="n"/>
      <c r="P2418" s="256" t="n"/>
      <c r="Q2418" s="256" t="n"/>
    </row>
    <row r="2419">
      <c r="A2419">
        <f>IF(DAY(D2419)=DAY($L$1+1),A2418+1,A2418)</f>
        <v/>
      </c>
      <c r="B2419" s="1">
        <f>IF(DAY(D2419)=DAY($L$1+1),1,B2418+1)</f>
        <v/>
      </c>
      <c r="C2419" s="1">
        <f>IF(DAY(D2419)=DAY($L$1+1),1,C2418+1)</f>
        <v/>
      </c>
      <c r="D2419" s="2">
        <f>D2418+1</f>
        <v/>
      </c>
      <c r="E2419" s="8">
        <f>IF(DAY(D2419)=DAY($L$1+1),TRUNC((N2418),8),E2418)</f>
        <v/>
      </c>
      <c r="F2419" s="49">
        <f>TRUNC(((1+VLOOKUP(A2419,IPCA!$A$2:$C$140,3,0)))^(C2419/(EDATE(D2419-C2419,1)-(D2419-C2419))),8)</f>
        <v/>
      </c>
      <c r="G2419" s="44">
        <f>TRUNC((E2419*F2419),8)</f>
        <v/>
      </c>
      <c r="H2419" s="44">
        <f>ROUND(((1+$H$4)^(30/360))^(C2419/(EDATE(D2419-B2419,1)-(D2419-B2419))),9)</f>
        <v/>
      </c>
      <c r="I2419" s="44">
        <f>TRUNC((G2419*H2419-G2419),8)</f>
        <v/>
      </c>
      <c r="J2419" s="49">
        <f>G2419+I2419</f>
        <v/>
      </c>
      <c r="K2419" s="256" t="n"/>
      <c r="L2419" s="256" t="n"/>
      <c r="M2419" s="256" t="n"/>
      <c r="N2419" s="256" t="n"/>
      <c r="O2419" s="256" t="n"/>
      <c r="P2419" s="256" t="n"/>
      <c r="Q2419" s="256" t="n"/>
    </row>
    <row r="2420">
      <c r="A2420">
        <f>IF(DAY(D2420)=DAY($L$1+1),A2419+1,A2419)</f>
        <v/>
      </c>
      <c r="B2420" s="46">
        <f>IF(DAY(D2420)=DAY($L$1+1),1,B2419+1)</f>
        <v/>
      </c>
      <c r="C2420" s="46">
        <f>IF(DAY(D2420)=DAY($L$1+1),1,C2419+1)</f>
        <v/>
      </c>
      <c r="D2420" s="2">
        <f>D2419+1</f>
        <v/>
      </c>
      <c r="E2420" s="8">
        <f>IF(DAY(D2420)=DAY($L$1+1),TRUNC((N2419),8),E2419)</f>
        <v/>
      </c>
      <c r="F2420" s="49">
        <f>TRUNC(((1+VLOOKUP(A2420,IPCA!$A$2:$C$140,3,0)))^(C2420/(EDATE(D2420-C2420,1)-(D2420-C2420))),8)</f>
        <v/>
      </c>
      <c r="G2420" s="44">
        <f>TRUNC((E2420*F2420),8)</f>
        <v/>
      </c>
      <c r="H2420" s="44">
        <f>ROUND(((1+$H$4)^(30/360))^(C2420/(EDATE(D2420-B2420,1)-(D2420-B2420))),9)</f>
        <v/>
      </c>
      <c r="I2420" s="44">
        <f>TRUNC((G2420*H2420-G2420),8)</f>
        <v/>
      </c>
      <c r="J2420" s="49">
        <f>G2420+I2420</f>
        <v/>
      </c>
      <c r="K2420" s="256" t="n"/>
      <c r="L2420" s="256" t="n"/>
      <c r="M2420" s="256" t="n"/>
      <c r="N2420" s="256" t="n"/>
      <c r="O2420" s="256" t="n"/>
      <c r="P2420" s="256" t="n"/>
      <c r="Q2420" s="256" t="n"/>
    </row>
    <row r="2421">
      <c r="A2421">
        <f>IF(DAY(D2421)=DAY($L$1+1),A2420+1,A2420)</f>
        <v/>
      </c>
      <c r="B2421" s="1">
        <f>IF(DAY(D2421)=DAY($L$1+1),1,B2420+1)</f>
        <v/>
      </c>
      <c r="C2421" s="1">
        <f>IF(DAY(D2421)=DAY($L$1+1),1,C2420+1)</f>
        <v/>
      </c>
      <c r="D2421" s="2">
        <f>D2420+1</f>
        <v/>
      </c>
      <c r="E2421" s="8">
        <f>IF(DAY(D2421)=DAY($L$1+1),TRUNC((N2420),8),E2420)</f>
        <v/>
      </c>
      <c r="F2421" s="49">
        <f>TRUNC(((1+VLOOKUP(A2421,IPCA!$A$2:$C$140,3,0)))^(C2421/(EDATE(D2421-C2421,1)-(D2421-C2421))),8)</f>
        <v/>
      </c>
      <c r="G2421" s="44">
        <f>TRUNC((E2421*F2421),8)</f>
        <v/>
      </c>
      <c r="H2421" s="44">
        <f>ROUND(((1+$H$4)^(30/360))^(C2421/(EDATE(D2421-B2421,1)-(D2421-B2421))),9)</f>
        <v/>
      </c>
      <c r="I2421" s="44">
        <f>TRUNC((G2421*H2421-G2421),8)</f>
        <v/>
      </c>
      <c r="J2421" s="49">
        <f>G2421+I2421</f>
        <v/>
      </c>
      <c r="K2421" s="256" t="n"/>
      <c r="L2421" s="256" t="n"/>
      <c r="M2421" s="256" t="n"/>
      <c r="N2421" s="256" t="n"/>
      <c r="O2421" s="256" t="n"/>
      <c r="P2421" s="256" t="n"/>
      <c r="Q2421" s="256" t="n"/>
    </row>
    <row r="2422">
      <c r="A2422">
        <f>IF(DAY(D2422)=DAY($L$1+1),A2421+1,A2421)</f>
        <v/>
      </c>
      <c r="B2422" s="46">
        <f>IF(DAY(D2422)=DAY($L$1+1),1,B2421+1)</f>
        <v/>
      </c>
      <c r="C2422" s="46">
        <f>IF(DAY(D2422)=DAY($L$1+1),1,C2421+1)</f>
        <v/>
      </c>
      <c r="D2422" s="2">
        <f>D2421+1</f>
        <v/>
      </c>
      <c r="E2422" s="8">
        <f>IF(DAY(D2422)=DAY($L$1+1),TRUNC((N2421),8),E2421)</f>
        <v/>
      </c>
      <c r="F2422" s="49">
        <f>TRUNC(((1+VLOOKUP(A2422,IPCA!$A$2:$C$140,3,0)))^(C2422/(EDATE(D2422-C2422,1)-(D2422-C2422))),8)</f>
        <v/>
      </c>
      <c r="G2422" s="44">
        <f>TRUNC((E2422*F2422),8)</f>
        <v/>
      </c>
      <c r="H2422" s="44">
        <f>ROUND(((1+$H$4)^(30/360))^(C2422/(EDATE(D2422-B2422,1)-(D2422-B2422))),9)</f>
        <v/>
      </c>
      <c r="I2422" s="44">
        <f>TRUNC((G2422*H2422-G2422),8)</f>
        <v/>
      </c>
      <c r="J2422" s="49">
        <f>G2422+I2422</f>
        <v/>
      </c>
      <c r="K2422" s="256" t="n"/>
      <c r="L2422" s="256" t="n"/>
      <c r="M2422" s="256" t="n"/>
      <c r="N2422" s="256" t="n"/>
      <c r="O2422" s="256" t="n"/>
      <c r="P2422" s="256" t="n"/>
      <c r="Q2422" s="256" t="n"/>
    </row>
    <row r="2423">
      <c r="A2423">
        <f>IF(DAY(D2423)=DAY($L$1+1),A2422+1,A2422)</f>
        <v/>
      </c>
      <c r="B2423" s="1">
        <f>IF(DAY(D2423)=DAY($L$1+1),1,B2422+1)</f>
        <v/>
      </c>
      <c r="C2423" s="1">
        <f>IF(DAY(D2423)=DAY($L$1+1),1,C2422+1)</f>
        <v/>
      </c>
      <c r="D2423" s="2">
        <f>D2422+1</f>
        <v/>
      </c>
      <c r="E2423" s="8">
        <f>IF(DAY(D2423)=DAY($L$1+1),TRUNC((N2422),8),E2422)</f>
        <v/>
      </c>
      <c r="F2423" s="49">
        <f>TRUNC(((1+VLOOKUP(A2423,IPCA!$A$2:$C$140,3,0)))^(C2423/(EDATE(D2423-C2423,1)-(D2423-C2423))),8)</f>
        <v/>
      </c>
      <c r="G2423" s="44">
        <f>TRUNC((E2423*F2423),8)</f>
        <v/>
      </c>
      <c r="H2423" s="44">
        <f>ROUND(((1+$H$4)^(30/360))^(C2423/(EDATE(D2423-B2423,1)-(D2423-B2423))),9)</f>
        <v/>
      </c>
      <c r="I2423" s="44">
        <f>TRUNC((G2423*H2423-G2423),8)</f>
        <v/>
      </c>
      <c r="J2423" s="49">
        <f>G2423+I2423</f>
        <v/>
      </c>
      <c r="K2423" s="256" t="n"/>
      <c r="L2423" s="256" t="n"/>
      <c r="M2423" s="256" t="n"/>
      <c r="N2423" s="256" t="n"/>
      <c r="O2423" s="256" t="n"/>
      <c r="P2423" s="256" t="n"/>
      <c r="Q2423" s="256" t="n"/>
    </row>
    <row r="2424">
      <c r="A2424">
        <f>IF(DAY(D2424)=DAY($L$1+1),A2423+1,A2423)</f>
        <v/>
      </c>
      <c r="B2424" s="46">
        <f>IF(DAY(D2424)=DAY($L$1+1),1,B2423+1)</f>
        <v/>
      </c>
      <c r="C2424" s="46">
        <f>IF(DAY(D2424)=DAY($L$1+1),1,C2423+1)</f>
        <v/>
      </c>
      <c r="D2424" s="2">
        <f>D2423+1</f>
        <v/>
      </c>
      <c r="E2424" s="8">
        <f>IF(DAY(D2424)=DAY($L$1+1),TRUNC((N2423),8),E2423)</f>
        <v/>
      </c>
      <c r="F2424" s="49">
        <f>TRUNC(((1+VLOOKUP(A2424,IPCA!$A$2:$C$140,3,0)))^(C2424/(EDATE(D2424-C2424,1)-(D2424-C2424))),8)</f>
        <v/>
      </c>
      <c r="G2424" s="49">
        <f>TRUNC((E2424*F2424),8)</f>
        <v/>
      </c>
      <c r="H2424" s="49">
        <f>ROUND(((1+$H$4)^(30/360))^(C2424/(EDATE(D2424-B2424,1)-(D2424-B2424))),9)</f>
        <v/>
      </c>
      <c r="I2424" s="49">
        <f>TRUNC((G2424*H2424-G2424),8)</f>
        <v/>
      </c>
      <c r="J2424" s="49">
        <f>G2424+I2424</f>
        <v/>
      </c>
      <c r="K2424" s="256" t="inlineStr">
        <is>
          <t>Cri Integralizado</t>
        </is>
      </c>
      <c r="L2424" s="270">
        <f>L2393</f>
        <v/>
      </c>
      <c r="M2424" s="256" t="n"/>
      <c r="N2424" s="256" t="n"/>
      <c r="O2424" s="256" t="n"/>
      <c r="P2424" s="256" t="n"/>
      <c r="Q2424" s="256" t="n"/>
    </row>
    <row r="2425">
      <c r="A2425">
        <f>IF(DAY(D2425)=DAY($L$1+1),A2424+1,A2424)</f>
        <v/>
      </c>
      <c r="B2425" s="46">
        <f>IF(DAY(D2425)=DAY($L$1+1),1,B2424+1)</f>
        <v/>
      </c>
      <c r="C2425" s="46">
        <f>IF(DAY(D2425)=DAY($L$1+1),1,C2424+1)</f>
        <v/>
      </c>
      <c r="D2425" s="47">
        <f>D2424+1</f>
        <v/>
      </c>
      <c r="E2425" s="8">
        <f>IF(DAY(D2425)=DAY($L$1+1),TRUNC((N2424),8),E2424)</f>
        <v/>
      </c>
      <c r="F2425" s="49">
        <f>TRUNC(((1+VLOOKUP(A2425,IPCA!$A$2:$C$140,3,0)))^(C2425/(EDATE(D2425-C2425,1)-(D2425-C2425))),8)</f>
        <v/>
      </c>
      <c r="G2425" s="49">
        <f>TRUNC((E2425*F2425),8)</f>
        <v/>
      </c>
      <c r="H2425" s="49">
        <f>ROUND(((1+$H$4)^(30/360))^(C2425/(EDATE(D2425-B2425,1)-(D2425-B2425))),9)</f>
        <v/>
      </c>
      <c r="I2425" s="49">
        <f>TRUNC((G2425*H2425-G2425),8)</f>
        <v/>
      </c>
      <c r="J2425" s="49">
        <f>G2425+I2425</f>
        <v/>
      </c>
      <c r="K2425" s="137" t="inlineStr">
        <is>
          <t>JUROS</t>
        </is>
      </c>
      <c r="L2425" s="118" t="inlineStr">
        <is>
          <t>AMORTIZAÇÃO</t>
        </is>
      </c>
      <c r="M2425" s="118" t="inlineStr">
        <is>
          <t>AMEX</t>
        </is>
      </c>
      <c r="N2425" s="118" t="inlineStr">
        <is>
          <t>RESIDUAL</t>
        </is>
      </c>
      <c r="O2425" s="256" t="n"/>
      <c r="P2425" s="256" t="n"/>
      <c r="Q2425" s="256" t="n"/>
    </row>
    <row r="2426">
      <c r="A2426">
        <f>IF(DAY(D2426)=DAY($L$1+1),A2425+1,A2425)</f>
        <v/>
      </c>
      <c r="B2426" s="111">
        <f>IF(DAY(D2426)=DAY($L$1+1),1,B2425+1)</f>
        <v/>
      </c>
      <c r="C2426" s="111">
        <f>IF(DAY(D2426)=DAY($L$1+1),1,C2425+1)</f>
        <v/>
      </c>
      <c r="D2426" s="112">
        <f>D2425+1</f>
        <v/>
      </c>
      <c r="E2426" s="113">
        <f>IF(DAY(D2426)=DAY($L$1+1),TRUNC((N2425),8),E2425)</f>
        <v/>
      </c>
      <c r="F2426" s="114">
        <f>TRUNC(((1+VLOOKUP(A2426,IPCA!$A$2:$C$140,3,0)))^(C2426/(EDATE(D2426-C2426,1)-(D2426-C2426))),8)</f>
        <v/>
      </c>
      <c r="G2426" s="114">
        <f>TRUNC((E2426*F2426),8)</f>
        <v/>
      </c>
      <c r="H2426" s="114">
        <f>ROUND(((1+$H$4)^(30/360))^(C2426/(EDATE(D2426-B2426,1)-(D2426-B2426))),9)</f>
        <v/>
      </c>
      <c r="I2426" s="114">
        <f>TRUNC((G2426*H2426-G2426),8)</f>
        <v/>
      </c>
      <c r="J2426" s="114">
        <f>G2426+I2426</f>
        <v/>
      </c>
      <c r="K2426" s="119">
        <f>I2426</f>
        <v/>
      </c>
      <c r="L2426" s="120">
        <f>TRUNC(G2426*VLOOKUP(D2426,'Amort TS'!$G$3:$H$140,2,0),8)</f>
        <v/>
      </c>
      <c r="M2426" s="120" t="n">
        <v>0</v>
      </c>
      <c r="N2426" s="120">
        <f>J2426-K2426-L2426-M2426</f>
        <v/>
      </c>
      <c r="O2426" s="256" t="n"/>
      <c r="P2426" s="256" t="n"/>
      <c r="Q2426" s="256" t="n"/>
    </row>
    <row r="2427">
      <c r="A2427">
        <f>IF(DAY(D2427)=DAY($L$1+1),A2426+1,A2426)</f>
        <v/>
      </c>
      <c r="B2427" s="46">
        <f>IF(DAY(D2427)=DAY($L$1+1),1,B2426+1)</f>
        <v/>
      </c>
      <c r="C2427" s="46">
        <f>IF(DAY(D2427)=DAY($L$1+1),1,C2426+1)</f>
        <v/>
      </c>
      <c r="D2427" s="2">
        <f>D2426+1</f>
        <v/>
      </c>
      <c r="E2427" s="8">
        <f>IF(DAY(D2427)=DAY($L$1+1),TRUNC((N2426),8),E2426)</f>
        <v/>
      </c>
      <c r="F2427" s="49">
        <f>TRUNC(((1+VLOOKUP(A2427,IPCA!$A$2:$C$140,3,0)))^(C2427/(EDATE(D2427-C2427,1)-(D2427-C2427))),8)</f>
        <v/>
      </c>
      <c r="G2427" s="49">
        <f>TRUNC((E2427*F2427),8)</f>
        <v/>
      </c>
      <c r="H2427" s="49">
        <f>ROUND(((1+$H$4)^(30/360))^(C2427/(EDATE(D2427-B2427,1)-(D2427-B2427))),9)</f>
        <v/>
      </c>
      <c r="I2427" s="49">
        <f>TRUNC((G2427*H2427-G2427),8)</f>
        <v/>
      </c>
      <c r="J2427" s="49">
        <f>G2427+I2427</f>
        <v/>
      </c>
      <c r="K2427" s="121">
        <f>K2426*L2424</f>
        <v/>
      </c>
      <c r="L2427" s="121">
        <f>L2426*L2424</f>
        <v/>
      </c>
      <c r="M2427" s="121">
        <f>M2426*L2424</f>
        <v/>
      </c>
      <c r="N2427" s="121">
        <f>N2426*L2424</f>
        <v/>
      </c>
      <c r="O2427" s="256" t="n"/>
      <c r="P2427" s="256" t="n"/>
      <c r="Q2427" s="256" t="n"/>
    </row>
    <row r="2428">
      <c r="A2428">
        <f>IF(DAY(D2428)=DAY($L$1+1),A2427+1,A2427)</f>
        <v/>
      </c>
      <c r="B2428" s="46">
        <f>IF(DAY(D2428)=DAY($L$1+1),1,B2427+1)</f>
        <v/>
      </c>
      <c r="C2428" s="46">
        <f>IF(DAY(D2428)=DAY($L$1+1),1,C2427+1)</f>
        <v/>
      </c>
      <c r="D2428" s="47">
        <f>D2427+1</f>
        <v/>
      </c>
      <c r="E2428" s="8">
        <f>IF(DAY(D2428)=DAY($L$1+1),TRUNC((N2427),8),E2427)</f>
        <v/>
      </c>
      <c r="F2428" s="49">
        <f>TRUNC(((1+VLOOKUP(A2428,IPCA!$A$2:$C$140,3,0)))^(C2428/(EDATE(D2428-C2428,1)-(D2428-C2428))),8)</f>
        <v/>
      </c>
      <c r="G2428" s="49">
        <f>TRUNC((E2428*F2428),8)</f>
        <v/>
      </c>
      <c r="H2428" s="49">
        <f>ROUND(((1+$H$4)^(30/360))^(C2428/(EDATE(D2428-B2428,1)-(D2428-B2428))),9)</f>
        <v/>
      </c>
      <c r="I2428" s="49">
        <f>TRUNC((G2428*H2428-G2428),8)</f>
        <v/>
      </c>
      <c r="J2428" s="49">
        <f>G2428+I2428</f>
        <v/>
      </c>
      <c r="K2428" s="256" t="n"/>
      <c r="L2428" s="256" t="n"/>
      <c r="M2428" s="256" t="n"/>
      <c r="N2428" s="256" t="n"/>
      <c r="O2428" s="256" t="n"/>
      <c r="P2428" s="256" t="n"/>
      <c r="Q2428" s="256" t="n"/>
    </row>
    <row r="2429">
      <c r="A2429">
        <f>IF(DAY(D2429)=DAY($L$1+1),A2428+1,A2428)</f>
        <v/>
      </c>
      <c r="B2429" s="1">
        <f>IF(DAY(D2429)=DAY($L$1+1),1,B2428+1)</f>
        <v/>
      </c>
      <c r="C2429" s="1">
        <f>IF(DAY(D2429)=DAY($L$1+1),1,C2428+1)</f>
        <v/>
      </c>
      <c r="D2429" s="2">
        <f>D2428+1</f>
        <v/>
      </c>
      <c r="E2429" s="8">
        <f>IF(DAY(D2429)=DAY($L$1+1),TRUNC((#REF!),8),E2428)</f>
        <v/>
      </c>
      <c r="F2429" s="49">
        <f>TRUNC(((1+VLOOKUP(A2429,IPCA!$A$2:$C$140,3,0)))^(C2429/(EDATE(D2429-C2429,1)-(D2429-C2429))),8)</f>
        <v/>
      </c>
      <c r="G2429" s="44">
        <f>TRUNC((E2429*F2429),8)</f>
        <v/>
      </c>
      <c r="H2429" s="44">
        <f>ROUND(((1+$H$4)^(30/360))^(C2429/(EDATE(D2429-B2429,1)-(D2429-B2429))),9)</f>
        <v/>
      </c>
      <c r="I2429" s="44">
        <f>TRUNC((G2429*H2429-G2429),8)</f>
        <v/>
      </c>
      <c r="J2429" s="49">
        <f>G2429+I2429</f>
        <v/>
      </c>
      <c r="K2429" s="256" t="n"/>
      <c r="L2429" s="256" t="n"/>
      <c r="M2429" s="256" t="n"/>
      <c r="N2429" s="256" t="n"/>
      <c r="O2429" s="256" t="n"/>
      <c r="P2429" s="256" t="n"/>
      <c r="Q2429" s="256" t="n"/>
    </row>
    <row r="2430">
      <c r="A2430">
        <f>IF(DAY(D2430)=DAY($L$1+1),A2429+1,A2429)</f>
        <v/>
      </c>
      <c r="B2430" s="46">
        <f>IF(DAY(D2430)=DAY($L$1+1),1,B2429+1)</f>
        <v/>
      </c>
      <c r="C2430" s="46">
        <f>IF(DAY(D2430)=DAY($L$1+1),1,C2429+1)</f>
        <v/>
      </c>
      <c r="D2430" s="2">
        <f>D2429+1</f>
        <v/>
      </c>
      <c r="E2430" s="8">
        <f>IF(DAY(D2430)=DAY($L$1+1),TRUNC((#REF!),8),E2429)</f>
        <v/>
      </c>
      <c r="F2430" s="49">
        <f>TRUNC(((1+VLOOKUP(A2430,IPCA!$A$2:$C$140,3,0)))^(C2430/(EDATE(D2430-C2430,1)-(D2430-C2430))),8)</f>
        <v/>
      </c>
      <c r="G2430" s="44">
        <f>TRUNC((E2430*F2430),8)</f>
        <v/>
      </c>
      <c r="H2430" s="44">
        <f>ROUND(((1+$H$4)^(30/360))^(C2430/(EDATE(D2430-B2430,1)-(D2430-B2430))),9)</f>
        <v/>
      </c>
      <c r="I2430" s="44">
        <f>TRUNC((G2430*H2430-G2430),8)</f>
        <v/>
      </c>
      <c r="J2430" s="49">
        <f>G2430+I2430</f>
        <v/>
      </c>
      <c r="K2430" s="256" t="n"/>
      <c r="L2430" s="256" t="n"/>
      <c r="M2430" s="256" t="n"/>
      <c r="N2430" s="256" t="n"/>
      <c r="O2430" s="256" t="n"/>
      <c r="P2430" s="256" t="n"/>
      <c r="Q2430" s="256" t="n"/>
    </row>
    <row r="2431">
      <c r="A2431">
        <f>IF(DAY(D2431)=DAY($L$1+1),A2430+1,A2430)</f>
        <v/>
      </c>
      <c r="B2431" s="1">
        <f>IF(DAY(D2431)=DAY($L$1+1),1,B2430+1)</f>
        <v/>
      </c>
      <c r="C2431" s="1">
        <f>IF(DAY(D2431)=DAY($L$1+1),1,C2430+1)</f>
        <v/>
      </c>
      <c r="D2431" s="2">
        <f>D2430+1</f>
        <v/>
      </c>
      <c r="E2431" s="8">
        <f>IF(DAY(D2431)=DAY($L$1+1),TRUNC((#REF!),8),E2430)</f>
        <v/>
      </c>
      <c r="F2431" s="49">
        <f>TRUNC(((1+VLOOKUP(A2431,IPCA!$A$2:$C$140,3,0)))^(C2431/(EDATE(D2431-C2431,1)-(D2431-C2431))),8)</f>
        <v/>
      </c>
      <c r="G2431" s="44">
        <f>TRUNC((E2431*F2431),8)</f>
        <v/>
      </c>
      <c r="H2431" s="44">
        <f>ROUND(((1+$H$4)^(30/360))^(C2431/(EDATE(D2431-B2431,1)-(D2431-B2431))),9)</f>
        <v/>
      </c>
      <c r="I2431" s="44">
        <f>TRUNC((G2431*H2431-G2431),8)</f>
        <v/>
      </c>
      <c r="J2431" s="49">
        <f>G2431+I2431</f>
        <v/>
      </c>
      <c r="K2431" s="256" t="n"/>
      <c r="L2431" s="256" t="n"/>
      <c r="M2431" s="256" t="n"/>
      <c r="N2431" s="256" t="n"/>
      <c r="O2431" s="256" t="n"/>
      <c r="P2431" s="256" t="n"/>
      <c r="Q2431" s="256" t="n"/>
    </row>
    <row r="2432">
      <c r="A2432">
        <f>IF(DAY(D2432)=DAY($L$1+1),A2431+1,A2431)</f>
        <v/>
      </c>
      <c r="B2432" s="46">
        <f>IF(DAY(D2432)=DAY($L$1+1),1,B2431+1)</f>
        <v/>
      </c>
      <c r="C2432" s="46">
        <f>IF(DAY(D2432)=DAY($L$1+1),1,C2431+1)</f>
        <v/>
      </c>
      <c r="D2432" s="2">
        <f>D2431+1</f>
        <v/>
      </c>
      <c r="E2432" s="8">
        <f>IF(DAY(D2432)=DAY($L$1+1),TRUNC((#REF!),8),E2431)</f>
        <v/>
      </c>
      <c r="F2432" s="49">
        <f>TRUNC(((1+VLOOKUP(A2432,IPCA!$A$2:$C$140,3,0)))^(C2432/(EDATE(D2432-C2432,1)-(D2432-C2432))),8)</f>
        <v/>
      </c>
      <c r="G2432" s="44">
        <f>TRUNC((E2432*F2432),8)</f>
        <v/>
      </c>
      <c r="H2432" s="44">
        <f>ROUND(((1+$H$4)^(30/360))^(C2432/(EDATE(D2432-B2432,1)-(D2432-B2432))),9)</f>
        <v/>
      </c>
      <c r="I2432" s="44">
        <f>TRUNC((G2432*H2432-G2432),8)</f>
        <v/>
      </c>
      <c r="J2432" s="49">
        <f>G2432+I2432</f>
        <v/>
      </c>
      <c r="K2432" s="256" t="n"/>
      <c r="L2432" s="256" t="n"/>
      <c r="M2432" s="256" t="n"/>
      <c r="N2432" s="256" t="n"/>
      <c r="O2432" s="256" t="n"/>
      <c r="P2432" s="256" t="n"/>
      <c r="Q2432" s="256" t="n"/>
    </row>
    <row r="2433">
      <c r="A2433">
        <f>IF(DAY(D2433)=DAY($L$1+1),A2432+1,A2432)</f>
        <v/>
      </c>
      <c r="B2433" s="1">
        <f>IF(DAY(D2433)=DAY($L$1+1),1,B2432+1)</f>
        <v/>
      </c>
      <c r="C2433" s="1">
        <f>IF(DAY(D2433)=DAY($L$1+1),1,C2432+1)</f>
        <v/>
      </c>
      <c r="D2433" s="2">
        <f>D2432+1</f>
        <v/>
      </c>
      <c r="E2433" s="8">
        <f>IF(DAY(D2433)=DAY($L$1+1),TRUNC((#REF!),8),E2432)</f>
        <v/>
      </c>
      <c r="F2433" s="49">
        <f>TRUNC(((1+VLOOKUP(A2433,IPCA!$A$2:$C$140,3,0)))^(C2433/(EDATE(D2433-C2433,1)-(D2433-C2433))),8)</f>
        <v/>
      </c>
      <c r="G2433" s="44">
        <f>TRUNC((E2433*F2433),8)</f>
        <v/>
      </c>
      <c r="H2433" s="44">
        <f>ROUND(((1+$H$4)^(30/360))^(C2433/(EDATE(D2433-B2433,1)-(D2433-B2433))),9)</f>
        <v/>
      </c>
      <c r="I2433" s="44">
        <f>TRUNC((G2433*H2433-G2433),8)</f>
        <v/>
      </c>
      <c r="J2433" s="49">
        <f>G2433+I2433</f>
        <v/>
      </c>
      <c r="K2433" s="256" t="n"/>
      <c r="L2433" s="256" t="n"/>
      <c r="M2433" s="256" t="n"/>
      <c r="N2433" s="256" t="n"/>
      <c r="O2433" s="256" t="n"/>
      <c r="P2433" s="256" t="n"/>
      <c r="Q2433" s="256" t="n"/>
    </row>
    <row r="2434">
      <c r="A2434">
        <f>IF(DAY(D2434)=DAY($L$1+1),A2433+1,A2433)</f>
        <v/>
      </c>
      <c r="B2434" s="46">
        <f>IF(DAY(D2434)=DAY($L$1+1),1,B2433+1)</f>
        <v/>
      </c>
      <c r="C2434" s="46">
        <f>IF(DAY(D2434)=DAY($L$1+1),1,C2433+1)</f>
        <v/>
      </c>
      <c r="D2434" s="2">
        <f>D2433+1</f>
        <v/>
      </c>
      <c r="E2434" s="8">
        <f>IF(DAY(D2434)=DAY($L$1+1),TRUNC((#REF!),8),E2433)</f>
        <v/>
      </c>
      <c r="F2434" s="49">
        <f>TRUNC(((1+VLOOKUP(A2434,IPCA!$A$2:$C$140,3,0)))^(C2434/(EDATE(D2434-C2434,1)-(D2434-C2434))),8)</f>
        <v/>
      </c>
      <c r="G2434" s="44">
        <f>TRUNC((E2434*F2434),8)</f>
        <v/>
      </c>
      <c r="H2434" s="44">
        <f>ROUND(((1+$H$4)^(30/360))^(C2434/(EDATE(D2434-B2434,1)-(D2434-B2434))),9)</f>
        <v/>
      </c>
      <c r="I2434" s="44">
        <f>TRUNC((G2434*H2434-G2434),8)</f>
        <v/>
      </c>
      <c r="J2434" s="49">
        <f>G2434+I2434</f>
        <v/>
      </c>
      <c r="K2434" s="256" t="n"/>
      <c r="L2434" s="256" t="n"/>
      <c r="M2434" s="256" t="n"/>
      <c r="N2434" s="256" t="n"/>
      <c r="O2434" s="256" t="n"/>
      <c r="P2434" s="256" t="n"/>
      <c r="Q2434" s="256" t="n"/>
    </row>
    <row r="2435">
      <c r="A2435">
        <f>IF(DAY(D2435)=DAY($L$1+1),A2434+1,A2434)</f>
        <v/>
      </c>
      <c r="B2435" s="1">
        <f>IF(DAY(D2435)=DAY($L$1+1),1,B2434+1)</f>
        <v/>
      </c>
      <c r="C2435" s="1">
        <f>IF(DAY(D2435)=DAY($L$1+1),1,C2434+1)</f>
        <v/>
      </c>
      <c r="D2435" s="2">
        <f>D2434+1</f>
        <v/>
      </c>
      <c r="E2435" s="8">
        <f>IF(DAY(D2435)=DAY($L$1+1),TRUNC((#REF!),8),E2434)</f>
        <v/>
      </c>
      <c r="F2435" s="49">
        <f>TRUNC(((1+VLOOKUP(A2435,IPCA!$A$2:$C$140,3,0)))^(C2435/(EDATE(D2435-C2435,1)-(D2435-C2435))),8)</f>
        <v/>
      </c>
      <c r="G2435" s="44">
        <f>TRUNC((E2435*F2435),8)</f>
        <v/>
      </c>
      <c r="H2435" s="44">
        <f>ROUND(((1+$H$4)^(30/360))^(C2435/(EDATE(D2435-B2435,1)-(D2435-B2435))),9)</f>
        <v/>
      </c>
      <c r="I2435" s="44">
        <f>TRUNC((G2435*H2435-G2435),8)</f>
        <v/>
      </c>
      <c r="J2435" s="49">
        <f>G2435+I2435</f>
        <v/>
      </c>
      <c r="K2435" s="256" t="n"/>
      <c r="L2435" s="256" t="n"/>
      <c r="M2435" s="256" t="n"/>
      <c r="N2435" s="256" t="n"/>
      <c r="O2435" s="256" t="n"/>
      <c r="P2435" s="256" t="n"/>
      <c r="Q2435" s="256" t="n"/>
    </row>
    <row r="2436">
      <c r="A2436">
        <f>IF(DAY(D2436)=DAY($L$1+1),A2435+1,A2435)</f>
        <v/>
      </c>
      <c r="B2436" s="46">
        <f>IF(DAY(D2436)=DAY($L$1+1),1,B2435+1)</f>
        <v/>
      </c>
      <c r="C2436" s="46">
        <f>IF(DAY(D2436)=DAY($L$1+1),1,C2435+1)</f>
        <v/>
      </c>
      <c r="D2436" s="2">
        <f>D2435+1</f>
        <v/>
      </c>
      <c r="E2436" s="8">
        <f>IF(DAY(D2436)=DAY($L$1+1),TRUNC((#REF!),8),E2435)</f>
        <v/>
      </c>
      <c r="F2436" s="49">
        <f>TRUNC(((1+VLOOKUP(A2436,IPCA!$A$2:$C$140,3,0)))^(C2436/(EDATE(D2436-C2436,1)-(D2436-C2436))),8)</f>
        <v/>
      </c>
      <c r="G2436" s="44">
        <f>TRUNC((E2436*F2436),8)</f>
        <v/>
      </c>
      <c r="H2436" s="44">
        <f>ROUND(((1+$H$4)^(30/360))^(C2436/(EDATE(D2436-B2436,1)-(D2436-B2436))),9)</f>
        <v/>
      </c>
      <c r="I2436" s="44">
        <f>TRUNC((G2436*H2436-G2436),8)</f>
        <v/>
      </c>
      <c r="J2436" s="49">
        <f>G2436+I2436</f>
        <v/>
      </c>
      <c r="K2436" s="256" t="n"/>
      <c r="L2436" s="256" t="n"/>
      <c r="M2436" s="256" t="n"/>
      <c r="N2436" s="256" t="n"/>
      <c r="O2436" s="256" t="n"/>
      <c r="P2436" s="256" t="n"/>
      <c r="Q2436" s="256" t="n"/>
    </row>
    <row r="2437">
      <c r="A2437">
        <f>IF(DAY(D2437)=DAY($L$1+1),A2436+1,A2436)</f>
        <v/>
      </c>
      <c r="B2437" s="1">
        <f>IF(DAY(D2437)=DAY($L$1+1),1,B2436+1)</f>
        <v/>
      </c>
      <c r="C2437" s="1">
        <f>IF(DAY(D2437)=DAY($L$1+1),1,C2436+1)</f>
        <v/>
      </c>
      <c r="D2437" s="2">
        <f>D2436+1</f>
        <v/>
      </c>
      <c r="E2437" s="8">
        <f>IF(DAY(D2437)=DAY($L$1+1),TRUNC((#REF!),8),E2436)</f>
        <v/>
      </c>
      <c r="F2437" s="49">
        <f>TRUNC(((1+VLOOKUP(A2437,IPCA!$A$2:$C$140,3,0)))^(C2437/(EDATE(D2437-C2437,1)-(D2437-C2437))),8)</f>
        <v/>
      </c>
      <c r="G2437" s="44">
        <f>TRUNC((E2437*F2437),8)</f>
        <v/>
      </c>
      <c r="H2437" s="44">
        <f>ROUND(((1+$H$4)^(30/360))^(C2437/(EDATE(D2437-B2437,1)-(D2437-B2437))),9)</f>
        <v/>
      </c>
      <c r="I2437" s="44">
        <f>TRUNC((G2437*H2437-G2437),8)</f>
        <v/>
      </c>
      <c r="J2437" s="49">
        <f>G2437+I2437</f>
        <v/>
      </c>
      <c r="K2437" s="256" t="n"/>
      <c r="L2437" s="256" t="n"/>
      <c r="M2437" s="256" t="n"/>
      <c r="N2437" s="256" t="n"/>
      <c r="O2437" s="256" t="n"/>
      <c r="P2437" s="256" t="n"/>
      <c r="Q2437" s="256" t="n"/>
    </row>
    <row r="2438">
      <c r="A2438">
        <f>IF(DAY(D2438)=DAY($L$1+1),A2437+1,A2437)</f>
        <v/>
      </c>
      <c r="B2438" s="46">
        <f>IF(DAY(D2438)=DAY($L$1+1),1,B2437+1)</f>
        <v/>
      </c>
      <c r="C2438" s="46">
        <f>IF(DAY(D2438)=DAY($L$1+1),1,C2437+1)</f>
        <v/>
      </c>
      <c r="D2438" s="2">
        <f>D2437+1</f>
        <v/>
      </c>
      <c r="E2438" s="8">
        <f>IF(DAY(D2438)=DAY($L$1+1),TRUNC((#REF!),8),E2437)</f>
        <v/>
      </c>
      <c r="F2438" s="49">
        <f>TRUNC(((1+VLOOKUP(A2438,IPCA!$A$2:$C$140,3,0)))^(C2438/(EDATE(D2438-C2438,1)-(D2438-C2438))),8)</f>
        <v/>
      </c>
      <c r="G2438" s="44">
        <f>TRUNC((E2438*F2438),8)</f>
        <v/>
      </c>
      <c r="H2438" s="44">
        <f>ROUND(((1+$H$4)^(30/360))^(C2438/(EDATE(D2438-B2438,1)-(D2438-B2438))),9)</f>
        <v/>
      </c>
      <c r="I2438" s="44">
        <f>TRUNC((G2438*H2438-G2438),8)</f>
        <v/>
      </c>
      <c r="J2438" s="49">
        <f>G2438+I2438</f>
        <v/>
      </c>
      <c r="K2438" s="256" t="n"/>
      <c r="L2438" s="256" t="n"/>
      <c r="M2438" s="256" t="n"/>
      <c r="N2438" s="256" t="n"/>
      <c r="O2438" s="256" t="n"/>
      <c r="P2438" s="256" t="n"/>
      <c r="Q2438" s="256" t="n"/>
    </row>
    <row r="2439">
      <c r="A2439">
        <f>IF(DAY(D2439)=DAY($L$1+1),A2438+1,A2438)</f>
        <v/>
      </c>
      <c r="B2439" s="1">
        <f>IF(DAY(D2439)=DAY($L$1+1),1,B2438+1)</f>
        <v/>
      </c>
      <c r="C2439" s="1">
        <f>IF(DAY(D2439)=DAY($L$1+1),1,C2438+1)</f>
        <v/>
      </c>
      <c r="D2439" s="2">
        <f>D2438+1</f>
        <v/>
      </c>
      <c r="E2439" s="8">
        <f>IF(DAY(D2439)=DAY($L$1+1),TRUNC((#REF!),8),E2438)</f>
        <v/>
      </c>
      <c r="F2439" s="49">
        <f>TRUNC(((1+VLOOKUP(A2439,IPCA!$A$2:$C$140,3,0)))^(C2439/(EDATE(D2439-C2439,1)-(D2439-C2439))),8)</f>
        <v/>
      </c>
      <c r="G2439" s="44">
        <f>TRUNC((E2439*F2439),8)</f>
        <v/>
      </c>
      <c r="H2439" s="44">
        <f>ROUND(((1+$H$4)^(30/360))^(C2439/(EDATE(D2439-B2439,1)-(D2439-B2439))),9)</f>
        <v/>
      </c>
      <c r="I2439" s="44">
        <f>TRUNC((G2439*H2439-G2439),8)</f>
        <v/>
      </c>
      <c r="J2439" s="49">
        <f>G2439+I2439</f>
        <v/>
      </c>
      <c r="K2439" s="256" t="n"/>
      <c r="L2439" s="256" t="n"/>
      <c r="M2439" s="256" t="n"/>
      <c r="N2439" s="256" t="n"/>
      <c r="O2439" s="256" t="n"/>
      <c r="P2439" s="256" t="n"/>
      <c r="Q2439" s="256" t="n"/>
    </row>
    <row r="2440">
      <c r="A2440">
        <f>IF(DAY(D2440)=DAY($L$1+1),A2439+1,A2439)</f>
        <v/>
      </c>
      <c r="B2440" s="46">
        <f>IF(DAY(D2440)=DAY($L$1+1),1,B2439+1)</f>
        <v/>
      </c>
      <c r="C2440" s="46">
        <f>IF(DAY(D2440)=DAY($L$1+1),1,C2439+1)</f>
        <v/>
      </c>
      <c r="D2440" s="2">
        <f>D2439+1</f>
        <v/>
      </c>
      <c r="E2440" s="8">
        <f>IF(DAY(D2440)=DAY($L$1+1),TRUNC((#REF!),8),E2439)</f>
        <v/>
      </c>
      <c r="F2440" s="49">
        <f>TRUNC(((1+VLOOKUP(A2440,IPCA!$A$2:$C$140,3,0)))^(C2440/(EDATE(D2440-C2440,1)-(D2440-C2440))),8)</f>
        <v/>
      </c>
      <c r="G2440" s="44">
        <f>TRUNC((E2440*F2440),8)</f>
        <v/>
      </c>
      <c r="H2440" s="44">
        <f>ROUND(((1+$H$4)^(30/360))^(C2440/(EDATE(D2440-B2440,1)-(D2440-B2440))),9)</f>
        <v/>
      </c>
      <c r="I2440" s="44">
        <f>TRUNC((G2440*H2440-G2440),8)</f>
        <v/>
      </c>
      <c r="J2440" s="49">
        <f>G2440+I2440</f>
        <v/>
      </c>
      <c r="K2440" s="256" t="n"/>
      <c r="L2440" s="256" t="n"/>
      <c r="M2440" s="256" t="n"/>
      <c r="N2440" s="256" t="n"/>
      <c r="O2440" s="256" t="n"/>
      <c r="P2440" s="256" t="n"/>
      <c r="Q2440" s="256" t="n"/>
    </row>
    <row r="2441">
      <c r="A2441">
        <f>IF(DAY(D2441)=DAY($L$1+1),A2440+1,A2440)</f>
        <v/>
      </c>
      <c r="B2441" s="1">
        <f>IF(DAY(D2441)=DAY($L$1+1),1,B2440+1)</f>
        <v/>
      </c>
      <c r="C2441" s="1">
        <f>IF(DAY(D2441)=DAY($L$1+1),1,C2440+1)</f>
        <v/>
      </c>
      <c r="D2441" s="2">
        <f>D2440+1</f>
        <v/>
      </c>
      <c r="E2441" s="8">
        <f>IF(DAY(D2441)=DAY($L$1+1),TRUNC((#REF!),8),E2440)</f>
        <v/>
      </c>
      <c r="F2441" s="49">
        <f>TRUNC(((1+VLOOKUP(A2441,IPCA!$A$2:$C$140,3,0)))^(C2441/(EDATE(D2441-C2441,1)-(D2441-C2441))),8)</f>
        <v/>
      </c>
      <c r="G2441" s="44">
        <f>TRUNC((E2441*F2441),8)</f>
        <v/>
      </c>
      <c r="H2441" s="44">
        <f>ROUND(((1+$H$4)^(30/360))^(C2441/(EDATE(D2441-B2441,1)-(D2441-B2441))),9)</f>
        <v/>
      </c>
      <c r="I2441" s="44">
        <f>TRUNC((G2441*H2441-G2441),8)</f>
        <v/>
      </c>
      <c r="J2441" s="49">
        <f>G2441+I2441</f>
        <v/>
      </c>
      <c r="K2441" s="256" t="n"/>
      <c r="L2441" s="256" t="n"/>
      <c r="M2441" s="256" t="n"/>
      <c r="N2441" s="256" t="n"/>
      <c r="O2441" s="256" t="n"/>
      <c r="P2441" s="256" t="n"/>
      <c r="Q2441" s="256" t="n"/>
    </row>
    <row r="2442">
      <c r="A2442">
        <f>IF(DAY(D2442)=DAY($L$1+1),A2441+1,A2441)</f>
        <v/>
      </c>
      <c r="B2442" s="46">
        <f>IF(DAY(D2442)=DAY($L$1+1),1,B2441+1)</f>
        <v/>
      </c>
      <c r="C2442" s="46">
        <f>IF(DAY(D2442)=DAY($L$1+1),1,C2441+1)</f>
        <v/>
      </c>
      <c r="D2442" s="2">
        <f>D2441+1</f>
        <v/>
      </c>
      <c r="E2442" s="8">
        <f>IF(DAY(D2442)=DAY($L$1+1),TRUNC((#REF!),8),E2441)</f>
        <v/>
      </c>
      <c r="F2442" s="49">
        <f>TRUNC(((1+VLOOKUP(A2442,IPCA!$A$2:$C$140,3,0)))^(C2442/(EDATE(D2442-C2442,1)-(D2442-C2442))),8)</f>
        <v/>
      </c>
      <c r="G2442" s="44">
        <f>TRUNC((E2442*F2442),8)</f>
        <v/>
      </c>
      <c r="H2442" s="44">
        <f>ROUND(((1+$H$4)^(30/360))^(C2442/(EDATE(D2442-B2442,1)-(D2442-B2442))),9)</f>
        <v/>
      </c>
      <c r="I2442" s="44">
        <f>TRUNC((G2442*H2442-G2442),8)</f>
        <v/>
      </c>
      <c r="J2442" s="49">
        <f>G2442+I2442</f>
        <v/>
      </c>
      <c r="K2442" s="256" t="n"/>
      <c r="L2442" s="256" t="n"/>
      <c r="M2442" s="256" t="n"/>
      <c r="N2442" s="256" t="n"/>
      <c r="O2442" s="256" t="n"/>
      <c r="P2442" s="256" t="n"/>
      <c r="Q2442" s="256" t="n"/>
    </row>
    <row r="2443">
      <c r="A2443">
        <f>IF(DAY(D2443)=DAY($L$1+1),A2442+1,A2442)</f>
        <v/>
      </c>
      <c r="B2443" s="1">
        <f>IF(DAY(D2443)=DAY($L$1+1),1,B2442+1)</f>
        <v/>
      </c>
      <c r="C2443" s="1">
        <f>IF(DAY(D2443)=DAY($L$1+1),1,C2442+1)</f>
        <v/>
      </c>
      <c r="D2443" s="2">
        <f>D2442+1</f>
        <v/>
      </c>
      <c r="E2443" s="8">
        <f>IF(DAY(D2443)=DAY($L$1+1),TRUNC((#REF!),8),E2442)</f>
        <v/>
      </c>
      <c r="F2443" s="49">
        <f>TRUNC(((1+VLOOKUP(A2443,IPCA!$A$2:$C$140,3,0)))^(C2443/(EDATE(D2443-C2443,1)-(D2443-C2443))),8)</f>
        <v/>
      </c>
      <c r="G2443" s="44">
        <f>TRUNC((E2443*F2443),8)</f>
        <v/>
      </c>
      <c r="H2443" s="44">
        <f>ROUND(((1+$H$4)^(30/360))^(C2443/(EDATE(D2443-B2443,1)-(D2443-B2443))),9)</f>
        <v/>
      </c>
      <c r="I2443" s="44">
        <f>TRUNC((G2443*H2443-G2443),8)</f>
        <v/>
      </c>
      <c r="J2443" s="49">
        <f>G2443+I2443</f>
        <v/>
      </c>
      <c r="K2443" s="256" t="n"/>
      <c r="L2443" s="256" t="n"/>
      <c r="M2443" s="256" t="n"/>
      <c r="N2443" s="256" t="n"/>
      <c r="O2443" s="256" t="n"/>
      <c r="P2443" s="256" t="n"/>
      <c r="Q2443" s="256" t="n"/>
    </row>
    <row r="2444">
      <c r="A2444">
        <f>IF(DAY(D2444)=DAY($L$1+1),A2443+1,A2443)</f>
        <v/>
      </c>
      <c r="B2444" s="46">
        <f>IF(DAY(D2444)=DAY($L$1+1),1,B2443+1)</f>
        <v/>
      </c>
      <c r="C2444" s="46">
        <f>IF(DAY(D2444)=DAY($L$1+1),1,C2443+1)</f>
        <v/>
      </c>
      <c r="D2444" s="2">
        <f>D2443+1</f>
        <v/>
      </c>
      <c r="E2444" s="8">
        <f>IF(DAY(D2444)=DAY($L$1+1),TRUNC((N2443),8),E2443)</f>
        <v/>
      </c>
      <c r="F2444" s="49">
        <f>TRUNC(((1+VLOOKUP(A2444,IPCA!$A$2:$C$140,3,0)))^(C2444/(EDATE(D2444-C2444,1)-(D2444-C2444))),8)</f>
        <v/>
      </c>
      <c r="G2444" s="44">
        <f>TRUNC((E2444*F2444),8)</f>
        <v/>
      </c>
      <c r="H2444" s="44">
        <f>ROUND(((1+$H$4)^(30/360))^(C2444/(EDATE(D2444-B2444,1)-(D2444-B2444))),9)</f>
        <v/>
      </c>
      <c r="I2444" s="44">
        <f>TRUNC((G2444*H2444-G2444),8)</f>
        <v/>
      </c>
      <c r="J2444" s="49">
        <f>G2444+I2444</f>
        <v/>
      </c>
      <c r="K2444" s="256" t="n"/>
      <c r="L2444" s="256" t="n"/>
      <c r="M2444" s="256" t="n"/>
      <c r="N2444" s="256" t="n"/>
      <c r="O2444" s="256" t="n"/>
      <c r="P2444" s="256" t="n"/>
      <c r="Q2444" s="256" t="n"/>
    </row>
    <row r="2445">
      <c r="A2445">
        <f>IF(DAY(D2445)=DAY($L$1+1),A2444+1,A2444)</f>
        <v/>
      </c>
      <c r="B2445" s="1">
        <f>IF(DAY(D2445)=DAY($L$1+1),1,B2444+1)</f>
        <v/>
      </c>
      <c r="C2445" s="1">
        <f>IF(DAY(D2445)=DAY($L$1+1),1,C2444+1)</f>
        <v/>
      </c>
      <c r="D2445" s="2">
        <f>D2444+1</f>
        <v/>
      </c>
      <c r="E2445" s="8">
        <f>IF(DAY(D2445)=DAY($L$1+1),TRUNC((N2444),8),E2444)</f>
        <v/>
      </c>
      <c r="F2445" s="49">
        <f>TRUNC(((1+VLOOKUP(A2445,IPCA!$A$2:$C$140,3,0)))^(C2445/(EDATE(D2445-C2445,1)-(D2445-C2445))),8)</f>
        <v/>
      </c>
      <c r="G2445" s="44">
        <f>TRUNC((E2445*F2445),8)</f>
        <v/>
      </c>
      <c r="H2445" s="44">
        <f>ROUND(((1+$H$4)^(30/360))^(C2445/(EDATE(D2445-B2445,1)-(D2445-B2445))),9)</f>
        <v/>
      </c>
      <c r="I2445" s="44">
        <f>TRUNC((G2445*H2445-G2445),8)</f>
        <v/>
      </c>
      <c r="J2445" s="49">
        <f>G2445+I2445</f>
        <v/>
      </c>
      <c r="K2445" s="256" t="n"/>
      <c r="L2445" s="256" t="n"/>
      <c r="M2445" s="256" t="n"/>
      <c r="N2445" s="256" t="n"/>
      <c r="O2445" s="256" t="n"/>
      <c r="P2445" s="256" t="n"/>
      <c r="Q2445" s="256" t="n"/>
    </row>
    <row r="2446">
      <c r="A2446">
        <f>IF(DAY(D2446)=DAY($L$1+1),A2445+1,A2445)</f>
        <v/>
      </c>
      <c r="B2446" s="46">
        <f>IF(DAY(D2446)=DAY($L$1+1),1,B2445+1)</f>
        <v/>
      </c>
      <c r="C2446" s="46">
        <f>IF(DAY(D2446)=DAY($L$1+1),1,C2445+1)</f>
        <v/>
      </c>
      <c r="D2446" s="2">
        <f>D2445+1</f>
        <v/>
      </c>
      <c r="E2446" s="8">
        <f>IF(DAY(D2446)=DAY($L$1+1),TRUNC((N2445),8),E2445)</f>
        <v/>
      </c>
      <c r="F2446" s="49">
        <f>TRUNC(((1+VLOOKUP(A2446,IPCA!$A$2:$C$140,3,0)))^(C2446/(EDATE(D2446-C2446,1)-(D2446-C2446))),8)</f>
        <v/>
      </c>
      <c r="G2446" s="44">
        <f>TRUNC((E2446*F2446),8)</f>
        <v/>
      </c>
      <c r="H2446" s="44">
        <f>ROUND(((1+$H$4)^(30/360))^(C2446/(EDATE(D2446-B2446,1)-(D2446-B2446))),9)</f>
        <v/>
      </c>
      <c r="I2446" s="44">
        <f>TRUNC((G2446*H2446-G2446),8)</f>
        <v/>
      </c>
      <c r="J2446" s="49">
        <f>G2446+I2446</f>
        <v/>
      </c>
      <c r="K2446" s="256" t="n"/>
      <c r="L2446" s="256" t="n"/>
      <c r="M2446" s="256" t="n"/>
      <c r="N2446" s="256" t="n"/>
      <c r="O2446" s="256" t="n"/>
      <c r="P2446" s="256" t="n"/>
      <c r="Q2446" s="256" t="n"/>
    </row>
    <row r="2447">
      <c r="A2447">
        <f>IF(DAY(D2447)=DAY($L$1+1),A2446+1,A2446)</f>
        <v/>
      </c>
      <c r="B2447" s="1">
        <f>IF(DAY(D2447)=DAY($L$1+1),1,B2446+1)</f>
        <v/>
      </c>
      <c r="C2447" s="1">
        <f>IF(DAY(D2447)=DAY($L$1+1),1,C2446+1)</f>
        <v/>
      </c>
      <c r="D2447" s="2">
        <f>D2446+1</f>
        <v/>
      </c>
      <c r="E2447" s="8">
        <f>IF(DAY(D2447)=DAY($L$1+1),TRUNC((N2446),8),E2446)</f>
        <v/>
      </c>
      <c r="F2447" s="49">
        <f>TRUNC(((1+VLOOKUP(A2447,IPCA!$A$2:$C$140,3,0)))^(C2447/(EDATE(D2447-C2447,1)-(D2447-C2447))),8)</f>
        <v/>
      </c>
      <c r="G2447" s="44">
        <f>TRUNC((E2447*F2447),8)</f>
        <v/>
      </c>
      <c r="H2447" s="44">
        <f>ROUND(((1+$H$4)^(30/360))^(C2447/(EDATE(D2447-B2447,1)-(D2447-B2447))),9)</f>
        <v/>
      </c>
      <c r="I2447" s="44">
        <f>TRUNC((G2447*H2447-G2447),8)</f>
        <v/>
      </c>
      <c r="J2447" s="49">
        <f>G2447+I2447</f>
        <v/>
      </c>
      <c r="K2447" s="256" t="n"/>
      <c r="L2447" s="256" t="n"/>
      <c r="M2447" s="256" t="n"/>
      <c r="N2447" s="256" t="n"/>
      <c r="O2447" s="256" t="n"/>
      <c r="P2447" s="256" t="n"/>
      <c r="Q2447" s="256" t="n"/>
    </row>
    <row r="2448">
      <c r="A2448">
        <f>IF(DAY(D2448)=DAY($L$1+1),A2447+1,A2447)</f>
        <v/>
      </c>
      <c r="B2448" s="46">
        <f>IF(DAY(D2448)=DAY($L$1+1),1,B2447+1)</f>
        <v/>
      </c>
      <c r="C2448" s="46">
        <f>IF(DAY(D2448)=DAY($L$1+1),1,C2447+1)</f>
        <v/>
      </c>
      <c r="D2448" s="2">
        <f>D2447+1</f>
        <v/>
      </c>
      <c r="E2448" s="8">
        <f>IF(DAY(D2448)=DAY($L$1+1),TRUNC((N2447),8),E2447)</f>
        <v/>
      </c>
      <c r="F2448" s="49">
        <f>TRUNC(((1+VLOOKUP(A2448,IPCA!$A$2:$C$140,3,0)))^(C2448/(EDATE(D2448-C2448,1)-(D2448-C2448))),8)</f>
        <v/>
      </c>
      <c r="G2448" s="44">
        <f>TRUNC((E2448*F2448),8)</f>
        <v/>
      </c>
      <c r="H2448" s="44">
        <f>ROUND(((1+$H$4)^(30/360))^(C2448/(EDATE(D2448-B2448,1)-(D2448-B2448))),9)</f>
        <v/>
      </c>
      <c r="I2448" s="44">
        <f>TRUNC((G2448*H2448-G2448),8)</f>
        <v/>
      </c>
      <c r="J2448" s="49">
        <f>G2448+I2448</f>
        <v/>
      </c>
      <c r="K2448" s="256" t="n"/>
      <c r="L2448" s="256" t="n"/>
      <c r="M2448" s="256" t="n"/>
      <c r="N2448" s="256" t="n"/>
      <c r="O2448" s="256" t="n"/>
      <c r="P2448" s="256" t="n"/>
      <c r="Q2448" s="256" t="n"/>
    </row>
    <row r="2449">
      <c r="A2449">
        <f>IF(DAY(D2449)=DAY($L$1+1),A2448+1,A2448)</f>
        <v/>
      </c>
      <c r="B2449" s="1">
        <f>IF(DAY(D2449)=DAY($L$1+1),1,B2448+1)</f>
        <v/>
      </c>
      <c r="C2449" s="1">
        <f>IF(DAY(D2449)=DAY($L$1+1),1,C2448+1)</f>
        <v/>
      </c>
      <c r="D2449" s="2">
        <f>D2448+1</f>
        <v/>
      </c>
      <c r="E2449" s="8">
        <f>IF(DAY(D2449)=DAY($L$1+1),TRUNC((N2448),8),E2448)</f>
        <v/>
      </c>
      <c r="F2449" s="49">
        <f>TRUNC(((1+VLOOKUP(A2449,IPCA!$A$2:$C$140,3,0)))^(C2449/(EDATE(D2449-C2449,1)-(D2449-C2449))),8)</f>
        <v/>
      </c>
      <c r="G2449" s="44">
        <f>TRUNC((E2449*F2449),8)</f>
        <v/>
      </c>
      <c r="H2449" s="44">
        <f>ROUND(((1+$H$4)^(30/360))^(C2449/(EDATE(D2449-B2449,1)-(D2449-B2449))),9)</f>
        <v/>
      </c>
      <c r="I2449" s="44">
        <f>TRUNC((G2449*H2449-G2449),8)</f>
        <v/>
      </c>
      <c r="J2449" s="49">
        <f>G2449+I2449</f>
        <v/>
      </c>
      <c r="K2449" s="256" t="n"/>
      <c r="L2449" s="256" t="n"/>
      <c r="M2449" s="256" t="n"/>
      <c r="N2449" s="256" t="n"/>
      <c r="O2449" s="256" t="n"/>
      <c r="P2449" s="256" t="n"/>
      <c r="Q2449" s="256" t="n"/>
    </row>
    <row r="2450">
      <c r="A2450">
        <f>IF(DAY(D2450)=DAY($L$1+1),A2449+1,A2449)</f>
        <v/>
      </c>
      <c r="B2450" s="46">
        <f>IF(DAY(D2450)=DAY($L$1+1),1,B2449+1)</f>
        <v/>
      </c>
      <c r="C2450" s="46">
        <f>IF(DAY(D2450)=DAY($L$1+1),1,C2449+1)</f>
        <v/>
      </c>
      <c r="D2450" s="2">
        <f>D2449+1</f>
        <v/>
      </c>
      <c r="E2450" s="8">
        <f>IF(DAY(D2450)=DAY($L$1+1),TRUNC((N2449),8),E2449)</f>
        <v/>
      </c>
      <c r="F2450" s="49">
        <f>TRUNC(((1+VLOOKUP(A2450,IPCA!$A$2:$C$140,3,0)))^(C2450/(EDATE(D2450-C2450,1)-(D2450-C2450))),8)</f>
        <v/>
      </c>
      <c r="G2450" s="44">
        <f>TRUNC((E2450*F2450),8)</f>
        <v/>
      </c>
      <c r="H2450" s="44">
        <f>ROUND(((1+$H$4)^(30/360))^(C2450/(EDATE(D2450-B2450,1)-(D2450-B2450))),9)</f>
        <v/>
      </c>
      <c r="I2450" s="44">
        <f>TRUNC((G2450*H2450-G2450),8)</f>
        <v/>
      </c>
      <c r="J2450" s="49">
        <f>G2450+I2450</f>
        <v/>
      </c>
      <c r="K2450" s="256" t="n"/>
      <c r="L2450" s="256" t="n"/>
      <c r="M2450" s="256" t="n"/>
      <c r="N2450" s="256" t="n"/>
      <c r="O2450" s="256" t="n"/>
      <c r="P2450" s="256" t="n"/>
      <c r="Q2450" s="256" t="n"/>
    </row>
    <row r="2451">
      <c r="A2451">
        <f>IF(DAY(D2451)=DAY($L$1+1),A2450+1,A2450)</f>
        <v/>
      </c>
      <c r="B2451" s="1">
        <f>IF(DAY(D2451)=DAY($L$1+1),1,B2450+1)</f>
        <v/>
      </c>
      <c r="C2451" s="1">
        <f>IF(DAY(D2451)=DAY($L$1+1),1,C2450+1)</f>
        <v/>
      </c>
      <c r="D2451" s="2">
        <f>D2450+1</f>
        <v/>
      </c>
      <c r="E2451" s="8">
        <f>IF(DAY(D2451)=DAY($L$1+1),TRUNC((N2450),8),E2450)</f>
        <v/>
      </c>
      <c r="F2451" s="49">
        <f>TRUNC(((1+VLOOKUP(A2451,IPCA!$A$2:$C$140,3,0)))^(C2451/(EDATE(D2451-C2451,1)-(D2451-C2451))),8)</f>
        <v/>
      </c>
      <c r="G2451" s="44">
        <f>TRUNC((E2451*F2451),8)</f>
        <v/>
      </c>
      <c r="H2451" s="44">
        <f>ROUND(((1+$H$4)^(30/360))^(C2451/(EDATE(D2451-B2451,1)-(D2451-B2451))),9)</f>
        <v/>
      </c>
      <c r="I2451" s="44">
        <f>TRUNC((G2451*H2451-G2451),8)</f>
        <v/>
      </c>
      <c r="J2451" s="49">
        <f>G2451+I2451</f>
        <v/>
      </c>
      <c r="K2451" s="256" t="n"/>
      <c r="L2451" s="256" t="n"/>
      <c r="M2451" s="256" t="n"/>
      <c r="N2451" s="256" t="n"/>
      <c r="O2451" s="256" t="n"/>
      <c r="P2451" s="256" t="n"/>
      <c r="Q2451" s="256" t="n"/>
    </row>
    <row r="2452">
      <c r="A2452">
        <f>IF(DAY(D2452)=DAY($L$1+1),A2451+1,A2451)</f>
        <v/>
      </c>
      <c r="B2452" s="46">
        <f>IF(DAY(D2452)=DAY($L$1+1),1,B2451+1)</f>
        <v/>
      </c>
      <c r="C2452" s="46">
        <f>IF(DAY(D2452)=DAY($L$1+1),1,C2451+1)</f>
        <v/>
      </c>
      <c r="D2452" s="2">
        <f>D2451+1</f>
        <v/>
      </c>
      <c r="E2452" s="8">
        <f>IF(DAY(D2452)=DAY($L$1+1),TRUNC((N2451),8),E2451)</f>
        <v/>
      </c>
      <c r="F2452" s="49">
        <f>TRUNC(((1+VLOOKUP(A2452,IPCA!$A$2:$C$140,3,0)))^(C2452/(EDATE(D2452-C2452,1)-(D2452-C2452))),8)</f>
        <v/>
      </c>
      <c r="G2452" s="49">
        <f>TRUNC((E2452*F2452),8)</f>
        <v/>
      </c>
      <c r="H2452" s="49">
        <f>ROUND(((1+$H$4)^(30/360))^(C2452/(EDATE(D2452-B2452,1)-(D2452-B2452))),9)</f>
        <v/>
      </c>
      <c r="I2452" s="49">
        <f>TRUNC((G2452*H2452-G2452),8)</f>
        <v/>
      </c>
      <c r="J2452" s="49">
        <f>G2452+I2452</f>
        <v/>
      </c>
      <c r="K2452" s="256" t="inlineStr">
        <is>
          <t>Cri Integralizado</t>
        </is>
      </c>
      <c r="L2452" s="270">
        <f>L2424</f>
        <v/>
      </c>
      <c r="M2452" s="256" t="n"/>
      <c r="N2452" s="256" t="n"/>
      <c r="O2452" s="256" t="n"/>
      <c r="P2452" s="256" t="n"/>
      <c r="Q2452" s="256" t="n"/>
    </row>
    <row r="2453">
      <c r="A2453">
        <f>IF(DAY(D2453)=DAY($L$1+1),A2452+1,A2452)</f>
        <v/>
      </c>
      <c r="B2453" s="46">
        <f>IF(DAY(D2453)=DAY($L$1+1),1,B2452+1)</f>
        <v/>
      </c>
      <c r="C2453" s="46">
        <f>IF(DAY(D2453)=DAY($L$1+1),1,C2452+1)</f>
        <v/>
      </c>
      <c r="D2453" s="47">
        <f>D2452+1</f>
        <v/>
      </c>
      <c r="E2453" s="8">
        <f>IF(DAY(D2453)=DAY($L$1+1),TRUNC((N2452),8),E2452)</f>
        <v/>
      </c>
      <c r="F2453" s="49">
        <f>TRUNC(((1+VLOOKUP(A2453,IPCA!$A$2:$C$140,3,0)))^(C2453/(EDATE(D2453-C2453,1)-(D2453-C2453))),8)</f>
        <v/>
      </c>
      <c r="G2453" s="49">
        <f>TRUNC((E2453*F2453),8)</f>
        <v/>
      </c>
      <c r="H2453" s="49">
        <f>ROUND(((1+$H$4)^(30/360))^(C2453/(EDATE(D2453-B2453,1)-(D2453-B2453))),9)</f>
        <v/>
      </c>
      <c r="I2453" s="49">
        <f>TRUNC((G2453*H2453-G2453),8)</f>
        <v/>
      </c>
      <c r="J2453" s="49">
        <f>G2453+I2453</f>
        <v/>
      </c>
      <c r="K2453" s="137" t="inlineStr">
        <is>
          <t>JUROS</t>
        </is>
      </c>
      <c r="L2453" s="118" t="inlineStr">
        <is>
          <t>AMORTIZAÇÃO</t>
        </is>
      </c>
      <c r="M2453" s="118" t="inlineStr">
        <is>
          <t>AMEX</t>
        </is>
      </c>
      <c r="N2453" s="118" t="inlineStr">
        <is>
          <t>RESIDUAL</t>
        </is>
      </c>
      <c r="O2453" s="256" t="n"/>
      <c r="P2453" s="256" t="n"/>
      <c r="Q2453" s="256" t="n"/>
    </row>
    <row r="2454">
      <c r="A2454">
        <f>IF(DAY(D2454)=DAY($L$1+1),A2453+1,A2453)</f>
        <v/>
      </c>
      <c r="B2454" s="111">
        <f>IF(DAY(D2454)=DAY($L$1+1),1,B2453+1)</f>
        <v/>
      </c>
      <c r="C2454" s="111">
        <f>IF(DAY(D2454)=DAY($L$1+1),1,C2453+1)</f>
        <v/>
      </c>
      <c r="D2454" s="112">
        <f>D2453+1</f>
        <v/>
      </c>
      <c r="E2454" s="113">
        <f>IF(DAY(D2454)=DAY($L$1+1),TRUNC((N2453),8),E2453)</f>
        <v/>
      </c>
      <c r="F2454" s="114">
        <f>TRUNC(((1+VLOOKUP(A2454,IPCA!$A$2:$C$140,3,0)))^(C2454/(EDATE(D2454-C2454,1)-(D2454-C2454))),8)</f>
        <v/>
      </c>
      <c r="G2454" s="114">
        <f>TRUNC((E2454*F2454),8)</f>
        <v/>
      </c>
      <c r="H2454" s="114">
        <f>ROUND(((1+$H$4)^(30/360))^(C2454/(EDATE(D2454-B2454,1)-(D2454-B2454))),9)</f>
        <v/>
      </c>
      <c r="I2454" s="114">
        <f>TRUNC((G2454*H2454-G2454),8)</f>
        <v/>
      </c>
      <c r="J2454" s="114">
        <f>G2454+I2454</f>
        <v/>
      </c>
      <c r="K2454" s="119">
        <f>I2454</f>
        <v/>
      </c>
      <c r="L2454" s="120">
        <f>TRUNC(G2454*VLOOKUP(D2454,'Amort TS'!$G$3:$H$140,2,0),8)</f>
        <v/>
      </c>
      <c r="M2454" s="120" t="n">
        <v>0</v>
      </c>
      <c r="N2454" s="120">
        <f>J2454-K2454-L2454-M2454</f>
        <v/>
      </c>
      <c r="O2454" s="256" t="n"/>
      <c r="P2454" s="256" t="n"/>
      <c r="Q2454" s="256" t="n"/>
    </row>
    <row r="2455">
      <c r="A2455">
        <f>IF(DAY(D2455)=DAY($L$1+1),A2454+1,A2454)</f>
        <v/>
      </c>
      <c r="B2455" s="46">
        <f>IF(DAY(D2455)=DAY($L$1+1),1,B2454+1)</f>
        <v/>
      </c>
      <c r="C2455" s="46">
        <f>IF(DAY(D2455)=DAY($L$1+1),1,C2454+1)</f>
        <v/>
      </c>
      <c r="D2455" s="2">
        <f>D2454+1</f>
        <v/>
      </c>
      <c r="E2455" s="8">
        <f>IF(DAY(D2455)=DAY($L$1+1),TRUNC((N2454),8),E2454)</f>
        <v/>
      </c>
      <c r="F2455" s="49">
        <f>TRUNC(((1+VLOOKUP(A2455,IPCA!$A$2:$C$140,3,0)))^(C2455/(EDATE(D2455-C2455,1)-(D2455-C2455))),8)</f>
        <v/>
      </c>
      <c r="G2455" s="49">
        <f>TRUNC((E2455*F2455),8)</f>
        <v/>
      </c>
      <c r="H2455" s="49">
        <f>ROUND(((1+$H$4)^(30/360))^(C2455/(EDATE(D2455-B2455,1)-(D2455-B2455))),9)</f>
        <v/>
      </c>
      <c r="I2455" s="49">
        <f>TRUNC((G2455*H2455-G2455),8)</f>
        <v/>
      </c>
      <c r="J2455" s="49">
        <f>G2455+I2455</f>
        <v/>
      </c>
      <c r="K2455" s="121">
        <f>K2454*L2452</f>
        <v/>
      </c>
      <c r="L2455" s="121">
        <f>L2454*L2452</f>
        <v/>
      </c>
      <c r="M2455" s="121">
        <f>M2454*L2452</f>
        <v/>
      </c>
      <c r="N2455" s="121">
        <f>N2454*L2452</f>
        <v/>
      </c>
      <c r="O2455" s="256" t="n"/>
      <c r="P2455" s="256" t="n"/>
      <c r="Q2455" s="256" t="n"/>
    </row>
    <row r="2456">
      <c r="A2456">
        <f>IF(DAY(D2456)=DAY($L$1+1),A2455+1,A2455)</f>
        <v/>
      </c>
      <c r="B2456" s="46">
        <f>IF(DAY(D2456)=DAY($L$1+1),1,B2455+1)</f>
        <v/>
      </c>
      <c r="C2456" s="46">
        <f>IF(DAY(D2456)=DAY($L$1+1),1,C2455+1)</f>
        <v/>
      </c>
      <c r="D2456" s="47">
        <f>D2455+1</f>
        <v/>
      </c>
      <c r="E2456" s="8">
        <f>IF(DAY(D2456)=DAY($L$1+1),TRUNC((N2455),8),E2455)</f>
        <v/>
      </c>
      <c r="F2456" s="49">
        <f>TRUNC(((1+VLOOKUP(A2456,IPCA!$A$2:$C$140,3,0)))^(C2456/(EDATE(D2456-C2456,1)-(D2456-C2456))),8)</f>
        <v/>
      </c>
      <c r="G2456" s="49">
        <f>TRUNC((E2456*F2456),8)</f>
        <v/>
      </c>
      <c r="H2456" s="49">
        <f>ROUND(((1+$H$4)^(30/360))^(C2456/(EDATE(D2456-B2456,1)-(D2456-B2456))),9)</f>
        <v/>
      </c>
      <c r="I2456" s="49">
        <f>TRUNC((G2456*H2456-G2456),8)</f>
        <v/>
      </c>
      <c r="J2456" s="49">
        <f>G2456+I2456</f>
        <v/>
      </c>
      <c r="K2456" s="256" t="n"/>
      <c r="L2456" s="256" t="n"/>
      <c r="M2456" s="256" t="n"/>
      <c r="N2456" s="256" t="n"/>
      <c r="O2456" s="256" t="n"/>
      <c r="P2456" s="256" t="n"/>
      <c r="Q2456" s="256" t="n"/>
    </row>
    <row r="2457">
      <c r="A2457">
        <f>IF(DAY(D2457)=DAY($L$1+1),A2456+1,A2456)</f>
        <v/>
      </c>
      <c r="B2457" s="1">
        <f>IF(DAY(D2457)=DAY($L$1+1),1,B2456+1)</f>
        <v/>
      </c>
      <c r="C2457" s="1">
        <f>IF(DAY(D2457)=DAY($L$1+1),1,C2456+1)</f>
        <v/>
      </c>
      <c r="D2457" s="2">
        <f>D2456+1</f>
        <v/>
      </c>
      <c r="E2457" s="8">
        <f>IF(DAY(D2457)=DAY($L$1+1),TRUNC((#REF!),8),E2456)</f>
        <v/>
      </c>
      <c r="F2457" s="49">
        <f>TRUNC(((1+VLOOKUP(A2457,IPCA!$A$2:$C$140,3,0)))^(C2457/(EDATE(D2457-C2457,1)-(D2457-C2457))),8)</f>
        <v/>
      </c>
      <c r="G2457" s="44">
        <f>TRUNC((E2457*F2457),8)</f>
        <v/>
      </c>
      <c r="H2457" s="44">
        <f>ROUND(((1+$H$4)^(30/360))^(C2457/(EDATE(D2457-B2457,1)-(D2457-B2457))),9)</f>
        <v/>
      </c>
      <c r="I2457" s="44">
        <f>TRUNC((G2457*H2457-G2457),8)</f>
        <v/>
      </c>
      <c r="J2457" s="49">
        <f>G2457+I2457</f>
        <v/>
      </c>
      <c r="K2457" s="256" t="n"/>
      <c r="L2457" s="256" t="n"/>
      <c r="M2457" s="256" t="n"/>
      <c r="N2457" s="256" t="n"/>
      <c r="O2457" s="256" t="n"/>
      <c r="P2457" s="256" t="n"/>
      <c r="Q2457" s="256" t="n"/>
    </row>
    <row r="2458">
      <c r="A2458">
        <f>IF(DAY(D2458)=DAY($L$1+1),A2457+1,A2457)</f>
        <v/>
      </c>
      <c r="B2458" s="46">
        <f>IF(DAY(D2458)=DAY($L$1+1),1,B2457+1)</f>
        <v/>
      </c>
      <c r="C2458" s="46">
        <f>IF(DAY(D2458)=DAY($L$1+1),1,C2457+1)</f>
        <v/>
      </c>
      <c r="D2458" s="2">
        <f>D2457+1</f>
        <v/>
      </c>
      <c r="E2458" s="8">
        <f>IF(DAY(D2458)=DAY($L$1+1),TRUNC((#REF!),8),E2457)</f>
        <v/>
      </c>
      <c r="F2458" s="49">
        <f>TRUNC(((1+VLOOKUP(A2458,IPCA!$A$2:$C$140,3,0)))^(C2458/(EDATE(D2458-C2458,1)-(D2458-C2458))),8)</f>
        <v/>
      </c>
      <c r="G2458" s="44">
        <f>TRUNC((E2458*F2458),8)</f>
        <v/>
      </c>
      <c r="H2458" s="44">
        <f>ROUND(((1+$H$4)^(30/360))^(C2458/(EDATE(D2458-B2458,1)-(D2458-B2458))),9)</f>
        <v/>
      </c>
      <c r="I2458" s="44">
        <f>TRUNC((G2458*H2458-G2458),8)</f>
        <v/>
      </c>
      <c r="J2458" s="49">
        <f>G2458+I2458</f>
        <v/>
      </c>
      <c r="K2458" s="256" t="n"/>
      <c r="L2458" s="256" t="n"/>
      <c r="M2458" s="256" t="n"/>
      <c r="N2458" s="256" t="n"/>
      <c r="O2458" s="256" t="n"/>
      <c r="P2458" s="256" t="n"/>
      <c r="Q2458" s="256" t="n"/>
    </row>
    <row r="2459">
      <c r="A2459">
        <f>IF(DAY(D2459)=DAY($L$1+1),A2458+1,A2458)</f>
        <v/>
      </c>
      <c r="B2459" s="1">
        <f>IF(DAY(D2459)=DAY($L$1+1),1,B2458+1)</f>
        <v/>
      </c>
      <c r="C2459" s="1">
        <f>IF(DAY(D2459)=DAY($L$1+1),1,C2458+1)</f>
        <v/>
      </c>
      <c r="D2459" s="2">
        <f>D2458+1</f>
        <v/>
      </c>
      <c r="E2459" s="8">
        <f>IF(DAY(D2459)=DAY($L$1+1),TRUNC((#REF!),8),E2458)</f>
        <v/>
      </c>
      <c r="F2459" s="49">
        <f>TRUNC(((1+VLOOKUP(A2459,IPCA!$A$2:$C$140,3,0)))^(C2459/(EDATE(D2459-C2459,1)-(D2459-C2459))),8)</f>
        <v/>
      </c>
      <c r="G2459" s="44">
        <f>TRUNC((E2459*F2459),8)</f>
        <v/>
      </c>
      <c r="H2459" s="44">
        <f>ROUND(((1+$H$4)^(30/360))^(C2459/(EDATE(D2459-B2459,1)-(D2459-B2459))),9)</f>
        <v/>
      </c>
      <c r="I2459" s="44">
        <f>TRUNC((G2459*H2459-G2459),8)</f>
        <v/>
      </c>
      <c r="J2459" s="49">
        <f>G2459+I2459</f>
        <v/>
      </c>
      <c r="K2459" s="256" t="n"/>
      <c r="L2459" s="256" t="n"/>
      <c r="M2459" s="256" t="n"/>
      <c r="N2459" s="256" t="n"/>
      <c r="O2459" s="256" t="n"/>
      <c r="P2459" s="256" t="n"/>
      <c r="Q2459" s="256" t="n"/>
    </row>
    <row r="2460">
      <c r="A2460">
        <f>IF(DAY(D2460)=DAY($L$1+1),A2459+1,A2459)</f>
        <v/>
      </c>
      <c r="B2460" s="46">
        <f>IF(DAY(D2460)=DAY($L$1+1),1,B2459+1)</f>
        <v/>
      </c>
      <c r="C2460" s="46">
        <f>IF(DAY(D2460)=DAY($L$1+1),1,C2459+1)</f>
        <v/>
      </c>
      <c r="D2460" s="2">
        <f>D2459+1</f>
        <v/>
      </c>
      <c r="E2460" s="8">
        <f>IF(DAY(D2460)=DAY($L$1+1),TRUNC((#REF!),8),E2459)</f>
        <v/>
      </c>
      <c r="F2460" s="49">
        <f>TRUNC(((1+VLOOKUP(A2460,IPCA!$A$2:$C$140,3,0)))^(C2460/(EDATE(D2460-C2460,1)-(D2460-C2460))),8)</f>
        <v/>
      </c>
      <c r="G2460" s="44">
        <f>TRUNC((E2460*F2460),8)</f>
        <v/>
      </c>
      <c r="H2460" s="44">
        <f>ROUND(((1+$H$4)^(30/360))^(C2460/(EDATE(D2460-B2460,1)-(D2460-B2460))),9)</f>
        <v/>
      </c>
      <c r="I2460" s="44">
        <f>TRUNC((G2460*H2460-G2460),8)</f>
        <v/>
      </c>
      <c r="J2460" s="49">
        <f>G2460+I2460</f>
        <v/>
      </c>
      <c r="K2460" s="256" t="n"/>
      <c r="L2460" s="256" t="n"/>
      <c r="M2460" s="256" t="n"/>
      <c r="N2460" s="256" t="n"/>
      <c r="O2460" s="256" t="n"/>
      <c r="P2460" s="256" t="n"/>
      <c r="Q2460" s="256" t="n"/>
    </row>
    <row r="2461">
      <c r="A2461">
        <f>IF(DAY(D2461)=DAY($L$1+1),A2460+1,A2460)</f>
        <v/>
      </c>
      <c r="B2461" s="1">
        <f>IF(DAY(D2461)=DAY($L$1+1),1,B2460+1)</f>
        <v/>
      </c>
      <c r="C2461" s="1">
        <f>IF(DAY(D2461)=DAY($L$1+1),1,C2460+1)</f>
        <v/>
      </c>
      <c r="D2461" s="2">
        <f>D2460+1</f>
        <v/>
      </c>
      <c r="E2461" s="8">
        <f>IF(DAY(D2461)=DAY($L$1+1),TRUNC((#REF!),8),E2460)</f>
        <v/>
      </c>
      <c r="F2461" s="49">
        <f>TRUNC(((1+VLOOKUP(A2461,IPCA!$A$2:$C$140,3,0)))^(C2461/(EDATE(D2461-C2461,1)-(D2461-C2461))),8)</f>
        <v/>
      </c>
      <c r="G2461" s="44">
        <f>TRUNC((E2461*F2461),8)</f>
        <v/>
      </c>
      <c r="H2461" s="44">
        <f>ROUND(((1+$H$4)^(30/360))^(C2461/(EDATE(D2461-B2461,1)-(D2461-B2461))),9)</f>
        <v/>
      </c>
      <c r="I2461" s="44">
        <f>TRUNC((G2461*H2461-G2461),8)</f>
        <v/>
      </c>
      <c r="J2461" s="49">
        <f>G2461+I2461</f>
        <v/>
      </c>
      <c r="K2461" s="256" t="n"/>
      <c r="L2461" s="256" t="n"/>
      <c r="M2461" s="256" t="n"/>
      <c r="N2461" s="256" t="n"/>
      <c r="O2461" s="256" t="n"/>
      <c r="P2461" s="256" t="n"/>
      <c r="Q2461" s="256" t="n"/>
    </row>
    <row r="2462">
      <c r="A2462">
        <f>IF(DAY(D2462)=DAY($L$1+1),A2461+1,A2461)</f>
        <v/>
      </c>
      <c r="B2462" s="46">
        <f>IF(DAY(D2462)=DAY($L$1+1),1,B2461+1)</f>
        <v/>
      </c>
      <c r="C2462" s="46">
        <f>IF(DAY(D2462)=DAY($L$1+1),1,C2461+1)</f>
        <v/>
      </c>
      <c r="D2462" s="2">
        <f>D2461+1</f>
        <v/>
      </c>
      <c r="E2462" s="8">
        <f>IF(DAY(D2462)=DAY($L$1+1),TRUNC((#REF!),8),E2461)</f>
        <v/>
      </c>
      <c r="F2462" s="49">
        <f>TRUNC(((1+VLOOKUP(A2462,IPCA!$A$2:$C$140,3,0)))^(C2462/(EDATE(D2462-C2462,1)-(D2462-C2462))),8)</f>
        <v/>
      </c>
      <c r="G2462" s="44">
        <f>TRUNC((E2462*F2462),8)</f>
        <v/>
      </c>
      <c r="H2462" s="44">
        <f>ROUND(((1+$H$4)^(30/360))^(C2462/(EDATE(D2462-B2462,1)-(D2462-B2462))),9)</f>
        <v/>
      </c>
      <c r="I2462" s="44">
        <f>TRUNC((G2462*H2462-G2462),8)</f>
        <v/>
      </c>
      <c r="J2462" s="49">
        <f>G2462+I2462</f>
        <v/>
      </c>
      <c r="K2462" s="256" t="n"/>
      <c r="L2462" s="256" t="n"/>
      <c r="M2462" s="256" t="n"/>
      <c r="N2462" s="256" t="n"/>
      <c r="O2462" s="256" t="n"/>
      <c r="P2462" s="256" t="n"/>
      <c r="Q2462" s="256" t="n"/>
    </row>
    <row r="2463">
      <c r="A2463">
        <f>IF(DAY(D2463)=DAY($L$1+1),A2462+1,A2462)</f>
        <v/>
      </c>
      <c r="B2463" s="1">
        <f>IF(DAY(D2463)=DAY($L$1+1),1,B2462+1)</f>
        <v/>
      </c>
      <c r="C2463" s="1">
        <f>IF(DAY(D2463)=DAY($L$1+1),1,C2462+1)</f>
        <v/>
      </c>
      <c r="D2463" s="2">
        <f>D2462+1</f>
        <v/>
      </c>
      <c r="E2463" s="8">
        <f>IF(DAY(D2463)=DAY($L$1+1),TRUNC((#REF!),8),E2462)</f>
        <v/>
      </c>
      <c r="F2463" s="49">
        <f>TRUNC(((1+VLOOKUP(A2463,IPCA!$A$2:$C$140,3,0)))^(C2463/(EDATE(D2463-C2463,1)-(D2463-C2463))),8)</f>
        <v/>
      </c>
      <c r="G2463" s="44">
        <f>TRUNC((E2463*F2463),8)</f>
        <v/>
      </c>
      <c r="H2463" s="44">
        <f>ROUND(((1+$H$4)^(30/360))^(C2463/(EDATE(D2463-B2463,1)-(D2463-B2463))),9)</f>
        <v/>
      </c>
      <c r="I2463" s="44">
        <f>TRUNC((G2463*H2463-G2463),8)</f>
        <v/>
      </c>
      <c r="J2463" s="49">
        <f>G2463+I2463</f>
        <v/>
      </c>
      <c r="K2463" s="256" t="n"/>
      <c r="L2463" s="256" t="n"/>
      <c r="M2463" s="256" t="n"/>
      <c r="N2463" s="256" t="n"/>
      <c r="O2463" s="256" t="n"/>
      <c r="P2463" s="256" t="n"/>
      <c r="Q2463" s="256" t="n"/>
    </row>
    <row r="2464">
      <c r="A2464">
        <f>IF(DAY(D2464)=DAY($L$1+1),A2463+1,A2463)</f>
        <v/>
      </c>
      <c r="B2464" s="46">
        <f>IF(DAY(D2464)=DAY($L$1+1),1,B2463+1)</f>
        <v/>
      </c>
      <c r="C2464" s="46">
        <f>IF(DAY(D2464)=DAY($L$1+1),1,C2463+1)</f>
        <v/>
      </c>
      <c r="D2464" s="2">
        <f>D2463+1</f>
        <v/>
      </c>
      <c r="E2464" s="8">
        <f>IF(DAY(D2464)=DAY($L$1+1),TRUNC((#REF!),8),E2463)</f>
        <v/>
      </c>
      <c r="F2464" s="49">
        <f>TRUNC(((1+VLOOKUP(A2464,IPCA!$A$2:$C$140,3,0)))^(C2464/(EDATE(D2464-C2464,1)-(D2464-C2464))),8)</f>
        <v/>
      </c>
      <c r="G2464" s="44">
        <f>TRUNC((E2464*F2464),8)</f>
        <v/>
      </c>
      <c r="H2464" s="44">
        <f>ROUND(((1+$H$4)^(30/360))^(C2464/(EDATE(D2464-B2464,1)-(D2464-B2464))),9)</f>
        <v/>
      </c>
      <c r="I2464" s="44">
        <f>TRUNC((G2464*H2464-G2464),8)</f>
        <v/>
      </c>
      <c r="J2464" s="49">
        <f>G2464+I2464</f>
        <v/>
      </c>
      <c r="K2464" s="256" t="n"/>
      <c r="L2464" s="256" t="n"/>
      <c r="M2464" s="256" t="n"/>
      <c r="N2464" s="256" t="n"/>
      <c r="O2464" s="256" t="n"/>
      <c r="P2464" s="256" t="n"/>
      <c r="Q2464" s="256" t="n"/>
    </row>
    <row r="2465">
      <c r="A2465">
        <f>IF(DAY(D2465)=DAY($L$1+1),A2464+1,A2464)</f>
        <v/>
      </c>
      <c r="B2465" s="1">
        <f>IF(DAY(D2465)=DAY($L$1+1),1,B2464+1)</f>
        <v/>
      </c>
      <c r="C2465" s="1">
        <f>IF(DAY(D2465)=DAY($L$1+1),1,C2464+1)</f>
        <v/>
      </c>
      <c r="D2465" s="2">
        <f>D2464+1</f>
        <v/>
      </c>
      <c r="E2465" s="8">
        <f>IF(DAY(D2465)=DAY($L$1+1),TRUNC((#REF!),8),E2464)</f>
        <v/>
      </c>
      <c r="F2465" s="49">
        <f>TRUNC(((1+VLOOKUP(A2465,IPCA!$A$2:$C$140,3,0)))^(C2465/(EDATE(D2465-C2465,1)-(D2465-C2465))),8)</f>
        <v/>
      </c>
      <c r="G2465" s="44">
        <f>TRUNC((E2465*F2465),8)</f>
        <v/>
      </c>
      <c r="H2465" s="44">
        <f>ROUND(((1+$H$4)^(30/360))^(C2465/(EDATE(D2465-B2465,1)-(D2465-B2465))),9)</f>
        <v/>
      </c>
      <c r="I2465" s="44">
        <f>TRUNC((G2465*H2465-G2465),8)</f>
        <v/>
      </c>
      <c r="J2465" s="49">
        <f>G2465+I2465</f>
        <v/>
      </c>
      <c r="K2465" s="256" t="n"/>
      <c r="L2465" s="256" t="n"/>
      <c r="M2465" s="256" t="n"/>
      <c r="N2465" s="256" t="n"/>
      <c r="O2465" s="256" t="n"/>
      <c r="P2465" s="256" t="n"/>
      <c r="Q2465" s="256" t="n"/>
    </row>
    <row r="2466">
      <c r="A2466">
        <f>IF(DAY(D2466)=DAY($L$1+1),A2465+1,A2465)</f>
        <v/>
      </c>
      <c r="B2466" s="46">
        <f>IF(DAY(D2466)=DAY($L$1+1),1,B2465+1)</f>
        <v/>
      </c>
      <c r="C2466" s="46">
        <f>IF(DAY(D2466)=DAY($L$1+1),1,C2465+1)</f>
        <v/>
      </c>
      <c r="D2466" s="2">
        <f>D2465+1</f>
        <v/>
      </c>
      <c r="E2466" s="8">
        <f>IF(DAY(D2466)=DAY($L$1+1),TRUNC((#REF!),8),E2465)</f>
        <v/>
      </c>
      <c r="F2466" s="49">
        <f>TRUNC(((1+VLOOKUP(A2466,IPCA!$A$2:$C$140,3,0)))^(C2466/(EDATE(D2466-C2466,1)-(D2466-C2466))),8)</f>
        <v/>
      </c>
      <c r="G2466" s="44">
        <f>TRUNC((E2466*F2466),8)</f>
        <v/>
      </c>
      <c r="H2466" s="44">
        <f>ROUND(((1+$H$4)^(30/360))^(C2466/(EDATE(D2466-B2466,1)-(D2466-B2466))),9)</f>
        <v/>
      </c>
      <c r="I2466" s="44">
        <f>TRUNC((G2466*H2466-G2466),8)</f>
        <v/>
      </c>
      <c r="J2466" s="49">
        <f>G2466+I2466</f>
        <v/>
      </c>
      <c r="K2466" s="256" t="n"/>
      <c r="L2466" s="256" t="n"/>
      <c r="M2466" s="256" t="n"/>
      <c r="N2466" s="256" t="n"/>
      <c r="O2466" s="256" t="n"/>
      <c r="P2466" s="256" t="n"/>
      <c r="Q2466" s="256" t="n"/>
    </row>
    <row r="2467">
      <c r="A2467">
        <f>IF(DAY(D2467)=DAY($L$1+1),A2466+1,A2466)</f>
        <v/>
      </c>
      <c r="B2467" s="1">
        <f>IF(DAY(D2467)=DAY($L$1+1),1,B2466+1)</f>
        <v/>
      </c>
      <c r="C2467" s="1">
        <f>IF(DAY(D2467)=DAY($L$1+1),1,C2466+1)</f>
        <v/>
      </c>
      <c r="D2467" s="2">
        <f>D2466+1</f>
        <v/>
      </c>
      <c r="E2467" s="8">
        <f>IF(DAY(D2467)=DAY($L$1+1),TRUNC((N2466),8),E2466)</f>
        <v/>
      </c>
      <c r="F2467" s="49">
        <f>TRUNC(((1+VLOOKUP(A2467,IPCA!$A$2:$C$140,3,0)))^(C2467/(EDATE(D2467-C2467,1)-(D2467-C2467))),8)</f>
        <v/>
      </c>
      <c r="G2467" s="44">
        <f>TRUNC((E2467*F2467),8)</f>
        <v/>
      </c>
      <c r="H2467" s="44">
        <f>ROUND(((1+$H$4)^(30/360))^(C2467/(EDATE(D2467-B2467,1)-(D2467-B2467))),9)</f>
        <v/>
      </c>
      <c r="I2467" s="44">
        <f>TRUNC((G2467*H2467-G2467),8)</f>
        <v/>
      </c>
      <c r="J2467" s="49">
        <f>G2467+I2467</f>
        <v/>
      </c>
      <c r="K2467" s="256" t="n"/>
      <c r="L2467" s="256" t="n"/>
      <c r="M2467" s="256" t="n"/>
      <c r="N2467" s="256" t="n"/>
      <c r="O2467" s="256" t="n"/>
      <c r="P2467" s="256" t="n"/>
      <c r="Q2467" s="256" t="n"/>
    </row>
    <row r="2468">
      <c r="A2468">
        <f>IF(DAY(D2468)=DAY($L$1+1),A2467+1,A2467)</f>
        <v/>
      </c>
      <c r="B2468" s="46">
        <f>IF(DAY(D2468)=DAY($L$1+1),1,B2467+1)</f>
        <v/>
      </c>
      <c r="C2468" s="46">
        <f>IF(DAY(D2468)=DAY($L$1+1),1,C2467+1)</f>
        <v/>
      </c>
      <c r="D2468" s="2">
        <f>D2467+1</f>
        <v/>
      </c>
      <c r="E2468" s="8">
        <f>IF(DAY(D2468)=DAY($L$1+1),TRUNC((N2467),8),E2467)</f>
        <v/>
      </c>
      <c r="F2468" s="49">
        <f>TRUNC(((1+VLOOKUP(A2468,IPCA!$A$2:$C$140,3,0)))^(C2468/(EDATE(D2468-C2468,1)-(D2468-C2468))),8)</f>
        <v/>
      </c>
      <c r="G2468" s="44">
        <f>TRUNC((E2468*F2468),8)</f>
        <v/>
      </c>
      <c r="H2468" s="44">
        <f>ROUND(((1+$H$4)^(30/360))^(C2468/(EDATE(D2468-B2468,1)-(D2468-B2468))),9)</f>
        <v/>
      </c>
      <c r="I2468" s="44">
        <f>TRUNC((G2468*H2468-G2468),8)</f>
        <v/>
      </c>
      <c r="J2468" s="49">
        <f>G2468+I2468</f>
        <v/>
      </c>
      <c r="K2468" s="256" t="n"/>
      <c r="L2468" s="256" t="n"/>
      <c r="M2468" s="256" t="n"/>
      <c r="N2468" s="256" t="n"/>
      <c r="O2468" s="256" t="n"/>
      <c r="P2468" s="256" t="n"/>
      <c r="Q2468" s="256" t="n"/>
    </row>
    <row r="2469">
      <c r="A2469">
        <f>IF(DAY(D2469)=DAY($L$1+1),A2468+1,A2468)</f>
        <v/>
      </c>
      <c r="B2469" s="1">
        <f>IF(DAY(D2469)=DAY($L$1+1),1,B2468+1)</f>
        <v/>
      </c>
      <c r="C2469" s="1">
        <f>IF(DAY(D2469)=DAY($L$1+1),1,C2468+1)</f>
        <v/>
      </c>
      <c r="D2469" s="2">
        <f>D2468+1</f>
        <v/>
      </c>
      <c r="E2469" s="8">
        <f>IF(DAY(D2469)=DAY($L$1+1),TRUNC((N2468),8),E2468)</f>
        <v/>
      </c>
      <c r="F2469" s="49">
        <f>TRUNC(((1+VLOOKUP(A2469,IPCA!$A$2:$C$140,3,0)))^(C2469/(EDATE(D2469-C2469,1)-(D2469-C2469))),8)</f>
        <v/>
      </c>
      <c r="G2469" s="44">
        <f>TRUNC((E2469*F2469),8)</f>
        <v/>
      </c>
      <c r="H2469" s="44">
        <f>ROUND(((1+$H$4)^(30/360))^(C2469/(EDATE(D2469-B2469,1)-(D2469-B2469))),9)</f>
        <v/>
      </c>
      <c r="I2469" s="44">
        <f>TRUNC((G2469*H2469-G2469),8)</f>
        <v/>
      </c>
      <c r="J2469" s="49">
        <f>G2469+I2469</f>
        <v/>
      </c>
      <c r="K2469" s="256" t="n"/>
      <c r="L2469" s="256" t="n"/>
      <c r="M2469" s="256" t="n"/>
      <c r="N2469" s="256" t="n"/>
      <c r="O2469" s="256" t="n"/>
      <c r="P2469" s="256" t="n"/>
      <c r="Q2469" s="256" t="n"/>
    </row>
    <row r="2470">
      <c r="A2470">
        <f>IF(DAY(D2470)=DAY($L$1+1),A2469+1,A2469)</f>
        <v/>
      </c>
      <c r="B2470" s="46">
        <f>IF(DAY(D2470)=DAY($L$1+1),1,B2469+1)</f>
        <v/>
      </c>
      <c r="C2470" s="46">
        <f>IF(DAY(D2470)=DAY($L$1+1),1,C2469+1)</f>
        <v/>
      </c>
      <c r="D2470" s="2">
        <f>D2469+1</f>
        <v/>
      </c>
      <c r="E2470" s="8">
        <f>IF(DAY(D2470)=DAY($L$1+1),TRUNC((N2469),8),E2469)</f>
        <v/>
      </c>
      <c r="F2470" s="49">
        <f>TRUNC(((1+VLOOKUP(A2470,IPCA!$A$2:$C$140,3,0)))^(C2470/(EDATE(D2470-C2470,1)-(D2470-C2470))),8)</f>
        <v/>
      </c>
      <c r="G2470" s="44">
        <f>TRUNC((E2470*F2470),8)</f>
        <v/>
      </c>
      <c r="H2470" s="44">
        <f>ROUND(((1+$H$4)^(30/360))^(C2470/(EDATE(D2470-B2470,1)-(D2470-B2470))),9)</f>
        <v/>
      </c>
      <c r="I2470" s="44">
        <f>TRUNC((G2470*H2470-G2470),8)</f>
        <v/>
      </c>
      <c r="J2470" s="49">
        <f>G2470+I2470</f>
        <v/>
      </c>
      <c r="K2470" s="256" t="n"/>
      <c r="L2470" s="256" t="n"/>
      <c r="M2470" s="256" t="n"/>
      <c r="N2470" s="256" t="n"/>
      <c r="O2470" s="256" t="n"/>
      <c r="P2470" s="256" t="n"/>
      <c r="Q2470" s="256" t="n"/>
    </row>
    <row r="2471">
      <c r="A2471">
        <f>IF(DAY(D2471)=DAY($L$1+1),A2470+1,A2470)</f>
        <v/>
      </c>
      <c r="B2471" s="1">
        <f>IF(DAY(D2471)=DAY($L$1+1),1,B2470+1)</f>
        <v/>
      </c>
      <c r="C2471" s="1">
        <f>IF(DAY(D2471)=DAY($L$1+1),1,C2470+1)</f>
        <v/>
      </c>
      <c r="D2471" s="2">
        <f>D2470+1</f>
        <v/>
      </c>
      <c r="E2471" s="8">
        <f>IF(DAY(D2471)=DAY($L$1+1),TRUNC((N2470),8),E2470)</f>
        <v/>
      </c>
      <c r="F2471" s="49">
        <f>TRUNC(((1+VLOOKUP(A2471,IPCA!$A$2:$C$140,3,0)))^(C2471/(EDATE(D2471-C2471,1)-(D2471-C2471))),8)</f>
        <v/>
      </c>
      <c r="G2471" s="44">
        <f>TRUNC((E2471*F2471),8)</f>
        <v/>
      </c>
      <c r="H2471" s="44">
        <f>ROUND(((1+$H$4)^(30/360))^(C2471/(EDATE(D2471-B2471,1)-(D2471-B2471))),9)</f>
        <v/>
      </c>
      <c r="I2471" s="44">
        <f>TRUNC((G2471*H2471-G2471),8)</f>
        <v/>
      </c>
      <c r="J2471" s="49">
        <f>G2471+I2471</f>
        <v/>
      </c>
      <c r="K2471" s="256" t="n"/>
      <c r="L2471" s="256" t="n"/>
      <c r="M2471" s="256" t="n"/>
      <c r="N2471" s="256" t="n"/>
      <c r="O2471" s="256" t="n"/>
      <c r="P2471" s="256" t="n"/>
      <c r="Q2471" s="256" t="n"/>
    </row>
    <row r="2472">
      <c r="A2472">
        <f>IF(DAY(D2472)=DAY($L$1+1),A2471+1,A2471)</f>
        <v/>
      </c>
      <c r="B2472" s="46">
        <f>IF(DAY(D2472)=DAY($L$1+1),1,B2471+1)</f>
        <v/>
      </c>
      <c r="C2472" s="46">
        <f>IF(DAY(D2472)=DAY($L$1+1),1,C2471+1)</f>
        <v/>
      </c>
      <c r="D2472" s="2">
        <f>D2471+1</f>
        <v/>
      </c>
      <c r="E2472" s="8">
        <f>IF(DAY(D2472)=DAY($L$1+1),TRUNC((N2471),8),E2471)</f>
        <v/>
      </c>
      <c r="F2472" s="49">
        <f>TRUNC(((1+VLOOKUP(A2472,IPCA!$A$2:$C$140,3,0)))^(C2472/(EDATE(D2472-C2472,1)-(D2472-C2472))),8)</f>
        <v/>
      </c>
      <c r="G2472" s="44">
        <f>TRUNC((E2472*F2472),8)</f>
        <v/>
      </c>
      <c r="H2472" s="44">
        <f>ROUND(((1+$H$4)^(30/360))^(C2472/(EDATE(D2472-B2472,1)-(D2472-B2472))),9)</f>
        <v/>
      </c>
      <c r="I2472" s="44">
        <f>TRUNC((G2472*H2472-G2472),8)</f>
        <v/>
      </c>
      <c r="J2472" s="49">
        <f>G2472+I2472</f>
        <v/>
      </c>
      <c r="K2472" s="256" t="n"/>
      <c r="L2472" s="256" t="n"/>
      <c r="M2472" s="256" t="n"/>
      <c r="N2472" s="256" t="n"/>
      <c r="O2472" s="256" t="n"/>
      <c r="P2472" s="256" t="n"/>
      <c r="Q2472" s="256" t="n"/>
    </row>
    <row r="2473">
      <c r="A2473">
        <f>IF(DAY(D2473)=DAY($L$1+1),A2472+1,A2472)</f>
        <v/>
      </c>
      <c r="B2473" s="1">
        <f>IF(DAY(D2473)=DAY($L$1+1),1,B2472+1)</f>
        <v/>
      </c>
      <c r="C2473" s="1">
        <f>IF(DAY(D2473)=DAY($L$1+1),1,C2472+1)</f>
        <v/>
      </c>
      <c r="D2473" s="2">
        <f>D2472+1</f>
        <v/>
      </c>
      <c r="E2473" s="8">
        <f>IF(DAY(D2473)=DAY($L$1+1),TRUNC((N2472),8),E2472)</f>
        <v/>
      </c>
      <c r="F2473" s="49">
        <f>TRUNC(((1+VLOOKUP(A2473,IPCA!$A$2:$C$140,3,0)))^(C2473/(EDATE(D2473-C2473,1)-(D2473-C2473))),8)</f>
        <v/>
      </c>
      <c r="G2473" s="44">
        <f>TRUNC((E2473*F2473),8)</f>
        <v/>
      </c>
      <c r="H2473" s="44">
        <f>ROUND(((1+$H$4)^(30/360))^(C2473/(EDATE(D2473-B2473,1)-(D2473-B2473))),9)</f>
        <v/>
      </c>
      <c r="I2473" s="44">
        <f>TRUNC((G2473*H2473-G2473),8)</f>
        <v/>
      </c>
      <c r="J2473" s="49">
        <f>G2473+I2473</f>
        <v/>
      </c>
      <c r="K2473" s="256" t="n"/>
      <c r="L2473" s="256" t="n"/>
      <c r="M2473" s="256" t="n"/>
      <c r="N2473" s="256" t="n"/>
      <c r="O2473" s="256" t="n"/>
      <c r="P2473" s="256" t="n"/>
      <c r="Q2473" s="256" t="n"/>
    </row>
    <row r="2474">
      <c r="A2474">
        <f>IF(DAY(D2474)=DAY($L$1+1),A2473+1,A2473)</f>
        <v/>
      </c>
      <c r="B2474" s="46">
        <f>IF(DAY(D2474)=DAY($L$1+1),1,B2473+1)</f>
        <v/>
      </c>
      <c r="C2474" s="46">
        <f>IF(DAY(D2474)=DAY($L$1+1),1,C2473+1)</f>
        <v/>
      </c>
      <c r="D2474" s="2">
        <f>D2473+1</f>
        <v/>
      </c>
      <c r="E2474" s="8">
        <f>IF(DAY(D2474)=DAY($L$1+1),TRUNC((N2473),8),E2473)</f>
        <v/>
      </c>
      <c r="F2474" s="49">
        <f>TRUNC(((1+VLOOKUP(A2474,IPCA!$A$2:$C$140,3,0)))^(C2474/(EDATE(D2474-C2474,1)-(D2474-C2474))),8)</f>
        <v/>
      </c>
      <c r="G2474" s="44">
        <f>TRUNC((E2474*F2474),8)</f>
        <v/>
      </c>
      <c r="H2474" s="44">
        <f>ROUND(((1+$H$4)^(30/360))^(C2474/(EDATE(D2474-B2474,1)-(D2474-B2474))),9)</f>
        <v/>
      </c>
      <c r="I2474" s="44">
        <f>TRUNC((G2474*H2474-G2474),8)</f>
        <v/>
      </c>
      <c r="J2474" s="49">
        <f>G2474+I2474</f>
        <v/>
      </c>
      <c r="K2474" s="256" t="n"/>
      <c r="L2474" s="256" t="n"/>
      <c r="M2474" s="256" t="n"/>
      <c r="N2474" s="256" t="n"/>
      <c r="O2474" s="256" t="n"/>
      <c r="P2474" s="256" t="n"/>
      <c r="Q2474" s="256" t="n"/>
    </row>
    <row r="2475">
      <c r="A2475">
        <f>IF(DAY(D2475)=DAY($L$1+1),A2474+1,A2474)</f>
        <v/>
      </c>
      <c r="B2475" s="1">
        <f>IF(DAY(D2475)=DAY($L$1+1),1,B2474+1)</f>
        <v/>
      </c>
      <c r="C2475" s="1">
        <f>IF(DAY(D2475)=DAY($L$1+1),1,C2474+1)</f>
        <v/>
      </c>
      <c r="D2475" s="2">
        <f>D2474+1</f>
        <v/>
      </c>
      <c r="E2475" s="8">
        <f>IF(DAY(D2475)=DAY($L$1+1),TRUNC((N2474),8),E2474)</f>
        <v/>
      </c>
      <c r="F2475" s="49">
        <f>TRUNC(((1+VLOOKUP(A2475,IPCA!$A$2:$C$140,3,0)))^(C2475/(EDATE(D2475-C2475,1)-(D2475-C2475))),8)</f>
        <v/>
      </c>
      <c r="G2475" s="44">
        <f>TRUNC((E2475*F2475),8)</f>
        <v/>
      </c>
      <c r="H2475" s="44">
        <f>ROUND(((1+$H$4)^(30/360))^(C2475/(EDATE(D2475-B2475,1)-(D2475-B2475))),9)</f>
        <v/>
      </c>
      <c r="I2475" s="44">
        <f>TRUNC((G2475*H2475-G2475),8)</f>
        <v/>
      </c>
      <c r="J2475" s="49">
        <f>G2475+I2475</f>
        <v/>
      </c>
      <c r="K2475" s="256" t="n"/>
      <c r="L2475" s="256" t="n"/>
      <c r="M2475" s="256" t="n"/>
      <c r="N2475" s="256" t="n"/>
      <c r="O2475" s="256" t="n"/>
      <c r="P2475" s="256" t="n"/>
      <c r="Q2475" s="256" t="n"/>
    </row>
    <row r="2476">
      <c r="A2476">
        <f>IF(DAY(D2476)=DAY($L$1+1),A2475+1,A2475)</f>
        <v/>
      </c>
      <c r="B2476" s="46">
        <f>IF(DAY(D2476)=DAY($L$1+1),1,B2475+1)</f>
        <v/>
      </c>
      <c r="C2476" s="46">
        <f>IF(DAY(D2476)=DAY($L$1+1),1,C2475+1)</f>
        <v/>
      </c>
      <c r="D2476" s="2">
        <f>D2475+1</f>
        <v/>
      </c>
      <c r="E2476" s="8">
        <f>IF(DAY(D2476)=DAY($L$1+1),TRUNC((N2475),8),E2475)</f>
        <v/>
      </c>
      <c r="F2476" s="49">
        <f>TRUNC(((1+VLOOKUP(A2476,IPCA!$A$2:$C$140,3,0)))^(C2476/(EDATE(D2476-C2476,1)-(D2476-C2476))),8)</f>
        <v/>
      </c>
      <c r="G2476" s="44">
        <f>TRUNC((E2476*F2476),8)</f>
        <v/>
      </c>
      <c r="H2476" s="44">
        <f>ROUND(((1+$H$4)^(30/360))^(C2476/(EDATE(D2476-B2476,1)-(D2476-B2476))),9)</f>
        <v/>
      </c>
      <c r="I2476" s="44">
        <f>TRUNC((G2476*H2476-G2476),8)</f>
        <v/>
      </c>
      <c r="J2476" s="49">
        <f>G2476+I2476</f>
        <v/>
      </c>
      <c r="K2476" s="256" t="n"/>
      <c r="L2476" s="256" t="n"/>
      <c r="M2476" s="256" t="n"/>
      <c r="N2476" s="256" t="n"/>
      <c r="O2476" s="256" t="n"/>
      <c r="P2476" s="256" t="n"/>
      <c r="Q2476" s="256" t="n"/>
    </row>
    <row r="2477">
      <c r="A2477">
        <f>IF(DAY(D2477)=DAY($L$1+1),A2476+1,A2476)</f>
        <v/>
      </c>
      <c r="B2477" s="1">
        <f>IF(DAY(D2477)=DAY($L$1+1),1,B2476+1)</f>
        <v/>
      </c>
      <c r="C2477" s="1">
        <f>IF(DAY(D2477)=DAY($L$1+1),1,C2476+1)</f>
        <v/>
      </c>
      <c r="D2477" s="2">
        <f>D2476+1</f>
        <v/>
      </c>
      <c r="E2477" s="8">
        <f>IF(DAY(D2477)=DAY($L$1+1),TRUNC((N2476),8),E2476)</f>
        <v/>
      </c>
      <c r="F2477" s="49">
        <f>TRUNC(((1+VLOOKUP(A2477,IPCA!$A$2:$C$140,3,0)))^(C2477/(EDATE(D2477-C2477,1)-(D2477-C2477))),8)</f>
        <v/>
      </c>
      <c r="G2477" s="44">
        <f>TRUNC((E2477*F2477),8)</f>
        <v/>
      </c>
      <c r="H2477" s="44">
        <f>ROUND(((1+$H$4)^(30/360))^(C2477/(EDATE(D2477-B2477,1)-(D2477-B2477))),9)</f>
        <v/>
      </c>
      <c r="I2477" s="44">
        <f>TRUNC((G2477*H2477-G2477),8)</f>
        <v/>
      </c>
      <c r="J2477" s="49">
        <f>G2477+I2477</f>
        <v/>
      </c>
      <c r="K2477" s="256" t="n"/>
      <c r="L2477" s="256" t="n"/>
      <c r="M2477" s="256" t="n"/>
      <c r="N2477" s="256" t="n"/>
      <c r="O2477" s="256" t="n"/>
      <c r="P2477" s="256" t="n"/>
      <c r="Q2477" s="256" t="n"/>
    </row>
    <row r="2478">
      <c r="A2478">
        <f>IF(DAY(D2478)=DAY($L$1+1),A2477+1,A2477)</f>
        <v/>
      </c>
      <c r="B2478" s="46">
        <f>IF(DAY(D2478)=DAY($L$1+1),1,B2477+1)</f>
        <v/>
      </c>
      <c r="C2478" s="46">
        <f>IF(DAY(D2478)=DAY($L$1+1),1,C2477+1)</f>
        <v/>
      </c>
      <c r="D2478" s="2">
        <f>D2477+1</f>
        <v/>
      </c>
      <c r="E2478" s="8">
        <f>IF(DAY(D2478)=DAY($L$1+1),TRUNC((N2477),8),E2477)</f>
        <v/>
      </c>
      <c r="F2478" s="49">
        <f>TRUNC(((1+VLOOKUP(A2478,IPCA!$A$2:$C$140,3,0)))^(C2478/(EDATE(D2478-C2478,1)-(D2478-C2478))),8)</f>
        <v/>
      </c>
      <c r="G2478" s="44">
        <f>TRUNC((E2478*F2478),8)</f>
        <v/>
      </c>
      <c r="H2478" s="44">
        <f>ROUND(((1+$H$4)^(30/360))^(C2478/(EDATE(D2478-B2478,1)-(D2478-B2478))),9)</f>
        <v/>
      </c>
      <c r="I2478" s="44">
        <f>TRUNC((G2478*H2478-G2478),8)</f>
        <v/>
      </c>
      <c r="J2478" s="49">
        <f>G2478+I2478</f>
        <v/>
      </c>
      <c r="K2478" s="256" t="n"/>
      <c r="L2478" s="256" t="n"/>
      <c r="M2478" s="256" t="n"/>
      <c r="N2478" s="256" t="n"/>
      <c r="O2478" s="256" t="n"/>
      <c r="P2478" s="256" t="n"/>
      <c r="Q2478" s="256" t="n"/>
    </row>
    <row r="2479">
      <c r="A2479">
        <f>IF(DAY(D2479)=DAY($L$1+1),A2478+1,A2478)</f>
        <v/>
      </c>
      <c r="B2479" s="1">
        <f>IF(DAY(D2479)=DAY($L$1+1),1,B2478+1)</f>
        <v/>
      </c>
      <c r="C2479" s="1">
        <f>IF(DAY(D2479)=DAY($L$1+1),1,C2478+1)</f>
        <v/>
      </c>
      <c r="D2479" s="2">
        <f>D2478+1</f>
        <v/>
      </c>
      <c r="E2479" s="8">
        <f>IF(DAY(D2479)=DAY($L$1+1),TRUNC((N2478),8),E2478)</f>
        <v/>
      </c>
      <c r="F2479" s="49">
        <f>TRUNC(((1+VLOOKUP(A2479,IPCA!$A$2:$C$140,3,0)))^(C2479/(EDATE(D2479-C2479,1)-(D2479-C2479))),8)</f>
        <v/>
      </c>
      <c r="G2479" s="44">
        <f>TRUNC((E2479*F2479),8)</f>
        <v/>
      </c>
      <c r="H2479" s="44">
        <f>ROUND(((1+$H$4)^(30/360))^(C2479/(EDATE(D2479-B2479,1)-(D2479-B2479))),9)</f>
        <v/>
      </c>
      <c r="I2479" s="44">
        <f>TRUNC((G2479*H2479-G2479),8)</f>
        <v/>
      </c>
      <c r="J2479" s="49">
        <f>G2479+I2479</f>
        <v/>
      </c>
      <c r="K2479" s="256" t="n"/>
      <c r="L2479" s="256" t="n"/>
      <c r="M2479" s="256" t="n"/>
      <c r="N2479" s="256" t="n"/>
      <c r="O2479" s="256" t="n"/>
      <c r="P2479" s="256" t="n"/>
      <c r="Q2479" s="256" t="n"/>
    </row>
    <row r="2480">
      <c r="A2480">
        <f>IF(DAY(D2480)=DAY($L$1+1),A2479+1,A2479)</f>
        <v/>
      </c>
      <c r="B2480" s="46">
        <f>IF(DAY(D2480)=DAY($L$1+1),1,B2479+1)</f>
        <v/>
      </c>
      <c r="C2480" s="46">
        <f>IF(DAY(D2480)=DAY($L$1+1),1,C2479+1)</f>
        <v/>
      </c>
      <c r="D2480" s="2">
        <f>D2479+1</f>
        <v/>
      </c>
      <c r="E2480" s="8">
        <f>IF(DAY(D2480)=DAY($L$1+1),TRUNC((N2479),8),E2479)</f>
        <v/>
      </c>
      <c r="F2480" s="49">
        <f>TRUNC(((1+VLOOKUP(A2480,IPCA!$A$2:$C$140,3,0)))^(C2480/(EDATE(D2480-C2480,1)-(D2480-C2480))),8)</f>
        <v/>
      </c>
      <c r="G2480" s="44">
        <f>TRUNC((E2480*F2480),8)</f>
        <v/>
      </c>
      <c r="H2480" s="44">
        <f>ROUND(((1+$H$4)^(30/360))^(C2480/(EDATE(D2480-B2480,1)-(D2480-B2480))),9)</f>
        <v/>
      </c>
      <c r="I2480" s="44">
        <f>TRUNC((G2480*H2480-G2480),8)</f>
        <v/>
      </c>
      <c r="J2480" s="49">
        <f>G2480+I2480</f>
        <v/>
      </c>
      <c r="K2480" s="256" t="n"/>
      <c r="L2480" s="256" t="n"/>
      <c r="M2480" s="256" t="n"/>
      <c r="N2480" s="256" t="n"/>
      <c r="O2480" s="256" t="n"/>
      <c r="P2480" s="256" t="n"/>
      <c r="Q2480" s="256" t="n"/>
    </row>
    <row r="2481">
      <c r="A2481">
        <f>IF(DAY(D2481)=DAY($L$1+1),A2480+1,A2480)</f>
        <v/>
      </c>
      <c r="B2481" s="1">
        <f>IF(DAY(D2481)=DAY($L$1+1),1,B2480+1)</f>
        <v/>
      </c>
      <c r="C2481" s="1">
        <f>IF(DAY(D2481)=DAY($L$1+1),1,C2480+1)</f>
        <v/>
      </c>
      <c r="D2481" s="2">
        <f>D2480+1</f>
        <v/>
      </c>
      <c r="E2481" s="8">
        <f>IF(DAY(D2481)=DAY($L$1+1),TRUNC((N2480),8),E2480)</f>
        <v/>
      </c>
      <c r="F2481" s="49">
        <f>TRUNC(((1+VLOOKUP(A2481,IPCA!$A$2:$C$140,3,0)))^(C2481/(EDATE(D2481-C2481,1)-(D2481-C2481))),8)</f>
        <v/>
      </c>
      <c r="G2481" s="44">
        <f>TRUNC((E2481*F2481),8)</f>
        <v/>
      </c>
      <c r="H2481" s="44">
        <f>ROUND(((1+$H$4)^(30/360))^(C2481/(EDATE(D2481-B2481,1)-(D2481-B2481))),9)</f>
        <v/>
      </c>
      <c r="I2481" s="44">
        <f>TRUNC((G2481*H2481-G2481),8)</f>
        <v/>
      </c>
      <c r="J2481" s="49">
        <f>G2481+I2481</f>
        <v/>
      </c>
      <c r="K2481" s="256" t="n"/>
      <c r="L2481" s="256" t="n"/>
      <c r="M2481" s="256" t="n"/>
      <c r="N2481" s="256" t="n"/>
      <c r="O2481" s="256" t="n"/>
      <c r="P2481" s="256" t="n"/>
      <c r="Q2481" s="256" t="n"/>
    </row>
    <row r="2482">
      <c r="A2482">
        <f>IF(DAY(D2482)=DAY($L$1+1),A2481+1,A2481)</f>
        <v/>
      </c>
      <c r="B2482" s="46">
        <f>IF(DAY(D2482)=DAY($L$1+1),1,B2481+1)</f>
        <v/>
      </c>
      <c r="C2482" s="46">
        <f>IF(DAY(D2482)=DAY($L$1+1),1,C2481+1)</f>
        <v/>
      </c>
      <c r="D2482" s="2">
        <f>D2481+1</f>
        <v/>
      </c>
      <c r="E2482" s="8">
        <f>IF(DAY(D2482)=DAY($L$1+1),TRUNC((N2481),8),E2481)</f>
        <v/>
      </c>
      <c r="F2482" s="49">
        <f>TRUNC(((1+VLOOKUP(A2482,IPCA!$A$2:$C$140,3,0)))^(C2482/(EDATE(D2482-C2482,1)-(D2482-C2482))),8)</f>
        <v/>
      </c>
      <c r="G2482" s="44">
        <f>TRUNC((E2482*F2482),8)</f>
        <v/>
      </c>
      <c r="H2482" s="44">
        <f>ROUND(((1+$H$4)^(30/360))^(C2482/(EDATE(D2482-B2482,1)-(D2482-B2482))),9)</f>
        <v/>
      </c>
      <c r="I2482" s="44">
        <f>TRUNC((G2482*H2482-G2482),8)</f>
        <v/>
      </c>
      <c r="J2482" s="49">
        <f>G2482+I2482</f>
        <v/>
      </c>
      <c r="K2482" s="256" t="n"/>
      <c r="L2482" s="256" t="n"/>
      <c r="M2482" s="256" t="n"/>
      <c r="N2482" s="256" t="n"/>
      <c r="O2482" s="256" t="n"/>
      <c r="P2482" s="256" t="n"/>
      <c r="Q2482" s="256" t="n"/>
    </row>
    <row r="2483">
      <c r="A2483">
        <f>IF(DAY(D2483)=DAY($L$1+1),A2482+1,A2482)</f>
        <v/>
      </c>
      <c r="B2483" s="46">
        <f>IF(DAY(D2483)=DAY($L$1+1),1,B2482+1)</f>
        <v/>
      </c>
      <c r="C2483" s="46">
        <f>IF(DAY(D2483)=DAY($L$1+1),1,C2482+1)</f>
        <v/>
      </c>
      <c r="D2483" s="2">
        <f>D2482+1</f>
        <v/>
      </c>
      <c r="E2483" s="8">
        <f>IF(DAY(D2483)=DAY($L$1+1),TRUNC((N2482),8),E2482)</f>
        <v/>
      </c>
      <c r="F2483" s="49">
        <f>TRUNC(((1+VLOOKUP(A2483,IPCA!$A$2:$C$140,3,0)))^(C2483/(EDATE(D2483-C2483,1)-(D2483-C2483))),8)</f>
        <v/>
      </c>
      <c r="G2483" s="49">
        <f>TRUNC((E2483*F2483),8)</f>
        <v/>
      </c>
      <c r="H2483" s="49">
        <f>ROUND(((1+$H$4)^(30/360))^(C2483/(EDATE(D2483-B2483,1)-(D2483-B2483))),9)</f>
        <v/>
      </c>
      <c r="I2483" s="49">
        <f>TRUNC((G2483*H2483-G2483),8)</f>
        <v/>
      </c>
      <c r="J2483" s="49">
        <f>G2483+I2483</f>
        <v/>
      </c>
      <c r="K2483" s="256" t="inlineStr">
        <is>
          <t>Cri Integralizado</t>
        </is>
      </c>
      <c r="L2483" s="270">
        <f>L2452</f>
        <v/>
      </c>
      <c r="M2483" s="256" t="n"/>
      <c r="N2483" s="256" t="n"/>
      <c r="O2483" s="256" t="n"/>
      <c r="P2483" s="256" t="n"/>
      <c r="Q2483" s="256" t="n"/>
    </row>
    <row r="2484">
      <c r="A2484">
        <f>IF(DAY(D2484)=DAY($L$1+1),A2483+1,A2483)</f>
        <v/>
      </c>
      <c r="B2484" s="46">
        <f>IF(DAY(D2484)=DAY($L$1+1),1,B2483+1)</f>
        <v/>
      </c>
      <c r="C2484" s="46">
        <f>IF(DAY(D2484)=DAY($L$1+1),1,C2483+1)</f>
        <v/>
      </c>
      <c r="D2484" s="47">
        <f>D2483+1</f>
        <v/>
      </c>
      <c r="E2484" s="8">
        <f>IF(DAY(D2484)=DAY($L$1+1),TRUNC((N2483),8),E2483)</f>
        <v/>
      </c>
      <c r="F2484" s="49">
        <f>TRUNC(((1+VLOOKUP(A2484,IPCA!$A$2:$C$140,3,0)))^(C2484/(EDATE(D2484-C2484,1)-(D2484-C2484))),8)</f>
        <v/>
      </c>
      <c r="G2484" s="49">
        <f>TRUNC((E2484*F2484),8)</f>
        <v/>
      </c>
      <c r="H2484" s="49">
        <f>ROUND(((1+$H$4)^(30/360))^(C2484/(EDATE(D2484-B2484,1)-(D2484-B2484))),9)</f>
        <v/>
      </c>
      <c r="I2484" s="49">
        <f>TRUNC((G2484*H2484-G2484),8)</f>
        <v/>
      </c>
      <c r="J2484" s="49">
        <f>G2484+I2484</f>
        <v/>
      </c>
      <c r="K2484" s="137" t="inlineStr">
        <is>
          <t>JUROS</t>
        </is>
      </c>
      <c r="L2484" s="118" t="inlineStr">
        <is>
          <t>AMORTIZAÇÃO</t>
        </is>
      </c>
      <c r="M2484" s="118" t="inlineStr">
        <is>
          <t>AMEX</t>
        </is>
      </c>
      <c r="N2484" s="118" t="inlineStr">
        <is>
          <t>RESIDUAL</t>
        </is>
      </c>
      <c r="O2484" s="256" t="n"/>
      <c r="P2484" s="256" t="n"/>
      <c r="Q2484" s="256" t="n"/>
    </row>
    <row r="2485">
      <c r="A2485">
        <f>IF(DAY(D2485)=DAY($L$1+1),A2484+1,A2484)</f>
        <v/>
      </c>
      <c r="B2485" s="111">
        <f>IF(DAY(D2485)=DAY($L$1+1),1,B2484+1)</f>
        <v/>
      </c>
      <c r="C2485" s="111">
        <f>IF(DAY(D2485)=DAY($L$1+1),1,C2484+1)</f>
        <v/>
      </c>
      <c r="D2485" s="112">
        <f>D2484+1</f>
        <v/>
      </c>
      <c r="E2485" s="113">
        <f>IF(DAY(D2485)=DAY($L$1+1),TRUNC((N2484),8),E2484)</f>
        <v/>
      </c>
      <c r="F2485" s="114">
        <f>TRUNC(((1+VLOOKUP(A2485,IPCA!$A$2:$C$140,3,0)))^(C2485/(EDATE(D2485-C2485,1)-(D2485-C2485))),8)</f>
        <v/>
      </c>
      <c r="G2485" s="114">
        <f>TRUNC((E2485*F2485),8)</f>
        <v/>
      </c>
      <c r="H2485" s="114">
        <f>ROUND(((1+$H$4)^(30/360))^(C2485/(EDATE(D2485-B2485,1)-(D2485-B2485))),9)</f>
        <v/>
      </c>
      <c r="I2485" s="114">
        <f>TRUNC((G2485*H2485-G2485),8)</f>
        <v/>
      </c>
      <c r="J2485" s="114">
        <f>G2485+I2485</f>
        <v/>
      </c>
      <c r="K2485" s="119">
        <f>I2485</f>
        <v/>
      </c>
      <c r="L2485" s="120">
        <f>TRUNC(G2485*VLOOKUP(D2485,'Amort TS'!$G$3:$H$140,2,0),8)</f>
        <v/>
      </c>
      <c r="M2485" s="120" t="n">
        <v>0</v>
      </c>
      <c r="N2485" s="120">
        <f>J2485-K2485-L2485-M2485</f>
        <v/>
      </c>
      <c r="O2485" s="256" t="n"/>
      <c r="P2485" s="256" t="n"/>
      <c r="Q2485" s="256" t="n"/>
    </row>
    <row r="2486">
      <c r="A2486">
        <f>IF(DAY(D2486)=DAY($L$1+1),A2485+1,A2485)</f>
        <v/>
      </c>
      <c r="B2486" s="46">
        <f>IF(DAY(D2486)=DAY($L$1+1),1,B2485+1)</f>
        <v/>
      </c>
      <c r="C2486" s="46">
        <f>IF(DAY(D2486)=DAY($L$1+1),1,C2485+1)</f>
        <v/>
      </c>
      <c r="D2486" s="2">
        <f>D2485+1</f>
        <v/>
      </c>
      <c r="E2486" s="8">
        <f>IF(DAY(D2486)=DAY($L$1+1),TRUNC((N2485),8),E2485)</f>
        <v/>
      </c>
      <c r="F2486" s="49">
        <f>TRUNC(((1+VLOOKUP(A2486,IPCA!$A$2:$C$140,3,0)))^(C2486/(EDATE(D2486-C2486,1)-(D2486-C2486))),8)</f>
        <v/>
      </c>
      <c r="G2486" s="49">
        <f>TRUNC((E2486*F2486),8)</f>
        <v/>
      </c>
      <c r="H2486" s="49">
        <f>ROUND(((1+$H$4)^(30/360))^(C2486/(EDATE(D2486-B2486,1)-(D2486-B2486))),9)</f>
        <v/>
      </c>
      <c r="I2486" s="49">
        <f>TRUNC((G2486*H2486-G2486),8)</f>
        <v/>
      </c>
      <c r="J2486" s="49">
        <f>G2486+I2486</f>
        <v/>
      </c>
      <c r="K2486" s="121">
        <f>K2485*L2483</f>
        <v/>
      </c>
      <c r="L2486" s="121">
        <f>L2485*L2483</f>
        <v/>
      </c>
      <c r="M2486" s="121">
        <f>M2485*L2483</f>
        <v/>
      </c>
      <c r="N2486" s="121">
        <f>N2485*L2483</f>
        <v/>
      </c>
      <c r="O2486" s="256" t="n"/>
      <c r="P2486" s="256" t="n"/>
      <c r="Q2486" s="256" t="n"/>
    </row>
    <row r="2487">
      <c r="A2487">
        <f>IF(DAY(D2487)=DAY($L$1+1),A2486+1,A2486)</f>
        <v/>
      </c>
      <c r="B2487" s="46">
        <f>IF(DAY(D2487)=DAY($L$1+1),1,B2486+1)</f>
        <v/>
      </c>
      <c r="C2487" s="46">
        <f>IF(DAY(D2487)=DAY($L$1+1),1,C2486+1)</f>
        <v/>
      </c>
      <c r="D2487" s="47">
        <f>D2486+1</f>
        <v/>
      </c>
      <c r="E2487" s="8">
        <f>IF(DAY(D2487)=DAY($L$1+1),TRUNC((N2486),8),E2486)</f>
        <v/>
      </c>
      <c r="F2487" s="49">
        <f>TRUNC(((1+VLOOKUP(A2487,IPCA!$A$2:$C$140,3,0)))^(C2487/(EDATE(D2487-C2487,1)-(D2487-C2487))),8)</f>
        <v/>
      </c>
      <c r="G2487" s="49">
        <f>TRUNC((E2487*F2487),8)</f>
        <v/>
      </c>
      <c r="H2487" s="49">
        <f>ROUND(((1+$H$4)^(30/360))^(C2487/(EDATE(D2487-B2487,1)-(D2487-B2487))),9)</f>
        <v/>
      </c>
      <c r="I2487" s="49">
        <f>TRUNC((G2487*H2487-G2487),8)</f>
        <v/>
      </c>
      <c r="J2487" s="49">
        <f>G2487+I2487</f>
        <v/>
      </c>
      <c r="K2487" s="256" t="n"/>
      <c r="L2487" s="256" t="n"/>
      <c r="M2487" s="256" t="n"/>
      <c r="N2487" s="256" t="n"/>
      <c r="O2487" s="256" t="n"/>
      <c r="P2487" s="256" t="n"/>
      <c r="Q2487" s="256" t="n"/>
    </row>
    <row r="2488">
      <c r="A2488">
        <f>IF(DAY(D2488)=DAY($L$1+1),A2487+1,A2487)</f>
        <v/>
      </c>
      <c r="B2488" s="46">
        <f>IF(DAY(D2488)=DAY($L$1+1),1,B2487+1)</f>
        <v/>
      </c>
      <c r="C2488" s="46">
        <f>IF(DAY(D2488)=DAY($L$1+1),1,C2487+1)</f>
        <v/>
      </c>
      <c r="D2488" s="2">
        <f>D2487+1</f>
        <v/>
      </c>
      <c r="E2488" s="8">
        <f>IF(DAY(D2488)=DAY($L$1+1),TRUNC((#REF!),8),E2487)</f>
        <v/>
      </c>
      <c r="F2488" s="49">
        <f>TRUNC(((1+VLOOKUP(A2488,IPCA!$A$2:$C$140,3,0)))^(C2488/(EDATE(D2488-C2488,1)-(D2488-C2488))),8)</f>
        <v/>
      </c>
      <c r="G2488" s="44">
        <f>TRUNC((E2488*F2488),8)</f>
        <v/>
      </c>
      <c r="H2488" s="44">
        <f>ROUND(((1+$H$4)^(30/360))^(C2488/(EDATE(D2488-B2488,1)-(D2488-B2488))),9)</f>
        <v/>
      </c>
      <c r="I2488" s="44">
        <f>TRUNC((G2488*H2488-G2488),8)</f>
        <v/>
      </c>
      <c r="J2488" s="49">
        <f>G2488+I2488</f>
        <v/>
      </c>
      <c r="K2488" s="256" t="n"/>
      <c r="L2488" s="256" t="n"/>
      <c r="M2488" s="256" t="n"/>
      <c r="N2488" s="256" t="n"/>
      <c r="O2488" s="256" t="n"/>
      <c r="P2488" s="256" t="n"/>
      <c r="Q2488" s="256" t="n"/>
    </row>
    <row r="2489">
      <c r="A2489">
        <f>IF(DAY(D2489)=DAY($L$1+1),A2488+1,A2488)</f>
        <v/>
      </c>
      <c r="B2489" s="1">
        <f>IF(DAY(D2489)=DAY($L$1+1),1,B2488+1)</f>
        <v/>
      </c>
      <c r="C2489" s="1">
        <f>IF(DAY(D2489)=DAY($L$1+1),1,C2488+1)</f>
        <v/>
      </c>
      <c r="D2489" s="2">
        <f>D2488+1</f>
        <v/>
      </c>
      <c r="E2489" s="8">
        <f>IF(DAY(D2489)=DAY($L$1+1),TRUNC((#REF!),8),E2488)</f>
        <v/>
      </c>
      <c r="F2489" s="49">
        <f>TRUNC(((1+VLOOKUP(A2489,IPCA!$A$2:$C$140,3,0)))^(C2489/(EDATE(D2489-C2489,1)-(D2489-C2489))),8)</f>
        <v/>
      </c>
      <c r="G2489" s="44">
        <f>TRUNC((E2489*F2489),8)</f>
        <v/>
      </c>
      <c r="H2489" s="44">
        <f>ROUND(((1+$H$4)^(30/360))^(C2489/(EDATE(D2489-B2489,1)-(D2489-B2489))),9)</f>
        <v/>
      </c>
      <c r="I2489" s="44">
        <f>TRUNC((G2489*H2489-G2489),8)</f>
        <v/>
      </c>
      <c r="J2489" s="49">
        <f>G2489+I2489</f>
        <v/>
      </c>
      <c r="K2489" s="256" t="n"/>
      <c r="L2489" s="256" t="n"/>
      <c r="M2489" s="256" t="n"/>
      <c r="N2489" s="256" t="n"/>
      <c r="O2489" s="256" t="n"/>
      <c r="P2489" s="256" t="n"/>
      <c r="Q2489" s="256" t="n"/>
    </row>
    <row r="2490">
      <c r="A2490">
        <f>IF(DAY(D2490)=DAY($L$1+1),A2489+1,A2489)</f>
        <v/>
      </c>
      <c r="B2490" s="46">
        <f>IF(DAY(D2490)=DAY($L$1+1),1,B2489+1)</f>
        <v/>
      </c>
      <c r="C2490" s="46">
        <f>IF(DAY(D2490)=DAY($L$1+1),1,C2489+1)</f>
        <v/>
      </c>
      <c r="D2490" s="2">
        <f>D2489+1</f>
        <v/>
      </c>
      <c r="E2490" s="8">
        <f>IF(DAY(D2490)=DAY($L$1+1),TRUNC((#REF!),8),E2489)</f>
        <v/>
      </c>
      <c r="F2490" s="49">
        <f>TRUNC(((1+VLOOKUP(A2490,IPCA!$A$2:$C$140,3,0)))^(C2490/(EDATE(D2490-C2490,1)-(D2490-C2490))),8)</f>
        <v/>
      </c>
      <c r="G2490" s="44">
        <f>TRUNC((E2490*F2490),8)</f>
        <v/>
      </c>
      <c r="H2490" s="44">
        <f>ROUND(((1+$H$4)^(30/360))^(C2490/(EDATE(D2490-B2490,1)-(D2490-B2490))),9)</f>
        <v/>
      </c>
      <c r="I2490" s="44">
        <f>TRUNC((G2490*H2490-G2490),8)</f>
        <v/>
      </c>
      <c r="J2490" s="49">
        <f>G2490+I2490</f>
        <v/>
      </c>
      <c r="K2490" s="256" t="n"/>
      <c r="L2490" s="256" t="n"/>
      <c r="M2490" s="256" t="n"/>
      <c r="N2490" s="256" t="n"/>
      <c r="O2490" s="256" t="n"/>
      <c r="P2490" s="256" t="n"/>
      <c r="Q2490" s="256" t="n"/>
    </row>
    <row r="2491">
      <c r="A2491">
        <f>IF(DAY(D2491)=DAY($L$1+1),A2490+1,A2490)</f>
        <v/>
      </c>
      <c r="B2491" s="1">
        <f>IF(DAY(D2491)=DAY($L$1+1),1,B2490+1)</f>
        <v/>
      </c>
      <c r="C2491" s="1">
        <f>IF(DAY(D2491)=DAY($L$1+1),1,C2490+1)</f>
        <v/>
      </c>
      <c r="D2491" s="2">
        <f>D2490+1</f>
        <v/>
      </c>
      <c r="E2491" s="8">
        <f>IF(DAY(D2491)=DAY($L$1+1),TRUNC((#REF!),8),E2490)</f>
        <v/>
      </c>
      <c r="F2491" s="49">
        <f>TRUNC(((1+VLOOKUP(A2491,IPCA!$A$2:$C$140,3,0)))^(C2491/(EDATE(D2491-C2491,1)-(D2491-C2491))),8)</f>
        <v/>
      </c>
      <c r="G2491" s="44">
        <f>TRUNC((E2491*F2491),8)</f>
        <v/>
      </c>
      <c r="H2491" s="44">
        <f>ROUND(((1+$H$4)^(30/360))^(C2491/(EDATE(D2491-B2491,1)-(D2491-B2491))),9)</f>
        <v/>
      </c>
      <c r="I2491" s="44">
        <f>TRUNC((G2491*H2491-G2491),8)</f>
        <v/>
      </c>
      <c r="J2491" s="49">
        <f>G2491+I2491</f>
        <v/>
      </c>
      <c r="K2491" s="256" t="n"/>
      <c r="L2491" s="256" t="n"/>
      <c r="M2491" s="256" t="n"/>
      <c r="N2491" s="256" t="n"/>
      <c r="O2491" s="256" t="n"/>
      <c r="P2491" s="256" t="n"/>
      <c r="Q2491" s="256" t="n"/>
    </row>
    <row r="2492">
      <c r="A2492">
        <f>IF(DAY(D2492)=DAY($L$1+1),A2491+1,A2491)</f>
        <v/>
      </c>
      <c r="B2492" s="46">
        <f>IF(DAY(D2492)=DAY($L$1+1),1,B2491+1)</f>
        <v/>
      </c>
      <c r="C2492" s="46">
        <f>IF(DAY(D2492)=DAY($L$1+1),1,C2491+1)</f>
        <v/>
      </c>
      <c r="D2492" s="2">
        <f>D2491+1</f>
        <v/>
      </c>
      <c r="E2492" s="8">
        <f>IF(DAY(D2492)=DAY($L$1+1),TRUNC((#REF!),8),E2491)</f>
        <v/>
      </c>
      <c r="F2492" s="49">
        <f>TRUNC(((1+VLOOKUP(A2492,IPCA!$A$2:$C$140,3,0)))^(C2492/(EDATE(D2492-C2492,1)-(D2492-C2492))),8)</f>
        <v/>
      </c>
      <c r="G2492" s="44">
        <f>TRUNC((E2492*F2492),8)</f>
        <v/>
      </c>
      <c r="H2492" s="44">
        <f>ROUND(((1+$H$4)^(30/360))^(C2492/(EDATE(D2492-B2492,1)-(D2492-B2492))),9)</f>
        <v/>
      </c>
      <c r="I2492" s="44">
        <f>TRUNC((G2492*H2492-G2492),8)</f>
        <v/>
      </c>
      <c r="J2492" s="49">
        <f>G2492+I2492</f>
        <v/>
      </c>
      <c r="K2492" s="256" t="n"/>
      <c r="L2492" s="256" t="n"/>
      <c r="M2492" s="256" t="n"/>
      <c r="N2492" s="256" t="n"/>
      <c r="O2492" s="256" t="n"/>
      <c r="P2492" s="256" t="n"/>
      <c r="Q2492" s="256" t="n"/>
    </row>
    <row r="2493">
      <c r="A2493">
        <f>IF(DAY(D2493)=DAY($L$1+1),A2492+1,A2492)</f>
        <v/>
      </c>
      <c r="B2493" s="1">
        <f>IF(DAY(D2493)=DAY($L$1+1),1,B2492+1)</f>
        <v/>
      </c>
      <c r="C2493" s="1">
        <f>IF(DAY(D2493)=DAY($L$1+1),1,C2492+1)</f>
        <v/>
      </c>
      <c r="D2493" s="2">
        <f>D2492+1</f>
        <v/>
      </c>
      <c r="E2493" s="8">
        <f>IF(DAY(D2493)=DAY($L$1+1),TRUNC((#REF!),8),E2492)</f>
        <v/>
      </c>
      <c r="F2493" s="49">
        <f>TRUNC(((1+VLOOKUP(A2493,IPCA!$A$2:$C$140,3,0)))^(C2493/(EDATE(D2493-C2493,1)-(D2493-C2493))),8)</f>
        <v/>
      </c>
      <c r="G2493" s="44">
        <f>TRUNC((E2493*F2493),8)</f>
        <v/>
      </c>
      <c r="H2493" s="44">
        <f>ROUND(((1+$H$4)^(30/360))^(C2493/(EDATE(D2493-B2493,1)-(D2493-B2493))),9)</f>
        <v/>
      </c>
      <c r="I2493" s="44">
        <f>TRUNC((G2493*H2493-G2493),8)</f>
        <v/>
      </c>
      <c r="J2493" s="49">
        <f>G2493+I2493</f>
        <v/>
      </c>
      <c r="K2493" s="256" t="n"/>
      <c r="L2493" s="256" t="n"/>
      <c r="M2493" s="256" t="n"/>
      <c r="N2493" s="256" t="n"/>
      <c r="O2493" s="256" t="n"/>
      <c r="P2493" s="256" t="n"/>
      <c r="Q2493" s="256" t="n"/>
    </row>
    <row r="2494">
      <c r="A2494">
        <f>IF(DAY(D2494)=DAY($L$1+1),A2493+1,A2493)</f>
        <v/>
      </c>
      <c r="B2494" s="46">
        <f>IF(DAY(D2494)=DAY($L$1+1),1,B2493+1)</f>
        <v/>
      </c>
      <c r="C2494" s="46">
        <f>IF(DAY(D2494)=DAY($L$1+1),1,C2493+1)</f>
        <v/>
      </c>
      <c r="D2494" s="2">
        <f>D2493+1</f>
        <v/>
      </c>
      <c r="E2494" s="8">
        <f>IF(DAY(D2494)=DAY($L$1+1),TRUNC((#REF!),8),E2493)</f>
        <v/>
      </c>
      <c r="F2494" s="49">
        <f>TRUNC(((1+VLOOKUP(A2494,IPCA!$A$2:$C$140,3,0)))^(C2494/(EDATE(D2494-C2494,1)-(D2494-C2494))),8)</f>
        <v/>
      </c>
      <c r="G2494" s="44">
        <f>TRUNC((E2494*F2494),8)</f>
        <v/>
      </c>
      <c r="H2494" s="44">
        <f>ROUND(((1+$H$4)^(30/360))^(C2494/(EDATE(D2494-B2494,1)-(D2494-B2494))),9)</f>
        <v/>
      </c>
      <c r="I2494" s="44">
        <f>TRUNC((G2494*H2494-G2494),8)</f>
        <v/>
      </c>
      <c r="J2494" s="49">
        <f>G2494+I2494</f>
        <v/>
      </c>
      <c r="K2494" s="256" t="n"/>
      <c r="L2494" s="256" t="n"/>
      <c r="M2494" s="256" t="n"/>
      <c r="N2494" s="256" t="n"/>
      <c r="O2494" s="256" t="n"/>
      <c r="P2494" s="256" t="n"/>
      <c r="Q2494" s="256" t="n"/>
    </row>
    <row r="2495">
      <c r="A2495">
        <f>IF(DAY(D2495)=DAY($L$1+1),A2494+1,A2494)</f>
        <v/>
      </c>
      <c r="B2495" s="1">
        <f>IF(DAY(D2495)=DAY($L$1+1),1,B2494+1)</f>
        <v/>
      </c>
      <c r="C2495" s="1">
        <f>IF(DAY(D2495)=DAY($L$1+1),1,C2494+1)</f>
        <v/>
      </c>
      <c r="D2495" s="2">
        <f>D2494+1</f>
        <v/>
      </c>
      <c r="E2495" s="8">
        <f>IF(DAY(D2495)=DAY($L$1+1),TRUNC((#REF!),8),E2494)</f>
        <v/>
      </c>
      <c r="F2495" s="49">
        <f>TRUNC(((1+VLOOKUP(A2495,IPCA!$A$2:$C$140,3,0)))^(C2495/(EDATE(D2495-C2495,1)-(D2495-C2495))),8)</f>
        <v/>
      </c>
      <c r="G2495" s="44">
        <f>TRUNC((E2495*F2495),8)</f>
        <v/>
      </c>
      <c r="H2495" s="44">
        <f>ROUND(((1+$H$4)^(30/360))^(C2495/(EDATE(D2495-B2495,1)-(D2495-B2495))),9)</f>
        <v/>
      </c>
      <c r="I2495" s="44">
        <f>TRUNC((G2495*H2495-G2495),8)</f>
        <v/>
      </c>
      <c r="J2495" s="49">
        <f>G2495+I2495</f>
        <v/>
      </c>
      <c r="K2495" s="256" t="n"/>
      <c r="L2495" s="256" t="n"/>
      <c r="M2495" s="256" t="n"/>
      <c r="N2495" s="256" t="n"/>
      <c r="O2495" s="256" t="n"/>
      <c r="P2495" s="256" t="n"/>
      <c r="Q2495" s="256" t="n"/>
    </row>
    <row r="2496">
      <c r="A2496">
        <f>IF(DAY(D2496)=DAY($L$1+1),A2495+1,A2495)</f>
        <v/>
      </c>
      <c r="B2496" s="46">
        <f>IF(DAY(D2496)=DAY($L$1+1),1,B2495+1)</f>
        <v/>
      </c>
      <c r="C2496" s="46">
        <f>IF(DAY(D2496)=DAY($L$1+1),1,C2495+1)</f>
        <v/>
      </c>
      <c r="D2496" s="2">
        <f>D2495+1</f>
        <v/>
      </c>
      <c r="E2496" s="8">
        <f>IF(DAY(D2496)=DAY($L$1+1),TRUNC((#REF!),8),E2495)</f>
        <v/>
      </c>
      <c r="F2496" s="49">
        <f>TRUNC(((1+VLOOKUP(A2496,IPCA!$A$2:$C$140,3,0)))^(C2496/(EDATE(D2496-C2496,1)-(D2496-C2496))),8)</f>
        <v/>
      </c>
      <c r="G2496" s="44">
        <f>TRUNC((E2496*F2496),8)</f>
        <v/>
      </c>
      <c r="H2496" s="44">
        <f>ROUND(((1+$H$4)^(30/360))^(C2496/(EDATE(D2496-B2496,1)-(D2496-B2496))),9)</f>
        <v/>
      </c>
      <c r="I2496" s="44">
        <f>TRUNC((G2496*H2496-G2496),8)</f>
        <v/>
      </c>
      <c r="J2496" s="49">
        <f>G2496+I2496</f>
        <v/>
      </c>
      <c r="K2496" s="256" t="n"/>
      <c r="L2496" s="256" t="n"/>
      <c r="M2496" s="256" t="n"/>
      <c r="N2496" s="256" t="n"/>
      <c r="O2496" s="256" t="n"/>
      <c r="P2496" s="256" t="n"/>
      <c r="Q2496" s="256" t="n"/>
    </row>
    <row r="2497">
      <c r="A2497">
        <f>IF(DAY(D2497)=DAY($L$1+1),A2496+1,A2496)</f>
        <v/>
      </c>
      <c r="B2497" s="1">
        <f>IF(DAY(D2497)=DAY($L$1+1),1,B2496+1)</f>
        <v/>
      </c>
      <c r="C2497" s="1">
        <f>IF(DAY(D2497)=DAY($L$1+1),1,C2496+1)</f>
        <v/>
      </c>
      <c r="D2497" s="2">
        <f>D2496+1</f>
        <v/>
      </c>
      <c r="E2497" s="8">
        <f>IF(DAY(D2497)=DAY($L$1+1),TRUNC((#REF!),8),E2496)</f>
        <v/>
      </c>
      <c r="F2497" s="49">
        <f>TRUNC(((1+VLOOKUP(A2497,IPCA!$A$2:$C$140,3,0)))^(C2497/(EDATE(D2497-C2497,1)-(D2497-C2497))),8)</f>
        <v/>
      </c>
      <c r="G2497" s="44">
        <f>TRUNC((E2497*F2497),8)</f>
        <v/>
      </c>
      <c r="H2497" s="44">
        <f>ROUND(((1+$H$4)^(30/360))^(C2497/(EDATE(D2497-B2497,1)-(D2497-B2497))),9)</f>
        <v/>
      </c>
      <c r="I2497" s="44">
        <f>TRUNC((G2497*H2497-G2497),8)</f>
        <v/>
      </c>
      <c r="J2497" s="49">
        <f>G2497+I2497</f>
        <v/>
      </c>
      <c r="K2497" s="256" t="n"/>
      <c r="L2497" s="256" t="n"/>
      <c r="M2497" s="256" t="n"/>
      <c r="N2497" s="256" t="n"/>
      <c r="O2497" s="256" t="n"/>
      <c r="P2497" s="256" t="n"/>
      <c r="Q2497" s="256" t="n"/>
    </row>
    <row r="2498">
      <c r="A2498">
        <f>IF(DAY(D2498)=DAY($L$1+1),A2497+1,A2497)</f>
        <v/>
      </c>
      <c r="B2498" s="46">
        <f>IF(DAY(D2498)=DAY($L$1+1),1,B2497+1)</f>
        <v/>
      </c>
      <c r="C2498" s="46">
        <f>IF(DAY(D2498)=DAY($L$1+1),1,C2497+1)</f>
        <v/>
      </c>
      <c r="D2498" s="2">
        <f>D2497+1</f>
        <v/>
      </c>
      <c r="E2498" s="8">
        <f>IF(DAY(D2498)=DAY($L$1+1),TRUNC((#REF!),8),E2497)</f>
        <v/>
      </c>
      <c r="F2498" s="49">
        <f>TRUNC(((1+VLOOKUP(A2498,IPCA!$A$2:$C$140,3,0)))^(C2498/(EDATE(D2498-C2498,1)-(D2498-C2498))),8)</f>
        <v/>
      </c>
      <c r="G2498" s="44">
        <f>TRUNC((E2498*F2498),8)</f>
        <v/>
      </c>
      <c r="H2498" s="44">
        <f>ROUND(((1+$H$4)^(30/360))^(C2498/(EDATE(D2498-B2498,1)-(D2498-B2498))),9)</f>
        <v/>
      </c>
      <c r="I2498" s="44">
        <f>TRUNC((G2498*H2498-G2498),8)</f>
        <v/>
      </c>
      <c r="J2498" s="49">
        <f>G2498+I2498</f>
        <v/>
      </c>
      <c r="K2498" s="256" t="n"/>
      <c r="L2498" s="256" t="n"/>
      <c r="M2498" s="256" t="n"/>
      <c r="N2498" s="256" t="n"/>
      <c r="O2498" s="256" t="n"/>
      <c r="P2498" s="256" t="n"/>
      <c r="Q2498" s="256" t="n"/>
    </row>
    <row r="2499">
      <c r="A2499">
        <f>IF(DAY(D2499)=DAY($L$1+1),A2498+1,A2498)</f>
        <v/>
      </c>
      <c r="B2499" s="1">
        <f>IF(DAY(D2499)=DAY($L$1+1),1,B2498+1)</f>
        <v/>
      </c>
      <c r="C2499" s="1">
        <f>IF(DAY(D2499)=DAY($L$1+1),1,C2498+1)</f>
        <v/>
      </c>
      <c r="D2499" s="2">
        <f>D2498+1</f>
        <v/>
      </c>
      <c r="E2499" s="8">
        <f>IF(DAY(D2499)=DAY($L$1+1),TRUNC((N2498),8),E2498)</f>
        <v/>
      </c>
      <c r="F2499" s="49">
        <f>TRUNC(((1+VLOOKUP(A2499,IPCA!$A$2:$C$140,3,0)))^(C2499/(EDATE(D2499-C2499,1)-(D2499-C2499))),8)</f>
        <v/>
      </c>
      <c r="G2499" s="44">
        <f>TRUNC((E2499*F2499),8)</f>
        <v/>
      </c>
      <c r="H2499" s="44">
        <f>ROUND(((1+$H$4)^(30/360))^(C2499/(EDATE(D2499-B2499,1)-(D2499-B2499))),9)</f>
        <v/>
      </c>
      <c r="I2499" s="44">
        <f>TRUNC((G2499*H2499-G2499),8)</f>
        <v/>
      </c>
      <c r="J2499" s="49">
        <f>G2499+I2499</f>
        <v/>
      </c>
      <c r="K2499" s="256" t="n"/>
      <c r="L2499" s="256" t="n"/>
      <c r="M2499" s="256" t="n"/>
      <c r="N2499" s="256" t="n"/>
      <c r="O2499" s="256" t="n"/>
      <c r="P2499" s="256" t="n"/>
      <c r="Q2499" s="256" t="n"/>
    </row>
    <row r="2500">
      <c r="A2500">
        <f>IF(DAY(D2500)=DAY($L$1+1),A2499+1,A2499)</f>
        <v/>
      </c>
      <c r="B2500" s="46">
        <f>IF(DAY(D2500)=DAY($L$1+1),1,B2499+1)</f>
        <v/>
      </c>
      <c r="C2500" s="46">
        <f>IF(DAY(D2500)=DAY($L$1+1),1,C2499+1)</f>
        <v/>
      </c>
      <c r="D2500" s="2">
        <f>D2499+1</f>
        <v/>
      </c>
      <c r="E2500" s="8">
        <f>IF(DAY(D2500)=DAY($L$1+1),TRUNC((N2499),8),E2499)</f>
        <v/>
      </c>
      <c r="F2500" s="49">
        <f>TRUNC(((1+VLOOKUP(A2500,IPCA!$A$2:$C$140,3,0)))^(C2500/(EDATE(D2500-C2500,1)-(D2500-C2500))),8)</f>
        <v/>
      </c>
      <c r="G2500" s="44">
        <f>TRUNC((E2500*F2500),8)</f>
        <v/>
      </c>
      <c r="H2500" s="44">
        <f>ROUND(((1+$H$4)^(30/360))^(C2500/(EDATE(D2500-B2500,1)-(D2500-B2500))),9)</f>
        <v/>
      </c>
      <c r="I2500" s="44">
        <f>TRUNC((G2500*H2500-G2500),8)</f>
        <v/>
      </c>
      <c r="J2500" s="49">
        <f>G2500+I2500</f>
        <v/>
      </c>
      <c r="K2500" s="256" t="n"/>
      <c r="L2500" s="256" t="n"/>
      <c r="M2500" s="256" t="n"/>
      <c r="N2500" s="256" t="n"/>
      <c r="O2500" s="256" t="n"/>
      <c r="P2500" s="256" t="n"/>
      <c r="Q2500" s="256" t="n"/>
    </row>
    <row r="2501">
      <c r="A2501">
        <f>IF(DAY(D2501)=DAY($L$1+1),A2500+1,A2500)</f>
        <v/>
      </c>
      <c r="B2501" s="1">
        <f>IF(DAY(D2501)=DAY($L$1+1),1,B2500+1)</f>
        <v/>
      </c>
      <c r="C2501" s="1">
        <f>IF(DAY(D2501)=DAY($L$1+1),1,C2500+1)</f>
        <v/>
      </c>
      <c r="D2501" s="2">
        <f>D2500+1</f>
        <v/>
      </c>
      <c r="E2501" s="8">
        <f>IF(DAY(D2501)=DAY($L$1+1),TRUNC((N2500),8),E2500)</f>
        <v/>
      </c>
      <c r="F2501" s="49">
        <f>TRUNC(((1+VLOOKUP(A2501,IPCA!$A$2:$C$140,3,0)))^(C2501/(EDATE(D2501-C2501,1)-(D2501-C2501))),8)</f>
        <v/>
      </c>
      <c r="G2501" s="44">
        <f>TRUNC((E2501*F2501),8)</f>
        <v/>
      </c>
      <c r="H2501" s="44">
        <f>ROUND(((1+$H$4)^(30/360))^(C2501/(EDATE(D2501-B2501,1)-(D2501-B2501))),9)</f>
        <v/>
      </c>
      <c r="I2501" s="44">
        <f>TRUNC((G2501*H2501-G2501),8)</f>
        <v/>
      </c>
      <c r="J2501" s="49">
        <f>G2501+I2501</f>
        <v/>
      </c>
      <c r="K2501" s="256" t="n"/>
      <c r="L2501" s="256" t="n"/>
      <c r="M2501" s="256" t="n"/>
      <c r="N2501" s="256" t="n"/>
      <c r="O2501" s="256" t="n"/>
      <c r="P2501" s="256" t="n"/>
      <c r="Q2501" s="256" t="n"/>
    </row>
    <row r="2502">
      <c r="A2502">
        <f>IF(DAY(D2502)=DAY($L$1+1),A2501+1,A2501)</f>
        <v/>
      </c>
      <c r="B2502" s="46">
        <f>IF(DAY(D2502)=DAY($L$1+1),1,B2501+1)</f>
        <v/>
      </c>
      <c r="C2502" s="46">
        <f>IF(DAY(D2502)=DAY($L$1+1),1,C2501+1)</f>
        <v/>
      </c>
      <c r="D2502" s="2">
        <f>D2501+1</f>
        <v/>
      </c>
      <c r="E2502" s="8">
        <f>IF(DAY(D2502)=DAY($L$1+1),TRUNC((N2501),8),E2501)</f>
        <v/>
      </c>
      <c r="F2502" s="49">
        <f>TRUNC(((1+VLOOKUP(A2502,IPCA!$A$2:$C$140,3,0)))^(C2502/(EDATE(D2502-C2502,1)-(D2502-C2502))),8)</f>
        <v/>
      </c>
      <c r="G2502" s="44">
        <f>TRUNC((E2502*F2502),8)</f>
        <v/>
      </c>
      <c r="H2502" s="44">
        <f>ROUND(((1+$H$4)^(30/360))^(C2502/(EDATE(D2502-B2502,1)-(D2502-B2502))),9)</f>
        <v/>
      </c>
      <c r="I2502" s="44">
        <f>TRUNC((G2502*H2502-G2502),8)</f>
        <v/>
      </c>
      <c r="J2502" s="49">
        <f>G2502+I2502</f>
        <v/>
      </c>
      <c r="K2502" s="256" t="n"/>
      <c r="L2502" s="256" t="n"/>
      <c r="M2502" s="256" t="n"/>
      <c r="N2502" s="256" t="n"/>
      <c r="O2502" s="256" t="n"/>
      <c r="P2502" s="256" t="n"/>
      <c r="Q2502" s="256" t="n"/>
    </row>
    <row r="2503">
      <c r="A2503">
        <f>IF(DAY(D2503)=DAY($L$1+1),A2502+1,A2502)</f>
        <v/>
      </c>
      <c r="B2503" s="1">
        <f>IF(DAY(D2503)=DAY($L$1+1),1,B2502+1)</f>
        <v/>
      </c>
      <c r="C2503" s="1">
        <f>IF(DAY(D2503)=DAY($L$1+1),1,C2502+1)</f>
        <v/>
      </c>
      <c r="D2503" s="2">
        <f>D2502+1</f>
        <v/>
      </c>
      <c r="E2503" s="8">
        <f>IF(DAY(D2503)=DAY($L$1+1),TRUNC((N2502),8),E2502)</f>
        <v/>
      </c>
      <c r="F2503" s="49">
        <f>TRUNC(((1+VLOOKUP(A2503,IPCA!$A$2:$C$140,3,0)))^(C2503/(EDATE(D2503-C2503,1)-(D2503-C2503))),8)</f>
        <v/>
      </c>
      <c r="G2503" s="44">
        <f>TRUNC((E2503*F2503),8)</f>
        <v/>
      </c>
      <c r="H2503" s="44">
        <f>ROUND(((1+$H$4)^(30/360))^(C2503/(EDATE(D2503-B2503,1)-(D2503-B2503))),9)</f>
        <v/>
      </c>
      <c r="I2503" s="44">
        <f>TRUNC((G2503*H2503-G2503),8)</f>
        <v/>
      </c>
      <c r="J2503" s="49">
        <f>G2503+I2503</f>
        <v/>
      </c>
      <c r="K2503" s="256" t="n"/>
      <c r="L2503" s="256" t="n"/>
      <c r="M2503" s="256" t="n"/>
      <c r="N2503" s="256" t="n"/>
      <c r="O2503" s="256" t="n"/>
      <c r="P2503" s="256" t="n"/>
      <c r="Q2503" s="256" t="n"/>
    </row>
    <row r="2504">
      <c r="A2504">
        <f>IF(DAY(D2504)=DAY($L$1+1),A2503+1,A2503)</f>
        <v/>
      </c>
      <c r="B2504" s="46">
        <f>IF(DAY(D2504)=DAY($L$1+1),1,B2503+1)</f>
        <v/>
      </c>
      <c r="C2504" s="46">
        <f>IF(DAY(D2504)=DAY($L$1+1),1,C2503+1)</f>
        <v/>
      </c>
      <c r="D2504" s="2">
        <f>D2503+1</f>
        <v/>
      </c>
      <c r="E2504" s="8">
        <f>IF(DAY(D2504)=DAY($L$1+1),TRUNC((N2503),8),E2503)</f>
        <v/>
      </c>
      <c r="F2504" s="49">
        <f>TRUNC(((1+VLOOKUP(A2504,IPCA!$A$2:$C$140,3,0)))^(C2504/(EDATE(D2504-C2504,1)-(D2504-C2504))),8)</f>
        <v/>
      </c>
      <c r="G2504" s="44">
        <f>TRUNC((E2504*F2504),8)</f>
        <v/>
      </c>
      <c r="H2504" s="44">
        <f>ROUND(((1+$H$4)^(30/360))^(C2504/(EDATE(D2504-B2504,1)-(D2504-B2504))),9)</f>
        <v/>
      </c>
      <c r="I2504" s="44">
        <f>TRUNC((G2504*H2504-G2504),8)</f>
        <v/>
      </c>
      <c r="J2504" s="49">
        <f>G2504+I2504</f>
        <v/>
      </c>
      <c r="K2504" s="256" t="n"/>
      <c r="L2504" s="256" t="n"/>
      <c r="M2504" s="256" t="n"/>
      <c r="N2504" s="256" t="n"/>
      <c r="O2504" s="256" t="n"/>
      <c r="P2504" s="256" t="n"/>
      <c r="Q2504" s="256" t="n"/>
    </row>
    <row r="2505">
      <c r="A2505">
        <f>IF(DAY(D2505)=DAY($L$1+1),A2504+1,A2504)</f>
        <v/>
      </c>
      <c r="B2505" s="1">
        <f>IF(DAY(D2505)=DAY($L$1+1),1,B2504+1)</f>
        <v/>
      </c>
      <c r="C2505" s="1">
        <f>IF(DAY(D2505)=DAY($L$1+1),1,C2504+1)</f>
        <v/>
      </c>
      <c r="D2505" s="2">
        <f>D2504+1</f>
        <v/>
      </c>
      <c r="E2505" s="8">
        <f>IF(DAY(D2505)=DAY($L$1+1),TRUNC((N2504),8),E2504)</f>
        <v/>
      </c>
      <c r="F2505" s="49">
        <f>TRUNC(((1+VLOOKUP(A2505,IPCA!$A$2:$C$140,3,0)))^(C2505/(EDATE(D2505-C2505,1)-(D2505-C2505))),8)</f>
        <v/>
      </c>
      <c r="G2505" s="44">
        <f>TRUNC((E2505*F2505),8)</f>
        <v/>
      </c>
      <c r="H2505" s="44">
        <f>ROUND(((1+$H$4)^(30/360))^(C2505/(EDATE(D2505-B2505,1)-(D2505-B2505))),9)</f>
        <v/>
      </c>
      <c r="I2505" s="44">
        <f>TRUNC((G2505*H2505-G2505),8)</f>
        <v/>
      </c>
      <c r="J2505" s="49">
        <f>G2505+I2505</f>
        <v/>
      </c>
      <c r="K2505" s="256" t="n"/>
      <c r="L2505" s="256" t="n"/>
      <c r="M2505" s="256" t="n"/>
      <c r="N2505" s="256" t="n"/>
      <c r="O2505" s="256" t="n"/>
      <c r="P2505" s="256" t="n"/>
      <c r="Q2505" s="256" t="n"/>
    </row>
    <row r="2506">
      <c r="A2506">
        <f>IF(DAY(D2506)=DAY($L$1+1),A2505+1,A2505)</f>
        <v/>
      </c>
      <c r="B2506" s="46">
        <f>IF(DAY(D2506)=DAY($L$1+1),1,B2505+1)</f>
        <v/>
      </c>
      <c r="C2506" s="46">
        <f>IF(DAY(D2506)=DAY($L$1+1),1,C2505+1)</f>
        <v/>
      </c>
      <c r="D2506" s="2">
        <f>D2505+1</f>
        <v/>
      </c>
      <c r="E2506" s="8">
        <f>IF(DAY(D2506)=DAY($L$1+1),TRUNC((N2505),8),E2505)</f>
        <v/>
      </c>
      <c r="F2506" s="49">
        <f>TRUNC(((1+VLOOKUP(A2506,IPCA!$A$2:$C$140,3,0)))^(C2506/(EDATE(D2506-C2506,1)-(D2506-C2506))),8)</f>
        <v/>
      </c>
      <c r="G2506" s="44">
        <f>TRUNC((E2506*F2506),8)</f>
        <v/>
      </c>
      <c r="H2506" s="44">
        <f>ROUND(((1+$H$4)^(30/360))^(C2506/(EDATE(D2506-B2506,1)-(D2506-B2506))),9)</f>
        <v/>
      </c>
      <c r="I2506" s="44">
        <f>TRUNC((G2506*H2506-G2506),8)</f>
        <v/>
      </c>
      <c r="J2506" s="49">
        <f>G2506+I2506</f>
        <v/>
      </c>
      <c r="K2506" s="256" t="n"/>
      <c r="L2506" s="256" t="n"/>
      <c r="M2506" s="256" t="n"/>
      <c r="N2506" s="256" t="n"/>
      <c r="O2506" s="256" t="n"/>
      <c r="P2506" s="256" t="n"/>
      <c r="Q2506" s="256" t="n"/>
    </row>
    <row r="2507">
      <c r="A2507">
        <f>IF(DAY(D2507)=DAY($L$1+1),A2506+1,A2506)</f>
        <v/>
      </c>
      <c r="B2507" s="1">
        <f>IF(DAY(D2507)=DAY($L$1+1),1,B2506+1)</f>
        <v/>
      </c>
      <c r="C2507" s="1">
        <f>IF(DAY(D2507)=DAY($L$1+1),1,C2506+1)</f>
        <v/>
      </c>
      <c r="D2507" s="2">
        <f>D2506+1</f>
        <v/>
      </c>
      <c r="E2507" s="8">
        <f>IF(DAY(D2507)=DAY($L$1+1),TRUNC((N2506),8),E2506)</f>
        <v/>
      </c>
      <c r="F2507" s="49">
        <f>TRUNC(((1+VLOOKUP(A2507,IPCA!$A$2:$C$140,3,0)))^(C2507/(EDATE(D2507-C2507,1)-(D2507-C2507))),8)</f>
        <v/>
      </c>
      <c r="G2507" s="44">
        <f>TRUNC((E2507*F2507),8)</f>
        <v/>
      </c>
      <c r="H2507" s="44">
        <f>ROUND(((1+$H$4)^(30/360))^(C2507/(EDATE(D2507-B2507,1)-(D2507-B2507))),9)</f>
        <v/>
      </c>
      <c r="I2507" s="44">
        <f>TRUNC((G2507*H2507-G2507),8)</f>
        <v/>
      </c>
      <c r="J2507" s="49">
        <f>G2507+I2507</f>
        <v/>
      </c>
      <c r="K2507" s="256" t="n"/>
      <c r="L2507" s="256" t="n"/>
      <c r="M2507" s="256" t="n"/>
      <c r="N2507" s="256" t="n"/>
      <c r="O2507" s="256" t="n"/>
      <c r="P2507" s="256" t="n"/>
      <c r="Q2507" s="256" t="n"/>
    </row>
    <row r="2508">
      <c r="A2508">
        <f>IF(DAY(D2508)=DAY($L$1+1),A2507+1,A2507)</f>
        <v/>
      </c>
      <c r="B2508" s="46">
        <f>IF(DAY(D2508)=DAY($L$1+1),1,B2507+1)</f>
        <v/>
      </c>
      <c r="C2508" s="46">
        <f>IF(DAY(D2508)=DAY($L$1+1),1,C2507+1)</f>
        <v/>
      </c>
      <c r="D2508" s="2">
        <f>D2507+1</f>
        <v/>
      </c>
      <c r="E2508" s="8">
        <f>IF(DAY(D2508)=DAY($L$1+1),TRUNC((N2507),8),E2507)</f>
        <v/>
      </c>
      <c r="F2508" s="49">
        <f>TRUNC(((1+VLOOKUP(A2508,IPCA!$A$2:$C$140,3,0)))^(C2508/(EDATE(D2508-C2508,1)-(D2508-C2508))),8)</f>
        <v/>
      </c>
      <c r="G2508" s="44">
        <f>TRUNC((E2508*F2508),8)</f>
        <v/>
      </c>
      <c r="H2508" s="44">
        <f>ROUND(((1+$H$4)^(30/360))^(C2508/(EDATE(D2508-B2508,1)-(D2508-B2508))),9)</f>
        <v/>
      </c>
      <c r="I2508" s="44">
        <f>TRUNC((G2508*H2508-G2508),8)</f>
        <v/>
      </c>
      <c r="J2508" s="49">
        <f>G2508+I2508</f>
        <v/>
      </c>
      <c r="K2508" s="256" t="n"/>
      <c r="L2508" s="256" t="n"/>
      <c r="M2508" s="256" t="n"/>
      <c r="N2508" s="256" t="n"/>
      <c r="O2508" s="256" t="n"/>
      <c r="P2508" s="256" t="n"/>
      <c r="Q2508" s="256" t="n"/>
    </row>
    <row r="2509">
      <c r="A2509">
        <f>IF(DAY(D2509)=DAY($L$1+1),A2508+1,A2508)</f>
        <v/>
      </c>
      <c r="B2509" s="1">
        <f>IF(DAY(D2509)=DAY($L$1+1),1,B2508+1)</f>
        <v/>
      </c>
      <c r="C2509" s="1">
        <f>IF(DAY(D2509)=DAY($L$1+1),1,C2508+1)</f>
        <v/>
      </c>
      <c r="D2509" s="2">
        <f>D2508+1</f>
        <v/>
      </c>
      <c r="E2509" s="8">
        <f>IF(DAY(D2509)=DAY($L$1+1),TRUNC((N2508),8),E2508)</f>
        <v/>
      </c>
      <c r="F2509" s="49">
        <f>TRUNC(((1+VLOOKUP(A2509,IPCA!$A$2:$C$140,3,0)))^(C2509/(EDATE(D2509-C2509,1)-(D2509-C2509))),8)</f>
        <v/>
      </c>
      <c r="G2509" s="44">
        <f>TRUNC((E2509*F2509),8)</f>
        <v/>
      </c>
      <c r="H2509" s="44">
        <f>ROUND(((1+$H$4)^(30/360))^(C2509/(EDATE(D2509-B2509,1)-(D2509-B2509))),9)</f>
        <v/>
      </c>
      <c r="I2509" s="44">
        <f>TRUNC((G2509*H2509-G2509),8)</f>
        <v/>
      </c>
      <c r="J2509" s="49">
        <f>G2509+I2509</f>
        <v/>
      </c>
      <c r="K2509" s="256" t="n"/>
      <c r="L2509" s="256" t="n"/>
      <c r="M2509" s="256" t="n"/>
      <c r="N2509" s="256" t="n"/>
      <c r="O2509" s="256" t="n"/>
      <c r="P2509" s="256" t="n"/>
      <c r="Q2509" s="256" t="n"/>
    </row>
    <row r="2510">
      <c r="A2510">
        <f>IF(DAY(D2510)=DAY($L$1+1),A2509+1,A2509)</f>
        <v/>
      </c>
      <c r="B2510" s="46">
        <f>IF(DAY(D2510)=DAY($L$1+1),1,B2509+1)</f>
        <v/>
      </c>
      <c r="C2510" s="46">
        <f>IF(DAY(D2510)=DAY($L$1+1),1,C2509+1)</f>
        <v/>
      </c>
      <c r="D2510" s="2">
        <f>D2509+1</f>
        <v/>
      </c>
      <c r="E2510" s="8">
        <f>IF(DAY(D2510)=DAY($L$1+1),TRUNC((N2509),8),E2509)</f>
        <v/>
      </c>
      <c r="F2510" s="49">
        <f>TRUNC(((1+VLOOKUP(A2510,IPCA!$A$2:$C$140,3,0)))^(C2510/(EDATE(D2510-C2510,1)-(D2510-C2510))),8)</f>
        <v/>
      </c>
      <c r="G2510" s="44">
        <f>TRUNC((E2510*F2510),8)</f>
        <v/>
      </c>
      <c r="H2510" s="44">
        <f>ROUND(((1+$H$4)^(30/360))^(C2510/(EDATE(D2510-B2510,1)-(D2510-B2510))),9)</f>
        <v/>
      </c>
      <c r="I2510" s="44">
        <f>TRUNC((G2510*H2510-G2510),8)</f>
        <v/>
      </c>
      <c r="J2510" s="49">
        <f>G2510+I2510</f>
        <v/>
      </c>
      <c r="K2510" s="256" t="n"/>
      <c r="L2510" s="256" t="n"/>
      <c r="M2510" s="256" t="n"/>
      <c r="N2510" s="256" t="n"/>
      <c r="O2510" s="256" t="n"/>
      <c r="P2510" s="256" t="n"/>
      <c r="Q2510" s="256" t="n"/>
    </row>
    <row r="2511">
      <c r="A2511">
        <f>IF(DAY(D2511)=DAY($L$1+1),A2510+1,A2510)</f>
        <v/>
      </c>
      <c r="B2511" s="1">
        <f>IF(DAY(D2511)=DAY($L$1+1),1,B2510+1)</f>
        <v/>
      </c>
      <c r="C2511" s="1">
        <f>IF(DAY(D2511)=DAY($L$1+1),1,C2510+1)</f>
        <v/>
      </c>
      <c r="D2511" s="2">
        <f>D2510+1</f>
        <v/>
      </c>
      <c r="E2511" s="8">
        <f>IF(DAY(D2511)=DAY($L$1+1),TRUNC((N2510),8),E2510)</f>
        <v/>
      </c>
      <c r="F2511" s="49">
        <f>TRUNC(((1+VLOOKUP(A2511,IPCA!$A$2:$C$140,3,0)))^(C2511/(EDATE(D2511-C2511,1)-(D2511-C2511))),8)</f>
        <v/>
      </c>
      <c r="G2511" s="44">
        <f>TRUNC((E2511*F2511),8)</f>
        <v/>
      </c>
      <c r="H2511" s="44">
        <f>ROUND(((1+$H$4)^(30/360))^(C2511/(EDATE(D2511-B2511,1)-(D2511-B2511))),9)</f>
        <v/>
      </c>
      <c r="I2511" s="44">
        <f>TRUNC((G2511*H2511-G2511),8)</f>
        <v/>
      </c>
      <c r="J2511" s="49">
        <f>G2511+I2511</f>
        <v/>
      </c>
      <c r="K2511" s="256" t="n"/>
      <c r="L2511" s="256" t="n"/>
      <c r="M2511" s="256" t="n"/>
      <c r="N2511" s="256" t="n"/>
      <c r="O2511" s="256" t="n"/>
      <c r="P2511" s="256" t="n"/>
      <c r="Q2511" s="256" t="n"/>
    </row>
    <row r="2512">
      <c r="A2512">
        <f>IF(DAY(D2512)=DAY($L$1+1),A2511+1,A2511)</f>
        <v/>
      </c>
      <c r="B2512" s="46">
        <f>IF(DAY(D2512)=DAY($L$1+1),1,B2511+1)</f>
        <v/>
      </c>
      <c r="C2512" s="46">
        <f>IF(DAY(D2512)=DAY($L$1+1),1,C2511+1)</f>
        <v/>
      </c>
      <c r="D2512" s="2">
        <f>D2511+1</f>
        <v/>
      </c>
      <c r="E2512" s="8">
        <f>IF(DAY(D2512)=DAY($L$1+1),TRUNC((N2511),8),E2511)</f>
        <v/>
      </c>
      <c r="F2512" s="49">
        <f>TRUNC(((1+VLOOKUP(A2512,IPCA!$A$2:$C$140,3,0)))^(C2512/(EDATE(D2512-C2512,1)-(D2512-C2512))),8)</f>
        <v/>
      </c>
      <c r="G2512" s="44">
        <f>TRUNC((E2512*F2512),8)</f>
        <v/>
      </c>
      <c r="H2512" s="44">
        <f>ROUND(((1+$H$4)^(30/360))^(C2512/(EDATE(D2512-B2512,1)-(D2512-B2512))),9)</f>
        <v/>
      </c>
      <c r="I2512" s="44">
        <f>TRUNC((G2512*H2512-G2512),8)</f>
        <v/>
      </c>
      <c r="J2512" s="49">
        <f>G2512+I2512</f>
        <v/>
      </c>
      <c r="K2512" s="256" t="n"/>
      <c r="L2512" s="256" t="n"/>
      <c r="M2512" s="256" t="n"/>
      <c r="N2512" s="256" t="n"/>
      <c r="O2512" s="256" t="n"/>
      <c r="P2512" s="256" t="n"/>
      <c r="Q2512" s="256" t="n"/>
    </row>
    <row r="2513">
      <c r="A2513">
        <f>IF(DAY(D2513)=DAY($L$1+1),A2512+1,A2512)</f>
        <v/>
      </c>
      <c r="B2513" s="46">
        <f>IF(DAY(D2513)=DAY($L$1+1),1,B2512+1)</f>
        <v/>
      </c>
      <c r="C2513" s="46">
        <f>IF(DAY(D2513)=DAY($L$1+1),1,C2512+1)</f>
        <v/>
      </c>
      <c r="D2513" s="2">
        <f>D2512+1</f>
        <v/>
      </c>
      <c r="E2513" s="8">
        <f>IF(DAY(D2513)=DAY($L$1+1),TRUNC((N2512),8),E2512)</f>
        <v/>
      </c>
      <c r="F2513" s="49">
        <f>TRUNC(((1+VLOOKUP(A2513,IPCA!$A$2:$C$140,3,0)))^(C2513/(EDATE(D2513-C2513,1)-(D2513-C2513))),8)</f>
        <v/>
      </c>
      <c r="G2513" s="49">
        <f>TRUNC((E2513*F2513),8)</f>
        <v/>
      </c>
      <c r="H2513" s="49">
        <f>ROUND(((1+$H$4)^(30/360))^(C2513/(EDATE(D2513-B2513,1)-(D2513-B2513))),9)</f>
        <v/>
      </c>
      <c r="I2513" s="49">
        <f>TRUNC((G2513*H2513-G2513),8)</f>
        <v/>
      </c>
      <c r="J2513" s="49">
        <f>G2513+I2513</f>
        <v/>
      </c>
      <c r="K2513" s="256" t="inlineStr">
        <is>
          <t>Cri Integralizado</t>
        </is>
      </c>
      <c r="L2513" s="270">
        <f>L2483</f>
        <v/>
      </c>
      <c r="M2513" s="256" t="n"/>
      <c r="N2513" s="256" t="n"/>
      <c r="O2513" s="256" t="n"/>
      <c r="P2513" s="256" t="n"/>
      <c r="Q2513" s="256" t="n"/>
    </row>
    <row r="2514">
      <c r="A2514">
        <f>IF(DAY(D2514)=DAY($L$1+1),A2513+1,A2513)</f>
        <v/>
      </c>
      <c r="B2514" s="46">
        <f>IF(DAY(D2514)=DAY($L$1+1),1,B2513+1)</f>
        <v/>
      </c>
      <c r="C2514" s="46">
        <f>IF(DAY(D2514)=DAY($L$1+1),1,C2513+1)</f>
        <v/>
      </c>
      <c r="D2514" s="47">
        <f>D2513+1</f>
        <v/>
      </c>
      <c r="E2514" s="8">
        <f>IF(DAY(D2514)=DAY($L$1+1),TRUNC((N2513),8),E2513)</f>
        <v/>
      </c>
      <c r="F2514" s="49">
        <f>TRUNC(((1+VLOOKUP(A2514,IPCA!$A$2:$C$140,3,0)))^(C2514/(EDATE(D2514-C2514,1)-(D2514-C2514))),8)</f>
        <v/>
      </c>
      <c r="G2514" s="49">
        <f>TRUNC((E2514*F2514),8)</f>
        <v/>
      </c>
      <c r="H2514" s="49">
        <f>ROUND(((1+$H$4)^(30/360))^(C2514/(EDATE(D2514-B2514,1)-(D2514-B2514))),9)</f>
        <v/>
      </c>
      <c r="I2514" s="49">
        <f>TRUNC((G2514*H2514-G2514),8)</f>
        <v/>
      </c>
      <c r="J2514" s="49">
        <f>G2514+I2514</f>
        <v/>
      </c>
      <c r="K2514" s="137" t="inlineStr">
        <is>
          <t>JUROS</t>
        </is>
      </c>
      <c r="L2514" s="118" t="inlineStr">
        <is>
          <t>AMORTIZAÇÃO</t>
        </is>
      </c>
      <c r="M2514" s="118" t="inlineStr">
        <is>
          <t>AMEX</t>
        </is>
      </c>
      <c r="N2514" s="118" t="inlineStr">
        <is>
          <t>RESIDUAL</t>
        </is>
      </c>
      <c r="O2514" s="256" t="n"/>
      <c r="P2514" s="256" t="n"/>
      <c r="Q2514" s="256" t="n"/>
    </row>
    <row r="2515">
      <c r="A2515">
        <f>IF(DAY(D2515)=DAY($L$1+1),A2514+1,A2514)</f>
        <v/>
      </c>
      <c r="B2515" s="111">
        <f>IF(DAY(D2515)=DAY($L$1+1),1,B2514+1)</f>
        <v/>
      </c>
      <c r="C2515" s="111">
        <f>IF(DAY(D2515)=DAY($L$1+1),1,C2514+1)</f>
        <v/>
      </c>
      <c r="D2515" s="112">
        <f>D2514+1</f>
        <v/>
      </c>
      <c r="E2515" s="113">
        <f>IF(DAY(D2515)=DAY($L$1+1),TRUNC((N2514),8),E2514)</f>
        <v/>
      </c>
      <c r="F2515" s="114">
        <f>TRUNC(((1+VLOOKUP(A2515,IPCA!$A$2:$C$140,3,0)))^(C2515/(EDATE(D2515-C2515,1)-(D2515-C2515))),8)</f>
        <v/>
      </c>
      <c r="G2515" s="114">
        <f>TRUNC((E2515*F2515),8)</f>
        <v/>
      </c>
      <c r="H2515" s="114">
        <f>ROUND(((1+$H$4)^(30/360))^(C2515/(EDATE(D2515-B2515,1)-(D2515-B2515))),9)</f>
        <v/>
      </c>
      <c r="I2515" s="114">
        <f>TRUNC((G2515*H2515-G2515),8)</f>
        <v/>
      </c>
      <c r="J2515" s="114">
        <f>G2515+I2515</f>
        <v/>
      </c>
      <c r="K2515" s="119">
        <f>I2515</f>
        <v/>
      </c>
      <c r="L2515" s="120">
        <f>TRUNC(G2515*VLOOKUP(D2515,'Amort TS'!$G$3:$H$140,2,0),8)</f>
        <v/>
      </c>
      <c r="M2515" s="120" t="n">
        <v>0</v>
      </c>
      <c r="N2515" s="120">
        <f>J2515-K2515-L2515-M2515</f>
        <v/>
      </c>
      <c r="O2515" s="256" t="n"/>
      <c r="P2515" s="256" t="n"/>
      <c r="Q2515" s="256" t="n"/>
    </row>
    <row r="2516">
      <c r="A2516">
        <f>IF(DAY(D2516)=DAY($L$1+1),A2515+1,A2515)</f>
        <v/>
      </c>
      <c r="B2516" s="46">
        <f>IF(DAY(D2516)=DAY($L$1+1),1,B2515+1)</f>
        <v/>
      </c>
      <c r="C2516" s="46">
        <f>IF(DAY(D2516)=DAY($L$1+1),1,C2515+1)</f>
        <v/>
      </c>
      <c r="D2516" s="2">
        <f>D2515+1</f>
        <v/>
      </c>
      <c r="E2516" s="8">
        <f>IF(DAY(D2516)=DAY($L$1+1),TRUNC((N2515),8),E2515)</f>
        <v/>
      </c>
      <c r="F2516" s="49">
        <f>TRUNC(((1+VLOOKUP(A2516,IPCA!$A$2:$C$140,3,0)))^(C2516/(EDATE(D2516-C2516,1)-(D2516-C2516))),8)</f>
        <v/>
      </c>
      <c r="G2516" s="49">
        <f>TRUNC((E2516*F2516),8)</f>
        <v/>
      </c>
      <c r="H2516" s="49">
        <f>ROUND(((1+$H$4)^(30/360))^(C2516/(EDATE(D2516-B2516,1)-(D2516-B2516))),9)</f>
        <v/>
      </c>
      <c r="I2516" s="49">
        <f>TRUNC((G2516*H2516-G2516),8)</f>
        <v/>
      </c>
      <c r="J2516" s="49">
        <f>G2516+I2516</f>
        <v/>
      </c>
      <c r="K2516" s="121">
        <f>K2515*L2513</f>
        <v/>
      </c>
      <c r="L2516" s="121">
        <f>L2515*L2513</f>
        <v/>
      </c>
      <c r="M2516" s="121">
        <f>M2515-L2513</f>
        <v/>
      </c>
      <c r="N2516" s="121">
        <f>N2515*L2513</f>
        <v/>
      </c>
      <c r="O2516" s="256" t="n"/>
      <c r="P2516" s="256" t="n"/>
      <c r="Q2516" s="256" t="n"/>
    </row>
    <row r="2517">
      <c r="A2517">
        <f>IF(DAY(D2517)=DAY($L$1+1),A2516+1,A2516)</f>
        <v/>
      </c>
      <c r="B2517" s="46">
        <f>IF(DAY(D2517)=DAY($L$1+1),1,B2516+1)</f>
        <v/>
      </c>
      <c r="C2517" s="46">
        <f>IF(DAY(D2517)=DAY($L$1+1),1,C2516+1)</f>
        <v/>
      </c>
      <c r="D2517" s="47">
        <f>D2516+1</f>
        <v/>
      </c>
      <c r="E2517" s="8">
        <f>IF(DAY(D2517)=DAY($L$1+1),TRUNC((N2516),8),E2516)</f>
        <v/>
      </c>
      <c r="F2517" s="49">
        <f>TRUNC(((1+VLOOKUP(A2517,IPCA!$A$2:$C$140,3,0)))^(C2517/(EDATE(D2517-C2517,1)-(D2517-C2517))),8)</f>
        <v/>
      </c>
      <c r="G2517" s="49">
        <f>TRUNC((E2517*F2517),8)</f>
        <v/>
      </c>
      <c r="H2517" s="49">
        <f>ROUND(((1+$H$4)^(30/360))^(C2517/(EDATE(D2517-B2517,1)-(D2517-B2517))),9)</f>
        <v/>
      </c>
      <c r="I2517" s="49">
        <f>TRUNC((G2517*H2517-G2517),8)</f>
        <v/>
      </c>
      <c r="J2517" s="49">
        <f>G2517+I2517</f>
        <v/>
      </c>
      <c r="K2517" s="256" t="n"/>
      <c r="L2517" s="256" t="n"/>
      <c r="M2517" s="256" t="n"/>
      <c r="N2517" s="256" t="n"/>
      <c r="O2517" s="256" t="n"/>
      <c r="P2517" s="256" t="n"/>
      <c r="Q2517" s="256" t="n"/>
    </row>
    <row r="2518">
      <c r="A2518">
        <f>IF(DAY(D2518)=DAY($L$1+1),A2517+1,A2517)</f>
        <v/>
      </c>
      <c r="B2518" s="46">
        <f>IF(DAY(D2518)=DAY($L$1+1),1,B2517+1)</f>
        <v/>
      </c>
      <c r="C2518" s="46">
        <f>IF(DAY(D2518)=DAY($L$1+1),1,C2517+1)</f>
        <v/>
      </c>
      <c r="D2518" s="2">
        <f>D2517+1</f>
        <v/>
      </c>
      <c r="E2518" s="8">
        <f>IF(DAY(D2518)=DAY($L$1+1),TRUNC((#REF!),8),E2517)</f>
        <v/>
      </c>
      <c r="F2518" s="49">
        <f>TRUNC(((1+VLOOKUP(A2518,IPCA!$A$2:$C$140,3,0)))^(C2518/(EDATE(D2518-C2518,1)-(D2518-C2518))),8)</f>
        <v/>
      </c>
      <c r="G2518" s="44">
        <f>TRUNC((E2518*F2518),8)</f>
        <v/>
      </c>
      <c r="H2518" s="44">
        <f>ROUND(((1+$H$4)^(30/360))^(C2518/(EDATE(D2518-B2518,1)-(D2518-B2518))),9)</f>
        <v/>
      </c>
      <c r="I2518" s="44">
        <f>TRUNC((G2518*H2518-G2518),8)</f>
        <v/>
      </c>
      <c r="J2518" s="49">
        <f>G2518+I2518</f>
        <v/>
      </c>
      <c r="K2518" s="256" t="n"/>
      <c r="L2518" s="256" t="n"/>
      <c r="M2518" s="256" t="n"/>
      <c r="N2518" s="256" t="n"/>
      <c r="O2518" s="256" t="n"/>
      <c r="P2518" s="256" t="n"/>
      <c r="Q2518" s="256" t="n"/>
    </row>
    <row r="2519">
      <c r="A2519">
        <f>IF(DAY(D2519)=DAY($L$1+1),A2518+1,A2518)</f>
        <v/>
      </c>
      <c r="B2519" s="1">
        <f>IF(DAY(D2519)=DAY($L$1+1),1,B2518+1)</f>
        <v/>
      </c>
      <c r="C2519" s="1">
        <f>IF(DAY(D2519)=DAY($L$1+1),1,C2518+1)</f>
        <v/>
      </c>
      <c r="D2519" s="2">
        <f>D2518+1</f>
        <v/>
      </c>
      <c r="E2519" s="8">
        <f>IF(DAY(D2519)=DAY($L$1+1),TRUNC((#REF!),8),E2518)</f>
        <v/>
      </c>
      <c r="F2519" s="49">
        <f>TRUNC(((1+VLOOKUP(A2519,IPCA!$A$2:$C$140,3,0)))^(C2519/(EDATE(D2519-C2519,1)-(D2519-C2519))),8)</f>
        <v/>
      </c>
      <c r="G2519" s="44">
        <f>TRUNC((E2519*F2519),8)</f>
        <v/>
      </c>
      <c r="H2519" s="44">
        <f>ROUND(((1+$H$4)^(30/360))^(C2519/(EDATE(D2519-B2519,1)-(D2519-B2519))),9)</f>
        <v/>
      </c>
      <c r="I2519" s="44">
        <f>TRUNC((G2519*H2519-G2519),8)</f>
        <v/>
      </c>
      <c r="J2519" s="49">
        <f>G2519+I2519</f>
        <v/>
      </c>
      <c r="K2519" s="256" t="n"/>
      <c r="L2519" s="256" t="n"/>
      <c r="M2519" s="256" t="n"/>
      <c r="N2519" s="256" t="n"/>
      <c r="O2519" s="256" t="n"/>
      <c r="P2519" s="256" t="n"/>
      <c r="Q2519" s="256" t="n"/>
    </row>
    <row r="2520">
      <c r="A2520">
        <f>IF(DAY(D2520)=DAY($L$1+1),A2519+1,A2519)</f>
        <v/>
      </c>
      <c r="B2520" s="46">
        <f>IF(DAY(D2520)=DAY($L$1+1),1,B2519+1)</f>
        <v/>
      </c>
      <c r="C2520" s="46">
        <f>IF(DAY(D2520)=DAY($L$1+1),1,C2519+1)</f>
        <v/>
      </c>
      <c r="D2520" s="2">
        <f>D2519+1</f>
        <v/>
      </c>
      <c r="E2520" s="8">
        <f>IF(DAY(D2520)=DAY($L$1+1),TRUNC((#REF!),8),E2519)</f>
        <v/>
      </c>
      <c r="F2520" s="49">
        <f>TRUNC(((1+VLOOKUP(A2520,IPCA!$A$2:$C$140,3,0)))^(C2520/(EDATE(D2520-C2520,1)-(D2520-C2520))),8)</f>
        <v/>
      </c>
      <c r="G2520" s="44">
        <f>TRUNC((E2520*F2520),8)</f>
        <v/>
      </c>
      <c r="H2520" s="44">
        <f>ROUND(((1+$H$4)^(30/360))^(C2520/(EDATE(D2520-B2520,1)-(D2520-B2520))),9)</f>
        <v/>
      </c>
      <c r="I2520" s="44">
        <f>TRUNC((G2520*H2520-G2520),8)</f>
        <v/>
      </c>
      <c r="J2520" s="49">
        <f>G2520+I2520</f>
        <v/>
      </c>
      <c r="K2520" s="256" t="n"/>
      <c r="L2520" s="256" t="n"/>
      <c r="M2520" s="256" t="n"/>
      <c r="N2520" s="256" t="n"/>
      <c r="O2520" s="256" t="n"/>
      <c r="P2520" s="256" t="n"/>
      <c r="Q2520" s="256" t="n"/>
    </row>
    <row r="2521">
      <c r="A2521">
        <f>IF(DAY(D2521)=DAY($L$1+1),A2520+1,A2520)</f>
        <v/>
      </c>
      <c r="B2521" s="1">
        <f>IF(DAY(D2521)=DAY($L$1+1),1,B2520+1)</f>
        <v/>
      </c>
      <c r="C2521" s="1">
        <f>IF(DAY(D2521)=DAY($L$1+1),1,C2520+1)</f>
        <v/>
      </c>
      <c r="D2521" s="2">
        <f>D2520+1</f>
        <v/>
      </c>
      <c r="E2521" s="8">
        <f>IF(DAY(D2521)=DAY($L$1+1),TRUNC((#REF!),8),E2520)</f>
        <v/>
      </c>
      <c r="F2521" s="49">
        <f>TRUNC(((1+VLOOKUP(A2521,IPCA!$A$2:$C$140,3,0)))^(C2521/(EDATE(D2521-C2521,1)-(D2521-C2521))),8)</f>
        <v/>
      </c>
      <c r="G2521" s="44">
        <f>TRUNC((E2521*F2521),8)</f>
        <v/>
      </c>
      <c r="H2521" s="44">
        <f>ROUND(((1+$H$4)^(30/360))^(C2521/(EDATE(D2521-B2521,1)-(D2521-B2521))),9)</f>
        <v/>
      </c>
      <c r="I2521" s="44">
        <f>TRUNC((G2521*H2521-G2521),8)</f>
        <v/>
      </c>
      <c r="J2521" s="49">
        <f>G2521+I2521</f>
        <v/>
      </c>
      <c r="K2521" s="256" t="n"/>
      <c r="L2521" s="256" t="n"/>
      <c r="M2521" s="256" t="n"/>
      <c r="N2521" s="256" t="n"/>
      <c r="O2521" s="256" t="n"/>
      <c r="P2521" s="256" t="n"/>
      <c r="Q2521" s="256" t="n"/>
    </row>
    <row r="2522">
      <c r="A2522">
        <f>IF(DAY(D2522)=DAY($L$1+1),A2521+1,A2521)</f>
        <v/>
      </c>
      <c r="B2522" s="46">
        <f>IF(DAY(D2522)=DAY($L$1+1),1,B2521+1)</f>
        <v/>
      </c>
      <c r="C2522" s="46">
        <f>IF(DAY(D2522)=DAY($L$1+1),1,C2521+1)</f>
        <v/>
      </c>
      <c r="D2522" s="2">
        <f>D2521+1</f>
        <v/>
      </c>
      <c r="E2522" s="8">
        <f>IF(DAY(D2522)=DAY($L$1+1),TRUNC((#REF!),8),E2521)</f>
        <v/>
      </c>
      <c r="F2522" s="49">
        <f>TRUNC(((1+VLOOKUP(A2522,IPCA!$A$2:$C$140,3,0)))^(C2522/(EDATE(D2522-C2522,1)-(D2522-C2522))),8)</f>
        <v/>
      </c>
      <c r="G2522" s="44">
        <f>TRUNC((E2522*F2522),8)</f>
        <v/>
      </c>
      <c r="H2522" s="44">
        <f>ROUND(((1+$H$4)^(30/360))^(C2522/(EDATE(D2522-B2522,1)-(D2522-B2522))),9)</f>
        <v/>
      </c>
      <c r="I2522" s="44">
        <f>TRUNC((G2522*H2522-G2522),8)</f>
        <v/>
      </c>
      <c r="J2522" s="49">
        <f>G2522+I2522</f>
        <v/>
      </c>
      <c r="K2522" s="256" t="n"/>
      <c r="L2522" s="256" t="n"/>
      <c r="M2522" s="256" t="n"/>
      <c r="N2522" s="256" t="n"/>
      <c r="O2522" s="256" t="n"/>
      <c r="P2522" s="256" t="n"/>
      <c r="Q2522" s="256" t="n"/>
    </row>
    <row r="2523">
      <c r="A2523">
        <f>IF(DAY(D2523)=DAY($L$1+1),A2522+1,A2522)</f>
        <v/>
      </c>
      <c r="B2523" s="1">
        <f>IF(DAY(D2523)=DAY($L$1+1),1,B2522+1)</f>
        <v/>
      </c>
      <c r="C2523" s="1">
        <f>IF(DAY(D2523)=DAY($L$1+1),1,C2522+1)</f>
        <v/>
      </c>
      <c r="D2523" s="2">
        <f>D2522+1</f>
        <v/>
      </c>
      <c r="E2523" s="8">
        <f>IF(DAY(D2523)=DAY($L$1+1),TRUNC((#REF!),8),E2522)</f>
        <v/>
      </c>
      <c r="F2523" s="49">
        <f>TRUNC(((1+VLOOKUP(A2523,IPCA!$A$2:$C$140,3,0)))^(C2523/(EDATE(D2523-C2523,1)-(D2523-C2523))),8)</f>
        <v/>
      </c>
      <c r="G2523" s="44">
        <f>TRUNC((E2523*F2523),8)</f>
        <v/>
      </c>
      <c r="H2523" s="44">
        <f>ROUND(((1+$H$4)^(30/360))^(C2523/(EDATE(D2523-B2523,1)-(D2523-B2523))),9)</f>
        <v/>
      </c>
      <c r="I2523" s="44">
        <f>TRUNC((G2523*H2523-G2523),8)</f>
        <v/>
      </c>
      <c r="J2523" s="49">
        <f>G2523+I2523</f>
        <v/>
      </c>
      <c r="K2523" s="256" t="n"/>
      <c r="L2523" s="256" t="n"/>
      <c r="M2523" s="256" t="n"/>
      <c r="N2523" s="256" t="n"/>
      <c r="O2523" s="256" t="n"/>
      <c r="P2523" s="256" t="n"/>
      <c r="Q2523" s="256" t="n"/>
    </row>
    <row r="2524">
      <c r="A2524">
        <f>IF(DAY(D2524)=DAY($L$1+1),A2523+1,A2523)</f>
        <v/>
      </c>
      <c r="B2524" s="46">
        <f>IF(DAY(D2524)=DAY($L$1+1),1,B2523+1)</f>
        <v/>
      </c>
      <c r="C2524" s="46">
        <f>IF(DAY(D2524)=DAY($L$1+1),1,C2523+1)</f>
        <v/>
      </c>
      <c r="D2524" s="2">
        <f>D2523+1</f>
        <v/>
      </c>
      <c r="E2524" s="8">
        <f>IF(DAY(D2524)=DAY($L$1+1),TRUNC((#REF!),8),E2523)</f>
        <v/>
      </c>
      <c r="F2524" s="49">
        <f>TRUNC(((1+VLOOKUP(A2524,IPCA!$A$2:$C$140,3,0)))^(C2524/(EDATE(D2524-C2524,1)-(D2524-C2524))),8)</f>
        <v/>
      </c>
      <c r="G2524" s="44">
        <f>TRUNC((E2524*F2524),8)</f>
        <v/>
      </c>
      <c r="H2524" s="44">
        <f>ROUND(((1+$H$4)^(30/360))^(C2524/(EDATE(D2524-B2524,1)-(D2524-B2524))),9)</f>
        <v/>
      </c>
      <c r="I2524" s="44">
        <f>TRUNC((G2524*H2524-G2524),8)</f>
        <v/>
      </c>
      <c r="J2524" s="49">
        <f>G2524+I2524</f>
        <v/>
      </c>
      <c r="K2524" s="256" t="n"/>
      <c r="L2524" s="256" t="n"/>
      <c r="M2524" s="256" t="n"/>
      <c r="N2524" s="256" t="n"/>
      <c r="O2524" s="256" t="n"/>
      <c r="P2524" s="256" t="n"/>
      <c r="Q2524" s="256" t="n"/>
    </row>
    <row r="2525">
      <c r="A2525">
        <f>IF(DAY(D2525)=DAY($L$1+1),A2524+1,A2524)</f>
        <v/>
      </c>
      <c r="B2525" s="1">
        <f>IF(DAY(D2525)=DAY($L$1+1),1,B2524+1)</f>
        <v/>
      </c>
      <c r="C2525" s="1">
        <f>IF(DAY(D2525)=DAY($L$1+1),1,C2524+1)</f>
        <v/>
      </c>
      <c r="D2525" s="2">
        <f>D2524+1</f>
        <v/>
      </c>
      <c r="E2525" s="8">
        <f>IF(DAY(D2525)=DAY($L$1+1),TRUNC((#REF!),8),E2524)</f>
        <v/>
      </c>
      <c r="F2525" s="49">
        <f>TRUNC(((1+VLOOKUP(A2525,IPCA!$A$2:$C$140,3,0)))^(C2525/(EDATE(D2525-C2525,1)-(D2525-C2525))),8)</f>
        <v/>
      </c>
      <c r="G2525" s="44">
        <f>TRUNC((E2525*F2525),8)</f>
        <v/>
      </c>
      <c r="H2525" s="44">
        <f>ROUND(((1+$H$4)^(30/360))^(C2525/(EDATE(D2525-B2525,1)-(D2525-B2525))),9)</f>
        <v/>
      </c>
      <c r="I2525" s="44">
        <f>TRUNC((G2525*H2525-G2525),8)</f>
        <v/>
      </c>
      <c r="J2525" s="49">
        <f>G2525+I2525</f>
        <v/>
      </c>
      <c r="K2525" s="256" t="n"/>
      <c r="L2525" s="256" t="n"/>
      <c r="M2525" s="256" t="n"/>
      <c r="N2525" s="256" t="n"/>
      <c r="O2525" s="256" t="n"/>
      <c r="P2525" s="256" t="n"/>
      <c r="Q2525" s="256" t="n"/>
    </row>
    <row r="2526">
      <c r="A2526">
        <f>IF(DAY(D2526)=DAY($L$1+1),A2525+1,A2525)</f>
        <v/>
      </c>
      <c r="B2526" s="46">
        <f>IF(DAY(D2526)=DAY($L$1+1),1,B2525+1)</f>
        <v/>
      </c>
      <c r="C2526" s="46">
        <f>IF(DAY(D2526)=DAY($L$1+1),1,C2525+1)</f>
        <v/>
      </c>
      <c r="D2526" s="2">
        <f>D2525+1</f>
        <v/>
      </c>
      <c r="E2526" s="8">
        <f>IF(DAY(D2526)=DAY($L$1+1),TRUNC((#REF!),8),E2525)</f>
        <v/>
      </c>
      <c r="F2526" s="49">
        <f>TRUNC(((1+VLOOKUP(A2526,IPCA!$A$2:$C$140,3,0)))^(C2526/(EDATE(D2526-C2526,1)-(D2526-C2526))),8)</f>
        <v/>
      </c>
      <c r="G2526" s="44">
        <f>TRUNC((E2526*F2526),8)</f>
        <v/>
      </c>
      <c r="H2526" s="44">
        <f>ROUND(((1+$H$4)^(30/360))^(C2526/(EDATE(D2526-B2526,1)-(D2526-B2526))),9)</f>
        <v/>
      </c>
      <c r="I2526" s="44">
        <f>TRUNC((G2526*H2526-G2526),8)</f>
        <v/>
      </c>
      <c r="J2526" s="49">
        <f>G2526+I2526</f>
        <v/>
      </c>
      <c r="K2526" s="256" t="n"/>
      <c r="L2526" s="256" t="n"/>
      <c r="M2526" s="256" t="n"/>
      <c r="N2526" s="256" t="n"/>
      <c r="O2526" s="256" t="n"/>
      <c r="P2526" s="256" t="n"/>
      <c r="Q2526" s="256" t="n"/>
    </row>
    <row r="2527">
      <c r="A2527">
        <f>IF(DAY(D2527)=DAY($L$1+1),A2526+1,A2526)</f>
        <v/>
      </c>
      <c r="B2527" s="1">
        <f>IF(DAY(D2527)=DAY($L$1+1),1,B2526+1)</f>
        <v/>
      </c>
      <c r="C2527" s="1">
        <f>IF(DAY(D2527)=DAY($L$1+1),1,C2526+1)</f>
        <v/>
      </c>
      <c r="D2527" s="2">
        <f>D2526+1</f>
        <v/>
      </c>
      <c r="E2527" s="8">
        <f>IF(DAY(D2527)=DAY($L$1+1),TRUNC((#REF!),8),E2526)</f>
        <v/>
      </c>
      <c r="F2527" s="49">
        <f>TRUNC(((1+VLOOKUP(A2527,IPCA!$A$2:$C$140,3,0)))^(C2527/(EDATE(D2527-C2527,1)-(D2527-C2527))),8)</f>
        <v/>
      </c>
      <c r="G2527" s="44">
        <f>TRUNC((E2527*F2527),8)</f>
        <v/>
      </c>
      <c r="H2527" s="44">
        <f>ROUND(((1+$H$4)^(30/360))^(C2527/(EDATE(D2527-B2527,1)-(D2527-B2527))),9)</f>
        <v/>
      </c>
      <c r="I2527" s="44">
        <f>TRUNC((G2527*H2527-G2527),8)</f>
        <v/>
      </c>
      <c r="J2527" s="49">
        <f>G2527+I2527</f>
        <v/>
      </c>
      <c r="K2527" s="256" t="n"/>
      <c r="L2527" s="256" t="n"/>
      <c r="M2527" s="256" t="n"/>
      <c r="N2527" s="256" t="n"/>
      <c r="O2527" s="256" t="n"/>
      <c r="P2527" s="256" t="n"/>
      <c r="Q2527" s="256" t="n"/>
    </row>
    <row r="2528">
      <c r="A2528">
        <f>IF(DAY(D2528)=DAY($L$1+1),A2527+1,A2527)</f>
        <v/>
      </c>
      <c r="B2528" s="46">
        <f>IF(DAY(D2528)=DAY($L$1+1),1,B2527+1)</f>
        <v/>
      </c>
      <c r="C2528" s="46">
        <f>IF(DAY(D2528)=DAY($L$1+1),1,C2527+1)</f>
        <v/>
      </c>
      <c r="D2528" s="2">
        <f>D2527+1</f>
        <v/>
      </c>
      <c r="E2528" s="8">
        <f>IF(DAY(D2528)=DAY($L$1+1),TRUNC((#REF!),8),E2527)</f>
        <v/>
      </c>
      <c r="F2528" s="49">
        <f>TRUNC(((1+VLOOKUP(A2528,IPCA!$A$2:$C$140,3,0)))^(C2528/(EDATE(D2528-C2528,1)-(D2528-C2528))),8)</f>
        <v/>
      </c>
      <c r="G2528" s="44">
        <f>TRUNC((E2528*F2528),8)</f>
        <v/>
      </c>
      <c r="H2528" s="44">
        <f>ROUND(((1+$H$4)^(30/360))^(C2528/(EDATE(D2528-B2528,1)-(D2528-B2528))),9)</f>
        <v/>
      </c>
      <c r="I2528" s="44">
        <f>TRUNC((G2528*H2528-G2528),8)</f>
        <v/>
      </c>
      <c r="J2528" s="49">
        <f>G2528+I2528</f>
        <v/>
      </c>
      <c r="K2528" s="256" t="n"/>
      <c r="L2528" s="256" t="n"/>
      <c r="M2528" s="256" t="n"/>
      <c r="N2528" s="256" t="n"/>
      <c r="O2528" s="256" t="n"/>
      <c r="P2528" s="256" t="n"/>
      <c r="Q2528" s="256" t="n"/>
    </row>
    <row r="2529">
      <c r="A2529">
        <f>IF(DAY(D2529)=DAY($L$1+1),A2528+1,A2528)</f>
        <v/>
      </c>
      <c r="B2529" s="1">
        <f>IF(DAY(D2529)=DAY($L$1+1),1,B2528+1)</f>
        <v/>
      </c>
      <c r="C2529" s="1">
        <f>IF(DAY(D2529)=DAY($L$1+1),1,C2528+1)</f>
        <v/>
      </c>
      <c r="D2529" s="2">
        <f>D2528+1</f>
        <v/>
      </c>
      <c r="E2529" s="8">
        <f>IF(DAY(D2529)=DAY($L$1+1),TRUNC((#REF!),8),E2528)</f>
        <v/>
      </c>
      <c r="F2529" s="49">
        <f>TRUNC(((1+VLOOKUP(A2529,IPCA!$A$2:$C$140,3,0)))^(C2529/(EDATE(D2529-C2529,1)-(D2529-C2529))),8)</f>
        <v/>
      </c>
      <c r="G2529" s="44">
        <f>TRUNC((E2529*F2529),8)</f>
        <v/>
      </c>
      <c r="H2529" s="44">
        <f>ROUND(((1+$H$4)^(30/360))^(C2529/(EDATE(D2529-B2529,1)-(D2529-B2529))),9)</f>
        <v/>
      </c>
      <c r="I2529" s="44">
        <f>TRUNC((G2529*H2529-G2529),8)</f>
        <v/>
      </c>
      <c r="J2529" s="49">
        <f>G2529+I2529</f>
        <v/>
      </c>
      <c r="K2529" s="256" t="n"/>
      <c r="L2529" s="256" t="n"/>
      <c r="M2529" s="256" t="n"/>
      <c r="N2529" s="256" t="n"/>
      <c r="O2529" s="256" t="n"/>
      <c r="P2529" s="256" t="n"/>
      <c r="Q2529" s="256" t="n"/>
    </row>
    <row r="2530">
      <c r="A2530">
        <f>IF(DAY(D2530)=DAY($L$1+1),A2529+1,A2529)</f>
        <v/>
      </c>
      <c r="B2530" s="46">
        <f>IF(DAY(D2530)=DAY($L$1+1),1,B2529+1)</f>
        <v/>
      </c>
      <c r="C2530" s="46">
        <f>IF(DAY(D2530)=DAY($L$1+1),1,C2529+1)</f>
        <v/>
      </c>
      <c r="D2530" s="2">
        <f>D2529+1</f>
        <v/>
      </c>
      <c r="E2530" s="8">
        <f>IF(DAY(D2530)=DAY($L$1+1),TRUNC((#REF!),8),E2529)</f>
        <v/>
      </c>
      <c r="F2530" s="49">
        <f>TRUNC(((1+VLOOKUP(A2530,IPCA!$A$2:$C$140,3,0)))^(C2530/(EDATE(D2530-C2530,1)-(D2530-C2530))),8)</f>
        <v/>
      </c>
      <c r="G2530" s="44">
        <f>TRUNC((E2530*F2530),8)</f>
        <v/>
      </c>
      <c r="H2530" s="44">
        <f>ROUND(((1+$H$4)^(30/360))^(C2530/(EDATE(D2530-B2530,1)-(D2530-B2530))),9)</f>
        <v/>
      </c>
      <c r="I2530" s="44">
        <f>TRUNC((G2530*H2530-G2530),8)</f>
        <v/>
      </c>
      <c r="J2530" s="49">
        <f>G2530+I2530</f>
        <v/>
      </c>
      <c r="K2530" s="256" t="n"/>
      <c r="L2530" s="256" t="n"/>
      <c r="M2530" s="256" t="n"/>
      <c r="N2530" s="256" t="n"/>
      <c r="O2530" s="256" t="n"/>
      <c r="P2530" s="256" t="n"/>
      <c r="Q2530" s="256" t="n"/>
    </row>
    <row r="2531">
      <c r="A2531">
        <f>IF(DAY(D2531)=DAY($L$1+1),A2530+1,A2530)</f>
        <v/>
      </c>
      <c r="B2531" s="1">
        <f>IF(DAY(D2531)=DAY($L$1+1),1,B2530+1)</f>
        <v/>
      </c>
      <c r="C2531" s="1">
        <f>IF(DAY(D2531)=DAY($L$1+1),1,C2530+1)</f>
        <v/>
      </c>
      <c r="D2531" s="2">
        <f>D2530+1</f>
        <v/>
      </c>
      <c r="E2531" s="8">
        <f>IF(DAY(D2531)=DAY($L$1+1),TRUNC((#REF!),8),E2530)</f>
        <v/>
      </c>
      <c r="F2531" s="49">
        <f>TRUNC(((1+VLOOKUP(A2531,IPCA!$A$2:$C$140,3,0)))^(C2531/(EDATE(D2531-C2531,1)-(D2531-C2531))),8)</f>
        <v/>
      </c>
      <c r="G2531" s="44">
        <f>TRUNC((E2531*F2531),8)</f>
        <v/>
      </c>
      <c r="H2531" s="44">
        <f>ROUND(((1+$H$4)^(30/360))^(C2531/(EDATE(D2531-B2531,1)-(D2531-B2531))),9)</f>
        <v/>
      </c>
      <c r="I2531" s="44">
        <f>TRUNC((G2531*H2531-G2531),8)</f>
        <v/>
      </c>
      <c r="J2531" s="49">
        <f>G2531+I2531</f>
        <v/>
      </c>
      <c r="K2531" s="256" t="n"/>
      <c r="L2531" s="256" t="n"/>
      <c r="M2531" s="256" t="n"/>
      <c r="N2531" s="256" t="n"/>
      <c r="O2531" s="256" t="n"/>
      <c r="P2531" s="256" t="n"/>
      <c r="Q2531" s="256" t="n"/>
    </row>
    <row r="2532">
      <c r="A2532">
        <f>IF(DAY(D2532)=DAY($L$1+1),A2531+1,A2531)</f>
        <v/>
      </c>
      <c r="B2532" s="46">
        <f>IF(DAY(D2532)=DAY($L$1+1),1,B2531+1)</f>
        <v/>
      </c>
      <c r="C2532" s="46">
        <f>IF(DAY(D2532)=DAY($L$1+1),1,C2531+1)</f>
        <v/>
      </c>
      <c r="D2532" s="2">
        <f>D2531+1</f>
        <v/>
      </c>
      <c r="E2532" s="8">
        <f>IF(DAY(D2532)=DAY($L$1+1),TRUNC((N2531),8),E2531)</f>
        <v/>
      </c>
      <c r="F2532" s="49">
        <f>TRUNC(((1+VLOOKUP(A2532,IPCA!$A$2:$C$140,3,0)))^(C2532/(EDATE(D2532-C2532,1)-(D2532-C2532))),8)</f>
        <v/>
      </c>
      <c r="G2532" s="44">
        <f>TRUNC((E2532*F2532),8)</f>
        <v/>
      </c>
      <c r="H2532" s="44">
        <f>ROUND(((1+$H$4)^(30/360))^(C2532/(EDATE(D2532-B2532,1)-(D2532-B2532))),9)</f>
        <v/>
      </c>
      <c r="I2532" s="44">
        <f>TRUNC((G2532*H2532-G2532),8)</f>
        <v/>
      </c>
      <c r="J2532" s="49">
        <f>G2532+I2532</f>
        <v/>
      </c>
      <c r="K2532" s="256" t="n"/>
      <c r="L2532" s="256" t="n"/>
      <c r="M2532" s="256" t="n"/>
      <c r="N2532" s="256" t="n"/>
      <c r="O2532" s="256" t="n"/>
      <c r="P2532" s="256" t="n"/>
      <c r="Q2532" s="256" t="n"/>
    </row>
    <row r="2533">
      <c r="A2533">
        <f>IF(DAY(D2533)=DAY($L$1+1),A2532+1,A2532)</f>
        <v/>
      </c>
      <c r="B2533" s="1">
        <f>IF(DAY(D2533)=DAY($L$1+1),1,B2532+1)</f>
        <v/>
      </c>
      <c r="C2533" s="1">
        <f>IF(DAY(D2533)=DAY($L$1+1),1,C2532+1)</f>
        <v/>
      </c>
      <c r="D2533" s="2">
        <f>D2532+1</f>
        <v/>
      </c>
      <c r="E2533" s="8">
        <f>IF(DAY(D2533)=DAY($L$1+1),TRUNC((N2532),8),E2532)</f>
        <v/>
      </c>
      <c r="F2533" s="49">
        <f>TRUNC(((1+VLOOKUP(A2533,IPCA!$A$2:$C$140,3,0)))^(C2533/(EDATE(D2533-C2533,1)-(D2533-C2533))),8)</f>
        <v/>
      </c>
      <c r="G2533" s="44">
        <f>TRUNC((E2533*F2533),8)</f>
        <v/>
      </c>
      <c r="H2533" s="44">
        <f>ROUND(((1+$H$4)^(30/360))^(C2533/(EDATE(D2533-B2533,1)-(D2533-B2533))),9)</f>
        <v/>
      </c>
      <c r="I2533" s="44">
        <f>TRUNC((G2533*H2533-G2533),8)</f>
        <v/>
      </c>
      <c r="J2533" s="49">
        <f>G2533+I2533</f>
        <v/>
      </c>
      <c r="K2533" s="256" t="n"/>
      <c r="L2533" s="256" t="n"/>
      <c r="M2533" s="256" t="n"/>
      <c r="N2533" s="256" t="n"/>
      <c r="O2533" s="256" t="n"/>
      <c r="P2533" s="256" t="n"/>
      <c r="Q2533" s="256" t="n"/>
    </row>
    <row r="2534">
      <c r="A2534">
        <f>IF(DAY(D2534)=DAY($L$1+1),A2533+1,A2533)</f>
        <v/>
      </c>
      <c r="B2534" s="46">
        <f>IF(DAY(D2534)=DAY($L$1+1),1,B2533+1)</f>
        <v/>
      </c>
      <c r="C2534" s="46">
        <f>IF(DAY(D2534)=DAY($L$1+1),1,C2533+1)</f>
        <v/>
      </c>
      <c r="D2534" s="2">
        <f>D2533+1</f>
        <v/>
      </c>
      <c r="E2534" s="8">
        <f>IF(DAY(D2534)=DAY($L$1+1),TRUNC((N2533),8),E2533)</f>
        <v/>
      </c>
      <c r="F2534" s="49">
        <f>TRUNC(((1+VLOOKUP(A2534,IPCA!$A$2:$C$140,3,0)))^(C2534/(EDATE(D2534-C2534,1)-(D2534-C2534))),8)</f>
        <v/>
      </c>
      <c r="G2534" s="44">
        <f>TRUNC((E2534*F2534),8)</f>
        <v/>
      </c>
      <c r="H2534" s="44">
        <f>ROUND(((1+$H$4)^(30/360))^(C2534/(EDATE(D2534-B2534,1)-(D2534-B2534))),9)</f>
        <v/>
      </c>
      <c r="I2534" s="44">
        <f>TRUNC((G2534*H2534-G2534),8)</f>
        <v/>
      </c>
      <c r="J2534" s="49">
        <f>G2534+I2534</f>
        <v/>
      </c>
      <c r="K2534" s="256" t="n"/>
      <c r="L2534" s="256" t="n"/>
      <c r="M2534" s="256" t="n"/>
      <c r="N2534" s="256" t="n"/>
      <c r="O2534" s="256" t="n"/>
      <c r="P2534" s="256" t="n"/>
      <c r="Q2534" s="256" t="n"/>
    </row>
    <row r="2535">
      <c r="A2535">
        <f>IF(DAY(D2535)=DAY($L$1+1),A2534+1,A2534)</f>
        <v/>
      </c>
      <c r="B2535" s="1">
        <f>IF(DAY(D2535)=DAY($L$1+1),1,B2534+1)</f>
        <v/>
      </c>
      <c r="C2535" s="1">
        <f>IF(DAY(D2535)=DAY($L$1+1),1,C2534+1)</f>
        <v/>
      </c>
      <c r="D2535" s="2">
        <f>D2534+1</f>
        <v/>
      </c>
      <c r="E2535" s="8">
        <f>IF(DAY(D2535)=DAY($L$1+1),TRUNC((N2534),8),E2534)</f>
        <v/>
      </c>
      <c r="F2535" s="49">
        <f>TRUNC(((1+VLOOKUP(A2535,IPCA!$A$2:$C$140,3,0)))^(C2535/(EDATE(D2535-C2535,1)-(D2535-C2535))),8)</f>
        <v/>
      </c>
      <c r="G2535" s="44">
        <f>TRUNC((E2535*F2535),8)</f>
        <v/>
      </c>
      <c r="H2535" s="44">
        <f>ROUND(((1+$H$4)^(30/360))^(C2535/(EDATE(D2535-B2535,1)-(D2535-B2535))),9)</f>
        <v/>
      </c>
      <c r="I2535" s="44">
        <f>TRUNC((G2535*H2535-G2535),8)</f>
        <v/>
      </c>
      <c r="J2535" s="49">
        <f>G2535+I2535</f>
        <v/>
      </c>
      <c r="K2535" s="256" t="n"/>
      <c r="L2535" s="256" t="n"/>
      <c r="M2535" s="256" t="n"/>
      <c r="N2535" s="256" t="n"/>
      <c r="O2535" s="256" t="n"/>
      <c r="P2535" s="256" t="n"/>
      <c r="Q2535" s="256" t="n"/>
    </row>
    <row r="2536">
      <c r="A2536">
        <f>IF(DAY(D2536)=DAY($L$1+1),A2535+1,A2535)</f>
        <v/>
      </c>
      <c r="B2536" s="46">
        <f>IF(DAY(D2536)=DAY($L$1+1),1,B2535+1)</f>
        <v/>
      </c>
      <c r="C2536" s="46">
        <f>IF(DAY(D2536)=DAY($L$1+1),1,C2535+1)</f>
        <v/>
      </c>
      <c r="D2536" s="2">
        <f>D2535+1</f>
        <v/>
      </c>
      <c r="E2536" s="8">
        <f>IF(DAY(D2536)=DAY($L$1+1),TRUNC((N2535),8),E2535)</f>
        <v/>
      </c>
      <c r="F2536" s="49">
        <f>TRUNC(((1+VLOOKUP(A2536,IPCA!$A$2:$C$140,3,0)))^(C2536/(EDATE(D2536-C2536,1)-(D2536-C2536))),8)</f>
        <v/>
      </c>
      <c r="G2536" s="44">
        <f>TRUNC((E2536*F2536),8)</f>
        <v/>
      </c>
      <c r="H2536" s="44">
        <f>ROUND(((1+$H$4)^(30/360))^(C2536/(EDATE(D2536-B2536,1)-(D2536-B2536))),9)</f>
        <v/>
      </c>
      <c r="I2536" s="44">
        <f>TRUNC((G2536*H2536-G2536),8)</f>
        <v/>
      </c>
      <c r="J2536" s="49">
        <f>G2536+I2536</f>
        <v/>
      </c>
      <c r="K2536" s="256" t="n"/>
      <c r="L2536" s="256" t="n"/>
      <c r="M2536" s="256" t="n"/>
      <c r="N2536" s="256" t="n"/>
      <c r="O2536" s="256" t="n"/>
      <c r="P2536" s="256" t="n"/>
      <c r="Q2536" s="256" t="n"/>
    </row>
    <row r="2537">
      <c r="A2537">
        <f>IF(DAY(D2537)=DAY($L$1+1),A2536+1,A2536)</f>
        <v/>
      </c>
      <c r="B2537" s="1">
        <f>IF(DAY(D2537)=DAY($L$1+1),1,B2536+1)</f>
        <v/>
      </c>
      <c r="C2537" s="1">
        <f>IF(DAY(D2537)=DAY($L$1+1),1,C2536+1)</f>
        <v/>
      </c>
      <c r="D2537" s="2">
        <f>D2536+1</f>
        <v/>
      </c>
      <c r="E2537" s="8">
        <f>IF(DAY(D2537)=DAY($L$1+1),TRUNC((N2536),8),E2536)</f>
        <v/>
      </c>
      <c r="F2537" s="49">
        <f>TRUNC(((1+VLOOKUP(A2537,IPCA!$A$2:$C$140,3,0)))^(C2537/(EDATE(D2537-C2537,1)-(D2537-C2537))),8)</f>
        <v/>
      </c>
      <c r="G2537" s="44">
        <f>TRUNC((E2537*F2537),8)</f>
        <v/>
      </c>
      <c r="H2537" s="44">
        <f>ROUND(((1+$H$4)^(30/360))^(C2537/(EDATE(D2537-B2537,1)-(D2537-B2537))),9)</f>
        <v/>
      </c>
      <c r="I2537" s="44">
        <f>TRUNC((G2537*H2537-G2537),8)</f>
        <v/>
      </c>
      <c r="J2537" s="49">
        <f>G2537+I2537</f>
        <v/>
      </c>
      <c r="K2537" s="256" t="n"/>
      <c r="L2537" s="256" t="n"/>
      <c r="M2537" s="256" t="n"/>
      <c r="N2537" s="256" t="n"/>
      <c r="O2537" s="256" t="n"/>
      <c r="P2537" s="256" t="n"/>
      <c r="Q2537" s="256" t="n"/>
    </row>
    <row r="2538">
      <c r="A2538">
        <f>IF(DAY(D2538)=DAY($L$1+1),A2537+1,A2537)</f>
        <v/>
      </c>
      <c r="B2538" s="46">
        <f>IF(DAY(D2538)=DAY($L$1+1),1,B2537+1)</f>
        <v/>
      </c>
      <c r="C2538" s="46">
        <f>IF(DAY(D2538)=DAY($L$1+1),1,C2537+1)</f>
        <v/>
      </c>
      <c r="D2538" s="2">
        <f>D2537+1</f>
        <v/>
      </c>
      <c r="E2538" s="8">
        <f>IF(DAY(D2538)=DAY($L$1+1),TRUNC((N2537),8),E2537)</f>
        <v/>
      </c>
      <c r="F2538" s="49">
        <f>TRUNC(((1+VLOOKUP(A2538,IPCA!$A$2:$C$140,3,0)))^(C2538/(EDATE(D2538-C2538,1)-(D2538-C2538))),8)</f>
        <v/>
      </c>
      <c r="G2538" s="44">
        <f>TRUNC((E2538*F2538),8)</f>
        <v/>
      </c>
      <c r="H2538" s="44">
        <f>ROUND(((1+$H$4)^(30/360))^(C2538/(EDATE(D2538-B2538,1)-(D2538-B2538))),9)</f>
        <v/>
      </c>
      <c r="I2538" s="44">
        <f>TRUNC((G2538*H2538-G2538),8)</f>
        <v/>
      </c>
      <c r="J2538" s="49">
        <f>G2538+I2538</f>
        <v/>
      </c>
      <c r="K2538" s="256" t="n"/>
      <c r="L2538" s="256" t="n"/>
      <c r="M2538" s="256" t="n"/>
      <c r="N2538" s="256" t="n"/>
      <c r="O2538" s="256" t="n"/>
      <c r="P2538" s="256" t="n"/>
      <c r="Q2538" s="256" t="n"/>
    </row>
    <row r="2539">
      <c r="A2539">
        <f>IF(DAY(D2539)=DAY($L$1+1),A2538+1,A2538)</f>
        <v/>
      </c>
      <c r="B2539" s="1">
        <f>IF(DAY(D2539)=DAY($L$1+1),1,B2538+1)</f>
        <v/>
      </c>
      <c r="C2539" s="1">
        <f>IF(DAY(D2539)=DAY($L$1+1),1,C2538+1)</f>
        <v/>
      </c>
      <c r="D2539" s="2">
        <f>D2538+1</f>
        <v/>
      </c>
      <c r="E2539" s="8">
        <f>IF(DAY(D2539)=DAY($L$1+1),TRUNC((N2538),8),E2538)</f>
        <v/>
      </c>
      <c r="F2539" s="49">
        <f>TRUNC(((1+VLOOKUP(A2539,IPCA!$A$2:$C$140,3,0)))^(C2539/(EDATE(D2539-C2539,1)-(D2539-C2539))),8)</f>
        <v/>
      </c>
      <c r="G2539" s="44">
        <f>TRUNC((E2539*F2539),8)</f>
        <v/>
      </c>
      <c r="H2539" s="44">
        <f>ROUND(((1+$H$4)^(30/360))^(C2539/(EDATE(D2539-B2539,1)-(D2539-B2539))),9)</f>
        <v/>
      </c>
      <c r="I2539" s="44">
        <f>TRUNC((G2539*H2539-G2539),8)</f>
        <v/>
      </c>
      <c r="J2539" s="49">
        <f>G2539+I2539</f>
        <v/>
      </c>
      <c r="K2539" s="256" t="n"/>
      <c r="L2539" s="256" t="n"/>
      <c r="M2539" s="256" t="n"/>
      <c r="N2539" s="256" t="n"/>
      <c r="O2539" s="256" t="n"/>
      <c r="P2539" s="256" t="n"/>
      <c r="Q2539" s="256" t="n"/>
    </row>
    <row r="2540">
      <c r="A2540">
        <f>IF(DAY(D2540)=DAY($L$1+1),A2539+1,A2539)</f>
        <v/>
      </c>
      <c r="B2540" s="46">
        <f>IF(DAY(D2540)=DAY($L$1+1),1,B2539+1)</f>
        <v/>
      </c>
      <c r="C2540" s="46">
        <f>IF(DAY(D2540)=DAY($L$1+1),1,C2539+1)</f>
        <v/>
      </c>
      <c r="D2540" s="2">
        <f>D2539+1</f>
        <v/>
      </c>
      <c r="E2540" s="8">
        <f>IF(DAY(D2540)=DAY($L$1+1),TRUNC((N2539),8),E2539)</f>
        <v/>
      </c>
      <c r="F2540" s="49">
        <f>TRUNC(((1+VLOOKUP(A2540,IPCA!$A$2:$C$140,3,0)))^(C2540/(EDATE(D2540-C2540,1)-(D2540-C2540))),8)</f>
        <v/>
      </c>
      <c r="G2540" s="44">
        <f>TRUNC((E2540*F2540),8)</f>
        <v/>
      </c>
      <c r="H2540" s="44">
        <f>ROUND(((1+$H$4)^(30/360))^(C2540/(EDATE(D2540-B2540,1)-(D2540-B2540))),9)</f>
        <v/>
      </c>
      <c r="I2540" s="44">
        <f>TRUNC((G2540*H2540-G2540),8)</f>
        <v/>
      </c>
      <c r="J2540" s="49">
        <f>G2540+I2540</f>
        <v/>
      </c>
      <c r="K2540" s="256" t="n"/>
      <c r="L2540" s="256" t="n"/>
      <c r="M2540" s="256" t="n"/>
      <c r="N2540" s="256" t="n"/>
      <c r="O2540" s="256" t="n"/>
      <c r="P2540" s="256" t="n"/>
      <c r="Q2540" s="256" t="n"/>
    </row>
    <row r="2541">
      <c r="A2541">
        <f>IF(DAY(D2541)=DAY($L$1+1),A2540+1,A2540)</f>
        <v/>
      </c>
      <c r="B2541" s="1">
        <f>IF(DAY(D2541)=DAY($L$1+1),1,B2540+1)</f>
        <v/>
      </c>
      <c r="C2541" s="1">
        <f>IF(DAY(D2541)=DAY($L$1+1),1,C2540+1)</f>
        <v/>
      </c>
      <c r="D2541" s="2">
        <f>D2540+1</f>
        <v/>
      </c>
      <c r="E2541" s="8">
        <f>IF(DAY(D2541)=DAY($L$1+1),TRUNC((N2540),8),E2540)</f>
        <v/>
      </c>
      <c r="F2541" s="49">
        <f>TRUNC(((1+VLOOKUP(A2541,IPCA!$A$2:$C$140,3,0)))^(C2541/(EDATE(D2541-C2541,1)-(D2541-C2541))),8)</f>
        <v/>
      </c>
      <c r="G2541" s="44">
        <f>TRUNC((E2541*F2541),8)</f>
        <v/>
      </c>
      <c r="H2541" s="44">
        <f>ROUND(((1+$H$4)^(30/360))^(C2541/(EDATE(D2541-B2541,1)-(D2541-B2541))),9)</f>
        <v/>
      </c>
      <c r="I2541" s="44">
        <f>TRUNC((G2541*H2541-G2541),8)</f>
        <v/>
      </c>
      <c r="J2541" s="49">
        <f>G2541+I2541</f>
        <v/>
      </c>
      <c r="K2541" s="256" t="n"/>
      <c r="L2541" s="256" t="n"/>
      <c r="M2541" s="256" t="n"/>
      <c r="N2541" s="256" t="n"/>
      <c r="O2541" s="256" t="n"/>
      <c r="P2541" s="256" t="n"/>
      <c r="Q2541" s="256" t="n"/>
    </row>
    <row r="2542">
      <c r="A2542">
        <f>IF(DAY(D2542)=DAY($L$1+1),A2541+1,A2541)</f>
        <v/>
      </c>
      <c r="B2542" s="46">
        <f>IF(DAY(D2542)=DAY($L$1+1),1,B2541+1)</f>
        <v/>
      </c>
      <c r="C2542" s="46">
        <f>IF(DAY(D2542)=DAY($L$1+1),1,C2541+1)</f>
        <v/>
      </c>
      <c r="D2542" s="2">
        <f>D2541+1</f>
        <v/>
      </c>
      <c r="E2542" s="8">
        <f>IF(DAY(D2542)=DAY($L$1+1),TRUNC((N2541),8),E2541)</f>
        <v/>
      </c>
      <c r="F2542" s="49">
        <f>TRUNC(((1+VLOOKUP(A2542,IPCA!$A$2:$C$140,3,0)))^(C2542/(EDATE(D2542-C2542,1)-(D2542-C2542))),8)</f>
        <v/>
      </c>
      <c r="G2542" s="44">
        <f>TRUNC((E2542*F2542),8)</f>
        <v/>
      </c>
      <c r="H2542" s="44">
        <f>ROUND(((1+$H$4)^(30/360))^(C2542/(EDATE(D2542-B2542,1)-(D2542-B2542))),9)</f>
        <v/>
      </c>
      <c r="I2542" s="44">
        <f>TRUNC((G2542*H2542-G2542),8)</f>
        <v/>
      </c>
      <c r="J2542" s="49">
        <f>G2542+I2542</f>
        <v/>
      </c>
      <c r="K2542" s="256" t="n"/>
      <c r="L2542" s="256" t="n"/>
      <c r="M2542" s="256" t="n"/>
      <c r="N2542" s="256" t="n"/>
      <c r="O2542" s="256" t="n"/>
      <c r="P2542" s="256" t="n"/>
      <c r="Q2542" s="256" t="n"/>
    </row>
    <row r="2543">
      <c r="A2543">
        <f>IF(DAY(D2543)=DAY($L$1+1),A2542+1,A2542)</f>
        <v/>
      </c>
      <c r="B2543" s="1">
        <f>IF(DAY(D2543)=DAY($L$1+1),1,B2542+1)</f>
        <v/>
      </c>
      <c r="C2543" s="1">
        <f>IF(DAY(D2543)=DAY($L$1+1),1,C2542+1)</f>
        <v/>
      </c>
      <c r="D2543" s="2">
        <f>D2542+1</f>
        <v/>
      </c>
      <c r="E2543" s="8">
        <f>IF(DAY(D2543)=DAY($L$1+1),TRUNC((N2542),8),E2542)</f>
        <v/>
      </c>
      <c r="F2543" s="49">
        <f>TRUNC(((1+VLOOKUP(A2543,IPCA!$A$2:$C$140,3,0)))^(C2543/(EDATE(D2543-C2543,1)-(D2543-C2543))),8)</f>
        <v/>
      </c>
      <c r="G2543" s="44">
        <f>TRUNC((E2543*F2543),8)</f>
        <v/>
      </c>
      <c r="H2543" s="44">
        <f>ROUND(((1+$H$4)^(30/360))^(C2543/(EDATE(D2543-B2543,1)-(D2543-B2543))),9)</f>
        <v/>
      </c>
      <c r="I2543" s="44">
        <f>TRUNC((G2543*H2543-G2543),8)</f>
        <v/>
      </c>
      <c r="J2543" s="49">
        <f>G2543+I2543</f>
        <v/>
      </c>
      <c r="K2543" s="256" t="n"/>
      <c r="L2543" s="256" t="n"/>
      <c r="M2543" s="256" t="n"/>
      <c r="N2543" s="256" t="n"/>
      <c r="O2543" s="256" t="n"/>
      <c r="P2543" s="256" t="n"/>
      <c r="Q2543" s="256" t="n"/>
    </row>
    <row r="2544">
      <c r="A2544">
        <f>IF(DAY(D2544)=DAY($L$1+1),A2543+1,A2543)</f>
        <v/>
      </c>
      <c r="B2544" s="46">
        <f>IF(DAY(D2544)=DAY($L$1+1),1,B2543+1)</f>
        <v/>
      </c>
      <c r="C2544" s="46">
        <f>IF(DAY(D2544)=DAY($L$1+1),1,C2543+1)</f>
        <v/>
      </c>
      <c r="D2544" s="2">
        <f>D2543+1</f>
        <v/>
      </c>
      <c r="E2544" s="8">
        <f>IF(DAY(D2544)=DAY($L$1+1),TRUNC((N2543),8),E2543)</f>
        <v/>
      </c>
      <c r="F2544" s="49">
        <f>TRUNC(((1+VLOOKUP(A2544,IPCA!$A$2:$C$140,3,0)))^(C2544/(EDATE(D2544-C2544,1)-(D2544-C2544))),8)</f>
        <v/>
      </c>
      <c r="G2544" s="49">
        <f>TRUNC((E2544*F2544),8)</f>
        <v/>
      </c>
      <c r="H2544" s="49">
        <f>ROUND(((1+$H$4)^(30/360))^(C2544/(EDATE(D2544-B2544,1)-(D2544-B2544))),9)</f>
        <v/>
      </c>
      <c r="I2544" s="49">
        <f>TRUNC((G2544*H2544-G2544),8)</f>
        <v/>
      </c>
      <c r="J2544" s="49">
        <f>G2544+I2544</f>
        <v/>
      </c>
      <c r="K2544" s="256" t="inlineStr">
        <is>
          <t>Cri Integralizado</t>
        </is>
      </c>
      <c r="L2544" s="270">
        <f>L2513</f>
        <v/>
      </c>
      <c r="M2544" s="256" t="n"/>
      <c r="N2544" s="256" t="n"/>
      <c r="O2544" s="256" t="n"/>
      <c r="P2544" s="256" t="n"/>
      <c r="Q2544" s="256" t="n"/>
    </row>
    <row r="2545">
      <c r="A2545">
        <f>IF(DAY(D2545)=DAY($L$1+1),A2544+1,A2544)</f>
        <v/>
      </c>
      <c r="B2545" s="46">
        <f>IF(DAY(D2545)=DAY($L$1+1),1,B2544+1)</f>
        <v/>
      </c>
      <c r="C2545" s="46">
        <f>IF(DAY(D2545)=DAY($L$1+1),1,C2544+1)</f>
        <v/>
      </c>
      <c r="D2545" s="47">
        <f>D2544+1</f>
        <v/>
      </c>
      <c r="E2545" s="8">
        <f>IF(DAY(D2545)=DAY($L$1+1),TRUNC((N2544),8),E2544)</f>
        <v/>
      </c>
      <c r="F2545" s="49">
        <f>TRUNC(((1+VLOOKUP(A2545,IPCA!$A$2:$C$140,3,0)))^(C2545/(EDATE(D2545-C2545,1)-(D2545-C2545))),8)</f>
        <v/>
      </c>
      <c r="G2545" s="49">
        <f>TRUNC((E2545*F2545),8)</f>
        <v/>
      </c>
      <c r="H2545" s="49">
        <f>ROUND(((1+$H$4)^(30/360))^(C2545/(EDATE(D2545-B2545,1)-(D2545-B2545))),9)</f>
        <v/>
      </c>
      <c r="I2545" s="49">
        <f>TRUNC((G2545*H2545-G2545),8)</f>
        <v/>
      </c>
      <c r="J2545" s="49">
        <f>G2545+I2545</f>
        <v/>
      </c>
      <c r="K2545" s="137" t="inlineStr">
        <is>
          <t>JUROS</t>
        </is>
      </c>
      <c r="L2545" s="118" t="inlineStr">
        <is>
          <t>AMORTIZAÇÃO</t>
        </is>
      </c>
      <c r="M2545" s="118" t="inlineStr">
        <is>
          <t>AMEX</t>
        </is>
      </c>
      <c r="N2545" s="118" t="inlineStr">
        <is>
          <t>RESIDUAL</t>
        </is>
      </c>
      <c r="O2545" s="256" t="n"/>
      <c r="P2545" s="256" t="n"/>
      <c r="Q2545" s="256" t="n"/>
    </row>
    <row r="2546">
      <c r="A2546">
        <f>IF(DAY(D2546)=DAY($L$1+1),A2545+1,A2545)</f>
        <v/>
      </c>
      <c r="B2546" s="111">
        <f>IF(DAY(D2546)=DAY($L$1+1),1,B2545+1)</f>
        <v/>
      </c>
      <c r="C2546" s="111">
        <f>IF(DAY(D2546)=DAY($L$1+1),1,C2545+1)</f>
        <v/>
      </c>
      <c r="D2546" s="112">
        <f>D2545+1</f>
        <v/>
      </c>
      <c r="E2546" s="113">
        <f>IF(DAY(D2546)=DAY($L$1+1),TRUNC((N2545),8),E2545)</f>
        <v/>
      </c>
      <c r="F2546" s="114">
        <f>TRUNC(((1+VLOOKUP(A2546,IPCA!$A$2:$C$140,3,0)))^(C2546/(EDATE(D2546-C2546,1)-(D2546-C2546))),8)</f>
        <v/>
      </c>
      <c r="G2546" s="114">
        <f>TRUNC((E2546*F2546),8)</f>
        <v/>
      </c>
      <c r="H2546" s="114">
        <f>ROUND(((1+$H$4)^(30/360))^(C2546/(EDATE(D2546-B2546,1)-(D2546-B2546))),9)</f>
        <v/>
      </c>
      <c r="I2546" s="114">
        <f>TRUNC((G2546*H2546-G2546),8)</f>
        <v/>
      </c>
      <c r="J2546" s="114">
        <f>G2546+I2546</f>
        <v/>
      </c>
      <c r="K2546" s="119">
        <f>I2546</f>
        <v/>
      </c>
      <c r="L2546" s="120">
        <f>TRUNC(G2546*VLOOKUP(D2546,'Amort TS'!$G$3:$H$140,2,0),8)</f>
        <v/>
      </c>
      <c r="M2546" s="120" t="n">
        <v>0</v>
      </c>
      <c r="N2546" s="120">
        <f>J2546-K2546-L2546-M2546</f>
        <v/>
      </c>
      <c r="O2546" s="256" t="n"/>
      <c r="P2546" s="256" t="n"/>
      <c r="Q2546" s="256" t="n"/>
    </row>
    <row r="2547">
      <c r="A2547">
        <f>IF(DAY(D2547)=DAY($L$1+1),A2546+1,A2546)</f>
        <v/>
      </c>
      <c r="B2547" s="46">
        <f>IF(DAY(D2547)=DAY($L$1+1),1,B2546+1)</f>
        <v/>
      </c>
      <c r="C2547" s="46">
        <f>IF(DAY(D2547)=DAY($L$1+1),1,C2546+1)</f>
        <v/>
      </c>
      <c r="D2547" s="2">
        <f>D2546+1</f>
        <v/>
      </c>
      <c r="E2547" s="8">
        <f>IF(DAY(D2547)=DAY($L$1+1),TRUNC((N2546),8),E2546)</f>
        <v/>
      </c>
      <c r="F2547" s="49">
        <f>TRUNC(((1+VLOOKUP(A2547,IPCA!$A$2:$C$140,3,0)))^(C2547/(EDATE(D2547-C2547,1)-(D2547-C2547))),8)</f>
        <v/>
      </c>
      <c r="G2547" s="49">
        <f>TRUNC((E2547*F2547),8)</f>
        <v/>
      </c>
      <c r="H2547" s="49">
        <f>ROUND(((1+$H$4)^(30/360))^(C2547/(EDATE(D2547-B2547,1)-(D2547-B2547))),9)</f>
        <v/>
      </c>
      <c r="I2547" s="49">
        <f>TRUNC((G2547*H2547-G2547),8)</f>
        <v/>
      </c>
      <c r="J2547" s="49">
        <f>G2547+I2547</f>
        <v/>
      </c>
      <c r="K2547" s="121">
        <f>K2546*L2544</f>
        <v/>
      </c>
      <c r="L2547" s="121">
        <f>L2546*L2544</f>
        <v/>
      </c>
      <c r="M2547" s="121">
        <f>M2546*L2544</f>
        <v/>
      </c>
      <c r="N2547" s="121">
        <f>N2546*L2544</f>
        <v/>
      </c>
      <c r="O2547" s="256" t="n"/>
      <c r="P2547" s="256" t="n"/>
      <c r="Q2547" s="256" t="n"/>
    </row>
    <row r="2548">
      <c r="A2548">
        <f>IF(DAY(D2548)=DAY($L$1+1),A2547+1,A2547)</f>
        <v/>
      </c>
      <c r="B2548" s="46">
        <f>IF(DAY(D2548)=DAY($L$1+1),1,B2547+1)</f>
        <v/>
      </c>
      <c r="C2548" s="46">
        <f>IF(DAY(D2548)=DAY($L$1+1),1,C2547+1)</f>
        <v/>
      </c>
      <c r="D2548" s="47">
        <f>D2547+1</f>
        <v/>
      </c>
      <c r="E2548" s="8">
        <f>IF(DAY(D2548)=DAY($L$1+1),TRUNC((N2547),8),E2547)</f>
        <v/>
      </c>
      <c r="F2548" s="49">
        <f>TRUNC(((1+VLOOKUP(A2548,IPCA!$A$2:$C$140,3,0)))^(C2548/(EDATE(D2548-C2548,1)-(D2548-C2548))),8)</f>
        <v/>
      </c>
      <c r="G2548" s="49">
        <f>TRUNC((E2548*F2548),8)</f>
        <v/>
      </c>
      <c r="H2548" s="49">
        <f>ROUND(((1+$H$4)^(30/360))^(C2548/(EDATE(D2548-B2548,1)-(D2548-B2548))),9)</f>
        <v/>
      </c>
      <c r="I2548" s="49">
        <f>TRUNC((G2548*H2548-G2548),8)</f>
        <v/>
      </c>
      <c r="J2548" s="49">
        <f>G2548+I2548</f>
        <v/>
      </c>
      <c r="K2548" s="256" t="n"/>
      <c r="L2548" s="256" t="n"/>
      <c r="M2548" s="256" t="n"/>
      <c r="N2548" s="256" t="n"/>
      <c r="O2548" s="256" t="n"/>
      <c r="P2548" s="256" t="n"/>
      <c r="Q2548" s="256" t="n"/>
    </row>
    <row r="2549">
      <c r="A2549">
        <f>IF(DAY(D2549)=DAY($L$1+1),A2548+1,A2548)</f>
        <v/>
      </c>
      <c r="B2549" s="1">
        <f>IF(DAY(D2549)=DAY($L$1+1),1,B2548+1)</f>
        <v/>
      </c>
      <c r="C2549" s="1">
        <f>IF(DAY(D2549)=DAY($L$1+1),1,C2548+1)</f>
        <v/>
      </c>
      <c r="D2549" s="2">
        <f>D2548+1</f>
        <v/>
      </c>
      <c r="E2549" s="8">
        <f>IF(DAY(D2549)=DAY($L$1+1),TRUNC((#REF!),8),E2548)</f>
        <v/>
      </c>
      <c r="F2549" s="49">
        <f>TRUNC(((1+VLOOKUP(A2549,IPCA!$A$2:$C$140,3,0)))^(C2549/(EDATE(D2549-C2549,1)-(D2549-C2549))),8)</f>
        <v/>
      </c>
      <c r="G2549" s="44">
        <f>TRUNC((E2549*F2549),8)</f>
        <v/>
      </c>
      <c r="H2549" s="44">
        <f>ROUND(((1+$H$4)^(30/360))^(C2549/(EDATE(D2549-B2549,1)-(D2549-B2549))),9)</f>
        <v/>
      </c>
      <c r="I2549" s="44">
        <f>TRUNC((G2549*H2549-G2549),8)</f>
        <v/>
      </c>
      <c r="J2549" s="49">
        <f>G2549+I2549</f>
        <v/>
      </c>
      <c r="K2549" s="256" t="n"/>
      <c r="L2549" s="256" t="n"/>
      <c r="M2549" s="256" t="n"/>
      <c r="N2549" s="256" t="n"/>
      <c r="O2549" s="256" t="n"/>
      <c r="P2549" s="256" t="n"/>
      <c r="Q2549" s="256" t="n"/>
    </row>
    <row r="2550">
      <c r="A2550">
        <f>IF(DAY(D2550)=DAY($L$1+1),A2549+1,A2549)</f>
        <v/>
      </c>
      <c r="B2550" s="46">
        <f>IF(DAY(D2550)=DAY($L$1+1),1,B2549+1)</f>
        <v/>
      </c>
      <c r="C2550" s="46">
        <f>IF(DAY(D2550)=DAY($L$1+1),1,C2549+1)</f>
        <v/>
      </c>
      <c r="D2550" s="2">
        <f>D2549+1</f>
        <v/>
      </c>
      <c r="E2550" s="8">
        <f>IF(DAY(D2550)=DAY($L$1+1),TRUNC((#REF!),8),E2549)</f>
        <v/>
      </c>
      <c r="F2550" s="49">
        <f>TRUNC(((1+VLOOKUP(A2550,IPCA!$A$2:$C$140,3,0)))^(C2550/(EDATE(D2550-C2550,1)-(D2550-C2550))),8)</f>
        <v/>
      </c>
      <c r="G2550" s="44">
        <f>TRUNC((E2550*F2550),8)</f>
        <v/>
      </c>
      <c r="H2550" s="44">
        <f>ROUND(((1+$H$4)^(30/360))^(C2550/(EDATE(D2550-B2550,1)-(D2550-B2550))),9)</f>
        <v/>
      </c>
      <c r="I2550" s="44">
        <f>TRUNC((G2550*H2550-G2550),8)</f>
        <v/>
      </c>
      <c r="J2550" s="49">
        <f>G2550+I2550</f>
        <v/>
      </c>
      <c r="K2550" s="256" t="n"/>
      <c r="L2550" s="256" t="n"/>
      <c r="M2550" s="256" t="n"/>
      <c r="N2550" s="256" t="n"/>
      <c r="O2550" s="256" t="n"/>
      <c r="P2550" s="256" t="n"/>
      <c r="Q2550" s="256" t="n"/>
    </row>
    <row r="2551">
      <c r="A2551">
        <f>IF(DAY(D2551)=DAY($L$1+1),A2550+1,A2550)</f>
        <v/>
      </c>
      <c r="B2551" s="1">
        <f>IF(DAY(D2551)=DAY($L$1+1),1,B2550+1)</f>
        <v/>
      </c>
      <c r="C2551" s="1">
        <f>IF(DAY(D2551)=DAY($L$1+1),1,C2550+1)</f>
        <v/>
      </c>
      <c r="D2551" s="2">
        <f>D2550+1</f>
        <v/>
      </c>
      <c r="E2551" s="8">
        <f>IF(DAY(D2551)=DAY($L$1+1),TRUNC((#REF!),8),E2550)</f>
        <v/>
      </c>
      <c r="F2551" s="49">
        <f>TRUNC(((1+VLOOKUP(A2551,IPCA!$A$2:$C$140,3,0)))^(C2551/(EDATE(D2551-C2551,1)-(D2551-C2551))),8)</f>
        <v/>
      </c>
      <c r="G2551" s="44">
        <f>TRUNC((E2551*F2551),8)</f>
        <v/>
      </c>
      <c r="H2551" s="44">
        <f>ROUND(((1+$H$4)^(30/360))^(C2551/(EDATE(D2551-B2551,1)-(D2551-B2551))),9)</f>
        <v/>
      </c>
      <c r="I2551" s="44">
        <f>TRUNC((G2551*H2551-G2551),8)</f>
        <v/>
      </c>
      <c r="J2551" s="49">
        <f>G2551+I2551</f>
        <v/>
      </c>
      <c r="K2551" s="256" t="n"/>
      <c r="L2551" s="256" t="n"/>
      <c r="M2551" s="256" t="n"/>
      <c r="N2551" s="256" t="n"/>
      <c r="O2551" s="256" t="n"/>
      <c r="P2551" s="256" t="n"/>
      <c r="Q2551" s="256" t="n"/>
    </row>
    <row r="2552">
      <c r="A2552">
        <f>IF(DAY(D2552)=DAY($L$1+1),A2551+1,A2551)</f>
        <v/>
      </c>
      <c r="B2552" s="46">
        <f>IF(DAY(D2552)=DAY($L$1+1),1,B2551+1)</f>
        <v/>
      </c>
      <c r="C2552" s="46">
        <f>IF(DAY(D2552)=DAY($L$1+1),1,C2551+1)</f>
        <v/>
      </c>
      <c r="D2552" s="2">
        <f>D2551+1</f>
        <v/>
      </c>
      <c r="E2552" s="8">
        <f>IF(DAY(D2552)=DAY($L$1+1),TRUNC((#REF!),8),E2551)</f>
        <v/>
      </c>
      <c r="F2552" s="49">
        <f>TRUNC(((1+VLOOKUP(A2552,IPCA!$A$2:$C$140,3,0)))^(C2552/(EDATE(D2552-C2552,1)-(D2552-C2552))),8)</f>
        <v/>
      </c>
      <c r="G2552" s="44">
        <f>TRUNC((E2552*F2552),8)</f>
        <v/>
      </c>
      <c r="H2552" s="44">
        <f>ROUND(((1+$H$4)^(30/360))^(C2552/(EDATE(D2552-B2552,1)-(D2552-B2552))),9)</f>
        <v/>
      </c>
      <c r="I2552" s="44">
        <f>TRUNC((G2552*H2552-G2552),8)</f>
        <v/>
      </c>
      <c r="J2552" s="49">
        <f>G2552+I2552</f>
        <v/>
      </c>
      <c r="K2552" s="256" t="n"/>
      <c r="L2552" s="256" t="n"/>
      <c r="M2552" s="256" t="n"/>
      <c r="N2552" s="256" t="n"/>
      <c r="O2552" s="256" t="n"/>
      <c r="P2552" s="256" t="n"/>
      <c r="Q2552" s="256" t="n"/>
    </row>
    <row r="2553">
      <c r="A2553">
        <f>IF(DAY(D2553)=DAY($L$1+1),A2552+1,A2552)</f>
        <v/>
      </c>
      <c r="B2553" s="1">
        <f>IF(DAY(D2553)=DAY($L$1+1),1,B2552+1)</f>
        <v/>
      </c>
      <c r="C2553" s="1">
        <f>IF(DAY(D2553)=DAY($L$1+1),1,C2552+1)</f>
        <v/>
      </c>
      <c r="D2553" s="2">
        <f>D2552+1</f>
        <v/>
      </c>
      <c r="E2553" s="8">
        <f>IF(DAY(D2553)=DAY($L$1+1),TRUNC((#REF!),8),E2552)</f>
        <v/>
      </c>
      <c r="F2553" s="49">
        <f>TRUNC(((1+VLOOKUP(A2553,IPCA!$A$2:$C$140,3,0)))^(C2553/(EDATE(D2553-C2553,1)-(D2553-C2553))),8)</f>
        <v/>
      </c>
      <c r="G2553" s="44">
        <f>TRUNC((E2553*F2553),8)</f>
        <v/>
      </c>
      <c r="H2553" s="44">
        <f>ROUND(((1+$H$4)^(30/360))^(C2553/(EDATE(D2553-B2553,1)-(D2553-B2553))),9)</f>
        <v/>
      </c>
      <c r="I2553" s="44">
        <f>TRUNC((G2553*H2553-G2553),8)</f>
        <v/>
      </c>
      <c r="J2553" s="49">
        <f>G2553+I2553</f>
        <v/>
      </c>
      <c r="K2553" s="256" t="n"/>
      <c r="L2553" s="256" t="n"/>
      <c r="M2553" s="256" t="n"/>
      <c r="N2553" s="256" t="n"/>
      <c r="O2553" s="256" t="n"/>
      <c r="P2553" s="256" t="n"/>
      <c r="Q2553" s="256" t="n"/>
    </row>
    <row r="2554">
      <c r="A2554">
        <f>IF(DAY(D2554)=DAY($L$1+1),A2553+1,A2553)</f>
        <v/>
      </c>
      <c r="B2554" s="46">
        <f>IF(DAY(D2554)=DAY($L$1+1),1,B2553+1)</f>
        <v/>
      </c>
      <c r="C2554" s="46">
        <f>IF(DAY(D2554)=DAY($L$1+1),1,C2553+1)</f>
        <v/>
      </c>
      <c r="D2554" s="2">
        <f>D2553+1</f>
        <v/>
      </c>
      <c r="E2554" s="8">
        <f>IF(DAY(D2554)=DAY($L$1+1),TRUNC((#REF!),8),E2553)</f>
        <v/>
      </c>
      <c r="F2554" s="49">
        <f>TRUNC(((1+VLOOKUP(A2554,IPCA!$A$2:$C$140,3,0)))^(C2554/(EDATE(D2554-C2554,1)-(D2554-C2554))),8)</f>
        <v/>
      </c>
      <c r="G2554" s="44">
        <f>TRUNC((E2554*F2554),8)</f>
        <v/>
      </c>
      <c r="H2554" s="44">
        <f>ROUND(((1+$H$4)^(30/360))^(C2554/(EDATE(D2554-B2554,1)-(D2554-B2554))),9)</f>
        <v/>
      </c>
      <c r="I2554" s="44">
        <f>TRUNC((G2554*H2554-G2554),8)</f>
        <v/>
      </c>
      <c r="J2554" s="49">
        <f>G2554+I2554</f>
        <v/>
      </c>
      <c r="K2554" s="256" t="n"/>
      <c r="L2554" s="256" t="n"/>
      <c r="M2554" s="256" t="n"/>
      <c r="N2554" s="256" t="n"/>
      <c r="O2554" s="256" t="n"/>
      <c r="P2554" s="256" t="n"/>
      <c r="Q2554" s="256" t="n"/>
    </row>
    <row r="2555">
      <c r="A2555">
        <f>IF(DAY(D2555)=DAY($L$1+1),A2554+1,A2554)</f>
        <v/>
      </c>
      <c r="B2555" s="1">
        <f>IF(DAY(D2555)=DAY($L$1+1),1,B2554+1)</f>
        <v/>
      </c>
      <c r="C2555" s="1">
        <f>IF(DAY(D2555)=DAY($L$1+1),1,C2554+1)</f>
        <v/>
      </c>
      <c r="D2555" s="2">
        <f>D2554+1</f>
        <v/>
      </c>
      <c r="E2555" s="8">
        <f>IF(DAY(D2555)=DAY($L$1+1),TRUNC((#REF!),8),E2554)</f>
        <v/>
      </c>
      <c r="F2555" s="49">
        <f>TRUNC(((1+VLOOKUP(A2555,IPCA!$A$2:$C$140,3,0)))^(C2555/(EDATE(D2555-C2555,1)-(D2555-C2555))),8)</f>
        <v/>
      </c>
      <c r="G2555" s="44">
        <f>TRUNC((E2555*F2555),8)</f>
        <v/>
      </c>
      <c r="H2555" s="44">
        <f>ROUND(((1+$H$4)^(30/360))^(C2555/(EDATE(D2555-B2555,1)-(D2555-B2555))),9)</f>
        <v/>
      </c>
      <c r="I2555" s="44">
        <f>TRUNC((G2555*H2555-G2555),8)</f>
        <v/>
      </c>
      <c r="J2555" s="49">
        <f>G2555+I2555</f>
        <v/>
      </c>
      <c r="K2555" s="256" t="n"/>
      <c r="L2555" s="256" t="n"/>
      <c r="M2555" s="256" t="n"/>
      <c r="N2555" s="256" t="n"/>
      <c r="O2555" s="256" t="n"/>
      <c r="P2555" s="256" t="n"/>
      <c r="Q2555" s="256" t="n"/>
    </row>
    <row r="2556">
      <c r="A2556">
        <f>IF(DAY(D2556)=DAY($L$1+1),A2555+1,A2555)</f>
        <v/>
      </c>
      <c r="B2556" s="46">
        <f>IF(DAY(D2556)=DAY($L$1+1),1,B2555+1)</f>
        <v/>
      </c>
      <c r="C2556" s="46">
        <f>IF(DAY(D2556)=DAY($L$1+1),1,C2555+1)</f>
        <v/>
      </c>
      <c r="D2556" s="2">
        <f>D2555+1</f>
        <v/>
      </c>
      <c r="E2556" s="8">
        <f>IF(DAY(D2556)=DAY($L$1+1),TRUNC((#REF!),8),E2555)</f>
        <v/>
      </c>
      <c r="F2556" s="49">
        <f>TRUNC(((1+VLOOKUP(A2556,IPCA!$A$2:$C$140,3,0)))^(C2556/(EDATE(D2556-C2556,1)-(D2556-C2556))),8)</f>
        <v/>
      </c>
      <c r="G2556" s="44">
        <f>TRUNC((E2556*F2556),8)</f>
        <v/>
      </c>
      <c r="H2556" s="44">
        <f>ROUND(((1+$H$4)^(30/360))^(C2556/(EDATE(D2556-B2556,1)-(D2556-B2556))),9)</f>
        <v/>
      </c>
      <c r="I2556" s="44">
        <f>TRUNC((G2556*H2556-G2556),8)</f>
        <v/>
      </c>
      <c r="J2556" s="49">
        <f>G2556+I2556</f>
        <v/>
      </c>
      <c r="K2556" s="256" t="n"/>
      <c r="L2556" s="256" t="n"/>
      <c r="M2556" s="256" t="n"/>
      <c r="N2556" s="256" t="n"/>
      <c r="O2556" s="256" t="n"/>
      <c r="P2556" s="256" t="n"/>
      <c r="Q2556" s="256" t="n"/>
    </row>
    <row r="2557">
      <c r="A2557">
        <f>IF(DAY(D2557)=DAY($L$1+1),A2556+1,A2556)</f>
        <v/>
      </c>
      <c r="B2557" s="1">
        <f>IF(DAY(D2557)=DAY($L$1+1),1,B2556+1)</f>
        <v/>
      </c>
      <c r="C2557" s="1">
        <f>IF(DAY(D2557)=DAY($L$1+1),1,C2556+1)</f>
        <v/>
      </c>
      <c r="D2557" s="2">
        <f>D2556+1</f>
        <v/>
      </c>
      <c r="E2557" s="8">
        <f>IF(DAY(D2557)=DAY($L$1+1),TRUNC((#REF!),8),E2556)</f>
        <v/>
      </c>
      <c r="F2557" s="49">
        <f>TRUNC(((1+VLOOKUP(A2557,IPCA!$A$2:$C$140,3,0)))^(C2557/(EDATE(D2557-C2557,1)-(D2557-C2557))),8)</f>
        <v/>
      </c>
      <c r="G2557" s="44">
        <f>TRUNC((E2557*F2557),8)</f>
        <v/>
      </c>
      <c r="H2557" s="44">
        <f>ROUND(((1+$H$4)^(30/360))^(C2557/(EDATE(D2557-B2557,1)-(D2557-B2557))),9)</f>
        <v/>
      </c>
      <c r="I2557" s="44">
        <f>TRUNC((G2557*H2557-G2557),8)</f>
        <v/>
      </c>
      <c r="J2557" s="49">
        <f>G2557+I2557</f>
        <v/>
      </c>
      <c r="K2557" s="256" t="n"/>
      <c r="L2557" s="256" t="n"/>
      <c r="M2557" s="256" t="n"/>
      <c r="N2557" s="256" t="n"/>
      <c r="O2557" s="256" t="n"/>
      <c r="P2557" s="256" t="n"/>
      <c r="Q2557" s="256" t="n"/>
    </row>
    <row r="2558">
      <c r="A2558">
        <f>IF(DAY(D2558)=DAY($L$1+1),A2557+1,A2557)</f>
        <v/>
      </c>
      <c r="B2558" s="46">
        <f>IF(DAY(D2558)=DAY($L$1+1),1,B2557+1)</f>
        <v/>
      </c>
      <c r="C2558" s="46">
        <f>IF(DAY(D2558)=DAY($L$1+1),1,C2557+1)</f>
        <v/>
      </c>
      <c r="D2558" s="2">
        <f>D2557+1</f>
        <v/>
      </c>
      <c r="E2558" s="8">
        <f>IF(DAY(D2558)=DAY($L$1+1),TRUNC((#REF!),8),E2557)</f>
        <v/>
      </c>
      <c r="F2558" s="49">
        <f>TRUNC(((1+VLOOKUP(A2558,IPCA!$A$2:$C$140,3,0)))^(C2558/(EDATE(D2558-C2558,1)-(D2558-C2558))),8)</f>
        <v/>
      </c>
      <c r="G2558" s="44">
        <f>TRUNC((E2558*F2558),8)</f>
        <v/>
      </c>
      <c r="H2558" s="44">
        <f>ROUND(((1+$H$4)^(30/360))^(C2558/(EDATE(D2558-B2558,1)-(D2558-B2558))),9)</f>
        <v/>
      </c>
      <c r="I2558" s="44">
        <f>TRUNC((G2558*H2558-G2558),8)</f>
        <v/>
      </c>
      <c r="J2558" s="49">
        <f>G2558+I2558</f>
        <v/>
      </c>
      <c r="K2558" s="256" t="n"/>
      <c r="L2558" s="256" t="n"/>
      <c r="M2558" s="256" t="n"/>
      <c r="N2558" s="256" t="n"/>
      <c r="O2558" s="256" t="n"/>
      <c r="P2558" s="256" t="n"/>
      <c r="Q2558" s="256" t="n"/>
    </row>
    <row r="2559">
      <c r="A2559">
        <f>IF(DAY(D2559)=DAY($L$1+1),A2558+1,A2558)</f>
        <v/>
      </c>
      <c r="B2559" s="1">
        <f>IF(DAY(D2559)=DAY($L$1+1),1,B2558+1)</f>
        <v/>
      </c>
      <c r="C2559" s="1">
        <f>IF(DAY(D2559)=DAY($L$1+1),1,C2558+1)</f>
        <v/>
      </c>
      <c r="D2559" s="2">
        <f>D2558+1</f>
        <v/>
      </c>
      <c r="E2559" s="8">
        <f>IF(DAY(D2559)=DAY($L$1+1),TRUNC((#REF!),8),E2558)</f>
        <v/>
      </c>
      <c r="F2559" s="49">
        <f>TRUNC(((1+VLOOKUP(A2559,IPCA!$A$2:$C$140,3,0)))^(C2559/(EDATE(D2559-C2559,1)-(D2559-C2559))),8)</f>
        <v/>
      </c>
      <c r="G2559" s="44">
        <f>TRUNC((E2559*F2559),8)</f>
        <v/>
      </c>
      <c r="H2559" s="44">
        <f>ROUND(((1+$H$4)^(30/360))^(C2559/(EDATE(D2559-B2559,1)-(D2559-B2559))),9)</f>
        <v/>
      </c>
      <c r="I2559" s="44">
        <f>TRUNC((G2559*H2559-G2559),8)</f>
        <v/>
      </c>
      <c r="J2559" s="49">
        <f>G2559+I2559</f>
        <v/>
      </c>
      <c r="K2559" s="256" t="n"/>
      <c r="L2559" s="256" t="n"/>
      <c r="M2559" s="256" t="n"/>
      <c r="N2559" s="256" t="n"/>
      <c r="O2559" s="256" t="n"/>
      <c r="P2559" s="256" t="n"/>
      <c r="Q2559" s="256" t="n"/>
    </row>
    <row r="2560">
      <c r="A2560">
        <f>IF(DAY(D2560)=DAY($L$1+1),A2559+1,A2559)</f>
        <v/>
      </c>
      <c r="B2560" s="46">
        <f>IF(DAY(D2560)=DAY($L$1+1),1,B2559+1)</f>
        <v/>
      </c>
      <c r="C2560" s="46">
        <f>IF(DAY(D2560)=DAY($L$1+1),1,C2559+1)</f>
        <v/>
      </c>
      <c r="D2560" s="2">
        <f>D2559+1</f>
        <v/>
      </c>
      <c r="E2560" s="8">
        <f>IF(DAY(D2560)=DAY($L$1+1),TRUNC((#REF!),8),E2559)</f>
        <v/>
      </c>
      <c r="F2560" s="49">
        <f>TRUNC(((1+VLOOKUP(A2560,IPCA!$A$2:$C$140,3,0)))^(C2560/(EDATE(D2560-C2560,1)-(D2560-C2560))),8)</f>
        <v/>
      </c>
      <c r="G2560" s="44">
        <f>TRUNC((E2560*F2560),8)</f>
        <v/>
      </c>
      <c r="H2560" s="44">
        <f>ROUND(((1+$H$4)^(30/360))^(C2560/(EDATE(D2560-B2560,1)-(D2560-B2560))),9)</f>
        <v/>
      </c>
      <c r="I2560" s="44">
        <f>TRUNC((G2560*H2560-G2560),8)</f>
        <v/>
      </c>
      <c r="J2560" s="49">
        <f>G2560+I2560</f>
        <v/>
      </c>
      <c r="K2560" s="256" t="n"/>
      <c r="L2560" s="256" t="n"/>
      <c r="M2560" s="256" t="n"/>
      <c r="N2560" s="256" t="n"/>
      <c r="O2560" s="256" t="n"/>
      <c r="P2560" s="256" t="n"/>
      <c r="Q2560" s="256" t="n"/>
    </row>
    <row r="2561">
      <c r="A2561">
        <f>IF(DAY(D2561)=DAY($L$1+1),A2560+1,A2560)</f>
        <v/>
      </c>
      <c r="B2561" s="1">
        <f>IF(DAY(D2561)=DAY($L$1+1),1,B2560+1)</f>
        <v/>
      </c>
      <c r="C2561" s="1">
        <f>IF(DAY(D2561)=DAY($L$1+1),1,C2560+1)</f>
        <v/>
      </c>
      <c r="D2561" s="2">
        <f>D2560+1</f>
        <v/>
      </c>
      <c r="E2561" s="8">
        <f>IF(DAY(D2561)=DAY($L$1+1),TRUNC((#REF!),8),E2560)</f>
        <v/>
      </c>
      <c r="F2561" s="49">
        <f>TRUNC(((1+VLOOKUP(A2561,IPCA!$A$2:$C$140,3,0)))^(C2561/(EDATE(D2561-C2561,1)-(D2561-C2561))),8)</f>
        <v/>
      </c>
      <c r="G2561" s="44">
        <f>TRUNC((E2561*F2561),8)</f>
        <v/>
      </c>
      <c r="H2561" s="44">
        <f>ROUND(((1+$H$4)^(30/360))^(C2561/(EDATE(D2561-B2561,1)-(D2561-B2561))),9)</f>
        <v/>
      </c>
      <c r="I2561" s="44">
        <f>TRUNC((G2561*H2561-G2561),8)</f>
        <v/>
      </c>
      <c r="J2561" s="49">
        <f>G2561+I2561</f>
        <v/>
      </c>
      <c r="K2561" s="256" t="n"/>
      <c r="L2561" s="256" t="n"/>
      <c r="M2561" s="256" t="n"/>
      <c r="N2561" s="256" t="n"/>
      <c r="O2561" s="256" t="n"/>
      <c r="P2561" s="256" t="n"/>
      <c r="Q2561" s="256" t="n"/>
    </row>
    <row r="2562">
      <c r="A2562">
        <f>IF(DAY(D2562)=DAY($L$1+1),A2561+1,A2561)</f>
        <v/>
      </c>
      <c r="B2562" s="46">
        <f>IF(DAY(D2562)=DAY($L$1+1),1,B2561+1)</f>
        <v/>
      </c>
      <c r="C2562" s="46">
        <f>IF(DAY(D2562)=DAY($L$1+1),1,C2561+1)</f>
        <v/>
      </c>
      <c r="D2562" s="2">
        <f>D2561+1</f>
        <v/>
      </c>
      <c r="E2562" s="8">
        <f>IF(DAY(D2562)=DAY($L$1+1),TRUNC((#REF!),8),E2561)</f>
        <v/>
      </c>
      <c r="F2562" s="49">
        <f>TRUNC(((1+VLOOKUP(A2562,IPCA!$A$2:$C$140,3,0)))^(C2562/(EDATE(D2562-C2562,1)-(D2562-C2562))),8)</f>
        <v/>
      </c>
      <c r="G2562" s="44">
        <f>TRUNC((E2562*F2562),8)</f>
        <v/>
      </c>
      <c r="H2562" s="44">
        <f>ROUND(((1+$H$4)^(30/360))^(C2562/(EDATE(D2562-B2562,1)-(D2562-B2562))),9)</f>
        <v/>
      </c>
      <c r="I2562" s="44">
        <f>TRUNC((G2562*H2562-G2562),8)</f>
        <v/>
      </c>
      <c r="J2562" s="49">
        <f>G2562+I2562</f>
        <v/>
      </c>
      <c r="K2562" s="256" t="n"/>
      <c r="L2562" s="256" t="n"/>
      <c r="M2562" s="256" t="n"/>
      <c r="N2562" s="256" t="n"/>
      <c r="O2562" s="256" t="n"/>
      <c r="P2562" s="256" t="n"/>
      <c r="Q2562" s="256" t="n"/>
    </row>
    <row r="2563">
      <c r="A2563">
        <f>IF(DAY(D2563)=DAY($L$1+1),A2562+1,A2562)</f>
        <v/>
      </c>
      <c r="B2563" s="1">
        <f>IF(DAY(D2563)=DAY($L$1+1),1,B2562+1)</f>
        <v/>
      </c>
      <c r="C2563" s="1">
        <f>IF(DAY(D2563)=DAY($L$1+1),1,C2562+1)</f>
        <v/>
      </c>
      <c r="D2563" s="2">
        <f>D2562+1</f>
        <v/>
      </c>
      <c r="E2563" s="8">
        <f>IF(DAY(D2563)=DAY($L$1+1),TRUNC((#REF!),8),E2562)</f>
        <v/>
      </c>
      <c r="F2563" s="49">
        <f>TRUNC(((1+VLOOKUP(A2563,IPCA!$A$2:$C$140,3,0)))^(C2563/(EDATE(D2563-C2563,1)-(D2563-C2563))),8)</f>
        <v/>
      </c>
      <c r="G2563" s="44">
        <f>TRUNC((E2563*F2563),8)</f>
        <v/>
      </c>
      <c r="H2563" s="44">
        <f>ROUND(((1+$H$4)^(30/360))^(C2563/(EDATE(D2563-B2563,1)-(D2563-B2563))),9)</f>
        <v/>
      </c>
      <c r="I2563" s="44">
        <f>TRUNC((G2563*H2563-G2563),8)</f>
        <v/>
      </c>
      <c r="J2563" s="49">
        <f>G2563+I2563</f>
        <v/>
      </c>
      <c r="K2563" s="256" t="n"/>
      <c r="L2563" s="256" t="n"/>
      <c r="M2563" s="256" t="n"/>
      <c r="N2563" s="256" t="n"/>
      <c r="O2563" s="256" t="n"/>
      <c r="P2563" s="256" t="n"/>
      <c r="Q2563" s="256" t="n"/>
    </row>
    <row r="2564">
      <c r="A2564">
        <f>IF(DAY(D2564)=DAY($L$1+1),A2563+1,A2563)</f>
        <v/>
      </c>
      <c r="B2564" s="46">
        <f>IF(DAY(D2564)=DAY($L$1+1),1,B2563+1)</f>
        <v/>
      </c>
      <c r="C2564" s="46">
        <f>IF(DAY(D2564)=DAY($L$1+1),1,C2563+1)</f>
        <v/>
      </c>
      <c r="D2564" s="2">
        <f>D2563+1</f>
        <v/>
      </c>
      <c r="E2564" s="8">
        <f>IF(DAY(D2564)=DAY($L$1+1),TRUNC((#REF!),8),E2563)</f>
        <v/>
      </c>
      <c r="F2564" s="49">
        <f>TRUNC(((1+VLOOKUP(A2564,IPCA!$A$2:$C$140,3,0)))^(C2564/(EDATE(D2564-C2564,1)-(D2564-C2564))),8)</f>
        <v/>
      </c>
      <c r="G2564" s="44">
        <f>TRUNC((E2564*F2564),8)</f>
        <v/>
      </c>
      <c r="H2564" s="44">
        <f>ROUND(((1+$H$4)^(30/360))^(C2564/(EDATE(D2564-B2564,1)-(D2564-B2564))),9)</f>
        <v/>
      </c>
      <c r="I2564" s="44">
        <f>TRUNC((G2564*H2564-G2564),8)</f>
        <v/>
      </c>
      <c r="J2564" s="49">
        <f>G2564+I2564</f>
        <v/>
      </c>
      <c r="K2564" s="256" t="n"/>
      <c r="L2564" s="256" t="n"/>
      <c r="M2564" s="256" t="n"/>
      <c r="N2564" s="256" t="n"/>
      <c r="O2564" s="256" t="n"/>
      <c r="P2564" s="256" t="n"/>
      <c r="Q2564" s="256" t="n"/>
    </row>
    <row r="2565">
      <c r="A2565">
        <f>IF(DAY(D2565)=DAY($L$1+1),A2564+1,A2564)</f>
        <v/>
      </c>
      <c r="B2565" s="1">
        <f>IF(DAY(D2565)=DAY($L$1+1),1,B2564+1)</f>
        <v/>
      </c>
      <c r="C2565" s="1">
        <f>IF(DAY(D2565)=DAY($L$1+1),1,C2564+1)</f>
        <v/>
      </c>
      <c r="D2565" s="2">
        <f>D2564+1</f>
        <v/>
      </c>
      <c r="E2565" s="8">
        <f>IF(DAY(D2565)=DAY($L$1+1),TRUNC((#REF!),8),E2564)</f>
        <v/>
      </c>
      <c r="F2565" s="49">
        <f>TRUNC(((1+VLOOKUP(A2565,IPCA!$A$2:$C$140,3,0)))^(C2565/(EDATE(D2565-C2565,1)-(D2565-C2565))),8)</f>
        <v/>
      </c>
      <c r="G2565" s="44">
        <f>TRUNC((E2565*F2565),8)</f>
        <v/>
      </c>
      <c r="H2565" s="44">
        <f>ROUND(((1+$H$4)^(30/360))^(C2565/(EDATE(D2565-B2565,1)-(D2565-B2565))),9)</f>
        <v/>
      </c>
      <c r="I2565" s="44">
        <f>TRUNC((G2565*H2565-G2565),8)</f>
        <v/>
      </c>
      <c r="J2565" s="49">
        <f>G2565+I2565</f>
        <v/>
      </c>
      <c r="K2565" s="256" t="n"/>
      <c r="L2565" s="256" t="n"/>
      <c r="M2565" s="256" t="n"/>
      <c r="N2565" s="256" t="n"/>
      <c r="O2565" s="256" t="n"/>
      <c r="P2565" s="256" t="n"/>
      <c r="Q2565" s="256" t="n"/>
    </row>
    <row r="2566">
      <c r="A2566">
        <f>IF(DAY(D2566)=DAY($L$1+1),A2565+1,A2565)</f>
        <v/>
      </c>
      <c r="B2566" s="46">
        <f>IF(DAY(D2566)=DAY($L$1+1),1,B2565+1)</f>
        <v/>
      </c>
      <c r="C2566" s="46">
        <f>IF(DAY(D2566)=DAY($L$1+1),1,C2565+1)</f>
        <v/>
      </c>
      <c r="D2566" s="2">
        <f>D2565+1</f>
        <v/>
      </c>
      <c r="E2566" s="8">
        <f>IF(DAY(D2566)=DAY($L$1+1),TRUNC((#REF!),8),E2565)</f>
        <v/>
      </c>
      <c r="F2566" s="49">
        <f>TRUNC(((1+VLOOKUP(A2566,IPCA!$A$2:$C$140,3,0)))^(C2566/(EDATE(D2566-C2566,1)-(D2566-C2566))),8)</f>
        <v/>
      </c>
      <c r="G2566" s="44">
        <f>TRUNC((E2566*F2566),8)</f>
        <v/>
      </c>
      <c r="H2566" s="44">
        <f>ROUND(((1+$H$4)^(30/360))^(C2566/(EDATE(D2566-B2566,1)-(D2566-B2566))),9)</f>
        <v/>
      </c>
      <c r="I2566" s="44">
        <f>TRUNC((G2566*H2566-G2566),8)</f>
        <v/>
      </c>
      <c r="J2566" s="49">
        <f>G2566+I2566</f>
        <v/>
      </c>
      <c r="K2566" s="256" t="n"/>
      <c r="L2566" s="256" t="n"/>
      <c r="M2566" s="256" t="n"/>
      <c r="N2566" s="256" t="n"/>
      <c r="O2566" s="256" t="n"/>
      <c r="P2566" s="256" t="n"/>
      <c r="Q2566" s="256" t="n"/>
    </row>
    <row r="2567">
      <c r="A2567">
        <f>IF(DAY(D2567)=DAY($L$1+1),A2566+1,A2566)</f>
        <v/>
      </c>
      <c r="B2567" s="1">
        <f>IF(DAY(D2567)=DAY($L$1+1),1,B2566+1)</f>
        <v/>
      </c>
      <c r="C2567" s="1">
        <f>IF(DAY(D2567)=DAY($L$1+1),1,C2566+1)</f>
        <v/>
      </c>
      <c r="D2567" s="2">
        <f>D2566+1</f>
        <v/>
      </c>
      <c r="E2567" s="8">
        <f>IF(DAY(D2567)=DAY($L$1+1),TRUNC((#REF!),8),E2566)</f>
        <v/>
      </c>
      <c r="F2567" s="49">
        <f>TRUNC(((1+VLOOKUP(A2567,IPCA!$A$2:$C$140,3,0)))^(C2567/(EDATE(D2567-C2567,1)-(D2567-C2567))),8)</f>
        <v/>
      </c>
      <c r="G2567" s="44">
        <f>TRUNC((E2567*F2567),8)</f>
        <v/>
      </c>
      <c r="H2567" s="44">
        <f>ROUND(((1+$H$4)^(30/360))^(C2567/(EDATE(D2567-B2567,1)-(D2567-B2567))),9)</f>
        <v/>
      </c>
      <c r="I2567" s="44">
        <f>TRUNC((G2567*H2567-G2567),8)</f>
        <v/>
      </c>
      <c r="J2567" s="49">
        <f>G2567+I2567</f>
        <v/>
      </c>
      <c r="K2567" s="256" t="n"/>
      <c r="L2567" s="256" t="n"/>
      <c r="M2567" s="256" t="n"/>
      <c r="N2567" s="256" t="n"/>
      <c r="O2567" s="256" t="n"/>
      <c r="P2567" s="256" t="n"/>
      <c r="Q2567" s="256" t="n"/>
    </row>
    <row r="2568">
      <c r="A2568">
        <f>IF(DAY(D2568)=DAY($L$1+1),A2567+1,A2567)</f>
        <v/>
      </c>
      <c r="B2568" s="46">
        <f>IF(DAY(D2568)=DAY($L$1+1),1,B2567+1)</f>
        <v/>
      </c>
      <c r="C2568" s="46">
        <f>IF(DAY(D2568)=DAY($L$1+1),1,C2567+1)</f>
        <v/>
      </c>
      <c r="D2568" s="2">
        <f>D2567+1</f>
        <v/>
      </c>
      <c r="E2568" s="8">
        <f>IF(DAY(D2568)=DAY($L$1+1),TRUNC((#REF!),8),E2567)</f>
        <v/>
      </c>
      <c r="F2568" s="49">
        <f>TRUNC(((1+VLOOKUP(A2568,IPCA!$A$2:$C$140,3,0)))^(C2568/(EDATE(D2568-C2568,1)-(D2568-C2568))),8)</f>
        <v/>
      </c>
      <c r="G2568" s="44">
        <f>TRUNC((E2568*F2568),8)</f>
        <v/>
      </c>
      <c r="H2568" s="44">
        <f>ROUND(((1+$H$4)^(30/360))^(C2568/(EDATE(D2568-B2568,1)-(D2568-B2568))),9)</f>
        <v/>
      </c>
      <c r="I2568" s="44">
        <f>TRUNC((G2568*H2568-G2568),8)</f>
        <v/>
      </c>
      <c r="J2568" s="49">
        <f>G2568+I2568</f>
        <v/>
      </c>
      <c r="K2568" s="256" t="n"/>
      <c r="L2568" s="256" t="n"/>
      <c r="M2568" s="256" t="n"/>
      <c r="N2568" s="256" t="n"/>
      <c r="O2568" s="256" t="n"/>
      <c r="P2568" s="256" t="n"/>
      <c r="Q2568" s="256" t="n"/>
    </row>
    <row r="2569">
      <c r="A2569">
        <f>IF(DAY(D2569)=DAY($L$1+1),A2568+1,A2568)</f>
        <v/>
      </c>
      <c r="B2569" s="1">
        <f>IF(DAY(D2569)=DAY($L$1+1),1,B2568+1)</f>
        <v/>
      </c>
      <c r="C2569" s="1">
        <f>IF(DAY(D2569)=DAY($L$1+1),1,C2568+1)</f>
        <v/>
      </c>
      <c r="D2569" s="2">
        <f>D2568+1</f>
        <v/>
      </c>
      <c r="E2569" s="8">
        <f>IF(DAY(D2569)=DAY($L$1+1),TRUNC((#REF!),8),E2568)</f>
        <v/>
      </c>
      <c r="F2569" s="49">
        <f>TRUNC(((1+VLOOKUP(A2569,IPCA!$A$2:$C$140,3,0)))^(C2569/(EDATE(D2569-C2569,1)-(D2569-C2569))),8)</f>
        <v/>
      </c>
      <c r="G2569" s="44">
        <f>TRUNC((E2569*F2569),8)</f>
        <v/>
      </c>
      <c r="H2569" s="44">
        <f>ROUND(((1+$H$4)^(30/360))^(C2569/(EDATE(D2569-B2569,1)-(D2569-B2569))),9)</f>
        <v/>
      </c>
      <c r="I2569" s="44">
        <f>TRUNC((G2569*H2569-G2569),8)</f>
        <v/>
      </c>
      <c r="J2569" s="49">
        <f>G2569+I2569</f>
        <v/>
      </c>
      <c r="K2569" s="256" t="n"/>
      <c r="L2569" s="256" t="n"/>
      <c r="M2569" s="256" t="n"/>
      <c r="N2569" s="256" t="n"/>
      <c r="O2569" s="256" t="n"/>
      <c r="P2569" s="256" t="n"/>
      <c r="Q2569" s="256" t="n"/>
    </row>
    <row r="2570">
      <c r="A2570">
        <f>IF(DAY(D2570)=DAY($L$1+1),A2569+1,A2569)</f>
        <v/>
      </c>
      <c r="B2570" s="46">
        <f>IF(DAY(D2570)=DAY($L$1+1),1,B2569+1)</f>
        <v/>
      </c>
      <c r="C2570" s="46">
        <f>IF(DAY(D2570)=DAY($L$1+1),1,C2569+1)</f>
        <v/>
      </c>
      <c r="D2570" s="2">
        <f>D2569+1</f>
        <v/>
      </c>
      <c r="E2570" s="8">
        <f>IF(DAY(D2570)=DAY($L$1+1),TRUNC((#REF!),8),E2569)</f>
        <v/>
      </c>
      <c r="F2570" s="49">
        <f>TRUNC(((1+VLOOKUP(A2570,IPCA!$A$2:$C$140,3,0)))^(C2570/(EDATE(D2570-C2570,1)-(D2570-C2570))),8)</f>
        <v/>
      </c>
      <c r="G2570" s="44">
        <f>TRUNC((E2570*F2570),8)</f>
        <v/>
      </c>
      <c r="H2570" s="44">
        <f>ROUND(((1+$H$4)^(30/360))^(C2570/(EDATE(D2570-B2570,1)-(D2570-B2570))),9)</f>
        <v/>
      </c>
      <c r="I2570" s="44">
        <f>TRUNC((G2570*H2570-G2570),8)</f>
        <v/>
      </c>
      <c r="J2570" s="49">
        <f>G2570+I2570</f>
        <v/>
      </c>
      <c r="K2570" s="256" t="n"/>
      <c r="L2570" s="256" t="n"/>
      <c r="M2570" s="256" t="n"/>
      <c r="N2570" s="256" t="n"/>
      <c r="O2570" s="256" t="n"/>
      <c r="P2570" s="256" t="n"/>
      <c r="Q2570" s="256" t="n"/>
    </row>
    <row r="2571">
      <c r="A2571">
        <f>IF(DAY(D2571)=DAY($L$1+1),A2570+1,A2570)</f>
        <v/>
      </c>
      <c r="B2571" s="1">
        <f>IF(DAY(D2571)=DAY($L$1+1),1,B2570+1)</f>
        <v/>
      </c>
      <c r="C2571" s="1">
        <f>IF(DAY(D2571)=DAY($L$1+1),1,C2570+1)</f>
        <v/>
      </c>
      <c r="D2571" s="2">
        <f>D2570+1</f>
        <v/>
      </c>
      <c r="E2571" s="8">
        <f>IF(DAY(D2571)=DAY($L$1+1),TRUNC((N2570),8),E2570)</f>
        <v/>
      </c>
      <c r="F2571" s="49">
        <f>TRUNC(((1+VLOOKUP(A2571,IPCA!$A$2:$C$140,3,0)))^(C2571/(EDATE(D2571-C2571,1)-(D2571-C2571))),8)</f>
        <v/>
      </c>
      <c r="G2571" s="44">
        <f>TRUNC((E2571*F2571),8)</f>
        <v/>
      </c>
      <c r="H2571" s="44">
        <f>ROUND(((1+$H$4)^(30/360))^(C2571/(EDATE(D2571-B2571,1)-(D2571-B2571))),9)</f>
        <v/>
      </c>
      <c r="I2571" s="44">
        <f>TRUNC((G2571*H2571-G2571),8)</f>
        <v/>
      </c>
      <c r="J2571" s="49">
        <f>G2571+I2571</f>
        <v/>
      </c>
      <c r="K2571" s="256" t="n"/>
      <c r="L2571" s="256" t="n"/>
      <c r="M2571" s="256" t="n"/>
      <c r="N2571" s="256" t="n"/>
      <c r="O2571" s="256" t="n"/>
      <c r="P2571" s="256" t="n"/>
      <c r="Q2571" s="256" t="n"/>
    </row>
    <row r="2572">
      <c r="A2572">
        <f>IF(DAY(D2572)=DAY($L$1+1),A2571+1,A2571)</f>
        <v/>
      </c>
      <c r="B2572" s="46">
        <f>IF(DAY(D2572)=DAY($L$1+1),1,B2571+1)</f>
        <v/>
      </c>
      <c r="C2572" s="46">
        <f>IF(DAY(D2572)=DAY($L$1+1),1,C2571+1)</f>
        <v/>
      </c>
      <c r="D2572" s="2">
        <f>D2571+1</f>
        <v/>
      </c>
      <c r="E2572" s="8">
        <f>IF(DAY(D2572)=DAY($L$1+1),TRUNC((N2571),8),E2571)</f>
        <v/>
      </c>
      <c r="F2572" s="49">
        <f>TRUNC(((1+VLOOKUP(A2572,IPCA!$A$2:$C$140,3,0)))^(C2572/(EDATE(D2572-C2572,1)-(D2572-C2572))),8)</f>
        <v/>
      </c>
      <c r="G2572" s="44">
        <f>TRUNC((E2572*F2572),8)</f>
        <v/>
      </c>
      <c r="H2572" s="44">
        <f>ROUND(((1+$H$4)^(30/360))^(C2572/(EDATE(D2572-B2572,1)-(D2572-B2572))),9)</f>
        <v/>
      </c>
      <c r="I2572" s="44">
        <f>TRUNC((G2572*H2572-G2572),8)</f>
        <v/>
      </c>
      <c r="J2572" s="49">
        <f>G2572+I2572</f>
        <v/>
      </c>
      <c r="K2572" s="256" t="n"/>
      <c r="L2572" s="256" t="n"/>
      <c r="M2572" s="256" t="n"/>
      <c r="N2572" s="256" t="n"/>
      <c r="O2572" s="256" t="n"/>
      <c r="P2572" s="256" t="n"/>
      <c r="Q2572" s="256" t="n"/>
    </row>
    <row r="2573">
      <c r="A2573">
        <f>IF(DAY(D2573)=DAY($L$1+1),A2572+1,A2572)</f>
        <v/>
      </c>
      <c r="B2573" s="1">
        <f>IF(DAY(D2573)=DAY($L$1+1),1,B2572+1)</f>
        <v/>
      </c>
      <c r="C2573" s="1">
        <f>IF(DAY(D2573)=DAY($L$1+1),1,C2572+1)</f>
        <v/>
      </c>
      <c r="D2573" s="2">
        <f>D2572+1</f>
        <v/>
      </c>
      <c r="E2573" s="8">
        <f>IF(DAY(D2573)=DAY($L$1+1),TRUNC((N2572),8),E2572)</f>
        <v/>
      </c>
      <c r="F2573" s="49">
        <f>TRUNC(((1+VLOOKUP(A2573,IPCA!$A$2:$C$140,3,0)))^(C2573/(EDATE(D2573-C2573,1)-(D2573-C2573))),8)</f>
        <v/>
      </c>
      <c r="G2573" s="44">
        <f>TRUNC((E2573*F2573),8)</f>
        <v/>
      </c>
      <c r="H2573" s="44">
        <f>ROUND(((1+$H$4)^(30/360))^(C2573/(EDATE(D2573-B2573,1)-(D2573-B2573))),9)</f>
        <v/>
      </c>
      <c r="I2573" s="44">
        <f>TRUNC((G2573*H2573-G2573),8)</f>
        <v/>
      </c>
      <c r="J2573" s="49">
        <f>G2573+I2573</f>
        <v/>
      </c>
      <c r="K2573" s="256" t="n"/>
      <c r="L2573" s="256" t="n"/>
      <c r="M2573" s="256" t="n"/>
      <c r="N2573" s="256" t="n"/>
      <c r="O2573" s="256" t="n"/>
      <c r="P2573" s="256" t="n"/>
      <c r="Q2573" s="256" t="n"/>
    </row>
    <row r="2574">
      <c r="A2574">
        <f>IF(DAY(D2574)=DAY($L$1+1),A2573+1,A2573)</f>
        <v/>
      </c>
      <c r="B2574" s="46">
        <f>IF(DAY(D2574)=DAY($L$1+1),1,B2573+1)</f>
        <v/>
      </c>
      <c r="C2574" s="46">
        <f>IF(DAY(D2574)=DAY($L$1+1),1,C2573+1)</f>
        <v/>
      </c>
      <c r="D2574" s="2">
        <f>D2573+1</f>
        <v/>
      </c>
      <c r="E2574" s="8">
        <f>IF(DAY(D2574)=DAY($L$1+1),TRUNC((N2573),8),E2573)</f>
        <v/>
      </c>
      <c r="F2574" s="49">
        <f>TRUNC(((1+VLOOKUP(A2574,IPCA!$A$2:$C$140,3,0)))^(C2574/(EDATE(D2574-C2574,1)-(D2574-C2574))),8)</f>
        <v/>
      </c>
      <c r="G2574" s="49">
        <f>TRUNC((E2574*F2574),8)</f>
        <v/>
      </c>
      <c r="H2574" s="49">
        <f>ROUND(((1+$H$4)^(30/360))^(C2574/(EDATE(D2574-B2574,1)-(D2574-B2574))),9)</f>
        <v/>
      </c>
      <c r="I2574" s="49">
        <f>TRUNC((G2574*H2574-G2574),8)</f>
        <v/>
      </c>
      <c r="J2574" s="49">
        <f>G2574+I2574</f>
        <v/>
      </c>
      <c r="K2574" s="256" t="inlineStr">
        <is>
          <t>Cri Integralizado</t>
        </is>
      </c>
      <c r="L2574" s="270">
        <f>L2544</f>
        <v/>
      </c>
      <c r="M2574" s="256" t="n"/>
      <c r="N2574" s="256" t="n"/>
      <c r="O2574" s="256" t="n"/>
      <c r="P2574" s="256" t="n"/>
      <c r="Q2574" s="256" t="n"/>
    </row>
    <row r="2575">
      <c r="A2575">
        <f>IF(DAY(D2575)=DAY($L$1+1),A2574+1,A2574)</f>
        <v/>
      </c>
      <c r="B2575" s="46">
        <f>IF(DAY(D2575)=DAY($L$1+1),1,B2574+1)</f>
        <v/>
      </c>
      <c r="C2575" s="46">
        <f>IF(DAY(D2575)=DAY($L$1+1),1,C2574+1)</f>
        <v/>
      </c>
      <c r="D2575" s="47">
        <f>D2574+1</f>
        <v/>
      </c>
      <c r="E2575" s="8">
        <f>IF(DAY(D2575)=DAY($L$1+1),TRUNC((N2574),8),E2574)</f>
        <v/>
      </c>
      <c r="F2575" s="49">
        <f>TRUNC(((1+VLOOKUP(A2575,IPCA!$A$2:$C$140,3,0)))^(C2575/(EDATE(D2575-C2575,1)-(D2575-C2575))),8)</f>
        <v/>
      </c>
      <c r="G2575" s="49">
        <f>TRUNC((E2575*F2575),8)</f>
        <v/>
      </c>
      <c r="H2575" s="49">
        <f>ROUND(((1+$H$4)^(30/360))^(C2575/(EDATE(D2575-B2575,1)-(D2575-B2575))),9)</f>
        <v/>
      </c>
      <c r="I2575" s="49">
        <f>TRUNC((G2575*H2575-G2575),8)</f>
        <v/>
      </c>
      <c r="J2575" s="49">
        <f>G2575+I2575</f>
        <v/>
      </c>
      <c r="K2575" s="137" t="inlineStr">
        <is>
          <t>JUROS</t>
        </is>
      </c>
      <c r="L2575" s="118" t="inlineStr">
        <is>
          <t>AMORTIZAÇÃO</t>
        </is>
      </c>
      <c r="M2575" s="118" t="inlineStr">
        <is>
          <t>AMEX</t>
        </is>
      </c>
      <c r="N2575" s="118" t="inlineStr">
        <is>
          <t>RESIDUAL</t>
        </is>
      </c>
      <c r="O2575" s="256" t="n"/>
      <c r="P2575" s="256" t="n"/>
      <c r="Q2575" s="256" t="n"/>
    </row>
    <row r="2576">
      <c r="A2576">
        <f>IF(DAY(D2576)=DAY($L$1+1),A2575+1,A2575)</f>
        <v/>
      </c>
      <c r="B2576" s="111">
        <f>IF(DAY(D2576)=DAY($L$1+1),1,B2575+1)</f>
        <v/>
      </c>
      <c r="C2576" s="111">
        <f>IF(DAY(D2576)=DAY($L$1+1),1,C2575+1)</f>
        <v/>
      </c>
      <c r="D2576" s="112">
        <f>D2575+1</f>
        <v/>
      </c>
      <c r="E2576" s="113">
        <f>IF(DAY(D2576)=DAY($L$1+1),TRUNC((N2575),8),E2575)</f>
        <v/>
      </c>
      <c r="F2576" s="114">
        <f>TRUNC(((1+VLOOKUP(A2576,IPCA!$A$2:$C$140,3,0)))^(C2576/(EDATE(D2576-C2576,1)-(D2576-C2576))),8)</f>
        <v/>
      </c>
      <c r="G2576" s="114">
        <f>TRUNC((E2576*F2576),8)</f>
        <v/>
      </c>
      <c r="H2576" s="114">
        <f>ROUND(((1+$H$4)^(30/360))^(C2576/(EDATE(D2576-B2576,1)-(D2576-B2576))),9)</f>
        <v/>
      </c>
      <c r="I2576" s="114">
        <f>TRUNC((G2576*H2576-G2576),8)</f>
        <v/>
      </c>
      <c r="J2576" s="114">
        <f>G2576+I2576</f>
        <v/>
      </c>
      <c r="K2576" s="119">
        <f>I2576</f>
        <v/>
      </c>
      <c r="L2576" s="120">
        <f>TRUNC(G2576*VLOOKUP(D2576,'Amort TS'!$G$3:$H$140,2,0),8)</f>
        <v/>
      </c>
      <c r="M2576" s="120" t="n">
        <v>0</v>
      </c>
      <c r="N2576" s="120">
        <f>J2576-K2576-L2576-M2576</f>
        <v/>
      </c>
      <c r="O2576" s="256" t="n"/>
      <c r="P2576" s="256" t="n"/>
      <c r="Q2576" s="256" t="n"/>
    </row>
    <row r="2577">
      <c r="A2577">
        <f>IF(DAY(D2577)=DAY($L$1+1),A2576+1,A2576)</f>
        <v/>
      </c>
      <c r="B2577" s="46">
        <f>IF(DAY(D2577)=DAY($L$1+1),1,B2576+1)</f>
        <v/>
      </c>
      <c r="C2577" s="46">
        <f>IF(DAY(D2577)=DAY($L$1+1),1,C2576+1)</f>
        <v/>
      </c>
      <c r="D2577" s="2">
        <f>D2576+1</f>
        <v/>
      </c>
      <c r="E2577" s="8">
        <f>IF(DAY(D2577)=DAY($L$1+1),TRUNC((N2576),8),E2576)</f>
        <v/>
      </c>
      <c r="F2577" s="49">
        <f>TRUNC(((1+VLOOKUP(A2577,IPCA!$A$2:$C$140,3,0)))^(C2577/(EDATE(D2577-C2577,1)-(D2577-C2577))),8)</f>
        <v/>
      </c>
      <c r="G2577" s="49">
        <f>TRUNC((E2577*F2577),8)</f>
        <v/>
      </c>
      <c r="H2577" s="49">
        <f>ROUND(((1+$H$4)^(30/360))^(C2577/(EDATE(D2577-B2577,1)-(D2577-B2577))),9)</f>
        <v/>
      </c>
      <c r="I2577" s="49">
        <f>TRUNC((G2577*H2577-G2577),8)</f>
        <v/>
      </c>
      <c r="J2577" s="49">
        <f>G2577+I2577</f>
        <v/>
      </c>
      <c r="K2577" s="121">
        <f>K2576*L2574</f>
        <v/>
      </c>
      <c r="L2577" s="121">
        <f>L2576*L2574</f>
        <v/>
      </c>
      <c r="M2577" s="121">
        <f>M2576*L2574</f>
        <v/>
      </c>
      <c r="N2577" s="121">
        <f>N2576*L2574</f>
        <v/>
      </c>
      <c r="O2577" s="256" t="n"/>
      <c r="P2577" s="256" t="n"/>
      <c r="Q2577" s="256" t="n"/>
    </row>
    <row r="2578">
      <c r="A2578">
        <f>IF(DAY(D2578)=DAY($L$1+1),A2577+1,A2577)</f>
        <v/>
      </c>
      <c r="B2578" s="46">
        <f>IF(DAY(D2578)=DAY($L$1+1),1,B2577+1)</f>
        <v/>
      </c>
      <c r="C2578" s="46">
        <f>IF(DAY(D2578)=DAY($L$1+1),1,C2577+1)</f>
        <v/>
      </c>
      <c r="D2578" s="47">
        <f>D2577+1</f>
        <v/>
      </c>
      <c r="E2578" s="8">
        <f>IF(DAY(D2578)=DAY($L$1+1),TRUNC((N2577),8),E2577)</f>
        <v/>
      </c>
      <c r="F2578" s="49">
        <f>TRUNC(((1+VLOOKUP(A2578,IPCA!$A$2:$C$140,3,0)))^(C2578/(EDATE(D2578-C2578,1)-(D2578-C2578))),8)</f>
        <v/>
      </c>
      <c r="G2578" s="49">
        <f>TRUNC((E2578*F2578),8)</f>
        <v/>
      </c>
      <c r="H2578" s="49">
        <f>ROUND(((1+$H$4)^(30/360))^(C2578/(EDATE(D2578-B2578,1)-(D2578-B2578))),9)</f>
        <v/>
      </c>
      <c r="I2578" s="49">
        <f>TRUNC((G2578*H2578-G2578),8)</f>
        <v/>
      </c>
      <c r="J2578" s="49">
        <f>G2578+I2578</f>
        <v/>
      </c>
      <c r="K2578" s="256" t="n"/>
      <c r="L2578" s="256" t="n"/>
      <c r="M2578" s="256" t="n"/>
      <c r="N2578" s="256" t="n"/>
      <c r="O2578" s="256" t="n"/>
      <c r="P2578" s="256" t="n"/>
      <c r="Q2578" s="256" t="n"/>
    </row>
    <row r="2579">
      <c r="A2579">
        <f>IF(DAY(D2579)=DAY($L$1+1),A2578+1,A2578)</f>
        <v/>
      </c>
      <c r="B2579" s="1">
        <f>IF(DAY(D2579)=DAY($L$1+1),1,B2578+1)</f>
        <v/>
      </c>
      <c r="C2579" s="1">
        <f>IF(DAY(D2579)=DAY($L$1+1),1,C2578+1)</f>
        <v/>
      </c>
      <c r="D2579" s="2">
        <f>D2578+1</f>
        <v/>
      </c>
      <c r="E2579" s="8">
        <f>IF(DAY(D2579)=DAY($L$1+1),TRUNC((#REF!),8),E2578)</f>
        <v/>
      </c>
      <c r="F2579" s="49">
        <f>TRUNC(((1+VLOOKUP(A2579,IPCA!$A$2:$C$140,3,0)))^(C2579/(EDATE(D2579-C2579,1)-(D2579-C2579))),8)</f>
        <v/>
      </c>
      <c r="G2579" s="44">
        <f>TRUNC((E2579*F2579),8)</f>
        <v/>
      </c>
      <c r="H2579" s="44">
        <f>ROUND(((1+$H$4)^(30/360))^(C2579/(EDATE(D2579-B2579,1)-(D2579-B2579))),9)</f>
        <v/>
      </c>
      <c r="I2579" s="44">
        <f>TRUNC((G2579*H2579-G2579),8)</f>
        <v/>
      </c>
      <c r="J2579" s="49">
        <f>G2579+I2579</f>
        <v/>
      </c>
      <c r="K2579" s="256" t="n"/>
      <c r="L2579" s="256" t="n"/>
      <c r="M2579" s="256" t="n"/>
      <c r="N2579" s="256" t="n"/>
      <c r="O2579" s="256" t="n"/>
      <c r="P2579" s="256" t="n"/>
      <c r="Q2579" s="256" t="n"/>
    </row>
    <row r="2580">
      <c r="A2580">
        <f>IF(DAY(D2580)=DAY($L$1+1),A2579+1,A2579)</f>
        <v/>
      </c>
      <c r="B2580" s="46">
        <f>IF(DAY(D2580)=DAY($L$1+1),1,B2579+1)</f>
        <v/>
      </c>
      <c r="C2580" s="46">
        <f>IF(DAY(D2580)=DAY($L$1+1),1,C2579+1)</f>
        <v/>
      </c>
      <c r="D2580" s="2">
        <f>D2579+1</f>
        <v/>
      </c>
      <c r="E2580" s="8">
        <f>IF(DAY(D2580)=DAY($L$1+1),TRUNC((#REF!),8),E2579)</f>
        <v/>
      </c>
      <c r="F2580" s="49">
        <f>TRUNC(((1+VLOOKUP(A2580,IPCA!$A$2:$C$140,3,0)))^(C2580/(EDATE(D2580-C2580,1)-(D2580-C2580))),8)</f>
        <v/>
      </c>
      <c r="G2580" s="44">
        <f>TRUNC((E2580*F2580),8)</f>
        <v/>
      </c>
      <c r="H2580" s="44">
        <f>ROUND(((1+$H$4)^(30/360))^(C2580/(EDATE(D2580-B2580,1)-(D2580-B2580))),9)</f>
        <v/>
      </c>
      <c r="I2580" s="44">
        <f>TRUNC((G2580*H2580-G2580),8)</f>
        <v/>
      </c>
      <c r="J2580" s="49">
        <f>G2580+I2580</f>
        <v/>
      </c>
      <c r="K2580" s="256" t="n"/>
      <c r="L2580" s="256" t="n"/>
      <c r="M2580" s="256" t="n"/>
      <c r="N2580" s="256" t="n"/>
      <c r="O2580" s="256" t="n"/>
      <c r="P2580" s="256" t="n"/>
      <c r="Q2580" s="256" t="n"/>
    </row>
    <row r="2581">
      <c r="A2581">
        <f>IF(DAY(D2581)=DAY($L$1+1),A2580+1,A2580)</f>
        <v/>
      </c>
      <c r="B2581" s="1">
        <f>IF(DAY(D2581)=DAY($L$1+1),1,B2580+1)</f>
        <v/>
      </c>
      <c r="C2581" s="1">
        <f>IF(DAY(D2581)=DAY($L$1+1),1,C2580+1)</f>
        <v/>
      </c>
      <c r="D2581" s="2">
        <f>D2580+1</f>
        <v/>
      </c>
      <c r="E2581" s="8">
        <f>IF(DAY(D2581)=DAY($L$1+1),TRUNC((#REF!),8),E2580)</f>
        <v/>
      </c>
      <c r="F2581" s="49">
        <f>TRUNC(((1+VLOOKUP(A2581,IPCA!$A$2:$C$140,3,0)))^(C2581/(EDATE(D2581-C2581,1)-(D2581-C2581))),8)</f>
        <v/>
      </c>
      <c r="G2581" s="44">
        <f>TRUNC((E2581*F2581),8)</f>
        <v/>
      </c>
      <c r="H2581" s="44">
        <f>ROUND(((1+$H$4)^(30/360))^(C2581/(EDATE(D2581-B2581,1)-(D2581-B2581))),9)</f>
        <v/>
      </c>
      <c r="I2581" s="44">
        <f>TRUNC((G2581*H2581-G2581),8)</f>
        <v/>
      </c>
      <c r="J2581" s="49">
        <f>G2581+I2581</f>
        <v/>
      </c>
      <c r="K2581" s="256" t="n"/>
      <c r="L2581" s="256" t="n"/>
      <c r="M2581" s="256" t="n"/>
      <c r="N2581" s="256" t="n"/>
      <c r="O2581" s="256" t="n"/>
      <c r="P2581" s="256" t="n"/>
      <c r="Q2581" s="256" t="n"/>
    </row>
    <row r="2582">
      <c r="A2582">
        <f>IF(DAY(D2582)=DAY($L$1+1),A2581+1,A2581)</f>
        <v/>
      </c>
      <c r="B2582" s="46">
        <f>IF(DAY(D2582)=DAY($L$1+1),1,B2581+1)</f>
        <v/>
      </c>
      <c r="C2582" s="46">
        <f>IF(DAY(D2582)=DAY($L$1+1),1,C2581+1)</f>
        <v/>
      </c>
      <c r="D2582" s="2">
        <f>D2581+1</f>
        <v/>
      </c>
      <c r="E2582" s="8">
        <f>IF(DAY(D2582)=DAY($L$1+1),TRUNC((#REF!),8),E2581)</f>
        <v/>
      </c>
      <c r="F2582" s="49">
        <f>TRUNC(((1+VLOOKUP(A2582,IPCA!$A$2:$C$140,3,0)))^(C2582/(EDATE(D2582-C2582,1)-(D2582-C2582))),8)</f>
        <v/>
      </c>
      <c r="G2582" s="44">
        <f>TRUNC((E2582*F2582),8)</f>
        <v/>
      </c>
      <c r="H2582" s="44">
        <f>ROUND(((1+$H$4)^(30/360))^(C2582/(EDATE(D2582-B2582,1)-(D2582-B2582))),9)</f>
        <v/>
      </c>
      <c r="I2582" s="44">
        <f>TRUNC((G2582*H2582-G2582),8)</f>
        <v/>
      </c>
      <c r="J2582" s="49">
        <f>G2582+I2582</f>
        <v/>
      </c>
      <c r="K2582" s="256" t="n"/>
      <c r="L2582" s="256" t="n"/>
      <c r="M2582" s="256" t="n"/>
      <c r="N2582" s="256" t="n"/>
      <c r="O2582" s="256" t="n"/>
      <c r="P2582" s="256" t="n"/>
      <c r="Q2582" s="256" t="n"/>
    </row>
    <row r="2583">
      <c r="A2583">
        <f>IF(DAY(D2583)=DAY($L$1+1),A2582+1,A2582)</f>
        <v/>
      </c>
      <c r="B2583" s="1">
        <f>IF(DAY(D2583)=DAY($L$1+1),1,B2582+1)</f>
        <v/>
      </c>
      <c r="C2583" s="1">
        <f>IF(DAY(D2583)=DAY($L$1+1),1,C2582+1)</f>
        <v/>
      </c>
      <c r="D2583" s="2">
        <f>D2582+1</f>
        <v/>
      </c>
      <c r="E2583" s="8">
        <f>IF(DAY(D2583)=DAY($L$1+1),TRUNC((#REF!),8),E2582)</f>
        <v/>
      </c>
      <c r="F2583" s="49">
        <f>TRUNC(((1+VLOOKUP(A2583,IPCA!$A$2:$C$140,3,0)))^(C2583/(EDATE(D2583-C2583,1)-(D2583-C2583))),8)</f>
        <v/>
      </c>
      <c r="G2583" s="44">
        <f>TRUNC((E2583*F2583),8)</f>
        <v/>
      </c>
      <c r="H2583" s="44">
        <f>ROUND(((1+$H$4)^(30/360))^(C2583/(EDATE(D2583-B2583,1)-(D2583-B2583))),9)</f>
        <v/>
      </c>
      <c r="I2583" s="44">
        <f>TRUNC((G2583*H2583-G2583),8)</f>
        <v/>
      </c>
      <c r="J2583" s="49">
        <f>G2583+I2583</f>
        <v/>
      </c>
      <c r="K2583" s="256" t="n"/>
      <c r="L2583" s="256" t="n"/>
      <c r="M2583" s="256" t="n"/>
      <c r="N2583" s="256" t="n"/>
      <c r="O2583" s="256" t="n"/>
      <c r="P2583" s="256" t="n"/>
      <c r="Q2583" s="256" t="n"/>
    </row>
    <row r="2584">
      <c r="A2584">
        <f>IF(DAY(D2584)=DAY($L$1+1),A2583+1,A2583)</f>
        <v/>
      </c>
      <c r="B2584" s="46">
        <f>IF(DAY(D2584)=DAY($L$1+1),1,B2583+1)</f>
        <v/>
      </c>
      <c r="C2584" s="46">
        <f>IF(DAY(D2584)=DAY($L$1+1),1,C2583+1)</f>
        <v/>
      </c>
      <c r="D2584" s="2">
        <f>D2583+1</f>
        <v/>
      </c>
      <c r="E2584" s="8">
        <f>IF(DAY(D2584)=DAY($L$1+1),TRUNC((#REF!),8),E2583)</f>
        <v/>
      </c>
      <c r="F2584" s="49">
        <f>TRUNC(((1+VLOOKUP(A2584,IPCA!$A$2:$C$140,3,0)))^(C2584/(EDATE(D2584-C2584,1)-(D2584-C2584))),8)</f>
        <v/>
      </c>
      <c r="G2584" s="44">
        <f>TRUNC((E2584*F2584),8)</f>
        <v/>
      </c>
      <c r="H2584" s="44">
        <f>ROUND(((1+$H$4)^(30/360))^(C2584/(EDATE(D2584-B2584,1)-(D2584-B2584))),9)</f>
        <v/>
      </c>
      <c r="I2584" s="44">
        <f>TRUNC((G2584*H2584-G2584),8)</f>
        <v/>
      </c>
      <c r="J2584" s="49">
        <f>G2584+I2584</f>
        <v/>
      </c>
      <c r="K2584" s="256" t="n"/>
      <c r="L2584" s="256" t="n"/>
      <c r="M2584" s="256" t="n"/>
      <c r="N2584" s="256" t="n"/>
      <c r="O2584" s="256" t="n"/>
      <c r="P2584" s="256" t="n"/>
      <c r="Q2584" s="256" t="n"/>
    </row>
    <row r="2585">
      <c r="A2585">
        <f>IF(DAY(D2585)=DAY($L$1+1),A2584+1,A2584)</f>
        <v/>
      </c>
      <c r="B2585" s="1">
        <f>IF(DAY(D2585)=DAY($L$1+1),1,B2584+1)</f>
        <v/>
      </c>
      <c r="C2585" s="1">
        <f>IF(DAY(D2585)=DAY($L$1+1),1,C2584+1)</f>
        <v/>
      </c>
      <c r="D2585" s="2">
        <f>D2584+1</f>
        <v/>
      </c>
      <c r="E2585" s="8">
        <f>IF(DAY(D2585)=DAY($L$1+1),TRUNC((#REF!),8),E2584)</f>
        <v/>
      </c>
      <c r="F2585" s="49">
        <f>TRUNC(((1+VLOOKUP(A2585,IPCA!$A$2:$C$140,3,0)))^(C2585/(EDATE(D2585-C2585,1)-(D2585-C2585))),8)</f>
        <v/>
      </c>
      <c r="G2585" s="44">
        <f>TRUNC((E2585*F2585),8)</f>
        <v/>
      </c>
      <c r="H2585" s="44">
        <f>ROUND(((1+$H$4)^(30/360))^(C2585/(EDATE(D2585-B2585,1)-(D2585-B2585))),9)</f>
        <v/>
      </c>
      <c r="I2585" s="44">
        <f>TRUNC((G2585*H2585-G2585),8)</f>
        <v/>
      </c>
      <c r="J2585" s="49">
        <f>G2585+I2585</f>
        <v/>
      </c>
      <c r="K2585" s="256" t="n"/>
      <c r="L2585" s="256" t="n"/>
      <c r="M2585" s="256" t="n"/>
      <c r="N2585" s="256" t="n"/>
      <c r="O2585" s="256" t="n"/>
      <c r="P2585" s="256" t="n"/>
      <c r="Q2585" s="256" t="n"/>
    </row>
    <row r="2586">
      <c r="A2586">
        <f>IF(DAY(D2586)=DAY($L$1+1),A2585+1,A2585)</f>
        <v/>
      </c>
      <c r="B2586" s="46">
        <f>IF(DAY(D2586)=DAY($L$1+1),1,B2585+1)</f>
        <v/>
      </c>
      <c r="C2586" s="46">
        <f>IF(DAY(D2586)=DAY($L$1+1),1,C2585+1)</f>
        <v/>
      </c>
      <c r="D2586" s="2">
        <f>D2585+1</f>
        <v/>
      </c>
      <c r="E2586" s="8">
        <f>IF(DAY(D2586)=DAY($L$1+1),TRUNC((#REF!),8),E2585)</f>
        <v/>
      </c>
      <c r="F2586" s="49">
        <f>TRUNC(((1+VLOOKUP(A2586,IPCA!$A$2:$C$140,3,0)))^(C2586/(EDATE(D2586-C2586,1)-(D2586-C2586))),8)</f>
        <v/>
      </c>
      <c r="G2586" s="44">
        <f>TRUNC((E2586*F2586),8)</f>
        <v/>
      </c>
      <c r="H2586" s="44">
        <f>ROUND(((1+$H$4)^(30/360))^(C2586/(EDATE(D2586-B2586,1)-(D2586-B2586))),9)</f>
        <v/>
      </c>
      <c r="I2586" s="44">
        <f>TRUNC((G2586*H2586-G2586),8)</f>
        <v/>
      </c>
      <c r="J2586" s="49">
        <f>G2586+I2586</f>
        <v/>
      </c>
      <c r="K2586" s="256" t="n"/>
      <c r="L2586" s="256" t="n"/>
      <c r="M2586" s="256" t="n"/>
      <c r="N2586" s="256" t="n"/>
      <c r="O2586" s="256" t="n"/>
      <c r="P2586" s="256" t="n"/>
      <c r="Q2586" s="256" t="n"/>
    </row>
    <row r="2587">
      <c r="A2587">
        <f>IF(DAY(D2587)=DAY($L$1+1),A2586+1,A2586)</f>
        <v/>
      </c>
      <c r="B2587" s="1">
        <f>IF(DAY(D2587)=DAY($L$1+1),1,B2586+1)</f>
        <v/>
      </c>
      <c r="C2587" s="1">
        <f>IF(DAY(D2587)=DAY($L$1+1),1,C2586+1)</f>
        <v/>
      </c>
      <c r="D2587" s="2">
        <f>D2586+1</f>
        <v/>
      </c>
      <c r="E2587" s="8">
        <f>IF(DAY(D2587)=DAY($L$1+1),TRUNC((#REF!),8),E2586)</f>
        <v/>
      </c>
      <c r="F2587" s="49">
        <f>TRUNC(((1+VLOOKUP(A2587,IPCA!$A$2:$C$140,3,0)))^(C2587/(EDATE(D2587-C2587,1)-(D2587-C2587))),8)</f>
        <v/>
      </c>
      <c r="G2587" s="44">
        <f>TRUNC((E2587*F2587),8)</f>
        <v/>
      </c>
      <c r="H2587" s="44">
        <f>ROUND(((1+$H$4)^(30/360))^(C2587/(EDATE(D2587-B2587,1)-(D2587-B2587))),9)</f>
        <v/>
      </c>
      <c r="I2587" s="44">
        <f>TRUNC((G2587*H2587-G2587),8)</f>
        <v/>
      </c>
      <c r="J2587" s="49">
        <f>G2587+I2587</f>
        <v/>
      </c>
      <c r="K2587" s="256" t="n"/>
      <c r="L2587" s="256" t="n"/>
      <c r="M2587" s="256" t="n"/>
      <c r="N2587" s="256" t="n"/>
      <c r="O2587" s="256" t="n"/>
      <c r="P2587" s="256" t="n"/>
      <c r="Q2587" s="256" t="n"/>
    </row>
    <row r="2588">
      <c r="A2588">
        <f>IF(DAY(D2588)=DAY($L$1+1),A2587+1,A2587)</f>
        <v/>
      </c>
      <c r="B2588" s="46">
        <f>IF(DAY(D2588)=DAY($L$1+1),1,B2587+1)</f>
        <v/>
      </c>
      <c r="C2588" s="46">
        <f>IF(DAY(D2588)=DAY($L$1+1),1,C2587+1)</f>
        <v/>
      </c>
      <c r="D2588" s="2">
        <f>D2587+1</f>
        <v/>
      </c>
      <c r="E2588" s="8">
        <f>IF(DAY(D2588)=DAY($L$1+1),TRUNC((#REF!),8),E2587)</f>
        <v/>
      </c>
      <c r="F2588" s="49">
        <f>TRUNC(((1+VLOOKUP(A2588,IPCA!$A$2:$C$140,3,0)))^(C2588/(EDATE(D2588-C2588,1)-(D2588-C2588))),8)</f>
        <v/>
      </c>
      <c r="G2588" s="44">
        <f>TRUNC((E2588*F2588),8)</f>
        <v/>
      </c>
      <c r="H2588" s="44">
        <f>ROUND(((1+$H$4)^(30/360))^(C2588/(EDATE(D2588-B2588,1)-(D2588-B2588))),9)</f>
        <v/>
      </c>
      <c r="I2588" s="44">
        <f>TRUNC((G2588*H2588-G2588),8)</f>
        <v/>
      </c>
      <c r="J2588" s="49">
        <f>G2588+I2588</f>
        <v/>
      </c>
      <c r="K2588" s="256" t="n"/>
      <c r="L2588" s="256" t="n"/>
      <c r="M2588" s="256" t="n"/>
      <c r="N2588" s="256" t="n"/>
      <c r="O2588" s="256" t="n"/>
      <c r="P2588" s="256" t="n"/>
      <c r="Q2588" s="256" t="n"/>
    </row>
    <row r="2589">
      <c r="A2589">
        <f>IF(DAY(D2589)=DAY($L$1+1),A2588+1,A2588)</f>
        <v/>
      </c>
      <c r="B2589" s="1">
        <f>IF(DAY(D2589)=DAY($L$1+1),1,B2588+1)</f>
        <v/>
      </c>
      <c r="C2589" s="1">
        <f>IF(DAY(D2589)=DAY($L$1+1),1,C2588+1)</f>
        <v/>
      </c>
      <c r="D2589" s="2">
        <f>D2588+1</f>
        <v/>
      </c>
      <c r="E2589" s="8">
        <f>IF(DAY(D2589)=DAY($L$1+1),TRUNC((#REF!),8),E2588)</f>
        <v/>
      </c>
      <c r="F2589" s="49">
        <f>TRUNC(((1+VLOOKUP(A2589,IPCA!$A$2:$C$140,3,0)))^(C2589/(EDATE(D2589-C2589,1)-(D2589-C2589))),8)</f>
        <v/>
      </c>
      <c r="G2589" s="44">
        <f>TRUNC((E2589*F2589),8)</f>
        <v/>
      </c>
      <c r="H2589" s="44">
        <f>ROUND(((1+$H$4)^(30/360))^(C2589/(EDATE(D2589-B2589,1)-(D2589-B2589))),9)</f>
        <v/>
      </c>
      <c r="I2589" s="44">
        <f>TRUNC((G2589*H2589-G2589),8)</f>
        <v/>
      </c>
      <c r="J2589" s="49">
        <f>G2589+I2589</f>
        <v/>
      </c>
      <c r="K2589" s="256" t="n"/>
      <c r="L2589" s="256" t="n"/>
      <c r="M2589" s="256" t="n"/>
      <c r="N2589" s="256" t="n"/>
      <c r="O2589" s="256" t="n"/>
      <c r="P2589" s="256" t="n"/>
      <c r="Q2589" s="256" t="n"/>
    </row>
    <row r="2590">
      <c r="A2590">
        <f>IF(DAY(D2590)=DAY($L$1+1),A2589+1,A2589)</f>
        <v/>
      </c>
      <c r="B2590" s="46">
        <f>IF(DAY(D2590)=DAY($L$1+1),1,B2589+1)</f>
        <v/>
      </c>
      <c r="C2590" s="46">
        <f>IF(DAY(D2590)=DAY($L$1+1),1,C2589+1)</f>
        <v/>
      </c>
      <c r="D2590" s="2">
        <f>D2589+1</f>
        <v/>
      </c>
      <c r="E2590" s="8">
        <f>IF(DAY(D2590)=DAY($L$1+1),TRUNC((#REF!),8),E2589)</f>
        <v/>
      </c>
      <c r="F2590" s="49">
        <f>TRUNC(((1+VLOOKUP(A2590,IPCA!$A$2:$C$140,3,0)))^(C2590/(EDATE(D2590-C2590,1)-(D2590-C2590))),8)</f>
        <v/>
      </c>
      <c r="G2590" s="44">
        <f>TRUNC((E2590*F2590),8)</f>
        <v/>
      </c>
      <c r="H2590" s="44">
        <f>ROUND(((1+$H$4)^(30/360))^(C2590/(EDATE(D2590-B2590,1)-(D2590-B2590))),9)</f>
        <v/>
      </c>
      <c r="I2590" s="44">
        <f>TRUNC((G2590*H2590-G2590),8)</f>
        <v/>
      </c>
      <c r="J2590" s="49">
        <f>G2590+I2590</f>
        <v/>
      </c>
      <c r="K2590" s="256" t="n"/>
      <c r="L2590" s="256" t="n"/>
      <c r="M2590" s="256" t="n"/>
      <c r="N2590" s="256" t="n"/>
      <c r="O2590" s="256" t="n"/>
      <c r="P2590" s="256" t="n"/>
      <c r="Q2590" s="256" t="n"/>
    </row>
    <row r="2591">
      <c r="A2591">
        <f>IF(DAY(D2591)=DAY($L$1+1),A2590+1,A2590)</f>
        <v/>
      </c>
      <c r="B2591" s="1">
        <f>IF(DAY(D2591)=DAY($L$1+1),1,B2590+1)</f>
        <v/>
      </c>
      <c r="C2591" s="1">
        <f>IF(DAY(D2591)=DAY($L$1+1),1,C2590+1)</f>
        <v/>
      </c>
      <c r="D2591" s="2">
        <f>D2590+1</f>
        <v/>
      </c>
      <c r="E2591" s="8">
        <f>IF(DAY(D2591)=DAY($L$1+1),TRUNC((#REF!),8),E2590)</f>
        <v/>
      </c>
      <c r="F2591" s="49">
        <f>TRUNC(((1+VLOOKUP(A2591,IPCA!$A$2:$C$140,3,0)))^(C2591/(EDATE(D2591-C2591,1)-(D2591-C2591))),8)</f>
        <v/>
      </c>
      <c r="G2591" s="44">
        <f>TRUNC((E2591*F2591),8)</f>
        <v/>
      </c>
      <c r="H2591" s="44">
        <f>ROUND(((1+$H$4)^(30/360))^(C2591/(EDATE(D2591-B2591,1)-(D2591-B2591))),9)</f>
        <v/>
      </c>
      <c r="I2591" s="44">
        <f>TRUNC((G2591*H2591-G2591),8)</f>
        <v/>
      </c>
      <c r="J2591" s="49">
        <f>G2591+I2591</f>
        <v/>
      </c>
      <c r="K2591" s="256" t="n"/>
      <c r="L2591" s="256" t="n"/>
      <c r="M2591" s="256" t="n"/>
      <c r="N2591" s="256" t="n"/>
      <c r="O2591" s="256" t="n"/>
      <c r="P2591" s="256" t="n"/>
      <c r="Q2591" s="256" t="n"/>
    </row>
    <row r="2592">
      <c r="A2592">
        <f>IF(DAY(D2592)=DAY($L$1+1),A2591+1,A2591)</f>
        <v/>
      </c>
      <c r="B2592" s="46">
        <f>IF(DAY(D2592)=DAY($L$1+1),1,B2591+1)</f>
        <v/>
      </c>
      <c r="C2592" s="46">
        <f>IF(DAY(D2592)=DAY($L$1+1),1,C2591+1)</f>
        <v/>
      </c>
      <c r="D2592" s="2">
        <f>D2591+1</f>
        <v/>
      </c>
      <c r="E2592" s="8">
        <f>IF(DAY(D2592)=DAY($L$1+1),TRUNC((#REF!),8),E2591)</f>
        <v/>
      </c>
      <c r="F2592" s="49">
        <f>TRUNC(((1+VLOOKUP(A2592,IPCA!$A$2:$C$140,3,0)))^(C2592/(EDATE(D2592-C2592,1)-(D2592-C2592))),8)</f>
        <v/>
      </c>
      <c r="G2592" s="44">
        <f>TRUNC((E2592*F2592),8)</f>
        <v/>
      </c>
      <c r="H2592" s="44">
        <f>ROUND(((1+$H$4)^(30/360))^(C2592/(EDATE(D2592-B2592,1)-(D2592-B2592))),9)</f>
        <v/>
      </c>
      <c r="I2592" s="44">
        <f>TRUNC((G2592*H2592-G2592),8)</f>
        <v/>
      </c>
      <c r="J2592" s="49">
        <f>G2592+I2592</f>
        <v/>
      </c>
      <c r="K2592" s="256" t="n"/>
      <c r="L2592" s="256" t="n"/>
      <c r="M2592" s="256" t="n"/>
      <c r="N2592" s="256" t="n"/>
      <c r="O2592" s="256" t="n"/>
      <c r="P2592" s="256" t="n"/>
      <c r="Q2592" s="256" t="n"/>
    </row>
    <row r="2593">
      <c r="A2593">
        <f>IF(DAY(D2593)=DAY($L$1+1),A2592+1,A2592)</f>
        <v/>
      </c>
      <c r="B2593" s="1">
        <f>IF(DAY(D2593)=DAY($L$1+1),1,B2592+1)</f>
        <v/>
      </c>
      <c r="C2593" s="1">
        <f>IF(DAY(D2593)=DAY($L$1+1),1,C2592+1)</f>
        <v/>
      </c>
      <c r="D2593" s="2">
        <f>D2592+1</f>
        <v/>
      </c>
      <c r="E2593" s="8">
        <f>IF(DAY(D2593)=DAY($L$1+1),TRUNC((#REF!),8),E2592)</f>
        <v/>
      </c>
      <c r="F2593" s="49">
        <f>TRUNC(((1+VLOOKUP(A2593,IPCA!$A$2:$C$140,3,0)))^(C2593/(EDATE(D2593-C2593,1)-(D2593-C2593))),8)</f>
        <v/>
      </c>
      <c r="G2593" s="44">
        <f>TRUNC((E2593*F2593),8)</f>
        <v/>
      </c>
      <c r="H2593" s="44">
        <f>ROUND(((1+$H$4)^(30/360))^(C2593/(EDATE(D2593-B2593,1)-(D2593-B2593))),9)</f>
        <v/>
      </c>
      <c r="I2593" s="44">
        <f>TRUNC((G2593*H2593-G2593),8)</f>
        <v/>
      </c>
      <c r="J2593" s="49">
        <f>G2593+I2593</f>
        <v/>
      </c>
      <c r="K2593" s="256" t="n"/>
      <c r="L2593" s="256" t="n"/>
      <c r="M2593" s="256" t="n"/>
      <c r="N2593" s="256" t="n"/>
      <c r="O2593" s="256" t="n"/>
      <c r="P2593" s="256" t="n"/>
      <c r="Q2593" s="256" t="n"/>
    </row>
    <row r="2594">
      <c r="A2594">
        <f>IF(DAY(D2594)=DAY($L$1+1),A2593+1,A2593)</f>
        <v/>
      </c>
      <c r="B2594" s="46">
        <f>IF(DAY(D2594)=DAY($L$1+1),1,B2593+1)</f>
        <v/>
      </c>
      <c r="C2594" s="46">
        <f>IF(DAY(D2594)=DAY($L$1+1),1,C2593+1)</f>
        <v/>
      </c>
      <c r="D2594" s="2">
        <f>D2593+1</f>
        <v/>
      </c>
      <c r="E2594" s="8">
        <f>IF(DAY(D2594)=DAY($L$1+1),TRUNC((#REF!),8),E2593)</f>
        <v/>
      </c>
      <c r="F2594" s="49">
        <f>TRUNC(((1+VLOOKUP(A2594,IPCA!$A$2:$C$140,3,0)))^(C2594/(EDATE(D2594-C2594,1)-(D2594-C2594))),8)</f>
        <v/>
      </c>
      <c r="G2594" s="44">
        <f>TRUNC((E2594*F2594),8)</f>
        <v/>
      </c>
      <c r="H2594" s="44">
        <f>ROUND(((1+$H$4)^(30/360))^(C2594/(EDATE(D2594-B2594,1)-(D2594-B2594))),9)</f>
        <v/>
      </c>
      <c r="I2594" s="44">
        <f>TRUNC((G2594*H2594-G2594),8)</f>
        <v/>
      </c>
      <c r="J2594" s="49">
        <f>G2594+I2594</f>
        <v/>
      </c>
      <c r="K2594" s="256" t="n"/>
      <c r="L2594" s="256" t="n"/>
      <c r="M2594" s="256" t="n"/>
      <c r="N2594" s="256" t="n"/>
      <c r="O2594" s="256" t="n"/>
      <c r="P2594" s="256" t="n"/>
      <c r="Q2594" s="256" t="n"/>
    </row>
    <row r="2595">
      <c r="A2595">
        <f>IF(DAY(D2595)=DAY($L$1+1),A2594+1,A2594)</f>
        <v/>
      </c>
      <c r="B2595" s="1">
        <f>IF(DAY(D2595)=DAY($L$1+1),1,B2594+1)</f>
        <v/>
      </c>
      <c r="C2595" s="1">
        <f>IF(DAY(D2595)=DAY($L$1+1),1,C2594+1)</f>
        <v/>
      </c>
      <c r="D2595" s="2">
        <f>D2594+1</f>
        <v/>
      </c>
      <c r="E2595" s="8">
        <f>IF(DAY(D2595)=DAY($L$1+1),TRUNC((#REF!),8),E2594)</f>
        <v/>
      </c>
      <c r="F2595" s="49">
        <f>TRUNC(((1+VLOOKUP(A2595,IPCA!$A$2:$C$140,3,0)))^(C2595/(EDATE(D2595-C2595,1)-(D2595-C2595))),8)</f>
        <v/>
      </c>
      <c r="G2595" s="44">
        <f>TRUNC((E2595*F2595),8)</f>
        <v/>
      </c>
      <c r="H2595" s="44">
        <f>ROUND(((1+$H$4)^(30/360))^(C2595/(EDATE(D2595-B2595,1)-(D2595-B2595))),9)</f>
        <v/>
      </c>
      <c r="I2595" s="44">
        <f>TRUNC((G2595*H2595-G2595),8)</f>
        <v/>
      </c>
      <c r="J2595" s="49">
        <f>G2595+I2595</f>
        <v/>
      </c>
      <c r="K2595" s="256" t="n"/>
      <c r="L2595" s="256" t="n"/>
      <c r="M2595" s="256" t="n"/>
      <c r="N2595" s="256" t="n"/>
      <c r="O2595" s="256" t="n"/>
      <c r="P2595" s="256" t="n"/>
      <c r="Q2595" s="256" t="n"/>
    </row>
    <row r="2596">
      <c r="A2596">
        <f>IF(DAY(D2596)=DAY($L$1+1),A2595+1,A2595)</f>
        <v/>
      </c>
      <c r="B2596" s="46">
        <f>IF(DAY(D2596)=DAY($L$1+1),1,B2595+1)</f>
        <v/>
      </c>
      <c r="C2596" s="46">
        <f>IF(DAY(D2596)=DAY($L$1+1),1,C2595+1)</f>
        <v/>
      </c>
      <c r="D2596" s="2">
        <f>D2595+1</f>
        <v/>
      </c>
      <c r="E2596" s="8">
        <f>IF(DAY(D2596)=DAY($L$1+1),TRUNC((#REF!),8),E2595)</f>
        <v/>
      </c>
      <c r="F2596" s="49">
        <f>TRUNC(((1+VLOOKUP(A2596,IPCA!$A$2:$C$140,3,0)))^(C2596/(EDATE(D2596-C2596,1)-(D2596-C2596))),8)</f>
        <v/>
      </c>
      <c r="G2596" s="44">
        <f>TRUNC((E2596*F2596),8)</f>
        <v/>
      </c>
      <c r="H2596" s="44">
        <f>ROUND(((1+$H$4)^(30/360))^(C2596/(EDATE(D2596-B2596,1)-(D2596-B2596))),9)</f>
        <v/>
      </c>
      <c r="I2596" s="44">
        <f>TRUNC((G2596*H2596-G2596),8)</f>
        <v/>
      </c>
      <c r="J2596" s="49">
        <f>G2596+I2596</f>
        <v/>
      </c>
      <c r="K2596" s="256" t="n"/>
      <c r="L2596" s="256" t="n"/>
      <c r="M2596" s="256" t="n"/>
      <c r="N2596" s="256" t="n"/>
      <c r="O2596" s="256" t="n"/>
      <c r="P2596" s="256" t="n"/>
      <c r="Q2596" s="256" t="n"/>
    </row>
    <row r="2597">
      <c r="A2597">
        <f>IF(DAY(D2597)=DAY($L$1+1),A2596+1,A2596)</f>
        <v/>
      </c>
      <c r="B2597" s="1">
        <f>IF(DAY(D2597)=DAY($L$1+1),1,B2596+1)</f>
        <v/>
      </c>
      <c r="C2597" s="1">
        <f>IF(DAY(D2597)=DAY($L$1+1),1,C2596+1)</f>
        <v/>
      </c>
      <c r="D2597" s="2">
        <f>D2596+1</f>
        <v/>
      </c>
      <c r="E2597" s="8">
        <f>IF(DAY(D2597)=DAY($L$1+1),TRUNC((N2596),8),E2596)</f>
        <v/>
      </c>
      <c r="F2597" s="49">
        <f>TRUNC(((1+VLOOKUP(A2597,IPCA!$A$2:$C$140,3,0)))^(C2597/(EDATE(D2597-C2597,1)-(D2597-C2597))),8)</f>
        <v/>
      </c>
      <c r="G2597" s="44">
        <f>TRUNC((E2597*F2597),8)</f>
        <v/>
      </c>
      <c r="H2597" s="44">
        <f>ROUND(((1+$H$4)^(30/360))^(C2597/(EDATE(D2597-B2597,1)-(D2597-B2597))),9)</f>
        <v/>
      </c>
      <c r="I2597" s="44">
        <f>TRUNC((G2597*H2597-G2597),8)</f>
        <v/>
      </c>
      <c r="J2597" s="49">
        <f>G2597+I2597</f>
        <v/>
      </c>
      <c r="K2597" s="256" t="n"/>
      <c r="L2597" s="256" t="n"/>
      <c r="M2597" s="256" t="n"/>
      <c r="N2597" s="256" t="n"/>
      <c r="O2597" s="256" t="n"/>
      <c r="P2597" s="256" t="n"/>
      <c r="Q2597" s="256" t="n"/>
    </row>
    <row r="2598">
      <c r="A2598">
        <f>IF(DAY(D2598)=DAY($L$1+1),A2597+1,A2597)</f>
        <v/>
      </c>
      <c r="B2598" s="46">
        <f>IF(DAY(D2598)=DAY($L$1+1),1,B2597+1)</f>
        <v/>
      </c>
      <c r="C2598" s="46">
        <f>IF(DAY(D2598)=DAY($L$1+1),1,C2597+1)</f>
        <v/>
      </c>
      <c r="D2598" s="2">
        <f>D2597+1</f>
        <v/>
      </c>
      <c r="E2598" s="8">
        <f>IF(DAY(D2598)=DAY($L$1+1),TRUNC((N2597),8),E2597)</f>
        <v/>
      </c>
      <c r="F2598" s="49">
        <f>TRUNC(((1+VLOOKUP(A2598,IPCA!$A$2:$C$140,3,0)))^(C2598/(EDATE(D2598-C2598,1)-(D2598-C2598))),8)</f>
        <v/>
      </c>
      <c r="G2598" s="44">
        <f>TRUNC((E2598*F2598),8)</f>
        <v/>
      </c>
      <c r="H2598" s="44">
        <f>ROUND(((1+$H$4)^(30/360))^(C2598/(EDATE(D2598-B2598,1)-(D2598-B2598))),9)</f>
        <v/>
      </c>
      <c r="I2598" s="44">
        <f>TRUNC((G2598*H2598-G2598),8)</f>
        <v/>
      </c>
      <c r="J2598" s="49">
        <f>G2598+I2598</f>
        <v/>
      </c>
      <c r="K2598" s="256" t="n"/>
      <c r="L2598" s="256" t="n"/>
      <c r="M2598" s="256" t="n"/>
      <c r="N2598" s="256" t="n"/>
      <c r="O2598" s="256" t="n"/>
      <c r="P2598" s="256" t="n"/>
      <c r="Q2598" s="256" t="n"/>
    </row>
    <row r="2599">
      <c r="A2599">
        <f>IF(DAY(D2599)=DAY($L$1+1),A2598+1,A2598)</f>
        <v/>
      </c>
      <c r="B2599" s="1">
        <f>IF(DAY(D2599)=DAY($L$1+1),1,B2598+1)</f>
        <v/>
      </c>
      <c r="C2599" s="1">
        <f>IF(DAY(D2599)=DAY($L$1+1),1,C2598+1)</f>
        <v/>
      </c>
      <c r="D2599" s="2">
        <f>D2598+1</f>
        <v/>
      </c>
      <c r="E2599" s="8">
        <f>IF(DAY(D2599)=DAY($L$1+1),TRUNC((N2598),8),E2598)</f>
        <v/>
      </c>
      <c r="F2599" s="49">
        <f>TRUNC(((1+VLOOKUP(A2599,IPCA!$A$2:$C$140,3,0)))^(C2599/(EDATE(D2599-C2599,1)-(D2599-C2599))),8)</f>
        <v/>
      </c>
      <c r="G2599" s="44">
        <f>TRUNC((E2599*F2599),8)</f>
        <v/>
      </c>
      <c r="H2599" s="44">
        <f>ROUND(((1+$H$4)^(30/360))^(C2599/(EDATE(D2599-B2599,1)-(D2599-B2599))),9)</f>
        <v/>
      </c>
      <c r="I2599" s="44">
        <f>TRUNC((G2599*H2599-G2599),8)</f>
        <v/>
      </c>
      <c r="J2599" s="49">
        <f>G2599+I2599</f>
        <v/>
      </c>
      <c r="K2599" s="256" t="n"/>
      <c r="L2599" s="256" t="n"/>
      <c r="M2599" s="256" t="n"/>
      <c r="N2599" s="256" t="n"/>
      <c r="O2599" s="256" t="n"/>
      <c r="P2599" s="256" t="n"/>
      <c r="Q2599" s="256" t="n"/>
    </row>
    <row r="2600">
      <c r="A2600">
        <f>IF(DAY(D2600)=DAY($L$1+1),A2599+1,A2599)</f>
        <v/>
      </c>
      <c r="B2600" s="46">
        <f>IF(DAY(D2600)=DAY($L$1+1),1,B2599+1)</f>
        <v/>
      </c>
      <c r="C2600" s="46">
        <f>IF(DAY(D2600)=DAY($L$1+1),1,C2599+1)</f>
        <v/>
      </c>
      <c r="D2600" s="2">
        <f>D2599+1</f>
        <v/>
      </c>
      <c r="E2600" s="8">
        <f>IF(DAY(D2600)=DAY($L$1+1),TRUNC((N2599),8),E2599)</f>
        <v/>
      </c>
      <c r="F2600" s="49">
        <f>TRUNC(((1+VLOOKUP(A2600,IPCA!$A$2:$C$140,3,0)))^(C2600/(EDATE(D2600-C2600,1)-(D2600-C2600))),8)</f>
        <v/>
      </c>
      <c r="G2600" s="44">
        <f>TRUNC((E2600*F2600),8)</f>
        <v/>
      </c>
      <c r="H2600" s="44">
        <f>ROUND(((1+$H$4)^(30/360))^(C2600/(EDATE(D2600-B2600,1)-(D2600-B2600))),9)</f>
        <v/>
      </c>
      <c r="I2600" s="44">
        <f>TRUNC((G2600*H2600-G2600),8)</f>
        <v/>
      </c>
      <c r="J2600" s="49">
        <f>G2600+I2600</f>
        <v/>
      </c>
      <c r="K2600" s="256" t="n"/>
      <c r="L2600" s="256" t="n"/>
      <c r="M2600" s="256" t="n"/>
      <c r="N2600" s="256" t="n"/>
      <c r="O2600" s="256" t="n"/>
      <c r="P2600" s="256" t="n"/>
      <c r="Q2600" s="256" t="n"/>
    </row>
    <row r="2601">
      <c r="A2601">
        <f>IF(DAY(D2601)=DAY($L$1+1),A2600+1,A2600)</f>
        <v/>
      </c>
      <c r="B2601" s="1">
        <f>IF(DAY(D2601)=DAY($L$1+1),1,B2600+1)</f>
        <v/>
      </c>
      <c r="C2601" s="1">
        <f>IF(DAY(D2601)=DAY($L$1+1),1,C2600+1)</f>
        <v/>
      </c>
      <c r="D2601" s="2">
        <f>D2600+1</f>
        <v/>
      </c>
      <c r="E2601" s="8">
        <f>IF(DAY(D2601)=DAY($L$1+1),TRUNC((N2600),8),E2600)</f>
        <v/>
      </c>
      <c r="F2601" s="49">
        <f>TRUNC(((1+VLOOKUP(A2601,IPCA!$A$2:$C$140,3,0)))^(C2601/(EDATE(D2601-C2601,1)-(D2601-C2601))),8)</f>
        <v/>
      </c>
      <c r="G2601" s="44">
        <f>TRUNC((E2601*F2601),8)</f>
        <v/>
      </c>
      <c r="H2601" s="44">
        <f>ROUND(((1+$H$4)^(30/360))^(C2601/(EDATE(D2601-B2601,1)-(D2601-B2601))),9)</f>
        <v/>
      </c>
      <c r="I2601" s="44">
        <f>TRUNC((G2601*H2601-G2601),8)</f>
        <v/>
      </c>
      <c r="J2601" s="49">
        <f>G2601+I2601</f>
        <v/>
      </c>
      <c r="K2601" s="256" t="n"/>
      <c r="L2601" s="256" t="n"/>
      <c r="M2601" s="256" t="n"/>
      <c r="N2601" s="256" t="n"/>
      <c r="O2601" s="256" t="n"/>
      <c r="P2601" s="256" t="n"/>
      <c r="Q2601" s="256" t="n"/>
    </row>
    <row r="2602">
      <c r="A2602">
        <f>IF(DAY(D2602)=DAY($L$1+1),A2601+1,A2601)</f>
        <v/>
      </c>
      <c r="B2602" s="46">
        <f>IF(DAY(D2602)=DAY($L$1+1),1,B2601+1)</f>
        <v/>
      </c>
      <c r="C2602" s="46">
        <f>IF(DAY(D2602)=DAY($L$1+1),1,C2601+1)</f>
        <v/>
      </c>
      <c r="D2602" s="2">
        <f>D2601+1</f>
        <v/>
      </c>
      <c r="E2602" s="8">
        <f>IF(DAY(D2602)=DAY($L$1+1),TRUNC((N2601),8),E2601)</f>
        <v/>
      </c>
      <c r="F2602" s="49">
        <f>TRUNC(((1+VLOOKUP(A2602,IPCA!$A$2:$C$140,3,0)))^(C2602/(EDATE(D2602-C2602,1)-(D2602-C2602))),8)</f>
        <v/>
      </c>
      <c r="G2602" s="44">
        <f>TRUNC((E2602*F2602),8)</f>
        <v/>
      </c>
      <c r="H2602" s="44">
        <f>ROUND(((1+$H$4)^(30/360))^(C2602/(EDATE(D2602-B2602,1)-(D2602-B2602))),9)</f>
        <v/>
      </c>
      <c r="I2602" s="44">
        <f>TRUNC((G2602*H2602-G2602),8)</f>
        <v/>
      </c>
      <c r="J2602" s="49">
        <f>G2602+I2602</f>
        <v/>
      </c>
      <c r="K2602" s="256" t="n"/>
      <c r="L2602" s="256" t="n"/>
      <c r="M2602" s="256" t="n"/>
      <c r="N2602" s="256" t="n"/>
      <c r="O2602" s="256" t="n"/>
      <c r="P2602" s="256" t="n"/>
      <c r="Q2602" s="256" t="n"/>
    </row>
    <row r="2603">
      <c r="A2603">
        <f>IF(DAY(D2603)=DAY($L$1+1),A2602+1,A2602)</f>
        <v/>
      </c>
      <c r="B2603" s="1">
        <f>IF(DAY(D2603)=DAY($L$1+1),1,B2602+1)</f>
        <v/>
      </c>
      <c r="C2603" s="1">
        <f>IF(DAY(D2603)=DAY($L$1+1),1,C2602+1)</f>
        <v/>
      </c>
      <c r="D2603" s="2">
        <f>D2602+1</f>
        <v/>
      </c>
      <c r="E2603" s="8">
        <f>IF(DAY(D2603)=DAY($L$1+1),TRUNC((N2602),8),E2602)</f>
        <v/>
      </c>
      <c r="F2603" s="49">
        <f>TRUNC(((1+VLOOKUP(A2603,IPCA!$A$2:$C$140,3,0)))^(C2603/(EDATE(D2603-C2603,1)-(D2603-C2603))),8)</f>
        <v/>
      </c>
      <c r="G2603" s="44">
        <f>TRUNC((E2603*F2603),8)</f>
        <v/>
      </c>
      <c r="H2603" s="44">
        <f>ROUND(((1+$H$4)^(30/360))^(C2603/(EDATE(D2603-B2603,1)-(D2603-B2603))),9)</f>
        <v/>
      </c>
      <c r="I2603" s="44">
        <f>TRUNC((G2603*H2603-G2603),8)</f>
        <v/>
      </c>
      <c r="J2603" s="49">
        <f>G2603+I2603</f>
        <v/>
      </c>
      <c r="K2603" s="256" t="n"/>
      <c r="L2603" s="256" t="n"/>
      <c r="M2603" s="256" t="n"/>
      <c r="N2603" s="256" t="n"/>
      <c r="O2603" s="256" t="n"/>
      <c r="P2603" s="256" t="n"/>
      <c r="Q2603" s="256" t="n"/>
    </row>
    <row r="2604">
      <c r="A2604">
        <f>IF(DAY(D2604)=DAY($L$1+1),A2603+1,A2603)</f>
        <v/>
      </c>
      <c r="B2604" s="46">
        <f>IF(DAY(D2604)=DAY($L$1+1),1,B2603+1)</f>
        <v/>
      </c>
      <c r="C2604" s="46">
        <f>IF(DAY(D2604)=DAY($L$1+1),1,C2603+1)</f>
        <v/>
      </c>
      <c r="D2604" s="2">
        <f>D2603+1</f>
        <v/>
      </c>
      <c r="E2604" s="8">
        <f>IF(DAY(D2604)=DAY($L$1+1),TRUNC((N2603),8),E2603)</f>
        <v/>
      </c>
      <c r="F2604" s="49">
        <f>TRUNC(((1+VLOOKUP(A2604,IPCA!$A$2:$C$140,3,0)))^(C2604/(EDATE(D2604-C2604,1)-(D2604-C2604))),8)</f>
        <v/>
      </c>
      <c r="G2604" s="44">
        <f>TRUNC((E2604*F2604),8)</f>
        <v/>
      </c>
      <c r="H2604" s="44">
        <f>ROUND(((1+$H$4)^(30/360))^(C2604/(EDATE(D2604-B2604,1)-(D2604-B2604))),9)</f>
        <v/>
      </c>
      <c r="I2604" s="44">
        <f>TRUNC((G2604*H2604-G2604),8)</f>
        <v/>
      </c>
      <c r="J2604" s="49">
        <f>G2604+I2604</f>
        <v/>
      </c>
      <c r="K2604" s="256" t="n"/>
      <c r="L2604" s="256" t="n"/>
      <c r="M2604" s="256" t="n"/>
      <c r="N2604" s="256" t="n"/>
      <c r="O2604" s="256" t="n"/>
      <c r="P2604" s="256" t="n"/>
      <c r="Q2604" s="256" t="n"/>
    </row>
    <row r="2605">
      <c r="A2605">
        <f>IF(DAY(D2605)=DAY($L$1+1),A2604+1,A2604)</f>
        <v/>
      </c>
      <c r="B2605" s="46">
        <f>IF(DAY(D2605)=DAY($L$1+1),1,B2604+1)</f>
        <v/>
      </c>
      <c r="C2605" s="46">
        <f>IF(DAY(D2605)=DAY($L$1+1),1,C2604+1)</f>
        <v/>
      </c>
      <c r="D2605" s="2">
        <f>D2604+1</f>
        <v/>
      </c>
      <c r="E2605" s="8">
        <f>IF(DAY(D2605)=DAY($L$1+1),TRUNC((N2604),8),E2604)</f>
        <v/>
      </c>
      <c r="F2605" s="49">
        <f>TRUNC(((1+VLOOKUP(A2605,IPCA!$A$2:$C$140,3,0)))^(C2605/(EDATE(D2605-C2605,1)-(D2605-C2605))),8)</f>
        <v/>
      </c>
      <c r="G2605" s="49">
        <f>TRUNC((E2605*F2605),8)</f>
        <v/>
      </c>
      <c r="H2605" s="49">
        <f>ROUND(((1+$H$4)^(30/360))^(C2605/(EDATE(D2605-B2605,1)-(D2605-B2605))),9)</f>
        <v/>
      </c>
      <c r="I2605" s="49">
        <f>TRUNC((G2605*H2605-G2605),8)</f>
        <v/>
      </c>
      <c r="J2605" s="49">
        <f>G2605+I2605</f>
        <v/>
      </c>
      <c r="K2605" s="256" t="inlineStr">
        <is>
          <t>Cri Integralizado</t>
        </is>
      </c>
      <c r="L2605" s="270">
        <f>L2574</f>
        <v/>
      </c>
      <c r="M2605" s="256" t="n"/>
      <c r="N2605" s="256" t="n"/>
      <c r="O2605" s="256" t="n"/>
      <c r="P2605" s="256" t="n"/>
      <c r="Q2605" s="256" t="n"/>
    </row>
    <row r="2606">
      <c r="A2606">
        <f>IF(DAY(D2606)=DAY($L$1+1),A2605+1,A2605)</f>
        <v/>
      </c>
      <c r="B2606" s="46">
        <f>IF(DAY(D2606)=DAY($L$1+1),1,B2605+1)</f>
        <v/>
      </c>
      <c r="C2606" s="46">
        <f>IF(DAY(D2606)=DAY($L$1+1),1,C2605+1)</f>
        <v/>
      </c>
      <c r="D2606" s="47">
        <f>D2605+1</f>
        <v/>
      </c>
      <c r="E2606" s="8">
        <f>IF(DAY(D2606)=DAY($L$1+1),TRUNC((N2605),8),E2605)</f>
        <v/>
      </c>
      <c r="F2606" s="49">
        <f>TRUNC(((1+VLOOKUP(A2606,IPCA!$A$2:$C$140,3,0)))^(C2606/(EDATE(D2606-C2606,1)-(D2606-C2606))),8)</f>
        <v/>
      </c>
      <c r="G2606" s="49">
        <f>TRUNC((E2606*F2606),8)</f>
        <v/>
      </c>
      <c r="H2606" s="49">
        <f>ROUND(((1+$H$4)^(30/360))^(C2606/(EDATE(D2606-B2606,1)-(D2606-B2606))),9)</f>
        <v/>
      </c>
      <c r="I2606" s="49">
        <f>TRUNC((G2606*H2606-G2606),8)</f>
        <v/>
      </c>
      <c r="J2606" s="49">
        <f>G2606+I2606</f>
        <v/>
      </c>
      <c r="K2606" s="137" t="inlineStr">
        <is>
          <t>JUROS</t>
        </is>
      </c>
      <c r="L2606" s="118" t="inlineStr">
        <is>
          <t>AMORTIZAÇÃO</t>
        </is>
      </c>
      <c r="M2606" s="118" t="inlineStr">
        <is>
          <t>AMEX</t>
        </is>
      </c>
      <c r="N2606" s="118" t="inlineStr">
        <is>
          <t>RESIDUAL</t>
        </is>
      </c>
      <c r="O2606" s="256" t="n"/>
      <c r="P2606" s="256" t="n"/>
      <c r="Q2606" s="256" t="n"/>
    </row>
    <row r="2607">
      <c r="A2607">
        <f>IF(DAY(D2607)=DAY($L$1+1),A2606+1,A2606)</f>
        <v/>
      </c>
      <c r="B2607" s="111">
        <f>IF(DAY(D2607)=DAY($L$1+1),1,B2606+1)</f>
        <v/>
      </c>
      <c r="C2607" s="111">
        <f>IF(DAY(D2607)=DAY($L$1+1),1,C2606+1)</f>
        <v/>
      </c>
      <c r="D2607" s="112">
        <f>D2606+1</f>
        <v/>
      </c>
      <c r="E2607" s="113">
        <f>IF(DAY(D2607)=DAY($L$1+1),TRUNC((N2606),8),E2606)</f>
        <v/>
      </c>
      <c r="F2607" s="114">
        <f>TRUNC(((1+VLOOKUP(A2607,IPCA!$A$2:$C$140,3,0)))^(C2607/(EDATE(D2607-C2607,1)-(D2607-C2607))),8)</f>
        <v/>
      </c>
      <c r="G2607" s="114">
        <f>TRUNC((E2607*F2607),8)</f>
        <v/>
      </c>
      <c r="H2607" s="114">
        <f>ROUND(((1+$H$4)^(30/360))^(C2607/(EDATE(D2607-B2607,1)-(D2607-B2607))),9)</f>
        <v/>
      </c>
      <c r="I2607" s="114">
        <f>TRUNC((G2607*H2607-G2607),8)</f>
        <v/>
      </c>
      <c r="J2607" s="114">
        <f>G2607+I2607</f>
        <v/>
      </c>
      <c r="K2607" s="119">
        <f>I2607</f>
        <v/>
      </c>
      <c r="L2607" s="120">
        <f>TRUNC(G2607*VLOOKUP(D2607,'Amort TS'!$G$3:$H$140,2,0),8)</f>
        <v/>
      </c>
      <c r="M2607" s="120" t="n">
        <v>0</v>
      </c>
      <c r="N2607" s="120">
        <f>J2607-K2607-L2607-M2607</f>
        <v/>
      </c>
      <c r="O2607" s="256" t="n"/>
      <c r="P2607" s="256" t="n"/>
      <c r="Q2607" s="256" t="n"/>
    </row>
    <row r="2608">
      <c r="A2608">
        <f>IF(DAY(D2608)=DAY($L$1+1),A2607+1,A2607)</f>
        <v/>
      </c>
      <c r="B2608" s="46">
        <f>IF(DAY(D2608)=DAY($L$1+1),1,B2607+1)</f>
        <v/>
      </c>
      <c r="C2608" s="46">
        <f>IF(DAY(D2608)=DAY($L$1+1),1,C2607+1)</f>
        <v/>
      </c>
      <c r="D2608" s="2">
        <f>D2607+1</f>
        <v/>
      </c>
      <c r="E2608" s="8">
        <f>IF(DAY(D2608)=DAY($L$1+1),TRUNC((N2607),8),E2607)</f>
        <v/>
      </c>
      <c r="F2608" s="49">
        <f>TRUNC(((1+VLOOKUP(A2608,IPCA!$A$2:$C$140,3,0)))^(C2608/(EDATE(D2608-C2608,1)-(D2608-C2608))),8)</f>
        <v/>
      </c>
      <c r="G2608" s="49">
        <f>TRUNC((E2608*F2608),8)</f>
        <v/>
      </c>
      <c r="H2608" s="49">
        <f>ROUND(((1+$H$4)^(30/360))^(C2608/(EDATE(D2608-B2608,1)-(D2608-B2608))),9)</f>
        <v/>
      </c>
      <c r="I2608" s="49">
        <f>TRUNC((G2608*H2608-G2608),8)</f>
        <v/>
      </c>
      <c r="J2608" s="49">
        <f>G2608+I2608</f>
        <v/>
      </c>
      <c r="K2608" s="121">
        <f>K2607*L2605</f>
        <v/>
      </c>
      <c r="L2608" s="121">
        <f>L2607*L2605</f>
        <v/>
      </c>
      <c r="M2608" s="121">
        <f>M2607*L2605</f>
        <v/>
      </c>
      <c r="N2608" s="121">
        <f>N2607*L2605</f>
        <v/>
      </c>
      <c r="O2608" s="256" t="n"/>
      <c r="P2608" s="256" t="n"/>
      <c r="Q2608" s="256" t="n"/>
    </row>
    <row r="2609">
      <c r="A2609">
        <f>IF(DAY(D2609)=DAY($L$1+1),A2608+1,A2608)</f>
        <v/>
      </c>
      <c r="B2609" s="46">
        <f>IF(DAY(D2609)=DAY($L$1+1),1,B2608+1)</f>
        <v/>
      </c>
      <c r="C2609" s="46">
        <f>IF(DAY(D2609)=DAY($L$1+1),1,C2608+1)</f>
        <v/>
      </c>
      <c r="D2609" s="47">
        <f>D2608+1</f>
        <v/>
      </c>
      <c r="E2609" s="8">
        <f>IF(DAY(D2609)=DAY($L$1+1),TRUNC((N2608),8),E2608)</f>
        <v/>
      </c>
      <c r="F2609" s="49">
        <f>TRUNC(((1+VLOOKUP(A2609,IPCA!$A$2:$C$140,3,0)))^(C2609/(EDATE(D2609-C2609,1)-(D2609-C2609))),8)</f>
        <v/>
      </c>
      <c r="G2609" s="49">
        <f>TRUNC((E2609*F2609),8)</f>
        <v/>
      </c>
      <c r="H2609" s="49">
        <f>ROUND(((1+$H$4)^(30/360))^(C2609/(EDATE(D2609-B2609,1)-(D2609-B2609))),9)</f>
        <v/>
      </c>
      <c r="I2609" s="49">
        <f>TRUNC((G2609*H2609-G2609),8)</f>
        <v/>
      </c>
      <c r="J2609" s="49">
        <f>G2609+I2609</f>
        <v/>
      </c>
      <c r="K2609" s="256" t="n"/>
      <c r="L2609" s="256" t="n"/>
      <c r="M2609" s="256" t="n"/>
      <c r="N2609" s="256" t="n"/>
      <c r="O2609" s="256" t="n"/>
      <c r="P2609" s="256" t="n"/>
      <c r="Q2609" s="256" t="n"/>
    </row>
    <row r="2610">
      <c r="A2610">
        <f>IF(DAY(D2610)=DAY($L$1+1),A2609+1,A2609)</f>
        <v/>
      </c>
      <c r="B2610" s="46">
        <f>IF(DAY(D2610)=DAY($L$1+1),1,B2609+1)</f>
        <v/>
      </c>
      <c r="C2610" s="46">
        <f>IF(DAY(D2610)=DAY($L$1+1),1,C2609+1)</f>
        <v/>
      </c>
      <c r="D2610" s="2">
        <f>D2609+1</f>
        <v/>
      </c>
      <c r="E2610" s="8">
        <f>IF(DAY(D2610)=DAY($L$1+1),TRUNC((#REF!),8),E2609)</f>
        <v/>
      </c>
      <c r="F2610" s="49">
        <f>TRUNC(((1+VLOOKUP(A2610,IPCA!$A$2:$C$140,3,0)))^(C2610/(EDATE(D2610-C2610,1)-(D2610-C2610))),8)</f>
        <v/>
      </c>
      <c r="G2610" s="44">
        <f>TRUNC((E2610*F2610),8)</f>
        <v/>
      </c>
      <c r="H2610" s="44">
        <f>ROUND(((1+$H$4)^(30/360))^(C2610/(EDATE(D2610-B2610,1)-(D2610-B2610))),9)</f>
        <v/>
      </c>
      <c r="I2610" s="44">
        <f>TRUNC((G2610*H2610-G2610),8)</f>
        <v/>
      </c>
      <c r="J2610" s="49">
        <f>G2610+I2610</f>
        <v/>
      </c>
      <c r="K2610" s="256" t="n"/>
      <c r="L2610" s="256" t="n"/>
      <c r="M2610" s="256" t="n"/>
      <c r="N2610" s="256" t="n"/>
      <c r="O2610" s="256" t="n"/>
      <c r="P2610" s="256" t="n"/>
      <c r="Q2610" s="256" t="n"/>
    </row>
    <row r="2611">
      <c r="A2611">
        <f>IF(DAY(D2611)=DAY($L$1+1),A2610+1,A2610)</f>
        <v/>
      </c>
      <c r="B2611" s="1">
        <f>IF(DAY(D2611)=DAY($L$1+1),1,B2610+1)</f>
        <v/>
      </c>
      <c r="C2611" s="1">
        <f>IF(DAY(D2611)=DAY($L$1+1),1,C2610+1)</f>
        <v/>
      </c>
      <c r="D2611" s="2">
        <f>D2610+1</f>
        <v/>
      </c>
      <c r="E2611" s="8">
        <f>IF(DAY(D2611)=DAY($L$1+1),TRUNC((#REF!),8),E2610)</f>
        <v/>
      </c>
      <c r="F2611" s="49">
        <f>TRUNC(((1+VLOOKUP(A2611,IPCA!$A$2:$C$140,3,0)))^(C2611/(EDATE(D2611-C2611,1)-(D2611-C2611))),8)</f>
        <v/>
      </c>
      <c r="G2611" s="44">
        <f>TRUNC((E2611*F2611),8)</f>
        <v/>
      </c>
      <c r="H2611" s="44">
        <f>ROUND(((1+$H$4)^(30/360))^(C2611/(EDATE(D2611-B2611,1)-(D2611-B2611))),9)</f>
        <v/>
      </c>
      <c r="I2611" s="44">
        <f>TRUNC((G2611*H2611-G2611),8)</f>
        <v/>
      </c>
      <c r="J2611" s="49">
        <f>G2611+I2611</f>
        <v/>
      </c>
      <c r="K2611" s="256" t="n"/>
      <c r="L2611" s="256" t="n"/>
      <c r="M2611" s="256" t="n"/>
      <c r="N2611" s="256" t="n"/>
      <c r="O2611" s="256" t="n"/>
      <c r="P2611" s="256" t="n"/>
      <c r="Q2611" s="256" t="n"/>
    </row>
    <row r="2612">
      <c r="A2612">
        <f>IF(DAY(D2612)=DAY($L$1+1),A2611+1,A2611)</f>
        <v/>
      </c>
      <c r="B2612" s="46">
        <f>IF(DAY(D2612)=DAY($L$1+1),1,B2611+1)</f>
        <v/>
      </c>
      <c r="C2612" s="46">
        <f>IF(DAY(D2612)=DAY($L$1+1),1,C2611+1)</f>
        <v/>
      </c>
      <c r="D2612" s="2">
        <f>D2611+1</f>
        <v/>
      </c>
      <c r="E2612" s="8">
        <f>IF(DAY(D2612)=DAY($L$1+1),TRUNC((#REF!),8),E2611)</f>
        <v/>
      </c>
      <c r="F2612" s="49">
        <f>TRUNC(((1+VLOOKUP(A2612,IPCA!$A$2:$C$140,3,0)))^(C2612/(EDATE(D2612-C2612,1)-(D2612-C2612))),8)</f>
        <v/>
      </c>
      <c r="G2612" s="44">
        <f>TRUNC((E2612*F2612),8)</f>
        <v/>
      </c>
      <c r="H2612" s="44">
        <f>ROUND(((1+$H$4)^(30/360))^(C2612/(EDATE(D2612-B2612,1)-(D2612-B2612))),9)</f>
        <v/>
      </c>
      <c r="I2612" s="44">
        <f>TRUNC((G2612*H2612-G2612),8)</f>
        <v/>
      </c>
      <c r="J2612" s="49">
        <f>G2612+I2612</f>
        <v/>
      </c>
      <c r="K2612" s="256" t="n"/>
      <c r="L2612" s="256" t="n"/>
      <c r="M2612" s="256" t="n"/>
      <c r="N2612" s="256" t="n"/>
      <c r="O2612" s="256" t="n"/>
      <c r="P2612" s="256" t="n"/>
      <c r="Q2612" s="256" t="n"/>
    </row>
    <row r="2613">
      <c r="A2613">
        <f>IF(DAY(D2613)=DAY($L$1+1),A2612+1,A2612)</f>
        <v/>
      </c>
      <c r="B2613" s="1">
        <f>IF(DAY(D2613)=DAY($L$1+1),1,B2612+1)</f>
        <v/>
      </c>
      <c r="C2613" s="1">
        <f>IF(DAY(D2613)=DAY($L$1+1),1,C2612+1)</f>
        <v/>
      </c>
      <c r="D2613" s="2">
        <f>D2612+1</f>
        <v/>
      </c>
      <c r="E2613" s="8">
        <f>IF(DAY(D2613)=DAY($L$1+1),TRUNC((#REF!),8),E2612)</f>
        <v/>
      </c>
      <c r="F2613" s="49">
        <f>TRUNC(((1+VLOOKUP(A2613,IPCA!$A$2:$C$140,3,0)))^(C2613/(EDATE(D2613-C2613,1)-(D2613-C2613))),8)</f>
        <v/>
      </c>
      <c r="G2613" s="44">
        <f>TRUNC((E2613*F2613),8)</f>
        <v/>
      </c>
      <c r="H2613" s="44">
        <f>ROUND(((1+$H$4)^(30/360))^(C2613/(EDATE(D2613-B2613,1)-(D2613-B2613))),9)</f>
        <v/>
      </c>
      <c r="I2613" s="44">
        <f>TRUNC((G2613*H2613-G2613),8)</f>
        <v/>
      </c>
      <c r="J2613" s="49">
        <f>G2613+I2613</f>
        <v/>
      </c>
      <c r="K2613" s="256" t="n"/>
      <c r="L2613" s="256" t="n"/>
      <c r="M2613" s="256" t="n"/>
      <c r="N2613" s="256" t="n"/>
      <c r="O2613" s="256" t="n"/>
      <c r="P2613" s="256" t="n"/>
      <c r="Q2613" s="256" t="n"/>
    </row>
    <row r="2614">
      <c r="A2614">
        <f>IF(DAY(D2614)=DAY($L$1+1),A2613+1,A2613)</f>
        <v/>
      </c>
      <c r="B2614" s="46">
        <f>IF(DAY(D2614)=DAY($L$1+1),1,B2613+1)</f>
        <v/>
      </c>
      <c r="C2614" s="46">
        <f>IF(DAY(D2614)=DAY($L$1+1),1,C2613+1)</f>
        <v/>
      </c>
      <c r="D2614" s="2">
        <f>D2613+1</f>
        <v/>
      </c>
      <c r="E2614" s="8">
        <f>IF(DAY(D2614)=DAY($L$1+1),TRUNC((#REF!),8),E2613)</f>
        <v/>
      </c>
      <c r="F2614" s="49">
        <f>TRUNC(((1+VLOOKUP(A2614,IPCA!$A$2:$C$140,3,0)))^(C2614/(EDATE(D2614-C2614,1)-(D2614-C2614))),8)</f>
        <v/>
      </c>
      <c r="G2614" s="44">
        <f>TRUNC((E2614*F2614),8)</f>
        <v/>
      </c>
      <c r="H2614" s="44">
        <f>ROUND(((1+$H$4)^(30/360))^(C2614/(EDATE(D2614-B2614,1)-(D2614-B2614))),9)</f>
        <v/>
      </c>
      <c r="I2614" s="44">
        <f>TRUNC((G2614*H2614-G2614),8)</f>
        <v/>
      </c>
      <c r="J2614" s="49">
        <f>G2614+I2614</f>
        <v/>
      </c>
      <c r="K2614" s="256" t="n"/>
      <c r="L2614" s="256" t="n"/>
      <c r="M2614" s="256" t="n"/>
      <c r="N2614" s="256" t="n"/>
      <c r="O2614" s="256" t="n"/>
      <c r="P2614" s="256" t="n"/>
      <c r="Q2614" s="256" t="n"/>
    </row>
    <row r="2615">
      <c r="A2615">
        <f>IF(DAY(D2615)=DAY($L$1+1),A2614+1,A2614)</f>
        <v/>
      </c>
      <c r="B2615" s="1">
        <f>IF(DAY(D2615)=DAY($L$1+1),1,B2614+1)</f>
        <v/>
      </c>
      <c r="C2615" s="1">
        <f>IF(DAY(D2615)=DAY($L$1+1),1,C2614+1)</f>
        <v/>
      </c>
      <c r="D2615" s="2">
        <f>D2614+1</f>
        <v/>
      </c>
      <c r="E2615" s="8">
        <f>IF(DAY(D2615)=DAY($L$1+1),TRUNC((#REF!),8),E2614)</f>
        <v/>
      </c>
      <c r="F2615" s="49">
        <f>TRUNC(((1+VLOOKUP(A2615,IPCA!$A$2:$C$140,3,0)))^(C2615/(EDATE(D2615-C2615,1)-(D2615-C2615))),8)</f>
        <v/>
      </c>
      <c r="G2615" s="44">
        <f>TRUNC((E2615*F2615),8)</f>
        <v/>
      </c>
      <c r="H2615" s="44">
        <f>ROUND(((1+$H$4)^(30/360))^(C2615/(EDATE(D2615-B2615,1)-(D2615-B2615))),9)</f>
        <v/>
      </c>
      <c r="I2615" s="44">
        <f>TRUNC((G2615*H2615-G2615),8)</f>
        <v/>
      </c>
      <c r="J2615" s="49">
        <f>G2615+I2615</f>
        <v/>
      </c>
      <c r="K2615" s="256" t="n"/>
      <c r="L2615" s="256" t="n"/>
      <c r="M2615" s="256" t="n"/>
      <c r="N2615" s="256" t="n"/>
      <c r="O2615" s="256" t="n"/>
      <c r="P2615" s="256" t="n"/>
      <c r="Q2615" s="256" t="n"/>
    </row>
    <row r="2616">
      <c r="A2616">
        <f>IF(DAY(D2616)=DAY($L$1+1),A2615+1,A2615)</f>
        <v/>
      </c>
      <c r="B2616" s="46">
        <f>IF(DAY(D2616)=DAY($L$1+1),1,B2615+1)</f>
        <v/>
      </c>
      <c r="C2616" s="46">
        <f>IF(DAY(D2616)=DAY($L$1+1),1,C2615+1)</f>
        <v/>
      </c>
      <c r="D2616" s="2">
        <f>D2615+1</f>
        <v/>
      </c>
      <c r="E2616" s="8">
        <f>IF(DAY(D2616)=DAY($L$1+1),TRUNC((#REF!),8),E2615)</f>
        <v/>
      </c>
      <c r="F2616" s="49">
        <f>TRUNC(((1+VLOOKUP(A2616,IPCA!$A$2:$C$140,3,0)))^(C2616/(EDATE(D2616-C2616,1)-(D2616-C2616))),8)</f>
        <v/>
      </c>
      <c r="G2616" s="44">
        <f>TRUNC((E2616*F2616),8)</f>
        <v/>
      </c>
      <c r="H2616" s="44">
        <f>ROUND(((1+$H$4)^(30/360))^(C2616/(EDATE(D2616-B2616,1)-(D2616-B2616))),9)</f>
        <v/>
      </c>
      <c r="I2616" s="44">
        <f>TRUNC((G2616*H2616-G2616),8)</f>
        <v/>
      </c>
      <c r="J2616" s="49">
        <f>G2616+I2616</f>
        <v/>
      </c>
      <c r="K2616" s="256" t="n"/>
      <c r="L2616" s="256" t="n"/>
      <c r="M2616" s="256" t="n"/>
      <c r="N2616" s="256" t="n"/>
      <c r="O2616" s="256" t="n"/>
      <c r="P2616" s="256" t="n"/>
      <c r="Q2616" s="256" t="n"/>
    </row>
    <row r="2617">
      <c r="A2617">
        <f>IF(DAY(D2617)=DAY($L$1+1),A2616+1,A2616)</f>
        <v/>
      </c>
      <c r="B2617" s="1">
        <f>IF(DAY(D2617)=DAY($L$1+1),1,B2616+1)</f>
        <v/>
      </c>
      <c r="C2617" s="1">
        <f>IF(DAY(D2617)=DAY($L$1+1),1,C2616+1)</f>
        <v/>
      </c>
      <c r="D2617" s="2">
        <f>D2616+1</f>
        <v/>
      </c>
      <c r="E2617" s="8">
        <f>IF(DAY(D2617)=DAY($L$1+1),TRUNC((#REF!),8),E2616)</f>
        <v/>
      </c>
      <c r="F2617" s="49">
        <f>TRUNC(((1+VLOOKUP(A2617,IPCA!$A$2:$C$140,3,0)))^(C2617/(EDATE(D2617-C2617,1)-(D2617-C2617))),8)</f>
        <v/>
      </c>
      <c r="G2617" s="44">
        <f>TRUNC((E2617*F2617),8)</f>
        <v/>
      </c>
      <c r="H2617" s="44">
        <f>ROUND(((1+$H$4)^(30/360))^(C2617/(EDATE(D2617-B2617,1)-(D2617-B2617))),9)</f>
        <v/>
      </c>
      <c r="I2617" s="44">
        <f>TRUNC((G2617*H2617-G2617),8)</f>
        <v/>
      </c>
      <c r="J2617" s="49">
        <f>G2617+I2617</f>
        <v/>
      </c>
      <c r="K2617" s="256" t="n"/>
      <c r="L2617" s="256" t="n"/>
      <c r="M2617" s="256" t="n"/>
      <c r="N2617" s="256" t="n"/>
      <c r="O2617" s="256" t="n"/>
      <c r="P2617" s="256" t="n"/>
      <c r="Q2617" s="256" t="n"/>
    </row>
    <row r="2618">
      <c r="A2618">
        <f>IF(DAY(D2618)=DAY($L$1+1),A2617+1,A2617)</f>
        <v/>
      </c>
      <c r="B2618" s="46">
        <f>IF(DAY(D2618)=DAY($L$1+1),1,B2617+1)</f>
        <v/>
      </c>
      <c r="C2618" s="46">
        <f>IF(DAY(D2618)=DAY($L$1+1),1,C2617+1)</f>
        <v/>
      </c>
      <c r="D2618" s="2">
        <f>D2617+1</f>
        <v/>
      </c>
      <c r="E2618" s="8">
        <f>IF(DAY(D2618)=DAY($L$1+1),TRUNC((#REF!),8),E2617)</f>
        <v/>
      </c>
      <c r="F2618" s="49">
        <f>TRUNC(((1+VLOOKUP(A2618,IPCA!$A$2:$C$140,3,0)))^(C2618/(EDATE(D2618-C2618,1)-(D2618-C2618))),8)</f>
        <v/>
      </c>
      <c r="G2618" s="44">
        <f>TRUNC((E2618*F2618),8)</f>
        <v/>
      </c>
      <c r="H2618" s="44">
        <f>ROUND(((1+$H$4)^(30/360))^(C2618/(EDATE(D2618-B2618,1)-(D2618-B2618))),9)</f>
        <v/>
      </c>
      <c r="I2618" s="44">
        <f>TRUNC((G2618*H2618-G2618),8)</f>
        <v/>
      </c>
      <c r="J2618" s="49">
        <f>G2618+I2618</f>
        <v/>
      </c>
      <c r="K2618" s="256" t="n"/>
      <c r="L2618" s="256" t="n"/>
      <c r="M2618" s="256" t="n"/>
      <c r="N2618" s="256" t="n"/>
      <c r="O2618" s="256" t="n"/>
      <c r="P2618" s="256" t="n"/>
      <c r="Q2618" s="256" t="n"/>
    </row>
    <row r="2619">
      <c r="A2619">
        <f>IF(DAY(D2619)=DAY($L$1+1),A2618+1,A2618)</f>
        <v/>
      </c>
      <c r="B2619" s="1">
        <f>IF(DAY(D2619)=DAY($L$1+1),1,B2618+1)</f>
        <v/>
      </c>
      <c r="C2619" s="1">
        <f>IF(DAY(D2619)=DAY($L$1+1),1,C2618+1)</f>
        <v/>
      </c>
      <c r="D2619" s="2">
        <f>D2618+1</f>
        <v/>
      </c>
      <c r="E2619" s="8">
        <f>IF(DAY(D2619)=DAY($L$1+1),TRUNC((#REF!),8),E2618)</f>
        <v/>
      </c>
      <c r="F2619" s="49">
        <f>TRUNC(((1+VLOOKUP(A2619,IPCA!$A$2:$C$140,3,0)))^(C2619/(EDATE(D2619-C2619,1)-(D2619-C2619))),8)</f>
        <v/>
      </c>
      <c r="G2619" s="44">
        <f>TRUNC((E2619*F2619),8)</f>
        <v/>
      </c>
      <c r="H2619" s="44">
        <f>ROUND(((1+$H$4)^(30/360))^(C2619/(EDATE(D2619-B2619,1)-(D2619-B2619))),9)</f>
        <v/>
      </c>
      <c r="I2619" s="44">
        <f>TRUNC((G2619*H2619-G2619),8)</f>
        <v/>
      </c>
      <c r="J2619" s="49">
        <f>G2619+I2619</f>
        <v/>
      </c>
      <c r="K2619" s="256" t="n"/>
      <c r="L2619" s="256" t="n"/>
      <c r="M2619" s="256" t="n"/>
      <c r="N2619" s="256" t="n"/>
      <c r="O2619" s="256" t="n"/>
      <c r="P2619" s="256" t="n"/>
      <c r="Q2619" s="256" t="n"/>
    </row>
    <row r="2620">
      <c r="A2620">
        <f>IF(DAY(D2620)=DAY($L$1+1),A2619+1,A2619)</f>
        <v/>
      </c>
      <c r="B2620" s="46">
        <f>IF(DAY(D2620)=DAY($L$1+1),1,B2619+1)</f>
        <v/>
      </c>
      <c r="C2620" s="46">
        <f>IF(DAY(D2620)=DAY($L$1+1),1,C2619+1)</f>
        <v/>
      </c>
      <c r="D2620" s="2">
        <f>D2619+1</f>
        <v/>
      </c>
      <c r="E2620" s="8">
        <f>IF(DAY(D2620)=DAY($L$1+1),TRUNC((#REF!),8),E2619)</f>
        <v/>
      </c>
      <c r="F2620" s="49">
        <f>TRUNC(((1+VLOOKUP(A2620,IPCA!$A$2:$C$140,3,0)))^(C2620/(EDATE(D2620-C2620,1)-(D2620-C2620))),8)</f>
        <v/>
      </c>
      <c r="G2620" s="44">
        <f>TRUNC((E2620*F2620),8)</f>
        <v/>
      </c>
      <c r="H2620" s="44">
        <f>ROUND(((1+$H$4)^(30/360))^(C2620/(EDATE(D2620-B2620,1)-(D2620-B2620))),9)</f>
        <v/>
      </c>
      <c r="I2620" s="44">
        <f>TRUNC((G2620*H2620-G2620),8)</f>
        <v/>
      </c>
      <c r="J2620" s="49">
        <f>G2620+I2620</f>
        <v/>
      </c>
      <c r="K2620" s="256" t="n"/>
      <c r="L2620" s="256" t="n"/>
      <c r="M2620" s="256" t="n"/>
      <c r="N2620" s="256" t="n"/>
      <c r="O2620" s="256" t="n"/>
      <c r="P2620" s="256" t="n"/>
      <c r="Q2620" s="256" t="n"/>
    </row>
    <row r="2621">
      <c r="A2621">
        <f>IF(DAY(D2621)=DAY($L$1+1),A2620+1,A2620)</f>
        <v/>
      </c>
      <c r="B2621" s="1">
        <f>IF(DAY(D2621)=DAY($L$1+1),1,B2620+1)</f>
        <v/>
      </c>
      <c r="C2621" s="1">
        <f>IF(DAY(D2621)=DAY($L$1+1),1,C2620+1)</f>
        <v/>
      </c>
      <c r="D2621" s="2">
        <f>D2620+1</f>
        <v/>
      </c>
      <c r="E2621" s="8">
        <f>IF(DAY(D2621)=DAY($L$1+1),TRUNC((#REF!),8),E2620)</f>
        <v/>
      </c>
      <c r="F2621" s="49">
        <f>TRUNC(((1+VLOOKUP(A2621,IPCA!$A$2:$C$140,3,0)))^(C2621/(EDATE(D2621-C2621,1)-(D2621-C2621))),8)</f>
        <v/>
      </c>
      <c r="G2621" s="44">
        <f>TRUNC((E2621*F2621),8)</f>
        <v/>
      </c>
      <c r="H2621" s="44">
        <f>ROUND(((1+$H$4)^(30/360))^(C2621/(EDATE(D2621-B2621,1)-(D2621-B2621))),9)</f>
        <v/>
      </c>
      <c r="I2621" s="44">
        <f>TRUNC((G2621*H2621-G2621),8)</f>
        <v/>
      </c>
      <c r="J2621" s="49">
        <f>G2621+I2621</f>
        <v/>
      </c>
      <c r="K2621" s="256" t="n"/>
      <c r="L2621" s="256" t="n"/>
      <c r="M2621" s="256" t="n"/>
      <c r="N2621" s="256" t="n"/>
      <c r="O2621" s="256" t="n"/>
      <c r="P2621" s="256" t="n"/>
      <c r="Q2621" s="256" t="n"/>
    </row>
    <row r="2622">
      <c r="A2622">
        <f>IF(DAY(D2622)=DAY($L$1+1),A2621+1,A2621)</f>
        <v/>
      </c>
      <c r="B2622" s="46">
        <f>IF(DAY(D2622)=DAY($L$1+1),1,B2621+1)</f>
        <v/>
      </c>
      <c r="C2622" s="46">
        <f>IF(DAY(D2622)=DAY($L$1+1),1,C2621+1)</f>
        <v/>
      </c>
      <c r="D2622" s="2">
        <f>D2621+1</f>
        <v/>
      </c>
      <c r="E2622" s="8">
        <f>IF(DAY(D2622)=DAY($L$1+1),TRUNC((N2621),8),E2621)</f>
        <v/>
      </c>
      <c r="F2622" s="49">
        <f>TRUNC(((1+VLOOKUP(A2622,IPCA!$A$2:$C$140,3,0)))^(C2622/(EDATE(D2622-C2622,1)-(D2622-C2622))),8)</f>
        <v/>
      </c>
      <c r="G2622" s="44">
        <f>TRUNC((E2622*F2622),8)</f>
        <v/>
      </c>
      <c r="H2622" s="44">
        <f>ROUND(((1+$H$4)^(30/360))^(C2622/(EDATE(D2622-B2622,1)-(D2622-B2622))),9)</f>
        <v/>
      </c>
      <c r="I2622" s="44">
        <f>TRUNC((G2622*H2622-G2622),8)</f>
        <v/>
      </c>
      <c r="J2622" s="49">
        <f>G2622+I2622</f>
        <v/>
      </c>
      <c r="K2622" s="256" t="n"/>
      <c r="L2622" s="256" t="n"/>
      <c r="M2622" s="256" t="n"/>
      <c r="N2622" s="256" t="n"/>
      <c r="O2622" s="256" t="n"/>
      <c r="P2622" s="256" t="n"/>
      <c r="Q2622" s="256" t="n"/>
    </row>
    <row r="2623">
      <c r="A2623">
        <f>IF(DAY(D2623)=DAY($L$1+1),A2622+1,A2622)</f>
        <v/>
      </c>
      <c r="B2623" s="1">
        <f>IF(DAY(D2623)=DAY($L$1+1),1,B2622+1)</f>
        <v/>
      </c>
      <c r="C2623" s="1">
        <f>IF(DAY(D2623)=DAY($L$1+1),1,C2622+1)</f>
        <v/>
      </c>
      <c r="D2623" s="2">
        <f>D2622+1</f>
        <v/>
      </c>
      <c r="E2623" s="8">
        <f>IF(DAY(D2623)=DAY($L$1+1),TRUNC((N2622),8),E2622)</f>
        <v/>
      </c>
      <c r="F2623" s="49">
        <f>TRUNC(((1+VLOOKUP(A2623,IPCA!$A$2:$C$140,3,0)))^(C2623/(EDATE(D2623-C2623,1)-(D2623-C2623))),8)</f>
        <v/>
      </c>
      <c r="G2623" s="44">
        <f>TRUNC((E2623*F2623),8)</f>
        <v/>
      </c>
      <c r="H2623" s="44">
        <f>ROUND(((1+$H$4)^(30/360))^(C2623/(EDATE(D2623-B2623,1)-(D2623-B2623))),9)</f>
        <v/>
      </c>
      <c r="I2623" s="44">
        <f>TRUNC((G2623*H2623-G2623),8)</f>
        <v/>
      </c>
      <c r="J2623" s="49">
        <f>G2623+I2623</f>
        <v/>
      </c>
      <c r="K2623" s="256" t="n"/>
      <c r="L2623" s="256" t="n"/>
      <c r="M2623" s="256" t="n"/>
      <c r="N2623" s="256" t="n"/>
      <c r="O2623" s="256" t="n"/>
      <c r="P2623" s="256" t="n"/>
      <c r="Q2623" s="256" t="n"/>
    </row>
    <row r="2624">
      <c r="A2624">
        <f>IF(DAY(D2624)=DAY($L$1+1),A2623+1,A2623)</f>
        <v/>
      </c>
      <c r="B2624" s="46">
        <f>IF(DAY(D2624)=DAY($L$1+1),1,B2623+1)</f>
        <v/>
      </c>
      <c r="C2624" s="46">
        <f>IF(DAY(D2624)=DAY($L$1+1),1,C2623+1)</f>
        <v/>
      </c>
      <c r="D2624" s="2">
        <f>D2623+1</f>
        <v/>
      </c>
      <c r="E2624" s="8">
        <f>IF(DAY(D2624)=DAY($L$1+1),TRUNC((N2623),8),E2623)</f>
        <v/>
      </c>
      <c r="F2624" s="49">
        <f>TRUNC(((1+VLOOKUP(A2624,IPCA!$A$2:$C$140,3,0)))^(C2624/(EDATE(D2624-C2624,1)-(D2624-C2624))),8)</f>
        <v/>
      </c>
      <c r="G2624" s="44">
        <f>TRUNC((E2624*F2624),8)</f>
        <v/>
      </c>
      <c r="H2624" s="44">
        <f>ROUND(((1+$H$4)^(30/360))^(C2624/(EDATE(D2624-B2624,1)-(D2624-B2624))),9)</f>
        <v/>
      </c>
      <c r="I2624" s="44">
        <f>TRUNC((G2624*H2624-G2624),8)</f>
        <v/>
      </c>
      <c r="J2624" s="49">
        <f>G2624+I2624</f>
        <v/>
      </c>
      <c r="K2624" s="256" t="n"/>
      <c r="L2624" s="256" t="n"/>
      <c r="M2624" s="256" t="n"/>
      <c r="N2624" s="256" t="n"/>
      <c r="O2624" s="256" t="n"/>
      <c r="P2624" s="256" t="n"/>
      <c r="Q2624" s="256" t="n"/>
    </row>
    <row r="2625">
      <c r="A2625">
        <f>IF(DAY(D2625)=DAY($L$1+1),A2624+1,A2624)</f>
        <v/>
      </c>
      <c r="B2625" s="1">
        <f>IF(DAY(D2625)=DAY($L$1+1),1,B2624+1)</f>
        <v/>
      </c>
      <c r="C2625" s="1">
        <f>IF(DAY(D2625)=DAY($L$1+1),1,C2624+1)</f>
        <v/>
      </c>
      <c r="D2625" s="2">
        <f>D2624+1</f>
        <v/>
      </c>
      <c r="E2625" s="8">
        <f>IF(DAY(D2625)=DAY($L$1+1),TRUNC((N2624),8),E2624)</f>
        <v/>
      </c>
      <c r="F2625" s="49">
        <f>TRUNC(((1+VLOOKUP(A2625,IPCA!$A$2:$C$140,3,0)))^(C2625/(EDATE(D2625-C2625,1)-(D2625-C2625))),8)</f>
        <v/>
      </c>
      <c r="G2625" s="44">
        <f>TRUNC((E2625*F2625),8)</f>
        <v/>
      </c>
      <c r="H2625" s="44">
        <f>ROUND(((1+$H$4)^(30/360))^(C2625/(EDATE(D2625-B2625,1)-(D2625-B2625))),9)</f>
        <v/>
      </c>
      <c r="I2625" s="44">
        <f>TRUNC((G2625*H2625-G2625),8)</f>
        <v/>
      </c>
      <c r="J2625" s="49">
        <f>G2625+I2625</f>
        <v/>
      </c>
      <c r="K2625" s="256" t="n"/>
      <c r="L2625" s="256" t="n"/>
      <c r="M2625" s="256" t="n"/>
      <c r="N2625" s="256" t="n"/>
      <c r="O2625" s="256" t="n"/>
      <c r="P2625" s="256" t="n"/>
      <c r="Q2625" s="256" t="n"/>
    </row>
    <row r="2626">
      <c r="A2626">
        <f>IF(DAY(D2626)=DAY($L$1+1),A2625+1,A2625)</f>
        <v/>
      </c>
      <c r="B2626" s="46">
        <f>IF(DAY(D2626)=DAY($L$1+1),1,B2625+1)</f>
        <v/>
      </c>
      <c r="C2626" s="46">
        <f>IF(DAY(D2626)=DAY($L$1+1),1,C2625+1)</f>
        <v/>
      </c>
      <c r="D2626" s="2">
        <f>D2625+1</f>
        <v/>
      </c>
      <c r="E2626" s="8">
        <f>IF(DAY(D2626)=DAY($L$1+1),TRUNC((N2625),8),E2625)</f>
        <v/>
      </c>
      <c r="F2626" s="49">
        <f>TRUNC(((1+VLOOKUP(A2626,IPCA!$A$2:$C$140,3,0)))^(C2626/(EDATE(D2626-C2626,1)-(D2626-C2626))),8)</f>
        <v/>
      </c>
      <c r="G2626" s="44">
        <f>TRUNC((E2626*F2626),8)</f>
        <v/>
      </c>
      <c r="H2626" s="44">
        <f>ROUND(((1+$H$4)^(30/360))^(C2626/(EDATE(D2626-B2626,1)-(D2626-B2626))),9)</f>
        <v/>
      </c>
      <c r="I2626" s="44">
        <f>TRUNC((G2626*H2626-G2626),8)</f>
        <v/>
      </c>
      <c r="J2626" s="49">
        <f>G2626+I2626</f>
        <v/>
      </c>
      <c r="K2626" s="256" t="n"/>
      <c r="L2626" s="256" t="n"/>
      <c r="M2626" s="256" t="n"/>
      <c r="N2626" s="256" t="n"/>
      <c r="O2626" s="256" t="n"/>
      <c r="P2626" s="256" t="n"/>
      <c r="Q2626" s="256" t="n"/>
    </row>
    <row r="2627">
      <c r="A2627">
        <f>IF(DAY(D2627)=DAY($L$1+1),A2626+1,A2626)</f>
        <v/>
      </c>
      <c r="B2627" s="1">
        <f>IF(DAY(D2627)=DAY($L$1+1),1,B2626+1)</f>
        <v/>
      </c>
      <c r="C2627" s="1">
        <f>IF(DAY(D2627)=DAY($L$1+1),1,C2626+1)</f>
        <v/>
      </c>
      <c r="D2627" s="2">
        <f>D2626+1</f>
        <v/>
      </c>
      <c r="E2627" s="8">
        <f>IF(DAY(D2627)=DAY($L$1+1),TRUNC((N2626),8),E2626)</f>
        <v/>
      </c>
      <c r="F2627" s="49">
        <f>TRUNC(((1+VLOOKUP(A2627,IPCA!$A$2:$C$140,3,0)))^(C2627/(EDATE(D2627-C2627,1)-(D2627-C2627))),8)</f>
        <v/>
      </c>
      <c r="G2627" s="44">
        <f>TRUNC((E2627*F2627),8)</f>
        <v/>
      </c>
      <c r="H2627" s="44">
        <f>ROUND(((1+$H$4)^(30/360))^(C2627/(EDATE(D2627-B2627,1)-(D2627-B2627))),9)</f>
        <v/>
      </c>
      <c r="I2627" s="44">
        <f>TRUNC((G2627*H2627-G2627),8)</f>
        <v/>
      </c>
      <c r="J2627" s="49">
        <f>G2627+I2627</f>
        <v/>
      </c>
      <c r="K2627" s="256" t="n"/>
      <c r="L2627" s="256" t="n"/>
      <c r="M2627" s="256" t="n"/>
      <c r="N2627" s="256" t="n"/>
      <c r="O2627" s="256" t="n"/>
      <c r="P2627" s="256" t="n"/>
      <c r="Q2627" s="256" t="n"/>
    </row>
    <row r="2628">
      <c r="A2628">
        <f>IF(DAY(D2628)=DAY($L$1+1),A2627+1,A2627)</f>
        <v/>
      </c>
      <c r="B2628" s="46">
        <f>IF(DAY(D2628)=DAY($L$1+1),1,B2627+1)</f>
        <v/>
      </c>
      <c r="C2628" s="46">
        <f>IF(DAY(D2628)=DAY($L$1+1),1,C2627+1)</f>
        <v/>
      </c>
      <c r="D2628" s="2">
        <f>D2627+1</f>
        <v/>
      </c>
      <c r="E2628" s="8">
        <f>IF(DAY(D2628)=DAY($L$1+1),TRUNC((N2627),8),E2627)</f>
        <v/>
      </c>
      <c r="F2628" s="49">
        <f>TRUNC(((1+VLOOKUP(A2628,IPCA!$A$2:$C$140,3,0)))^(C2628/(EDATE(D2628-C2628,1)-(D2628-C2628))),8)</f>
        <v/>
      </c>
      <c r="G2628" s="44">
        <f>TRUNC((E2628*F2628),8)</f>
        <v/>
      </c>
      <c r="H2628" s="44">
        <f>ROUND(((1+$H$4)^(30/360))^(C2628/(EDATE(D2628-B2628,1)-(D2628-B2628))),9)</f>
        <v/>
      </c>
      <c r="I2628" s="44">
        <f>TRUNC((G2628*H2628-G2628),8)</f>
        <v/>
      </c>
      <c r="J2628" s="49">
        <f>G2628+I2628</f>
        <v/>
      </c>
      <c r="K2628" s="256" t="n"/>
      <c r="L2628" s="256" t="n"/>
      <c r="M2628" s="256" t="n"/>
      <c r="N2628" s="256" t="n"/>
      <c r="O2628" s="256" t="n"/>
      <c r="P2628" s="256" t="n"/>
      <c r="Q2628" s="256" t="n"/>
    </row>
    <row r="2629">
      <c r="A2629">
        <f>IF(DAY(D2629)=DAY($L$1+1),A2628+1,A2628)</f>
        <v/>
      </c>
      <c r="B2629" s="1">
        <f>IF(DAY(D2629)=DAY($L$1+1),1,B2628+1)</f>
        <v/>
      </c>
      <c r="C2629" s="1">
        <f>IF(DAY(D2629)=DAY($L$1+1),1,C2628+1)</f>
        <v/>
      </c>
      <c r="D2629" s="2">
        <f>D2628+1</f>
        <v/>
      </c>
      <c r="E2629" s="8">
        <f>IF(DAY(D2629)=DAY($L$1+1),TRUNC((N2628),8),E2628)</f>
        <v/>
      </c>
      <c r="F2629" s="49">
        <f>TRUNC(((1+VLOOKUP(A2629,IPCA!$A$2:$C$140,3,0)))^(C2629/(EDATE(D2629-C2629,1)-(D2629-C2629))),8)</f>
        <v/>
      </c>
      <c r="G2629" s="44">
        <f>TRUNC((E2629*F2629),8)</f>
        <v/>
      </c>
      <c r="H2629" s="44">
        <f>ROUND(((1+$H$4)^(30/360))^(C2629/(EDATE(D2629-B2629,1)-(D2629-B2629))),9)</f>
        <v/>
      </c>
      <c r="I2629" s="44">
        <f>TRUNC((G2629*H2629-G2629),8)</f>
        <v/>
      </c>
      <c r="J2629" s="49">
        <f>G2629+I2629</f>
        <v/>
      </c>
      <c r="K2629" s="256" t="n"/>
      <c r="L2629" s="256" t="n"/>
      <c r="M2629" s="256" t="n"/>
      <c r="N2629" s="256" t="n"/>
      <c r="O2629" s="256" t="n"/>
      <c r="P2629" s="256" t="n"/>
      <c r="Q2629" s="256" t="n"/>
    </row>
    <row r="2630">
      <c r="A2630">
        <f>IF(DAY(D2630)=DAY($L$1+1),A2629+1,A2629)</f>
        <v/>
      </c>
      <c r="B2630" s="46">
        <f>IF(DAY(D2630)=DAY($L$1+1),1,B2629+1)</f>
        <v/>
      </c>
      <c r="C2630" s="46">
        <f>IF(DAY(D2630)=DAY($L$1+1),1,C2629+1)</f>
        <v/>
      </c>
      <c r="D2630" s="2">
        <f>D2629+1</f>
        <v/>
      </c>
      <c r="E2630" s="8">
        <f>IF(DAY(D2630)=DAY($L$1+1),TRUNC((N2629),8),E2629)</f>
        <v/>
      </c>
      <c r="F2630" s="49">
        <f>TRUNC(((1+VLOOKUP(A2630,IPCA!$A$2:$C$140,3,0)))^(C2630/(EDATE(D2630-C2630,1)-(D2630-C2630))),8)</f>
        <v/>
      </c>
      <c r="G2630" s="44">
        <f>TRUNC((E2630*F2630),8)</f>
        <v/>
      </c>
      <c r="H2630" s="44">
        <f>ROUND(((1+$H$4)^(30/360))^(C2630/(EDATE(D2630-B2630,1)-(D2630-B2630))),9)</f>
        <v/>
      </c>
      <c r="I2630" s="44">
        <f>TRUNC((G2630*H2630-G2630),8)</f>
        <v/>
      </c>
      <c r="J2630" s="49">
        <f>G2630+I2630</f>
        <v/>
      </c>
      <c r="K2630" s="256" t="n"/>
      <c r="L2630" s="256" t="n"/>
      <c r="M2630" s="256" t="n"/>
      <c r="N2630" s="256" t="n"/>
      <c r="O2630" s="256" t="n"/>
      <c r="P2630" s="256" t="n"/>
      <c r="Q2630" s="256" t="n"/>
    </row>
    <row r="2631">
      <c r="A2631">
        <f>IF(DAY(D2631)=DAY($L$1+1),A2630+1,A2630)</f>
        <v/>
      </c>
      <c r="B2631" s="1">
        <f>IF(DAY(D2631)=DAY($L$1+1),1,B2630+1)</f>
        <v/>
      </c>
      <c r="C2631" s="1">
        <f>IF(DAY(D2631)=DAY($L$1+1),1,C2630+1)</f>
        <v/>
      </c>
      <c r="D2631" s="2">
        <f>D2630+1</f>
        <v/>
      </c>
      <c r="E2631" s="8">
        <f>IF(DAY(D2631)=DAY($L$1+1),TRUNC((N2630),8),E2630)</f>
        <v/>
      </c>
      <c r="F2631" s="49">
        <f>TRUNC(((1+VLOOKUP(A2631,IPCA!$A$2:$C$140,3,0)))^(C2631/(EDATE(D2631-C2631,1)-(D2631-C2631))),8)</f>
        <v/>
      </c>
      <c r="G2631" s="44">
        <f>TRUNC((E2631*F2631),8)</f>
        <v/>
      </c>
      <c r="H2631" s="44">
        <f>ROUND(((1+$H$4)^(30/360))^(C2631/(EDATE(D2631-B2631,1)-(D2631-B2631))),9)</f>
        <v/>
      </c>
      <c r="I2631" s="44">
        <f>TRUNC((G2631*H2631-G2631),8)</f>
        <v/>
      </c>
      <c r="J2631" s="49">
        <f>G2631+I2631</f>
        <v/>
      </c>
      <c r="K2631" s="256" t="n"/>
      <c r="L2631" s="256" t="n"/>
      <c r="M2631" s="256" t="n"/>
      <c r="N2631" s="256" t="n"/>
      <c r="O2631" s="256" t="n"/>
      <c r="P2631" s="256" t="n"/>
      <c r="Q2631" s="256" t="n"/>
    </row>
    <row r="2632">
      <c r="A2632">
        <f>IF(DAY(D2632)=DAY($L$1+1),A2631+1,A2631)</f>
        <v/>
      </c>
      <c r="B2632" s="46">
        <f>IF(DAY(D2632)=DAY($L$1+1),1,B2631+1)</f>
        <v/>
      </c>
      <c r="C2632" s="46">
        <f>IF(DAY(D2632)=DAY($L$1+1),1,C2631+1)</f>
        <v/>
      </c>
      <c r="D2632" s="2">
        <f>D2631+1</f>
        <v/>
      </c>
      <c r="E2632" s="8">
        <f>IF(DAY(D2632)=DAY($L$1+1),TRUNC((N2631),8),E2631)</f>
        <v/>
      </c>
      <c r="F2632" s="49">
        <f>TRUNC(((1+VLOOKUP(A2632,IPCA!$A$2:$C$140,3,0)))^(C2632/(EDATE(D2632-C2632,1)-(D2632-C2632))),8)</f>
        <v/>
      </c>
      <c r="G2632" s="44">
        <f>TRUNC((E2632*F2632),8)</f>
        <v/>
      </c>
      <c r="H2632" s="44">
        <f>ROUND(((1+$H$4)^(30/360))^(C2632/(EDATE(D2632-B2632,1)-(D2632-B2632))),9)</f>
        <v/>
      </c>
      <c r="I2632" s="44">
        <f>TRUNC((G2632*H2632-G2632),8)</f>
        <v/>
      </c>
      <c r="J2632" s="49">
        <f>G2632+I2632</f>
        <v/>
      </c>
      <c r="K2632" s="256" t="n"/>
      <c r="L2632" s="256" t="n"/>
      <c r="M2632" s="256" t="n"/>
      <c r="N2632" s="256" t="n"/>
      <c r="O2632" s="256" t="n"/>
      <c r="P2632" s="256" t="n"/>
      <c r="Q2632" s="256" t="n"/>
    </row>
    <row r="2633">
      <c r="A2633">
        <f>IF(DAY(D2633)=DAY($L$1+1),A2632+1,A2632)</f>
        <v/>
      </c>
      <c r="B2633" s="1">
        <f>IF(DAY(D2633)=DAY($L$1+1),1,B2632+1)</f>
        <v/>
      </c>
      <c r="C2633" s="1">
        <f>IF(DAY(D2633)=DAY($L$1+1),1,C2632+1)</f>
        <v/>
      </c>
      <c r="D2633" s="2">
        <f>D2632+1</f>
        <v/>
      </c>
      <c r="E2633" s="8">
        <f>IF(DAY(D2633)=DAY($L$1+1),TRUNC((N2632),8),E2632)</f>
        <v/>
      </c>
      <c r="F2633" s="49">
        <f>TRUNC(((1+VLOOKUP(A2633,IPCA!$A$2:$C$140,3,0)))^(C2633/(EDATE(D2633-C2633,1)-(D2633-C2633))),8)</f>
        <v/>
      </c>
      <c r="G2633" s="44">
        <f>TRUNC((E2633*F2633),8)</f>
        <v/>
      </c>
      <c r="H2633" s="44">
        <f>ROUND(((1+$H$4)^(30/360))^(C2633/(EDATE(D2633-B2633,1)-(D2633-B2633))),9)</f>
        <v/>
      </c>
      <c r="I2633" s="44">
        <f>TRUNC((G2633*H2633-G2633),8)</f>
        <v/>
      </c>
      <c r="J2633" s="49">
        <f>G2633+I2633</f>
        <v/>
      </c>
      <c r="K2633" s="256" t="n"/>
      <c r="L2633" s="256" t="n"/>
      <c r="M2633" s="256" t="n"/>
      <c r="N2633" s="256" t="n"/>
      <c r="O2633" s="256" t="n"/>
      <c r="P2633" s="256" t="n"/>
      <c r="Q2633" s="256" t="n"/>
    </row>
    <row r="2634">
      <c r="A2634">
        <f>IF(DAY(D2634)=DAY($L$1+1),A2633+1,A2633)</f>
        <v/>
      </c>
      <c r="B2634" s="46">
        <f>IF(DAY(D2634)=DAY($L$1+1),1,B2633+1)</f>
        <v/>
      </c>
      <c r="C2634" s="46">
        <f>IF(DAY(D2634)=DAY($L$1+1),1,C2633+1)</f>
        <v/>
      </c>
      <c r="D2634" s="2">
        <f>D2633+1</f>
        <v/>
      </c>
      <c r="E2634" s="8">
        <f>IF(DAY(D2634)=DAY($L$1+1),TRUNC((N2633),8),E2633)</f>
        <v/>
      </c>
      <c r="F2634" s="49">
        <f>TRUNC(((1+VLOOKUP(A2634,IPCA!$A$2:$C$140,3,0)))^(C2634/(EDATE(D2634-C2634,1)-(D2634-C2634))),8)</f>
        <v/>
      </c>
      <c r="G2634" s="44">
        <f>TRUNC((E2634*F2634),8)</f>
        <v/>
      </c>
      <c r="H2634" s="44">
        <f>ROUND(((1+$H$4)^(30/360))^(C2634/(EDATE(D2634-B2634,1)-(D2634-B2634))),9)</f>
        <v/>
      </c>
      <c r="I2634" s="44">
        <f>TRUNC((G2634*H2634-G2634),8)</f>
        <v/>
      </c>
      <c r="J2634" s="49">
        <f>G2634+I2634</f>
        <v/>
      </c>
      <c r="K2634" s="256" t="n"/>
      <c r="L2634" s="256" t="n"/>
      <c r="M2634" s="256" t="n"/>
      <c r="N2634" s="256" t="n"/>
      <c r="O2634" s="256" t="n"/>
      <c r="P2634" s="256" t="n"/>
      <c r="Q2634" s="256" t="n"/>
    </row>
    <row r="2635">
      <c r="A2635">
        <f>IF(DAY(D2635)=DAY($L$1+1),A2634+1,A2634)</f>
        <v/>
      </c>
      <c r="B2635" s="1">
        <f>IF(DAY(D2635)=DAY($L$1+1),1,B2634+1)</f>
        <v/>
      </c>
      <c r="C2635" s="1">
        <f>IF(DAY(D2635)=DAY($L$1+1),1,C2634+1)</f>
        <v/>
      </c>
      <c r="D2635" s="2">
        <f>D2634+1</f>
        <v/>
      </c>
      <c r="E2635" s="8">
        <f>IF(DAY(D2635)=DAY($L$1+1),TRUNC((N2634),8),E2634)</f>
        <v/>
      </c>
      <c r="F2635" s="49">
        <f>TRUNC(((1+VLOOKUP(A2635,IPCA!$A$2:$C$140,3,0)))^(C2635/(EDATE(D2635-C2635,1)-(D2635-C2635))),8)</f>
        <v/>
      </c>
      <c r="G2635" s="44">
        <f>TRUNC((E2635*F2635),8)</f>
        <v/>
      </c>
      <c r="H2635" s="44">
        <f>ROUND(((1+$H$4)^(30/360))^(C2635/(EDATE(D2635-B2635,1)-(D2635-B2635))),9)</f>
        <v/>
      </c>
      <c r="I2635" s="44">
        <f>TRUNC((G2635*H2635-G2635),8)</f>
        <v/>
      </c>
      <c r="J2635" s="49">
        <f>G2635+I2635</f>
        <v/>
      </c>
      <c r="K2635" s="256" t="n"/>
      <c r="L2635" s="256" t="n"/>
      <c r="M2635" s="256" t="n"/>
      <c r="N2635" s="256" t="n"/>
      <c r="O2635" s="256" t="n"/>
      <c r="P2635" s="256" t="n"/>
      <c r="Q2635" s="256" t="n"/>
    </row>
    <row r="2636">
      <c r="A2636">
        <f>IF(DAY(D2636)=DAY($L$1+1),A2635+1,A2635)</f>
        <v/>
      </c>
      <c r="B2636" s="46">
        <f>IF(DAY(D2636)=DAY($L$1+1),1,B2635+1)</f>
        <v/>
      </c>
      <c r="C2636" s="46">
        <f>IF(DAY(D2636)=DAY($L$1+1),1,C2635+1)</f>
        <v/>
      </c>
      <c r="D2636" s="2">
        <f>D2635+1</f>
        <v/>
      </c>
      <c r="E2636" s="8">
        <f>IF(DAY(D2636)=DAY($L$1+1),TRUNC((N2635),8),E2635)</f>
        <v/>
      </c>
      <c r="F2636" s="49">
        <f>TRUNC(((1+VLOOKUP(A2636,IPCA!$A$2:$C$140,3,0)))^(C2636/(EDATE(D2636-C2636,1)-(D2636-C2636))),8)</f>
        <v/>
      </c>
      <c r="G2636" s="49">
        <f>TRUNC((E2636*F2636),8)</f>
        <v/>
      </c>
      <c r="H2636" s="49">
        <f>ROUND(((1+$H$4)^(30/360))^(C2636/(EDATE(D2636-B2636,1)-(D2636-B2636))),9)</f>
        <v/>
      </c>
      <c r="I2636" s="49">
        <f>TRUNC((G2636*H2636-G2636),8)</f>
        <v/>
      </c>
      <c r="J2636" s="49">
        <f>G2636+I2636</f>
        <v/>
      </c>
      <c r="K2636" s="256" t="inlineStr">
        <is>
          <t>Cri Integralizado</t>
        </is>
      </c>
      <c r="L2636" s="270">
        <f>L2605</f>
        <v/>
      </c>
      <c r="M2636" s="256" t="n"/>
      <c r="N2636" s="256" t="n"/>
      <c r="O2636" s="256" t="n"/>
      <c r="P2636" s="256" t="n"/>
      <c r="Q2636" s="256" t="n"/>
    </row>
    <row r="2637">
      <c r="A2637">
        <f>IF(DAY(D2637)=DAY($L$1+1),A2636+1,A2636)</f>
        <v/>
      </c>
      <c r="B2637" s="46">
        <f>IF(DAY(D2637)=DAY($L$1+1),1,B2636+1)</f>
        <v/>
      </c>
      <c r="C2637" s="46">
        <f>IF(DAY(D2637)=DAY($L$1+1),1,C2636+1)</f>
        <v/>
      </c>
      <c r="D2637" s="47">
        <f>D2636+1</f>
        <v/>
      </c>
      <c r="E2637" s="8">
        <f>IF(DAY(D2637)=DAY($L$1+1),TRUNC((N2636),8),E2636)</f>
        <v/>
      </c>
      <c r="F2637" s="49">
        <f>TRUNC(((1+VLOOKUP(A2637,IPCA!$A$2:$C$140,3,0)))^(C2637/(EDATE(D2637-C2637,1)-(D2637-C2637))),8)</f>
        <v/>
      </c>
      <c r="G2637" s="49">
        <f>TRUNC((E2637*F2637),8)</f>
        <v/>
      </c>
      <c r="H2637" s="49">
        <f>ROUND(((1+$H$4)^(30/360))^(C2637/(EDATE(D2637-B2637,1)-(D2637-B2637))),9)</f>
        <v/>
      </c>
      <c r="I2637" s="49">
        <f>TRUNC((G2637*H2637-G2637),8)</f>
        <v/>
      </c>
      <c r="J2637" s="49">
        <f>G2637+I2637</f>
        <v/>
      </c>
      <c r="K2637" s="137" t="inlineStr">
        <is>
          <t>JUROS</t>
        </is>
      </c>
      <c r="L2637" s="118" t="inlineStr">
        <is>
          <t>AMORTIZAÇÃO</t>
        </is>
      </c>
      <c r="M2637" s="118" t="inlineStr">
        <is>
          <t>AMEX</t>
        </is>
      </c>
      <c r="N2637" s="118" t="inlineStr">
        <is>
          <t>RESIDUAL</t>
        </is>
      </c>
      <c r="O2637" s="256" t="n"/>
      <c r="P2637" s="256" t="n"/>
      <c r="Q2637" s="256" t="n"/>
    </row>
    <row r="2638">
      <c r="A2638">
        <f>IF(DAY(D2638)=DAY($L$1+1),A2637+1,A2637)</f>
        <v/>
      </c>
      <c r="B2638" s="111">
        <f>IF(DAY(D2638)=DAY($L$1+1),1,B2637+1)</f>
        <v/>
      </c>
      <c r="C2638" s="111">
        <f>IF(DAY(D2638)=DAY($L$1+1),1,C2637+1)</f>
        <v/>
      </c>
      <c r="D2638" s="112">
        <f>D2637+1</f>
        <v/>
      </c>
      <c r="E2638" s="113">
        <f>IF(DAY(D2638)=DAY($L$1+1),TRUNC((N2637),8),E2637)</f>
        <v/>
      </c>
      <c r="F2638" s="114">
        <f>TRUNC(((1+VLOOKUP(A2638,IPCA!$A$2:$C$140,3,0)))^(C2638/(EDATE(D2638-C2638,1)-(D2638-C2638))),8)</f>
        <v/>
      </c>
      <c r="G2638" s="114">
        <f>TRUNC((E2638*F2638),8)</f>
        <v/>
      </c>
      <c r="H2638" s="114">
        <f>ROUND(((1+$H$4)^(30/360))^(C2638/(EDATE(D2638-B2638,1)-(D2638-B2638))),9)</f>
        <v/>
      </c>
      <c r="I2638" s="114">
        <f>TRUNC((G2638*H2638-G2638),8)</f>
        <v/>
      </c>
      <c r="J2638" s="114">
        <f>G2638+I2638</f>
        <v/>
      </c>
      <c r="K2638" s="119">
        <f>I2638</f>
        <v/>
      </c>
      <c r="L2638" s="120">
        <f>TRUNC(G2638*VLOOKUP(D2638,'Amort TS'!$G$3:$H$140,2,0),8)</f>
        <v/>
      </c>
      <c r="M2638" s="120" t="n">
        <v>0</v>
      </c>
      <c r="N2638" s="120">
        <f>J2638-K2638-L2638-M2638</f>
        <v/>
      </c>
      <c r="O2638" s="256" t="n"/>
      <c r="P2638" s="256" t="n"/>
      <c r="Q2638" s="256" t="n"/>
    </row>
    <row r="2639">
      <c r="A2639">
        <f>IF(DAY(D2639)=DAY($L$1+1),A2638+1,A2638)</f>
        <v/>
      </c>
      <c r="B2639" s="46">
        <f>IF(DAY(D2639)=DAY($L$1+1),1,B2638+1)</f>
        <v/>
      </c>
      <c r="C2639" s="46">
        <f>IF(DAY(D2639)=DAY($L$1+1),1,C2638+1)</f>
        <v/>
      </c>
      <c r="D2639" s="2">
        <f>D2638+1</f>
        <v/>
      </c>
      <c r="E2639" s="8">
        <f>IF(DAY(D2639)=DAY($L$1+1),TRUNC((N2638),8),E2638)</f>
        <v/>
      </c>
      <c r="F2639" s="49">
        <f>TRUNC(((1+VLOOKUP(A2639,IPCA!$A$2:$C$140,3,0)))^(C2639/(EDATE(D2639-C2639,1)-(D2639-C2639))),8)</f>
        <v/>
      </c>
      <c r="G2639" s="49">
        <f>TRUNC((E2639*F2639),8)</f>
        <v/>
      </c>
      <c r="H2639" s="49">
        <f>ROUND(((1+$H$4)^(30/360))^(C2639/(EDATE(D2639-B2639,1)-(D2639-B2639))),9)</f>
        <v/>
      </c>
      <c r="I2639" s="49">
        <f>TRUNC((G2639*H2639-G2639),8)</f>
        <v/>
      </c>
      <c r="J2639" s="49">
        <f>G2639+I2639</f>
        <v/>
      </c>
      <c r="K2639" s="121">
        <f>K2638*L2636</f>
        <v/>
      </c>
      <c r="L2639" s="121">
        <f>L2638*L2636</f>
        <v/>
      </c>
      <c r="M2639" s="121">
        <f>M2638*L2636</f>
        <v/>
      </c>
      <c r="N2639" s="121">
        <f>N2638*L2636</f>
        <v/>
      </c>
      <c r="O2639" s="256" t="n"/>
      <c r="P2639" s="256" t="n"/>
      <c r="Q2639" s="256" t="n"/>
    </row>
    <row r="2640">
      <c r="A2640">
        <f>IF(DAY(D2640)=DAY($L$1+1),A2639+1,A2639)</f>
        <v/>
      </c>
      <c r="B2640" s="46">
        <f>IF(DAY(D2640)=DAY($L$1+1),1,B2639+1)</f>
        <v/>
      </c>
      <c r="C2640" s="46">
        <f>IF(DAY(D2640)=DAY($L$1+1),1,C2639+1)</f>
        <v/>
      </c>
      <c r="D2640" s="47">
        <f>D2639+1</f>
        <v/>
      </c>
      <c r="E2640" s="8">
        <f>IF(DAY(D2640)=DAY($L$1+1),TRUNC((N2639),8),E2639)</f>
        <v/>
      </c>
      <c r="F2640" s="49">
        <f>TRUNC(((1+VLOOKUP(A2640,IPCA!$A$2:$C$140,3,0)))^(C2640/(EDATE(D2640-C2640,1)-(D2640-C2640))),8)</f>
        <v/>
      </c>
      <c r="G2640" s="49">
        <f>TRUNC((E2640*F2640),8)</f>
        <v/>
      </c>
      <c r="H2640" s="49">
        <f>ROUND(((1+$H$4)^(30/360))^(C2640/(EDATE(D2640-B2640,1)-(D2640-B2640))),9)</f>
        <v/>
      </c>
      <c r="I2640" s="49">
        <f>TRUNC((G2640*H2640-G2640),8)</f>
        <v/>
      </c>
      <c r="J2640" s="49">
        <f>G2640+I2640</f>
        <v/>
      </c>
      <c r="K2640" s="256" t="n"/>
      <c r="L2640" s="256" t="n"/>
      <c r="M2640" s="256" t="n"/>
      <c r="N2640" s="256" t="n"/>
      <c r="O2640" s="256" t="n"/>
      <c r="P2640" s="256" t="n"/>
      <c r="Q2640" s="256" t="n"/>
    </row>
    <row r="2641">
      <c r="A2641">
        <f>IF(DAY(D2641)=DAY($L$1+1),A2640+1,A2640)</f>
        <v/>
      </c>
      <c r="B2641" s="1">
        <f>IF(DAY(D2641)=DAY($L$1+1),1,B2640+1)</f>
        <v/>
      </c>
      <c r="C2641" s="1">
        <f>IF(DAY(D2641)=DAY($L$1+1),1,C2640+1)</f>
        <v/>
      </c>
      <c r="D2641" s="2">
        <f>D2640+1</f>
        <v/>
      </c>
      <c r="E2641" s="8">
        <f>IF(DAY(D2641)=DAY($L$1+1),TRUNC((#REF!),8),E2640)</f>
        <v/>
      </c>
      <c r="F2641" s="49">
        <f>TRUNC(((1+VLOOKUP(A2641,IPCA!$A$2:$C$140,3,0)))^(C2641/(EDATE(D2641-C2641,1)-(D2641-C2641))),8)</f>
        <v/>
      </c>
      <c r="G2641" s="44">
        <f>TRUNC((E2641*F2641),8)</f>
        <v/>
      </c>
      <c r="H2641" s="44">
        <f>ROUND(((1+$H$4)^(30/360))^(C2641/(EDATE(D2641-B2641,1)-(D2641-B2641))),9)</f>
        <v/>
      </c>
      <c r="I2641" s="44">
        <f>TRUNC((G2641*H2641-G2641),8)</f>
        <v/>
      </c>
      <c r="J2641" s="49">
        <f>G2641+I2641</f>
        <v/>
      </c>
      <c r="K2641" s="256" t="n"/>
      <c r="L2641" s="256" t="n"/>
      <c r="M2641" s="256" t="n"/>
      <c r="N2641" s="256" t="n"/>
      <c r="O2641" s="256" t="n"/>
      <c r="P2641" s="256" t="n"/>
      <c r="Q2641" s="256" t="n"/>
    </row>
    <row r="2642">
      <c r="A2642">
        <f>IF(DAY(D2642)=DAY($L$1+1),A2641+1,A2641)</f>
        <v/>
      </c>
      <c r="B2642" s="46">
        <f>IF(DAY(D2642)=DAY($L$1+1),1,B2641+1)</f>
        <v/>
      </c>
      <c r="C2642" s="46">
        <f>IF(DAY(D2642)=DAY($L$1+1),1,C2641+1)</f>
        <v/>
      </c>
      <c r="D2642" s="2">
        <f>D2641+1</f>
        <v/>
      </c>
      <c r="E2642" s="8">
        <f>IF(DAY(D2642)=DAY($L$1+1),TRUNC((#REF!),8),E2641)</f>
        <v/>
      </c>
      <c r="F2642" s="49">
        <f>TRUNC(((1+VLOOKUP(A2642,IPCA!$A$2:$C$140,3,0)))^(C2642/(EDATE(D2642-C2642,1)-(D2642-C2642))),8)</f>
        <v/>
      </c>
      <c r="G2642" s="44">
        <f>TRUNC((E2642*F2642),8)</f>
        <v/>
      </c>
      <c r="H2642" s="44">
        <f>ROUND(((1+$H$4)^(30/360))^(C2642/(EDATE(D2642-B2642,1)-(D2642-B2642))),9)</f>
        <v/>
      </c>
      <c r="I2642" s="44">
        <f>TRUNC((G2642*H2642-G2642),8)</f>
        <v/>
      </c>
      <c r="J2642" s="49">
        <f>G2642+I2642</f>
        <v/>
      </c>
      <c r="K2642" s="256" t="n"/>
      <c r="L2642" s="256" t="n"/>
      <c r="M2642" s="256" t="n"/>
      <c r="N2642" s="256" t="n"/>
      <c r="O2642" s="256" t="n"/>
      <c r="P2642" s="256" t="n"/>
      <c r="Q2642" s="256" t="n"/>
    </row>
    <row r="2643">
      <c r="A2643">
        <f>IF(DAY(D2643)=DAY($L$1+1),A2642+1,A2642)</f>
        <v/>
      </c>
      <c r="B2643" s="1">
        <f>IF(DAY(D2643)=DAY($L$1+1),1,B2642+1)</f>
        <v/>
      </c>
      <c r="C2643" s="1">
        <f>IF(DAY(D2643)=DAY($L$1+1),1,C2642+1)</f>
        <v/>
      </c>
      <c r="D2643" s="2">
        <f>D2642+1</f>
        <v/>
      </c>
      <c r="E2643" s="8">
        <f>IF(DAY(D2643)=DAY($L$1+1),TRUNC((#REF!),8),E2642)</f>
        <v/>
      </c>
      <c r="F2643" s="49">
        <f>TRUNC(((1+VLOOKUP(A2643,IPCA!$A$2:$C$140,3,0)))^(C2643/(EDATE(D2643-C2643,1)-(D2643-C2643))),8)</f>
        <v/>
      </c>
      <c r="G2643" s="44">
        <f>TRUNC((E2643*F2643),8)</f>
        <v/>
      </c>
      <c r="H2643" s="44">
        <f>ROUND(((1+$H$4)^(30/360))^(C2643/(EDATE(D2643-B2643,1)-(D2643-B2643))),9)</f>
        <v/>
      </c>
      <c r="I2643" s="44">
        <f>TRUNC((G2643*H2643-G2643),8)</f>
        <v/>
      </c>
      <c r="J2643" s="49">
        <f>G2643+I2643</f>
        <v/>
      </c>
      <c r="K2643" s="256" t="n"/>
      <c r="L2643" s="256" t="n"/>
      <c r="M2643" s="256" t="n"/>
      <c r="N2643" s="256" t="n"/>
      <c r="O2643" s="256" t="n"/>
      <c r="P2643" s="256" t="n"/>
      <c r="Q2643" s="256" t="n"/>
    </row>
    <row r="2644">
      <c r="A2644">
        <f>IF(DAY(D2644)=DAY($L$1+1),A2643+1,A2643)</f>
        <v/>
      </c>
      <c r="B2644" s="46">
        <f>IF(DAY(D2644)=DAY($L$1+1),1,B2643+1)</f>
        <v/>
      </c>
      <c r="C2644" s="46">
        <f>IF(DAY(D2644)=DAY($L$1+1),1,C2643+1)</f>
        <v/>
      </c>
      <c r="D2644" s="2">
        <f>D2643+1</f>
        <v/>
      </c>
      <c r="E2644" s="8">
        <f>IF(DAY(D2644)=DAY($L$1+1),TRUNC((#REF!),8),E2643)</f>
        <v/>
      </c>
      <c r="F2644" s="49">
        <f>TRUNC(((1+VLOOKUP(A2644,IPCA!$A$2:$C$140,3,0)))^(C2644/(EDATE(D2644-C2644,1)-(D2644-C2644))),8)</f>
        <v/>
      </c>
      <c r="G2644" s="44">
        <f>TRUNC((E2644*F2644),8)</f>
        <v/>
      </c>
      <c r="H2644" s="44">
        <f>ROUND(((1+$H$4)^(30/360))^(C2644/(EDATE(D2644-B2644,1)-(D2644-B2644))),9)</f>
        <v/>
      </c>
      <c r="I2644" s="44">
        <f>TRUNC((G2644*H2644-G2644),8)</f>
        <v/>
      </c>
      <c r="J2644" s="49">
        <f>G2644+I2644</f>
        <v/>
      </c>
      <c r="K2644" s="256" t="n"/>
      <c r="L2644" s="256" t="n"/>
      <c r="M2644" s="256" t="n"/>
      <c r="N2644" s="256" t="n"/>
      <c r="O2644" s="256" t="n"/>
      <c r="P2644" s="256" t="n"/>
      <c r="Q2644" s="256" t="n"/>
    </row>
    <row r="2645">
      <c r="A2645">
        <f>IF(DAY(D2645)=DAY($L$1+1),A2644+1,A2644)</f>
        <v/>
      </c>
      <c r="B2645" s="1">
        <f>IF(DAY(D2645)=DAY($L$1+1),1,B2644+1)</f>
        <v/>
      </c>
      <c r="C2645" s="1">
        <f>IF(DAY(D2645)=DAY($L$1+1),1,C2644+1)</f>
        <v/>
      </c>
      <c r="D2645" s="2">
        <f>D2644+1</f>
        <v/>
      </c>
      <c r="E2645" s="8">
        <f>IF(DAY(D2645)=DAY($L$1+1),TRUNC((#REF!),8),E2644)</f>
        <v/>
      </c>
      <c r="F2645" s="49">
        <f>TRUNC(((1+VLOOKUP(A2645,IPCA!$A$2:$C$140,3,0)))^(C2645/(EDATE(D2645-C2645,1)-(D2645-C2645))),8)</f>
        <v/>
      </c>
      <c r="G2645" s="44">
        <f>TRUNC((E2645*F2645),8)</f>
        <v/>
      </c>
      <c r="H2645" s="44">
        <f>ROUND(((1+$H$4)^(30/360))^(C2645/(EDATE(D2645-B2645,1)-(D2645-B2645))),9)</f>
        <v/>
      </c>
      <c r="I2645" s="44">
        <f>TRUNC((G2645*H2645-G2645),8)</f>
        <v/>
      </c>
      <c r="J2645" s="49">
        <f>G2645+I2645</f>
        <v/>
      </c>
      <c r="K2645" s="256" t="n"/>
      <c r="L2645" s="256" t="n"/>
      <c r="M2645" s="256" t="n"/>
      <c r="N2645" s="256" t="n"/>
      <c r="O2645" s="256" t="n"/>
      <c r="P2645" s="256" t="n"/>
      <c r="Q2645" s="256" t="n"/>
    </row>
    <row r="2646">
      <c r="A2646">
        <f>IF(DAY(D2646)=DAY($L$1+1),A2645+1,A2645)</f>
        <v/>
      </c>
      <c r="B2646" s="46">
        <f>IF(DAY(D2646)=DAY($L$1+1),1,B2645+1)</f>
        <v/>
      </c>
      <c r="C2646" s="46">
        <f>IF(DAY(D2646)=DAY($L$1+1),1,C2645+1)</f>
        <v/>
      </c>
      <c r="D2646" s="2">
        <f>D2645+1</f>
        <v/>
      </c>
      <c r="E2646" s="8">
        <f>IF(DAY(D2646)=DAY($L$1+1),TRUNC((#REF!),8),E2645)</f>
        <v/>
      </c>
      <c r="F2646" s="49">
        <f>TRUNC(((1+VLOOKUP(A2646,IPCA!$A$2:$C$140,3,0)))^(C2646/(EDATE(D2646-C2646,1)-(D2646-C2646))),8)</f>
        <v/>
      </c>
      <c r="G2646" s="44">
        <f>TRUNC((E2646*F2646),8)</f>
        <v/>
      </c>
      <c r="H2646" s="44">
        <f>ROUND(((1+$H$4)^(30/360))^(C2646/(EDATE(D2646-B2646,1)-(D2646-B2646))),9)</f>
        <v/>
      </c>
      <c r="I2646" s="44">
        <f>TRUNC((G2646*H2646-G2646),8)</f>
        <v/>
      </c>
      <c r="J2646" s="49">
        <f>G2646+I2646</f>
        <v/>
      </c>
      <c r="K2646" s="256" t="n"/>
      <c r="L2646" s="256" t="n"/>
      <c r="M2646" s="256" t="n"/>
      <c r="N2646" s="256" t="n"/>
      <c r="O2646" s="256" t="n"/>
      <c r="P2646" s="256" t="n"/>
      <c r="Q2646" s="256" t="n"/>
    </row>
    <row r="2647">
      <c r="A2647">
        <f>IF(DAY(D2647)=DAY($L$1+1),A2646+1,A2646)</f>
        <v/>
      </c>
      <c r="B2647" s="1">
        <f>IF(DAY(D2647)=DAY($L$1+1),1,B2646+1)</f>
        <v/>
      </c>
      <c r="C2647" s="1">
        <f>IF(DAY(D2647)=DAY($L$1+1),1,C2646+1)</f>
        <v/>
      </c>
      <c r="D2647" s="2">
        <f>D2646+1</f>
        <v/>
      </c>
      <c r="E2647" s="8">
        <f>IF(DAY(D2647)=DAY($L$1+1),TRUNC((#REF!),8),E2646)</f>
        <v/>
      </c>
      <c r="F2647" s="49">
        <f>TRUNC(((1+VLOOKUP(A2647,IPCA!$A$2:$C$140,3,0)))^(C2647/(EDATE(D2647-C2647,1)-(D2647-C2647))),8)</f>
        <v/>
      </c>
      <c r="G2647" s="44">
        <f>TRUNC((E2647*F2647),8)</f>
        <v/>
      </c>
      <c r="H2647" s="44">
        <f>ROUND(((1+$H$4)^(30/360))^(C2647/(EDATE(D2647-B2647,1)-(D2647-B2647))),9)</f>
        <v/>
      </c>
      <c r="I2647" s="44">
        <f>TRUNC((G2647*H2647-G2647),8)</f>
        <v/>
      </c>
      <c r="J2647" s="49">
        <f>G2647+I2647</f>
        <v/>
      </c>
      <c r="K2647" s="256" t="n"/>
      <c r="L2647" s="256" t="n"/>
      <c r="M2647" s="256" t="n"/>
      <c r="N2647" s="256" t="n"/>
      <c r="O2647" s="256" t="n"/>
      <c r="P2647" s="256" t="n"/>
      <c r="Q2647" s="256" t="n"/>
    </row>
    <row r="2648">
      <c r="A2648">
        <f>IF(DAY(D2648)=DAY($L$1+1),A2647+1,A2647)</f>
        <v/>
      </c>
      <c r="B2648" s="46">
        <f>IF(DAY(D2648)=DAY($L$1+1),1,B2647+1)</f>
        <v/>
      </c>
      <c r="C2648" s="46">
        <f>IF(DAY(D2648)=DAY($L$1+1),1,C2647+1)</f>
        <v/>
      </c>
      <c r="D2648" s="2">
        <f>D2647+1</f>
        <v/>
      </c>
      <c r="E2648" s="8">
        <f>IF(DAY(D2648)=DAY($L$1+1),TRUNC((#REF!),8),E2647)</f>
        <v/>
      </c>
      <c r="F2648" s="49">
        <f>TRUNC(((1+VLOOKUP(A2648,IPCA!$A$2:$C$140,3,0)))^(C2648/(EDATE(D2648-C2648,1)-(D2648-C2648))),8)</f>
        <v/>
      </c>
      <c r="G2648" s="44">
        <f>TRUNC((E2648*F2648),8)</f>
        <v/>
      </c>
      <c r="H2648" s="44">
        <f>ROUND(((1+$H$4)^(30/360))^(C2648/(EDATE(D2648-B2648,1)-(D2648-B2648))),9)</f>
        <v/>
      </c>
      <c r="I2648" s="44">
        <f>TRUNC((G2648*H2648-G2648),8)</f>
        <v/>
      </c>
      <c r="J2648" s="49">
        <f>G2648+I2648</f>
        <v/>
      </c>
      <c r="K2648" s="256" t="n"/>
      <c r="L2648" s="256" t="n"/>
      <c r="M2648" s="256" t="n"/>
      <c r="N2648" s="256" t="n"/>
      <c r="O2648" s="256" t="n"/>
      <c r="P2648" s="256" t="n"/>
      <c r="Q2648" s="256" t="n"/>
    </row>
    <row r="2649">
      <c r="A2649">
        <f>IF(DAY(D2649)=DAY($L$1+1),A2648+1,A2648)</f>
        <v/>
      </c>
      <c r="B2649" s="1">
        <f>IF(DAY(D2649)=DAY($L$1+1),1,B2648+1)</f>
        <v/>
      </c>
      <c r="C2649" s="1">
        <f>IF(DAY(D2649)=DAY($L$1+1),1,C2648+1)</f>
        <v/>
      </c>
      <c r="D2649" s="2">
        <f>D2648+1</f>
        <v/>
      </c>
      <c r="E2649" s="8">
        <f>IF(DAY(D2649)=DAY($L$1+1),TRUNC((#REF!),8),E2648)</f>
        <v/>
      </c>
      <c r="F2649" s="49">
        <f>TRUNC(((1+VLOOKUP(A2649,IPCA!$A$2:$C$140,3,0)))^(C2649/(EDATE(D2649-C2649,1)-(D2649-C2649))),8)</f>
        <v/>
      </c>
      <c r="G2649" s="44">
        <f>TRUNC((E2649*F2649),8)</f>
        <v/>
      </c>
      <c r="H2649" s="44">
        <f>ROUND(((1+$H$4)^(30/360))^(C2649/(EDATE(D2649-B2649,1)-(D2649-B2649))),9)</f>
        <v/>
      </c>
      <c r="I2649" s="44">
        <f>TRUNC((G2649*H2649-G2649),8)</f>
        <v/>
      </c>
      <c r="J2649" s="49">
        <f>G2649+I2649</f>
        <v/>
      </c>
      <c r="K2649" s="256" t="n"/>
      <c r="L2649" s="256" t="n"/>
      <c r="M2649" s="256" t="n"/>
      <c r="N2649" s="256" t="n"/>
      <c r="O2649" s="256" t="n"/>
      <c r="P2649" s="256" t="n"/>
      <c r="Q2649" s="256" t="n"/>
    </row>
    <row r="2650">
      <c r="A2650">
        <f>IF(DAY(D2650)=DAY($L$1+1),A2649+1,A2649)</f>
        <v/>
      </c>
      <c r="B2650" s="46">
        <f>IF(DAY(D2650)=DAY($L$1+1),1,B2649+1)</f>
        <v/>
      </c>
      <c r="C2650" s="46">
        <f>IF(DAY(D2650)=DAY($L$1+1),1,C2649+1)</f>
        <v/>
      </c>
      <c r="D2650" s="2">
        <f>D2649+1</f>
        <v/>
      </c>
      <c r="E2650" s="8">
        <f>IF(DAY(D2650)=DAY($L$1+1),TRUNC((#REF!),8),E2649)</f>
        <v/>
      </c>
      <c r="F2650" s="49">
        <f>TRUNC(((1+VLOOKUP(A2650,IPCA!$A$2:$C$140,3,0)))^(C2650/(EDATE(D2650-C2650,1)-(D2650-C2650))),8)</f>
        <v/>
      </c>
      <c r="G2650" s="44">
        <f>TRUNC((E2650*F2650),8)</f>
        <v/>
      </c>
      <c r="H2650" s="44">
        <f>ROUND(((1+$H$4)^(30/360))^(C2650/(EDATE(D2650-B2650,1)-(D2650-B2650))),9)</f>
        <v/>
      </c>
      <c r="I2650" s="44">
        <f>TRUNC((G2650*H2650-G2650),8)</f>
        <v/>
      </c>
      <c r="J2650" s="49">
        <f>G2650+I2650</f>
        <v/>
      </c>
      <c r="K2650" s="256" t="n"/>
      <c r="L2650" s="256" t="n"/>
      <c r="M2650" s="256" t="n"/>
      <c r="N2650" s="256" t="n"/>
      <c r="O2650" s="256" t="n"/>
      <c r="P2650" s="256" t="n"/>
      <c r="Q2650" s="256" t="n"/>
    </row>
    <row r="2651">
      <c r="A2651">
        <f>IF(DAY(D2651)=DAY($L$1+1),A2650+1,A2650)</f>
        <v/>
      </c>
      <c r="B2651" s="1">
        <f>IF(DAY(D2651)=DAY($L$1+1),1,B2650+1)</f>
        <v/>
      </c>
      <c r="C2651" s="1">
        <f>IF(DAY(D2651)=DAY($L$1+1),1,C2650+1)</f>
        <v/>
      </c>
      <c r="D2651" s="2">
        <f>D2650+1</f>
        <v/>
      </c>
      <c r="E2651" s="8">
        <f>IF(DAY(D2651)=DAY($L$1+1),TRUNC((#REF!),8),E2650)</f>
        <v/>
      </c>
      <c r="F2651" s="49">
        <f>TRUNC(((1+VLOOKUP(A2651,IPCA!$A$2:$C$140,3,0)))^(C2651/(EDATE(D2651-C2651,1)-(D2651-C2651))),8)</f>
        <v/>
      </c>
      <c r="G2651" s="44">
        <f>TRUNC((E2651*F2651),8)</f>
        <v/>
      </c>
      <c r="H2651" s="44">
        <f>ROUND(((1+$H$4)^(30/360))^(C2651/(EDATE(D2651-B2651,1)-(D2651-B2651))),9)</f>
        <v/>
      </c>
      <c r="I2651" s="44">
        <f>TRUNC((G2651*H2651-G2651),8)</f>
        <v/>
      </c>
      <c r="J2651" s="49">
        <f>G2651+I2651</f>
        <v/>
      </c>
      <c r="K2651" s="256" t="n"/>
      <c r="L2651" s="256" t="n"/>
      <c r="M2651" s="256" t="n"/>
      <c r="N2651" s="256" t="n"/>
      <c r="O2651" s="256" t="n"/>
      <c r="P2651" s="256" t="n"/>
      <c r="Q2651" s="256" t="n"/>
    </row>
    <row r="2652">
      <c r="A2652">
        <f>IF(DAY(D2652)=DAY($L$1+1),A2651+1,A2651)</f>
        <v/>
      </c>
      <c r="B2652" s="46">
        <f>IF(DAY(D2652)=DAY($L$1+1),1,B2651+1)</f>
        <v/>
      </c>
      <c r="C2652" s="46">
        <f>IF(DAY(D2652)=DAY($L$1+1),1,C2651+1)</f>
        <v/>
      </c>
      <c r="D2652" s="2">
        <f>D2651+1</f>
        <v/>
      </c>
      <c r="E2652" s="8">
        <f>IF(DAY(D2652)=DAY($L$1+1),TRUNC((#REF!),8),E2651)</f>
        <v/>
      </c>
      <c r="F2652" s="49">
        <f>TRUNC(((1+VLOOKUP(A2652,IPCA!$A$2:$C$140,3,0)))^(C2652/(EDATE(D2652-C2652,1)-(D2652-C2652))),8)</f>
        <v/>
      </c>
      <c r="G2652" s="44">
        <f>TRUNC((E2652*F2652),8)</f>
        <v/>
      </c>
      <c r="H2652" s="44">
        <f>ROUND(((1+$H$4)^(30/360))^(C2652/(EDATE(D2652-B2652,1)-(D2652-B2652))),9)</f>
        <v/>
      </c>
      <c r="I2652" s="44">
        <f>TRUNC((G2652*H2652-G2652),8)</f>
        <v/>
      </c>
      <c r="J2652" s="49">
        <f>G2652+I2652</f>
        <v/>
      </c>
      <c r="K2652" s="256" t="n"/>
      <c r="L2652" s="256" t="n"/>
      <c r="M2652" s="256" t="n"/>
      <c r="N2652" s="256" t="n"/>
      <c r="O2652" s="256" t="n"/>
      <c r="P2652" s="256" t="n"/>
      <c r="Q2652" s="256" t="n"/>
    </row>
    <row r="2653">
      <c r="A2653">
        <f>IF(DAY(D2653)=DAY($L$1+1),A2652+1,A2652)</f>
        <v/>
      </c>
      <c r="B2653" s="1">
        <f>IF(DAY(D2653)=DAY($L$1+1),1,B2652+1)</f>
        <v/>
      </c>
      <c r="C2653" s="1">
        <f>IF(DAY(D2653)=DAY($L$1+1),1,C2652+1)</f>
        <v/>
      </c>
      <c r="D2653" s="2">
        <f>D2652+1</f>
        <v/>
      </c>
      <c r="E2653" s="8">
        <f>IF(DAY(D2653)=DAY($L$1+1),TRUNC((#REF!),8),E2652)</f>
        <v/>
      </c>
      <c r="F2653" s="49">
        <f>TRUNC(((1+VLOOKUP(A2653,IPCA!$A$2:$C$140,3,0)))^(C2653/(EDATE(D2653-C2653,1)-(D2653-C2653))),8)</f>
        <v/>
      </c>
      <c r="G2653" s="44">
        <f>TRUNC((E2653*F2653),8)</f>
        <v/>
      </c>
      <c r="H2653" s="44">
        <f>ROUND(((1+$H$4)^(30/360))^(C2653/(EDATE(D2653-B2653,1)-(D2653-B2653))),9)</f>
        <v/>
      </c>
      <c r="I2653" s="44">
        <f>TRUNC((G2653*H2653-G2653),8)</f>
        <v/>
      </c>
      <c r="J2653" s="49">
        <f>G2653+I2653</f>
        <v/>
      </c>
      <c r="K2653" s="256" t="n"/>
      <c r="L2653" s="256" t="n"/>
      <c r="M2653" s="256" t="n"/>
      <c r="N2653" s="256" t="n"/>
      <c r="O2653" s="256" t="n"/>
      <c r="P2653" s="256" t="n"/>
      <c r="Q2653" s="256" t="n"/>
    </row>
    <row r="2654">
      <c r="A2654">
        <f>IF(DAY(D2654)=DAY($L$1+1),A2653+1,A2653)</f>
        <v/>
      </c>
      <c r="B2654" s="46">
        <f>IF(DAY(D2654)=DAY($L$1+1),1,B2653+1)</f>
        <v/>
      </c>
      <c r="C2654" s="46">
        <f>IF(DAY(D2654)=DAY($L$1+1),1,C2653+1)</f>
        <v/>
      </c>
      <c r="D2654" s="2">
        <f>D2653+1</f>
        <v/>
      </c>
      <c r="E2654" s="8">
        <f>IF(DAY(D2654)=DAY($L$1+1),TRUNC((N2653),8),E2653)</f>
        <v/>
      </c>
      <c r="F2654" s="49">
        <f>TRUNC(((1+VLOOKUP(A2654,IPCA!$A$2:$C$140,3,0)))^(C2654/(EDATE(D2654-C2654,1)-(D2654-C2654))),8)</f>
        <v/>
      </c>
      <c r="G2654" s="44">
        <f>TRUNC((E2654*F2654),8)</f>
        <v/>
      </c>
      <c r="H2654" s="44">
        <f>ROUND(((1+$H$4)^(30/360))^(C2654/(EDATE(D2654-B2654,1)-(D2654-B2654))),9)</f>
        <v/>
      </c>
      <c r="I2654" s="44">
        <f>TRUNC((G2654*H2654-G2654),8)</f>
        <v/>
      </c>
      <c r="J2654" s="49">
        <f>G2654+I2654</f>
        <v/>
      </c>
      <c r="K2654" s="256" t="n"/>
      <c r="L2654" s="256" t="n"/>
      <c r="M2654" s="256" t="n"/>
      <c r="N2654" s="256" t="n"/>
      <c r="O2654" s="256" t="n"/>
      <c r="P2654" s="256" t="n"/>
      <c r="Q2654" s="256" t="n"/>
    </row>
    <row r="2655">
      <c r="A2655">
        <f>IF(DAY(D2655)=DAY($L$1+1),A2654+1,A2654)</f>
        <v/>
      </c>
      <c r="B2655" s="1">
        <f>IF(DAY(D2655)=DAY($L$1+1),1,B2654+1)</f>
        <v/>
      </c>
      <c r="C2655" s="1">
        <f>IF(DAY(D2655)=DAY($L$1+1),1,C2654+1)</f>
        <v/>
      </c>
      <c r="D2655" s="2">
        <f>D2654+1</f>
        <v/>
      </c>
      <c r="E2655" s="8">
        <f>IF(DAY(D2655)=DAY($L$1+1),TRUNC((N2654),8),E2654)</f>
        <v/>
      </c>
      <c r="F2655" s="49">
        <f>TRUNC(((1+VLOOKUP(A2655,IPCA!$A$2:$C$140,3,0)))^(C2655/(EDATE(D2655-C2655,1)-(D2655-C2655))),8)</f>
        <v/>
      </c>
      <c r="G2655" s="44">
        <f>TRUNC((E2655*F2655),8)</f>
        <v/>
      </c>
      <c r="H2655" s="44">
        <f>ROUND(((1+$H$4)^(30/360))^(C2655/(EDATE(D2655-B2655,1)-(D2655-B2655))),9)</f>
        <v/>
      </c>
      <c r="I2655" s="44">
        <f>TRUNC((G2655*H2655-G2655),8)</f>
        <v/>
      </c>
      <c r="J2655" s="49">
        <f>G2655+I2655</f>
        <v/>
      </c>
      <c r="K2655" s="256" t="n"/>
      <c r="L2655" s="256" t="n"/>
      <c r="M2655" s="256" t="n"/>
      <c r="N2655" s="256" t="n"/>
      <c r="O2655" s="256" t="n"/>
      <c r="P2655" s="256" t="n"/>
      <c r="Q2655" s="256" t="n"/>
    </row>
    <row r="2656">
      <c r="A2656">
        <f>IF(DAY(D2656)=DAY($L$1+1),A2655+1,A2655)</f>
        <v/>
      </c>
      <c r="B2656" s="46">
        <f>IF(DAY(D2656)=DAY($L$1+1),1,B2655+1)</f>
        <v/>
      </c>
      <c r="C2656" s="46">
        <f>IF(DAY(D2656)=DAY($L$1+1),1,C2655+1)</f>
        <v/>
      </c>
      <c r="D2656" s="2">
        <f>D2655+1</f>
        <v/>
      </c>
      <c r="E2656" s="8">
        <f>IF(DAY(D2656)=DAY($L$1+1),TRUNC((N2655),8),E2655)</f>
        <v/>
      </c>
      <c r="F2656" s="49">
        <f>TRUNC(((1+VLOOKUP(A2656,IPCA!$A$2:$C$140,3,0)))^(C2656/(EDATE(D2656-C2656,1)-(D2656-C2656))),8)</f>
        <v/>
      </c>
      <c r="G2656" s="44">
        <f>TRUNC((E2656*F2656),8)</f>
        <v/>
      </c>
      <c r="H2656" s="44">
        <f>ROUND(((1+$H$4)^(30/360))^(C2656/(EDATE(D2656-B2656,1)-(D2656-B2656))),9)</f>
        <v/>
      </c>
      <c r="I2656" s="44">
        <f>TRUNC((G2656*H2656-G2656),8)</f>
        <v/>
      </c>
      <c r="J2656" s="49">
        <f>G2656+I2656</f>
        <v/>
      </c>
      <c r="K2656" s="256" t="n"/>
      <c r="L2656" s="256" t="n"/>
      <c r="M2656" s="256" t="n"/>
      <c r="N2656" s="256" t="n"/>
      <c r="O2656" s="256" t="n"/>
      <c r="P2656" s="256" t="n"/>
      <c r="Q2656" s="256" t="n"/>
    </row>
    <row r="2657">
      <c r="A2657">
        <f>IF(DAY(D2657)=DAY($L$1+1),A2656+1,A2656)</f>
        <v/>
      </c>
      <c r="B2657" s="1">
        <f>IF(DAY(D2657)=DAY($L$1+1),1,B2656+1)</f>
        <v/>
      </c>
      <c r="C2657" s="1">
        <f>IF(DAY(D2657)=DAY($L$1+1),1,C2656+1)</f>
        <v/>
      </c>
      <c r="D2657" s="2">
        <f>D2656+1</f>
        <v/>
      </c>
      <c r="E2657" s="8">
        <f>IF(DAY(D2657)=DAY($L$1+1),TRUNC((N2656),8),E2656)</f>
        <v/>
      </c>
      <c r="F2657" s="49">
        <f>TRUNC(((1+VLOOKUP(A2657,IPCA!$A$2:$C$140,3,0)))^(C2657/(EDATE(D2657-C2657,1)-(D2657-C2657))),8)</f>
        <v/>
      </c>
      <c r="G2657" s="44">
        <f>TRUNC((E2657*F2657),8)</f>
        <v/>
      </c>
      <c r="H2657" s="44">
        <f>ROUND(((1+$H$4)^(30/360))^(C2657/(EDATE(D2657-B2657,1)-(D2657-B2657))),9)</f>
        <v/>
      </c>
      <c r="I2657" s="44">
        <f>TRUNC((G2657*H2657-G2657),8)</f>
        <v/>
      </c>
      <c r="J2657" s="49">
        <f>G2657+I2657</f>
        <v/>
      </c>
      <c r="K2657" s="256" t="n"/>
      <c r="L2657" s="256" t="n"/>
      <c r="M2657" s="256" t="n"/>
      <c r="N2657" s="256" t="n"/>
      <c r="O2657" s="256" t="n"/>
      <c r="P2657" s="256" t="n"/>
      <c r="Q2657" s="256" t="n"/>
    </row>
    <row r="2658">
      <c r="A2658">
        <f>IF(DAY(D2658)=DAY($L$1+1),A2657+1,A2657)</f>
        <v/>
      </c>
      <c r="B2658" s="46">
        <f>IF(DAY(D2658)=DAY($L$1+1),1,B2657+1)</f>
        <v/>
      </c>
      <c r="C2658" s="46">
        <f>IF(DAY(D2658)=DAY($L$1+1),1,C2657+1)</f>
        <v/>
      </c>
      <c r="D2658" s="2">
        <f>D2657+1</f>
        <v/>
      </c>
      <c r="E2658" s="8">
        <f>IF(DAY(D2658)=DAY($L$1+1),TRUNC((N2657),8),E2657)</f>
        <v/>
      </c>
      <c r="F2658" s="49">
        <f>TRUNC(((1+VLOOKUP(A2658,IPCA!$A$2:$C$140,3,0)))^(C2658/(EDATE(D2658-C2658,1)-(D2658-C2658))),8)</f>
        <v/>
      </c>
      <c r="G2658" s="44">
        <f>TRUNC((E2658*F2658),8)</f>
        <v/>
      </c>
      <c r="H2658" s="44">
        <f>ROUND(((1+$H$4)^(30/360))^(C2658/(EDATE(D2658-B2658,1)-(D2658-B2658))),9)</f>
        <v/>
      </c>
      <c r="I2658" s="44">
        <f>TRUNC((G2658*H2658-G2658),8)</f>
        <v/>
      </c>
      <c r="J2658" s="49">
        <f>G2658+I2658</f>
        <v/>
      </c>
      <c r="K2658" s="256" t="n"/>
      <c r="L2658" s="256" t="n"/>
      <c r="M2658" s="256" t="n"/>
      <c r="N2658" s="256" t="n"/>
      <c r="O2658" s="256" t="n"/>
      <c r="P2658" s="256" t="n"/>
      <c r="Q2658" s="256" t="n"/>
    </row>
    <row r="2659">
      <c r="A2659">
        <f>IF(DAY(D2659)=DAY($L$1+1),A2658+1,A2658)</f>
        <v/>
      </c>
      <c r="B2659" s="1">
        <f>IF(DAY(D2659)=DAY($L$1+1),1,B2658+1)</f>
        <v/>
      </c>
      <c r="C2659" s="1">
        <f>IF(DAY(D2659)=DAY($L$1+1),1,C2658+1)</f>
        <v/>
      </c>
      <c r="D2659" s="2">
        <f>D2658+1</f>
        <v/>
      </c>
      <c r="E2659" s="8">
        <f>IF(DAY(D2659)=DAY($L$1+1),TRUNC((N2658),8),E2658)</f>
        <v/>
      </c>
      <c r="F2659" s="49">
        <f>TRUNC(((1+VLOOKUP(A2659,IPCA!$A$2:$C$140,3,0)))^(C2659/(EDATE(D2659-C2659,1)-(D2659-C2659))),8)</f>
        <v/>
      </c>
      <c r="G2659" s="44">
        <f>TRUNC((E2659*F2659),8)</f>
        <v/>
      </c>
      <c r="H2659" s="44">
        <f>ROUND(((1+$H$4)^(30/360))^(C2659/(EDATE(D2659-B2659,1)-(D2659-B2659))),9)</f>
        <v/>
      </c>
      <c r="I2659" s="44">
        <f>TRUNC((G2659*H2659-G2659),8)</f>
        <v/>
      </c>
      <c r="J2659" s="49">
        <f>G2659+I2659</f>
        <v/>
      </c>
      <c r="K2659" s="256" t="n"/>
      <c r="L2659" s="256" t="n"/>
      <c r="M2659" s="256" t="n"/>
      <c r="N2659" s="256" t="n"/>
      <c r="O2659" s="256" t="n"/>
      <c r="P2659" s="256" t="n"/>
      <c r="Q2659" s="256" t="n"/>
    </row>
    <row r="2660">
      <c r="A2660">
        <f>IF(DAY(D2660)=DAY($L$1+1),A2659+1,A2659)</f>
        <v/>
      </c>
      <c r="B2660" s="46">
        <f>IF(DAY(D2660)=DAY($L$1+1),1,B2659+1)</f>
        <v/>
      </c>
      <c r="C2660" s="46">
        <f>IF(DAY(D2660)=DAY($L$1+1),1,C2659+1)</f>
        <v/>
      </c>
      <c r="D2660" s="2">
        <f>D2659+1</f>
        <v/>
      </c>
      <c r="E2660" s="8">
        <f>IF(DAY(D2660)=DAY($L$1+1),TRUNC((N2659),8),E2659)</f>
        <v/>
      </c>
      <c r="F2660" s="49">
        <f>TRUNC(((1+VLOOKUP(A2660,IPCA!$A$2:$C$140,3,0)))^(C2660/(EDATE(D2660-C2660,1)-(D2660-C2660))),8)</f>
        <v/>
      </c>
      <c r="G2660" s="44">
        <f>TRUNC((E2660*F2660),8)</f>
        <v/>
      </c>
      <c r="H2660" s="44">
        <f>ROUND(((1+$H$4)^(30/360))^(C2660/(EDATE(D2660-B2660,1)-(D2660-B2660))),9)</f>
        <v/>
      </c>
      <c r="I2660" s="44">
        <f>TRUNC((G2660*H2660-G2660),8)</f>
        <v/>
      </c>
      <c r="J2660" s="49">
        <f>G2660+I2660</f>
        <v/>
      </c>
      <c r="K2660" s="256" t="n"/>
      <c r="L2660" s="256" t="n"/>
      <c r="M2660" s="256" t="n"/>
      <c r="N2660" s="256" t="n"/>
      <c r="O2660" s="256" t="n"/>
      <c r="P2660" s="256" t="n"/>
      <c r="Q2660" s="256" t="n"/>
    </row>
    <row r="2661">
      <c r="A2661">
        <f>IF(DAY(D2661)=DAY($L$1+1),A2660+1,A2660)</f>
        <v/>
      </c>
      <c r="B2661" s="1">
        <f>IF(DAY(D2661)=DAY($L$1+1),1,B2660+1)</f>
        <v/>
      </c>
      <c r="C2661" s="1">
        <f>IF(DAY(D2661)=DAY($L$1+1),1,C2660+1)</f>
        <v/>
      </c>
      <c r="D2661" s="2">
        <f>D2660+1</f>
        <v/>
      </c>
      <c r="E2661" s="8">
        <f>IF(DAY(D2661)=DAY($L$1+1),TRUNC((N2660),8),E2660)</f>
        <v/>
      </c>
      <c r="F2661" s="49">
        <f>TRUNC(((1+VLOOKUP(A2661,IPCA!$A$2:$C$140,3,0)))^(C2661/(EDATE(D2661-C2661,1)-(D2661-C2661))),8)</f>
        <v/>
      </c>
      <c r="G2661" s="44">
        <f>TRUNC((E2661*F2661),8)</f>
        <v/>
      </c>
      <c r="H2661" s="44">
        <f>ROUND(((1+$H$4)^(30/360))^(C2661/(EDATE(D2661-B2661,1)-(D2661-B2661))),9)</f>
        <v/>
      </c>
      <c r="I2661" s="44">
        <f>TRUNC((G2661*H2661-G2661),8)</f>
        <v/>
      </c>
      <c r="J2661" s="49">
        <f>G2661+I2661</f>
        <v/>
      </c>
      <c r="K2661" s="256" t="n"/>
      <c r="L2661" s="256" t="n"/>
      <c r="M2661" s="256" t="n"/>
      <c r="N2661" s="256" t="n"/>
      <c r="O2661" s="256" t="n"/>
      <c r="P2661" s="256" t="n"/>
      <c r="Q2661" s="256" t="n"/>
    </row>
    <row r="2662">
      <c r="A2662">
        <f>IF(DAY(D2662)=DAY($L$1+1),A2661+1,A2661)</f>
        <v/>
      </c>
      <c r="B2662" s="46">
        <f>IF(DAY(D2662)=DAY($L$1+1),1,B2661+1)</f>
        <v/>
      </c>
      <c r="C2662" s="46">
        <f>IF(DAY(D2662)=DAY($L$1+1),1,C2661+1)</f>
        <v/>
      </c>
      <c r="D2662" s="2">
        <f>D2661+1</f>
        <v/>
      </c>
      <c r="E2662" s="8">
        <f>IF(DAY(D2662)=DAY($L$1+1),TRUNC((N2661),8),E2661)</f>
        <v/>
      </c>
      <c r="F2662" s="49">
        <f>TRUNC(((1+VLOOKUP(A2662,IPCA!$A$2:$C$140,3,0)))^(C2662/(EDATE(D2662-C2662,1)-(D2662-C2662))),8)</f>
        <v/>
      </c>
      <c r="G2662" s="44">
        <f>TRUNC((E2662*F2662),8)</f>
        <v/>
      </c>
      <c r="H2662" s="44">
        <f>ROUND(((1+$H$4)^(30/360))^(C2662/(EDATE(D2662-B2662,1)-(D2662-B2662))),9)</f>
        <v/>
      </c>
      <c r="I2662" s="44">
        <f>TRUNC((G2662*H2662-G2662),8)</f>
        <v/>
      </c>
      <c r="J2662" s="49">
        <f>G2662+I2662</f>
        <v/>
      </c>
      <c r="K2662" s="256" t="n"/>
      <c r="L2662" s="256" t="n"/>
      <c r="M2662" s="256" t="n"/>
      <c r="N2662" s="256" t="n"/>
      <c r="O2662" s="256" t="n"/>
      <c r="P2662" s="256" t="n"/>
      <c r="Q2662" s="256" t="n"/>
    </row>
    <row r="2663">
      <c r="A2663">
        <f>IF(DAY(D2663)=DAY($L$1+1),A2662+1,A2662)</f>
        <v/>
      </c>
      <c r="B2663" s="1">
        <f>IF(DAY(D2663)=DAY($L$1+1),1,B2662+1)</f>
        <v/>
      </c>
      <c r="C2663" s="1">
        <f>IF(DAY(D2663)=DAY($L$1+1),1,C2662+1)</f>
        <v/>
      </c>
      <c r="D2663" s="2">
        <f>D2662+1</f>
        <v/>
      </c>
      <c r="E2663" s="8">
        <f>IF(DAY(D2663)=DAY($L$1+1),TRUNC((N2662),8),E2662)</f>
        <v/>
      </c>
      <c r="F2663" s="49">
        <f>TRUNC(((1+VLOOKUP(A2663,IPCA!$A$2:$C$140,3,0)))^(C2663/(EDATE(D2663-C2663,1)-(D2663-C2663))),8)</f>
        <v/>
      </c>
      <c r="G2663" s="44">
        <f>TRUNC((E2663*F2663),8)</f>
        <v/>
      </c>
      <c r="H2663" s="44">
        <f>ROUND(((1+$H$4)^(30/360))^(C2663/(EDATE(D2663-B2663,1)-(D2663-B2663))),9)</f>
        <v/>
      </c>
      <c r="I2663" s="44">
        <f>TRUNC((G2663*H2663-G2663),8)</f>
        <v/>
      </c>
      <c r="J2663" s="49">
        <f>G2663+I2663</f>
        <v/>
      </c>
      <c r="K2663" s="256" t="n"/>
      <c r="L2663" s="256" t="n"/>
      <c r="M2663" s="256" t="n"/>
      <c r="N2663" s="256" t="n"/>
      <c r="O2663" s="256" t="n"/>
      <c r="P2663" s="256" t="n"/>
      <c r="Q2663" s="256" t="n"/>
    </row>
    <row r="2664">
      <c r="A2664">
        <f>IF(DAY(D2664)=DAY($L$1+1),A2663+1,A2663)</f>
        <v/>
      </c>
      <c r="B2664" s="46">
        <f>IF(DAY(D2664)=DAY($L$1+1),1,B2663+1)</f>
        <v/>
      </c>
      <c r="C2664" s="46">
        <f>IF(DAY(D2664)=DAY($L$1+1),1,C2663+1)</f>
        <v/>
      </c>
      <c r="D2664" s="2">
        <f>D2663+1</f>
        <v/>
      </c>
      <c r="E2664" s="8">
        <f>IF(DAY(D2664)=DAY($L$1+1),TRUNC((N2663),8),E2663)</f>
        <v/>
      </c>
      <c r="F2664" s="49">
        <f>TRUNC(((1+VLOOKUP(A2664,IPCA!$A$2:$C$140,3,0)))^(C2664/(EDATE(D2664-C2664,1)-(D2664-C2664))),8)</f>
        <v/>
      </c>
      <c r="G2664" s="44">
        <f>TRUNC((E2664*F2664),8)</f>
        <v/>
      </c>
      <c r="H2664" s="44">
        <f>ROUND(((1+$H$4)^(30/360))^(C2664/(EDATE(D2664-B2664,1)-(D2664-B2664))),9)</f>
        <v/>
      </c>
      <c r="I2664" s="44">
        <f>TRUNC((G2664*H2664-G2664),8)</f>
        <v/>
      </c>
      <c r="J2664" s="49">
        <f>G2664+I2664</f>
        <v/>
      </c>
      <c r="K2664" s="256" t="n"/>
      <c r="L2664" s="256" t="n"/>
      <c r="M2664" s="256" t="n"/>
      <c r="N2664" s="256" t="n"/>
      <c r="O2664" s="256" t="n"/>
      <c r="P2664" s="256" t="n"/>
      <c r="Q2664" s="256" t="n"/>
    </row>
    <row r="2665">
      <c r="A2665">
        <f>IF(DAY(D2665)=DAY($L$1+1),A2664+1,A2664)</f>
        <v/>
      </c>
      <c r="B2665" s="1">
        <f>IF(DAY(D2665)=DAY($L$1+1),1,B2664+1)</f>
        <v/>
      </c>
      <c r="C2665" s="1">
        <f>IF(DAY(D2665)=DAY($L$1+1),1,C2664+1)</f>
        <v/>
      </c>
      <c r="D2665" s="2">
        <f>D2664+1</f>
        <v/>
      </c>
      <c r="E2665" s="8">
        <f>IF(DAY(D2665)=DAY($L$1+1),TRUNC((N2664),8),E2664)</f>
        <v/>
      </c>
      <c r="F2665" s="49">
        <f>TRUNC(((1+VLOOKUP(A2665,IPCA!$A$2:$C$140,3,0)))^(C2665/(EDATE(D2665-C2665,1)-(D2665-C2665))),8)</f>
        <v/>
      </c>
      <c r="G2665" s="44">
        <f>TRUNC((E2665*F2665),8)</f>
        <v/>
      </c>
      <c r="H2665" s="44">
        <f>ROUND(((1+$H$4)^(30/360))^(C2665/(EDATE(D2665-B2665,1)-(D2665-B2665))),9)</f>
        <v/>
      </c>
      <c r="I2665" s="44">
        <f>TRUNC((G2665*H2665-G2665),8)</f>
        <v/>
      </c>
      <c r="J2665" s="49">
        <f>G2665+I2665</f>
        <v/>
      </c>
      <c r="K2665" s="256" t="n"/>
      <c r="L2665" s="256" t="n"/>
      <c r="M2665" s="256" t="n"/>
      <c r="N2665" s="256" t="n"/>
      <c r="O2665" s="256" t="n"/>
      <c r="P2665" s="256" t="n"/>
      <c r="Q2665" s="256" t="n"/>
    </row>
    <row r="2666">
      <c r="A2666">
        <f>IF(DAY(D2666)=DAY($L$1+1),A2665+1,A2665)</f>
        <v/>
      </c>
      <c r="B2666" s="46">
        <f>IF(DAY(D2666)=DAY($L$1+1),1,B2665+1)</f>
        <v/>
      </c>
      <c r="C2666" s="46">
        <f>IF(DAY(D2666)=DAY($L$1+1),1,C2665+1)</f>
        <v/>
      </c>
      <c r="D2666" s="2">
        <f>D2665+1</f>
        <v/>
      </c>
      <c r="E2666" s="8">
        <f>IF(DAY(D2666)=DAY($L$1+1),TRUNC((N2665),8),E2665)</f>
        <v/>
      </c>
      <c r="F2666" s="49">
        <f>TRUNC(((1+VLOOKUP(A2666,IPCA!$A$2:$C$140,3,0)))^(C2666/(EDATE(D2666-C2666,1)-(D2666-C2666))),8)</f>
        <v/>
      </c>
      <c r="G2666" s="49">
        <f>TRUNC((E2666*F2666),8)</f>
        <v/>
      </c>
      <c r="H2666" s="49">
        <f>ROUND(((1+$H$4)^(30/360))^(C2666/(EDATE(D2666-B2666,1)-(D2666-B2666))),9)</f>
        <v/>
      </c>
      <c r="I2666" s="49">
        <f>TRUNC((G2666*H2666-G2666),8)</f>
        <v/>
      </c>
      <c r="J2666" s="49">
        <f>G2666+I2666</f>
        <v/>
      </c>
      <c r="K2666" s="256" t="inlineStr">
        <is>
          <t>Cri Integralizado</t>
        </is>
      </c>
      <c r="L2666" s="270">
        <f>L2636</f>
        <v/>
      </c>
      <c r="M2666" s="256" t="n"/>
      <c r="N2666" s="256" t="n"/>
      <c r="O2666" s="256" t="n"/>
      <c r="P2666" s="256" t="n"/>
      <c r="Q2666" s="256" t="n"/>
    </row>
    <row r="2667">
      <c r="A2667">
        <f>IF(DAY(D2667)=DAY($L$1+1),A2666+1,A2666)</f>
        <v/>
      </c>
      <c r="B2667" s="46">
        <f>IF(DAY(D2667)=DAY($L$1+1),1,B2666+1)</f>
        <v/>
      </c>
      <c r="C2667" s="46">
        <f>IF(DAY(D2667)=DAY($L$1+1),1,C2666+1)</f>
        <v/>
      </c>
      <c r="D2667" s="47">
        <f>D2666+1</f>
        <v/>
      </c>
      <c r="E2667" s="8">
        <f>IF(DAY(D2667)=DAY($L$1+1),TRUNC((N2666),8),E2666)</f>
        <v/>
      </c>
      <c r="F2667" s="49">
        <f>TRUNC(((1+VLOOKUP(A2667,IPCA!$A$2:$C$140,3,0)))^(C2667/(EDATE(D2667-C2667,1)-(D2667-C2667))),8)</f>
        <v/>
      </c>
      <c r="G2667" s="49">
        <f>TRUNC((E2667*F2667),8)</f>
        <v/>
      </c>
      <c r="H2667" s="49">
        <f>ROUND(((1+$H$4)^(30/360))^(C2667/(EDATE(D2667-B2667,1)-(D2667-B2667))),9)</f>
        <v/>
      </c>
      <c r="I2667" s="49">
        <f>TRUNC((G2667*H2667-G2667),8)</f>
        <v/>
      </c>
      <c r="J2667" s="49">
        <f>G2667+I2667</f>
        <v/>
      </c>
      <c r="K2667" s="137" t="inlineStr">
        <is>
          <t>JUROS</t>
        </is>
      </c>
      <c r="L2667" s="118" t="inlineStr">
        <is>
          <t>AMORTIZAÇÃO</t>
        </is>
      </c>
      <c r="M2667" s="118" t="inlineStr">
        <is>
          <t>AMEX</t>
        </is>
      </c>
      <c r="N2667" s="118" t="inlineStr">
        <is>
          <t>RESIDUAL</t>
        </is>
      </c>
      <c r="O2667" s="256" t="n"/>
      <c r="P2667" s="256" t="n"/>
      <c r="Q2667" s="256" t="n"/>
    </row>
    <row r="2668">
      <c r="A2668">
        <f>IF(DAY(D2668)=DAY($L$1+1),A2667+1,A2667)</f>
        <v/>
      </c>
      <c r="B2668" s="111">
        <f>IF(DAY(D2668)=DAY($L$1+1),1,B2667+1)</f>
        <v/>
      </c>
      <c r="C2668" s="111">
        <f>IF(DAY(D2668)=DAY($L$1+1),1,C2667+1)</f>
        <v/>
      </c>
      <c r="D2668" s="112">
        <f>D2667+1</f>
        <v/>
      </c>
      <c r="E2668" s="113">
        <f>IF(DAY(D2668)=DAY($L$1+1),TRUNC((N2667),8),E2667)</f>
        <v/>
      </c>
      <c r="F2668" s="114">
        <f>TRUNC(((1+VLOOKUP(A2668,IPCA!$A$2:$C$140,3,0)))^(C2668/(EDATE(D2668-C2668,1)-(D2668-C2668))),8)</f>
        <v/>
      </c>
      <c r="G2668" s="114">
        <f>TRUNC((E2668*F2668),8)</f>
        <v/>
      </c>
      <c r="H2668" s="114">
        <f>ROUND(((1+$H$4)^(30/360))^(C2668/(EDATE(D2668-B2668,1)-(D2668-B2668))),9)</f>
        <v/>
      </c>
      <c r="I2668" s="114">
        <f>TRUNC((G2668*H2668-G2668),8)</f>
        <v/>
      </c>
      <c r="J2668" s="114">
        <f>G2668+I2668</f>
        <v/>
      </c>
      <c r="K2668" s="119">
        <f>I2668</f>
        <v/>
      </c>
      <c r="L2668" s="120">
        <f>TRUNC(G2668*VLOOKUP(D2668,'Amort TS'!$G$3:$H$140,2,0),8)</f>
        <v/>
      </c>
      <c r="M2668" s="120" t="n">
        <v>0</v>
      </c>
      <c r="N2668" s="120">
        <f>J2668-K2668-L2668-M2668</f>
        <v/>
      </c>
      <c r="O2668" s="256" t="n"/>
      <c r="P2668" s="256" t="n"/>
      <c r="Q2668" s="256" t="n"/>
    </row>
    <row r="2669">
      <c r="A2669">
        <f>IF(DAY(D2669)=DAY($L$1+1),A2668+1,A2668)</f>
        <v/>
      </c>
      <c r="B2669" s="46">
        <f>IF(DAY(D2669)=DAY($L$1+1),1,B2668+1)</f>
        <v/>
      </c>
      <c r="C2669" s="46">
        <f>IF(DAY(D2669)=DAY($L$1+1),1,C2668+1)</f>
        <v/>
      </c>
      <c r="D2669" s="2">
        <f>D2668+1</f>
        <v/>
      </c>
      <c r="E2669" s="8">
        <f>IF(DAY(D2669)=DAY($L$1+1),TRUNC((N2668),8),E2668)</f>
        <v/>
      </c>
      <c r="F2669" s="49">
        <f>TRUNC(((1+VLOOKUP(A2669,IPCA!$A$2:$C$140,3,0)))^(C2669/(EDATE(D2669-C2669,1)-(D2669-C2669))),8)</f>
        <v/>
      </c>
      <c r="G2669" s="49">
        <f>TRUNC((E2669*F2669),8)</f>
        <v/>
      </c>
      <c r="H2669" s="49">
        <f>ROUND(((1+$H$4)^(30/360))^(C2669/(EDATE(D2669-B2669,1)-(D2669-B2669))),9)</f>
        <v/>
      </c>
      <c r="I2669" s="49">
        <f>TRUNC((G2669*H2669-G2669),8)</f>
        <v/>
      </c>
      <c r="J2669" s="49">
        <f>G2669+I2669</f>
        <v/>
      </c>
      <c r="K2669" s="121">
        <f>K2668*L2666</f>
        <v/>
      </c>
      <c r="L2669" s="121">
        <f>L2668*L2666</f>
        <v/>
      </c>
      <c r="M2669" s="121">
        <f>M2668*L2666</f>
        <v/>
      </c>
      <c r="N2669" s="121">
        <f>N2668*L2666</f>
        <v/>
      </c>
      <c r="O2669" s="256" t="n"/>
      <c r="P2669" s="256" t="n"/>
      <c r="Q2669" s="256" t="n"/>
    </row>
    <row r="2670">
      <c r="A2670">
        <f>IF(DAY(D2670)=DAY($L$1+1),A2669+1,A2669)</f>
        <v/>
      </c>
      <c r="B2670" s="46">
        <f>IF(DAY(D2670)=DAY($L$1+1),1,B2669+1)</f>
        <v/>
      </c>
      <c r="C2670" s="46">
        <f>IF(DAY(D2670)=DAY($L$1+1),1,C2669+1)</f>
        <v/>
      </c>
      <c r="D2670" s="47">
        <f>D2669+1</f>
        <v/>
      </c>
      <c r="E2670" s="8">
        <f>IF(DAY(D2670)=DAY($L$1+1),TRUNC((N2669),8),E2669)</f>
        <v/>
      </c>
      <c r="F2670" s="49">
        <f>TRUNC(((1+VLOOKUP(A2670,IPCA!$A$2:$C$140,3,0)))^(C2670/(EDATE(D2670-C2670,1)-(D2670-C2670))),8)</f>
        <v/>
      </c>
      <c r="G2670" s="49">
        <f>TRUNC((E2670*F2670),8)</f>
        <v/>
      </c>
      <c r="H2670" s="49">
        <f>ROUND(((1+$H$4)^(30/360))^(C2670/(EDATE(D2670-B2670,1)-(D2670-B2670))),9)</f>
        <v/>
      </c>
      <c r="I2670" s="49">
        <f>TRUNC((G2670*H2670-G2670),8)</f>
        <v/>
      </c>
      <c r="J2670" s="49">
        <f>G2670+I2670</f>
        <v/>
      </c>
      <c r="K2670" s="256" t="n"/>
      <c r="L2670" s="256" t="n"/>
      <c r="M2670" s="256" t="n"/>
      <c r="N2670" s="256" t="n"/>
      <c r="O2670" s="256" t="n"/>
      <c r="P2670" s="256" t="n"/>
      <c r="Q2670" s="256" t="n"/>
    </row>
    <row r="2671">
      <c r="A2671">
        <f>IF(DAY(D2671)=DAY($L$1+1),A2670+1,A2670)</f>
        <v/>
      </c>
      <c r="B2671" s="1">
        <f>IF(DAY(D2671)=DAY($L$1+1),1,B2670+1)</f>
        <v/>
      </c>
      <c r="C2671" s="1">
        <f>IF(DAY(D2671)=DAY($L$1+1),1,C2670+1)</f>
        <v/>
      </c>
      <c r="D2671" s="2">
        <f>D2670+1</f>
        <v/>
      </c>
      <c r="E2671" s="8">
        <f>IF(DAY(D2671)=DAY($L$1+1),TRUNC((#REF!),8),E2670)</f>
        <v/>
      </c>
      <c r="F2671" s="49">
        <f>TRUNC(((1+VLOOKUP(A2671,IPCA!$A$2:$C$140,3,0)))^(C2671/(EDATE(D2671-C2671,1)-(D2671-C2671))),8)</f>
        <v/>
      </c>
      <c r="G2671" s="44">
        <f>TRUNC((E2671*F2671),8)</f>
        <v/>
      </c>
      <c r="H2671" s="44">
        <f>ROUND(((1+$H$4)^(30/360))^(C2671/(EDATE(D2671-B2671,1)-(D2671-B2671))),9)</f>
        <v/>
      </c>
      <c r="I2671" s="44">
        <f>TRUNC((G2671*H2671-G2671),8)</f>
        <v/>
      </c>
      <c r="J2671" s="49">
        <f>G2671+I2671</f>
        <v/>
      </c>
      <c r="K2671" s="256" t="n"/>
      <c r="L2671" s="256" t="n"/>
      <c r="M2671" s="256" t="n"/>
      <c r="N2671" s="256" t="n"/>
      <c r="O2671" s="256" t="n"/>
      <c r="P2671" s="256" t="n"/>
      <c r="Q2671" s="256" t="n"/>
    </row>
    <row r="2672">
      <c r="A2672">
        <f>IF(DAY(D2672)=DAY($L$1+1),A2671+1,A2671)</f>
        <v/>
      </c>
      <c r="B2672" s="46">
        <f>IF(DAY(D2672)=DAY($L$1+1),1,B2671+1)</f>
        <v/>
      </c>
      <c r="C2672" s="46">
        <f>IF(DAY(D2672)=DAY($L$1+1),1,C2671+1)</f>
        <v/>
      </c>
      <c r="D2672" s="2">
        <f>D2671+1</f>
        <v/>
      </c>
      <c r="E2672" s="8">
        <f>IF(DAY(D2672)=DAY($L$1+1),TRUNC((#REF!),8),E2671)</f>
        <v/>
      </c>
      <c r="F2672" s="49">
        <f>TRUNC(((1+VLOOKUP(A2672,IPCA!$A$2:$C$140,3,0)))^(C2672/(EDATE(D2672-C2672,1)-(D2672-C2672))),8)</f>
        <v/>
      </c>
      <c r="G2672" s="44">
        <f>TRUNC((E2672*F2672),8)</f>
        <v/>
      </c>
      <c r="H2672" s="44">
        <f>ROUND(((1+$H$4)^(30/360))^(C2672/(EDATE(D2672-B2672,1)-(D2672-B2672))),9)</f>
        <v/>
      </c>
      <c r="I2672" s="44">
        <f>TRUNC((G2672*H2672-G2672),8)</f>
        <v/>
      </c>
      <c r="J2672" s="49">
        <f>G2672+I2672</f>
        <v/>
      </c>
      <c r="K2672" s="256" t="n"/>
      <c r="L2672" s="256" t="n"/>
      <c r="M2672" s="256" t="n"/>
      <c r="N2672" s="256" t="n"/>
      <c r="O2672" s="256" t="n"/>
      <c r="P2672" s="256" t="n"/>
      <c r="Q2672" s="256" t="n"/>
    </row>
    <row r="2673">
      <c r="A2673">
        <f>IF(DAY(D2673)=DAY($L$1+1),A2672+1,A2672)</f>
        <v/>
      </c>
      <c r="B2673" s="1">
        <f>IF(DAY(D2673)=DAY($L$1+1),1,B2672+1)</f>
        <v/>
      </c>
      <c r="C2673" s="1">
        <f>IF(DAY(D2673)=DAY($L$1+1),1,C2672+1)</f>
        <v/>
      </c>
      <c r="D2673" s="2">
        <f>D2672+1</f>
        <v/>
      </c>
      <c r="E2673" s="8">
        <f>IF(DAY(D2673)=DAY($L$1+1),TRUNC((#REF!),8),E2672)</f>
        <v/>
      </c>
      <c r="F2673" s="49">
        <f>TRUNC(((1+VLOOKUP(A2673,IPCA!$A$2:$C$140,3,0)))^(C2673/(EDATE(D2673-C2673,1)-(D2673-C2673))),8)</f>
        <v/>
      </c>
      <c r="G2673" s="44">
        <f>TRUNC((E2673*F2673),8)</f>
        <v/>
      </c>
      <c r="H2673" s="44">
        <f>ROUND(((1+$H$4)^(30/360))^(C2673/(EDATE(D2673-B2673,1)-(D2673-B2673))),9)</f>
        <v/>
      </c>
      <c r="I2673" s="44">
        <f>TRUNC((G2673*H2673-G2673),8)</f>
        <v/>
      </c>
      <c r="J2673" s="49">
        <f>G2673+I2673</f>
        <v/>
      </c>
      <c r="K2673" s="256" t="n"/>
      <c r="L2673" s="256" t="n"/>
      <c r="M2673" s="256" t="n"/>
      <c r="N2673" s="256" t="n"/>
      <c r="O2673" s="256" t="n"/>
      <c r="P2673" s="256" t="n"/>
      <c r="Q2673" s="256" t="n"/>
    </row>
    <row r="2674">
      <c r="A2674">
        <f>IF(DAY(D2674)=DAY($L$1+1),A2673+1,A2673)</f>
        <v/>
      </c>
      <c r="B2674" s="46">
        <f>IF(DAY(D2674)=DAY($L$1+1),1,B2673+1)</f>
        <v/>
      </c>
      <c r="C2674" s="46">
        <f>IF(DAY(D2674)=DAY($L$1+1),1,C2673+1)</f>
        <v/>
      </c>
      <c r="D2674" s="2">
        <f>D2673+1</f>
        <v/>
      </c>
      <c r="E2674" s="8">
        <f>IF(DAY(D2674)=DAY($L$1+1),TRUNC((#REF!),8),E2673)</f>
        <v/>
      </c>
      <c r="F2674" s="49">
        <f>TRUNC(((1+VLOOKUP(A2674,IPCA!$A$2:$C$140,3,0)))^(C2674/(EDATE(D2674-C2674,1)-(D2674-C2674))),8)</f>
        <v/>
      </c>
      <c r="G2674" s="44">
        <f>TRUNC((E2674*F2674),8)</f>
        <v/>
      </c>
      <c r="H2674" s="44">
        <f>ROUND(((1+$H$4)^(30/360))^(C2674/(EDATE(D2674-B2674,1)-(D2674-B2674))),9)</f>
        <v/>
      </c>
      <c r="I2674" s="44">
        <f>TRUNC((G2674*H2674-G2674),8)</f>
        <v/>
      </c>
      <c r="J2674" s="49">
        <f>G2674+I2674</f>
        <v/>
      </c>
      <c r="K2674" s="256" t="n"/>
      <c r="L2674" s="256" t="n"/>
      <c r="M2674" s="256" t="n"/>
      <c r="N2674" s="256" t="n"/>
      <c r="O2674" s="256" t="n"/>
      <c r="P2674" s="256" t="n"/>
      <c r="Q2674" s="256" t="n"/>
    </row>
    <row r="2675">
      <c r="A2675">
        <f>IF(DAY(D2675)=DAY($L$1+1),A2674+1,A2674)</f>
        <v/>
      </c>
      <c r="B2675" s="1">
        <f>IF(DAY(D2675)=DAY($L$1+1),1,B2674+1)</f>
        <v/>
      </c>
      <c r="C2675" s="1">
        <f>IF(DAY(D2675)=DAY($L$1+1),1,C2674+1)</f>
        <v/>
      </c>
      <c r="D2675" s="2">
        <f>D2674+1</f>
        <v/>
      </c>
      <c r="E2675" s="8">
        <f>IF(DAY(D2675)=DAY($L$1+1),TRUNC((#REF!),8),E2674)</f>
        <v/>
      </c>
      <c r="F2675" s="49">
        <f>TRUNC(((1+VLOOKUP(A2675,IPCA!$A$2:$C$140,3,0)))^(C2675/(EDATE(D2675-C2675,1)-(D2675-C2675))),8)</f>
        <v/>
      </c>
      <c r="G2675" s="44">
        <f>TRUNC((E2675*F2675),8)</f>
        <v/>
      </c>
      <c r="H2675" s="44">
        <f>ROUND(((1+$H$4)^(30/360))^(C2675/(EDATE(D2675-B2675,1)-(D2675-B2675))),9)</f>
        <v/>
      </c>
      <c r="I2675" s="44">
        <f>TRUNC((G2675*H2675-G2675),8)</f>
        <v/>
      </c>
      <c r="J2675" s="49">
        <f>G2675+I2675</f>
        <v/>
      </c>
      <c r="K2675" s="256" t="n"/>
      <c r="L2675" s="256" t="n"/>
      <c r="M2675" s="256" t="n"/>
      <c r="N2675" s="256" t="n"/>
      <c r="O2675" s="256" t="n"/>
      <c r="P2675" s="256" t="n"/>
      <c r="Q2675" s="256" t="n"/>
    </row>
    <row r="2676">
      <c r="A2676">
        <f>IF(DAY(D2676)=DAY($L$1+1),A2675+1,A2675)</f>
        <v/>
      </c>
      <c r="B2676" s="46">
        <f>IF(DAY(D2676)=DAY($L$1+1),1,B2675+1)</f>
        <v/>
      </c>
      <c r="C2676" s="46">
        <f>IF(DAY(D2676)=DAY($L$1+1),1,C2675+1)</f>
        <v/>
      </c>
      <c r="D2676" s="2">
        <f>D2675+1</f>
        <v/>
      </c>
      <c r="E2676" s="8">
        <f>IF(DAY(D2676)=DAY($L$1+1),TRUNC((#REF!),8),E2675)</f>
        <v/>
      </c>
      <c r="F2676" s="49">
        <f>TRUNC(((1+VLOOKUP(A2676,IPCA!$A$2:$C$140,3,0)))^(C2676/(EDATE(D2676-C2676,1)-(D2676-C2676))),8)</f>
        <v/>
      </c>
      <c r="G2676" s="44">
        <f>TRUNC((E2676*F2676),8)</f>
        <v/>
      </c>
      <c r="H2676" s="44">
        <f>ROUND(((1+$H$4)^(30/360))^(C2676/(EDATE(D2676-B2676,1)-(D2676-B2676))),9)</f>
        <v/>
      </c>
      <c r="I2676" s="44">
        <f>TRUNC((G2676*H2676-G2676),8)</f>
        <v/>
      </c>
      <c r="J2676" s="49">
        <f>G2676+I2676</f>
        <v/>
      </c>
      <c r="K2676" s="256" t="n"/>
      <c r="L2676" s="256" t="n"/>
      <c r="M2676" s="256" t="n"/>
      <c r="N2676" s="256" t="n"/>
      <c r="O2676" s="256" t="n"/>
      <c r="P2676" s="256" t="n"/>
      <c r="Q2676" s="256" t="n"/>
    </row>
    <row r="2677">
      <c r="A2677">
        <f>IF(DAY(D2677)=DAY($L$1+1),A2676+1,A2676)</f>
        <v/>
      </c>
      <c r="B2677" s="1">
        <f>IF(DAY(D2677)=DAY($L$1+1),1,B2676+1)</f>
        <v/>
      </c>
      <c r="C2677" s="1">
        <f>IF(DAY(D2677)=DAY($L$1+1),1,C2676+1)</f>
        <v/>
      </c>
      <c r="D2677" s="2">
        <f>D2676+1</f>
        <v/>
      </c>
      <c r="E2677" s="8">
        <f>IF(DAY(D2677)=DAY($L$1+1),TRUNC((#REF!),8),E2676)</f>
        <v/>
      </c>
      <c r="F2677" s="49">
        <f>TRUNC(((1+VLOOKUP(A2677,IPCA!$A$2:$C$140,3,0)))^(C2677/(EDATE(D2677-C2677,1)-(D2677-C2677))),8)</f>
        <v/>
      </c>
      <c r="G2677" s="44">
        <f>TRUNC((E2677*F2677),8)</f>
        <v/>
      </c>
      <c r="H2677" s="44">
        <f>ROUND(((1+$H$4)^(30/360))^(C2677/(EDATE(D2677-B2677,1)-(D2677-B2677))),9)</f>
        <v/>
      </c>
      <c r="I2677" s="44">
        <f>TRUNC((G2677*H2677-G2677),8)</f>
        <v/>
      </c>
      <c r="J2677" s="49">
        <f>G2677+I2677</f>
        <v/>
      </c>
      <c r="K2677" s="256" t="n"/>
      <c r="L2677" s="256" t="n"/>
      <c r="M2677" s="256" t="n"/>
      <c r="N2677" s="256" t="n"/>
      <c r="O2677" s="256" t="n"/>
      <c r="P2677" s="256" t="n"/>
      <c r="Q2677" s="256" t="n"/>
    </row>
    <row r="2678">
      <c r="A2678">
        <f>IF(DAY(D2678)=DAY($L$1+1),A2677+1,A2677)</f>
        <v/>
      </c>
      <c r="B2678" s="46">
        <f>IF(DAY(D2678)=DAY($L$1+1),1,B2677+1)</f>
        <v/>
      </c>
      <c r="C2678" s="46">
        <f>IF(DAY(D2678)=DAY($L$1+1),1,C2677+1)</f>
        <v/>
      </c>
      <c r="D2678" s="2">
        <f>D2677+1</f>
        <v/>
      </c>
      <c r="E2678" s="8">
        <f>IF(DAY(D2678)=DAY($L$1+1),TRUNC((#REF!),8),E2677)</f>
        <v/>
      </c>
      <c r="F2678" s="49">
        <f>TRUNC(((1+VLOOKUP(A2678,IPCA!$A$2:$C$140,3,0)))^(C2678/(EDATE(D2678-C2678,1)-(D2678-C2678))),8)</f>
        <v/>
      </c>
      <c r="G2678" s="44">
        <f>TRUNC((E2678*F2678),8)</f>
        <v/>
      </c>
      <c r="H2678" s="44">
        <f>ROUND(((1+$H$4)^(30/360))^(C2678/(EDATE(D2678-B2678,1)-(D2678-B2678))),9)</f>
        <v/>
      </c>
      <c r="I2678" s="44">
        <f>TRUNC((G2678*H2678-G2678),8)</f>
        <v/>
      </c>
      <c r="J2678" s="49">
        <f>G2678+I2678</f>
        <v/>
      </c>
      <c r="K2678" s="256" t="n"/>
      <c r="L2678" s="256" t="n"/>
      <c r="M2678" s="256" t="n"/>
      <c r="N2678" s="256" t="n"/>
      <c r="O2678" s="256" t="n"/>
      <c r="P2678" s="256" t="n"/>
      <c r="Q2678" s="256" t="n"/>
    </row>
    <row r="2679">
      <c r="A2679">
        <f>IF(DAY(D2679)=DAY($L$1+1),A2678+1,A2678)</f>
        <v/>
      </c>
      <c r="B2679" s="1">
        <f>IF(DAY(D2679)=DAY($L$1+1),1,B2678+1)</f>
        <v/>
      </c>
      <c r="C2679" s="1">
        <f>IF(DAY(D2679)=DAY($L$1+1),1,C2678+1)</f>
        <v/>
      </c>
      <c r="D2679" s="2">
        <f>D2678+1</f>
        <v/>
      </c>
      <c r="E2679" s="8">
        <f>IF(DAY(D2679)=DAY($L$1+1),TRUNC((#REF!),8),E2678)</f>
        <v/>
      </c>
      <c r="F2679" s="49">
        <f>TRUNC(((1+VLOOKUP(A2679,IPCA!$A$2:$C$140,3,0)))^(C2679/(EDATE(D2679-C2679,1)-(D2679-C2679))),8)</f>
        <v/>
      </c>
      <c r="G2679" s="44">
        <f>TRUNC((E2679*F2679),8)</f>
        <v/>
      </c>
      <c r="H2679" s="44">
        <f>ROUND(((1+$H$4)^(30/360))^(C2679/(EDATE(D2679-B2679,1)-(D2679-B2679))),9)</f>
        <v/>
      </c>
      <c r="I2679" s="44">
        <f>TRUNC((G2679*H2679-G2679),8)</f>
        <v/>
      </c>
      <c r="J2679" s="49">
        <f>G2679+I2679</f>
        <v/>
      </c>
      <c r="K2679" s="256" t="n"/>
      <c r="L2679" s="256" t="n"/>
      <c r="M2679" s="256" t="n"/>
      <c r="N2679" s="256" t="n"/>
      <c r="O2679" s="256" t="n"/>
      <c r="P2679" s="256" t="n"/>
      <c r="Q2679" s="256" t="n"/>
    </row>
    <row r="2680">
      <c r="A2680">
        <f>IF(DAY(D2680)=DAY($L$1+1),A2679+1,A2679)</f>
        <v/>
      </c>
      <c r="B2680" s="46">
        <f>IF(DAY(D2680)=DAY($L$1+1),1,B2679+1)</f>
        <v/>
      </c>
      <c r="C2680" s="46">
        <f>IF(DAY(D2680)=DAY($L$1+1),1,C2679+1)</f>
        <v/>
      </c>
      <c r="D2680" s="2">
        <f>D2679+1</f>
        <v/>
      </c>
      <c r="E2680" s="8">
        <f>IF(DAY(D2680)=DAY($L$1+1),TRUNC((#REF!),8),E2679)</f>
        <v/>
      </c>
      <c r="F2680" s="49">
        <f>TRUNC(((1+VLOOKUP(A2680,IPCA!$A$2:$C$140,3,0)))^(C2680/(EDATE(D2680-C2680,1)-(D2680-C2680))),8)</f>
        <v/>
      </c>
      <c r="G2680" s="44">
        <f>TRUNC((E2680*F2680),8)</f>
        <v/>
      </c>
      <c r="H2680" s="44">
        <f>ROUND(((1+$H$4)^(30/360))^(C2680/(EDATE(D2680-B2680,1)-(D2680-B2680))),9)</f>
        <v/>
      </c>
      <c r="I2680" s="44">
        <f>TRUNC((G2680*H2680-G2680),8)</f>
        <v/>
      </c>
      <c r="J2680" s="49">
        <f>G2680+I2680</f>
        <v/>
      </c>
      <c r="K2680" s="256" t="n"/>
      <c r="L2680" s="256" t="n"/>
      <c r="M2680" s="256" t="n"/>
      <c r="N2680" s="256" t="n"/>
      <c r="O2680" s="256" t="n"/>
      <c r="P2680" s="256" t="n"/>
      <c r="Q2680" s="256" t="n"/>
    </row>
    <row r="2681">
      <c r="A2681">
        <f>IF(DAY(D2681)=DAY($L$1+1),A2680+1,A2680)</f>
        <v/>
      </c>
      <c r="B2681" s="1">
        <f>IF(DAY(D2681)=DAY($L$1+1),1,B2680+1)</f>
        <v/>
      </c>
      <c r="C2681" s="1">
        <f>IF(DAY(D2681)=DAY($L$1+1),1,C2680+1)</f>
        <v/>
      </c>
      <c r="D2681" s="2">
        <f>D2680+1</f>
        <v/>
      </c>
      <c r="E2681" s="8">
        <f>IF(DAY(D2681)=DAY($L$1+1),TRUNC((N2680),8),E2680)</f>
        <v/>
      </c>
      <c r="F2681" s="49">
        <f>TRUNC(((1+VLOOKUP(A2681,IPCA!$A$2:$C$140,3,0)))^(C2681/(EDATE(D2681-C2681,1)-(D2681-C2681))),8)</f>
        <v/>
      </c>
      <c r="G2681" s="44">
        <f>TRUNC((E2681*F2681),8)</f>
        <v/>
      </c>
      <c r="H2681" s="44">
        <f>ROUND(((1+$H$4)^(30/360))^(C2681/(EDATE(D2681-B2681,1)-(D2681-B2681))),9)</f>
        <v/>
      </c>
      <c r="I2681" s="44">
        <f>TRUNC((G2681*H2681-G2681),8)</f>
        <v/>
      </c>
      <c r="J2681" s="49">
        <f>G2681+I2681</f>
        <v/>
      </c>
      <c r="K2681" s="256" t="n"/>
      <c r="L2681" s="256" t="n"/>
      <c r="M2681" s="256" t="n"/>
      <c r="N2681" s="256" t="n"/>
      <c r="O2681" s="256" t="n"/>
      <c r="P2681" s="256" t="n"/>
      <c r="Q2681" s="256" t="n"/>
    </row>
    <row r="2682">
      <c r="A2682">
        <f>IF(DAY(D2682)=DAY($L$1+1),A2681+1,A2681)</f>
        <v/>
      </c>
      <c r="B2682" s="46">
        <f>IF(DAY(D2682)=DAY($L$1+1),1,B2681+1)</f>
        <v/>
      </c>
      <c r="C2682" s="46">
        <f>IF(DAY(D2682)=DAY($L$1+1),1,C2681+1)</f>
        <v/>
      </c>
      <c r="D2682" s="2">
        <f>D2681+1</f>
        <v/>
      </c>
      <c r="E2682" s="8">
        <f>IF(DAY(D2682)=DAY($L$1+1),TRUNC((N2681),8),E2681)</f>
        <v/>
      </c>
      <c r="F2682" s="49">
        <f>TRUNC(((1+VLOOKUP(A2682,IPCA!$A$2:$C$140,3,0)))^(C2682/(EDATE(D2682-C2682,1)-(D2682-C2682))),8)</f>
        <v/>
      </c>
      <c r="G2682" s="44">
        <f>TRUNC((E2682*F2682),8)</f>
        <v/>
      </c>
      <c r="H2682" s="44">
        <f>ROUND(((1+$H$4)^(30/360))^(C2682/(EDATE(D2682-B2682,1)-(D2682-B2682))),9)</f>
        <v/>
      </c>
      <c r="I2682" s="44">
        <f>TRUNC((G2682*H2682-G2682),8)</f>
        <v/>
      </c>
      <c r="J2682" s="49">
        <f>G2682+I2682</f>
        <v/>
      </c>
      <c r="K2682" s="256" t="n"/>
      <c r="L2682" s="256" t="n"/>
      <c r="M2682" s="256" t="n"/>
      <c r="N2682" s="256" t="n"/>
      <c r="O2682" s="256" t="n"/>
      <c r="P2682" s="256" t="n"/>
      <c r="Q2682" s="256" t="n"/>
    </row>
    <row r="2683">
      <c r="A2683">
        <f>IF(DAY(D2683)=DAY($L$1+1),A2682+1,A2682)</f>
        <v/>
      </c>
      <c r="B2683" s="1">
        <f>IF(DAY(D2683)=DAY($L$1+1),1,B2682+1)</f>
        <v/>
      </c>
      <c r="C2683" s="1">
        <f>IF(DAY(D2683)=DAY($L$1+1),1,C2682+1)</f>
        <v/>
      </c>
      <c r="D2683" s="2">
        <f>D2682+1</f>
        <v/>
      </c>
      <c r="E2683" s="8">
        <f>IF(DAY(D2683)=DAY($L$1+1),TRUNC((N2682),8),E2682)</f>
        <v/>
      </c>
      <c r="F2683" s="49">
        <f>TRUNC(((1+VLOOKUP(A2683,IPCA!$A$2:$C$140,3,0)))^(C2683/(EDATE(D2683-C2683,1)-(D2683-C2683))),8)</f>
        <v/>
      </c>
      <c r="G2683" s="44">
        <f>TRUNC((E2683*F2683),8)</f>
        <v/>
      </c>
      <c r="H2683" s="44">
        <f>ROUND(((1+$H$4)^(30/360))^(C2683/(EDATE(D2683-B2683,1)-(D2683-B2683))),9)</f>
        <v/>
      </c>
      <c r="I2683" s="44">
        <f>TRUNC((G2683*H2683-G2683),8)</f>
        <v/>
      </c>
      <c r="J2683" s="49">
        <f>G2683+I2683</f>
        <v/>
      </c>
      <c r="K2683" s="256" t="n"/>
      <c r="L2683" s="256" t="n"/>
      <c r="M2683" s="256" t="n"/>
      <c r="N2683" s="256" t="n"/>
      <c r="O2683" s="256" t="n"/>
      <c r="P2683" s="256" t="n"/>
      <c r="Q2683" s="256" t="n"/>
    </row>
    <row r="2684">
      <c r="A2684">
        <f>IF(DAY(D2684)=DAY($L$1+1),A2683+1,A2683)</f>
        <v/>
      </c>
      <c r="B2684" s="46">
        <f>IF(DAY(D2684)=DAY($L$1+1),1,B2683+1)</f>
        <v/>
      </c>
      <c r="C2684" s="46">
        <f>IF(DAY(D2684)=DAY($L$1+1),1,C2683+1)</f>
        <v/>
      </c>
      <c r="D2684" s="2">
        <f>D2683+1</f>
        <v/>
      </c>
      <c r="E2684" s="8">
        <f>IF(DAY(D2684)=DAY($L$1+1),TRUNC((N2683),8),E2683)</f>
        <v/>
      </c>
      <c r="F2684" s="49">
        <f>TRUNC(((1+VLOOKUP(A2684,IPCA!$A$2:$C$140,3,0)))^(C2684/(EDATE(D2684-C2684,1)-(D2684-C2684))),8)</f>
        <v/>
      </c>
      <c r="G2684" s="44">
        <f>TRUNC((E2684*F2684),8)</f>
        <v/>
      </c>
      <c r="H2684" s="44">
        <f>ROUND(((1+$H$4)^(30/360))^(C2684/(EDATE(D2684-B2684,1)-(D2684-B2684))),9)</f>
        <v/>
      </c>
      <c r="I2684" s="44">
        <f>TRUNC((G2684*H2684-G2684),8)</f>
        <v/>
      </c>
      <c r="J2684" s="49">
        <f>G2684+I2684</f>
        <v/>
      </c>
      <c r="K2684" s="256" t="n"/>
      <c r="L2684" s="256" t="n"/>
      <c r="M2684" s="256" t="n"/>
      <c r="N2684" s="256" t="n"/>
      <c r="O2684" s="256" t="n"/>
      <c r="P2684" s="256" t="n"/>
      <c r="Q2684" s="256" t="n"/>
    </row>
    <row r="2685">
      <c r="A2685">
        <f>IF(DAY(D2685)=DAY($L$1+1),A2684+1,A2684)</f>
        <v/>
      </c>
      <c r="B2685" s="1">
        <f>IF(DAY(D2685)=DAY($L$1+1),1,B2684+1)</f>
        <v/>
      </c>
      <c r="C2685" s="1">
        <f>IF(DAY(D2685)=DAY($L$1+1),1,C2684+1)</f>
        <v/>
      </c>
      <c r="D2685" s="2">
        <f>D2684+1</f>
        <v/>
      </c>
      <c r="E2685" s="8">
        <f>IF(DAY(D2685)=DAY($L$1+1),TRUNC((N2684),8),E2684)</f>
        <v/>
      </c>
      <c r="F2685" s="49">
        <f>TRUNC(((1+VLOOKUP(A2685,IPCA!$A$2:$C$140,3,0)))^(C2685/(EDATE(D2685-C2685,1)-(D2685-C2685))),8)</f>
        <v/>
      </c>
      <c r="G2685" s="44">
        <f>TRUNC((E2685*F2685),8)</f>
        <v/>
      </c>
      <c r="H2685" s="44">
        <f>ROUND(((1+$H$4)^(30/360))^(C2685/(EDATE(D2685-B2685,1)-(D2685-B2685))),9)</f>
        <v/>
      </c>
      <c r="I2685" s="44">
        <f>TRUNC((G2685*H2685-G2685),8)</f>
        <v/>
      </c>
      <c r="J2685" s="49">
        <f>G2685+I2685</f>
        <v/>
      </c>
      <c r="K2685" s="256" t="n"/>
      <c r="L2685" s="256" t="n"/>
      <c r="M2685" s="256" t="n"/>
      <c r="N2685" s="256" t="n"/>
      <c r="O2685" s="256" t="n"/>
      <c r="P2685" s="256" t="n"/>
      <c r="Q2685" s="256" t="n"/>
    </row>
    <row r="2686">
      <c r="A2686">
        <f>IF(DAY(D2686)=DAY($L$1+1),A2685+1,A2685)</f>
        <v/>
      </c>
      <c r="B2686" s="46">
        <f>IF(DAY(D2686)=DAY($L$1+1),1,B2685+1)</f>
        <v/>
      </c>
      <c r="C2686" s="46">
        <f>IF(DAY(D2686)=DAY($L$1+1),1,C2685+1)</f>
        <v/>
      </c>
      <c r="D2686" s="2">
        <f>D2685+1</f>
        <v/>
      </c>
      <c r="E2686" s="8">
        <f>IF(DAY(D2686)=DAY($L$1+1),TRUNC((N2685),8),E2685)</f>
        <v/>
      </c>
      <c r="F2686" s="49">
        <f>TRUNC(((1+VLOOKUP(A2686,IPCA!$A$2:$C$140,3,0)))^(C2686/(EDATE(D2686-C2686,1)-(D2686-C2686))),8)</f>
        <v/>
      </c>
      <c r="G2686" s="44">
        <f>TRUNC((E2686*F2686),8)</f>
        <v/>
      </c>
      <c r="H2686" s="44">
        <f>ROUND(((1+$H$4)^(30/360))^(C2686/(EDATE(D2686-B2686,1)-(D2686-B2686))),9)</f>
        <v/>
      </c>
      <c r="I2686" s="44">
        <f>TRUNC((G2686*H2686-G2686),8)</f>
        <v/>
      </c>
      <c r="J2686" s="49">
        <f>G2686+I2686</f>
        <v/>
      </c>
      <c r="K2686" s="256" t="n"/>
      <c r="L2686" s="256" t="n"/>
      <c r="M2686" s="256" t="n"/>
      <c r="N2686" s="256" t="n"/>
      <c r="O2686" s="256" t="n"/>
      <c r="P2686" s="256" t="n"/>
      <c r="Q2686" s="256" t="n"/>
    </row>
    <row r="2687">
      <c r="A2687">
        <f>IF(DAY(D2687)=DAY($L$1+1),A2686+1,A2686)</f>
        <v/>
      </c>
      <c r="B2687" s="1">
        <f>IF(DAY(D2687)=DAY($L$1+1),1,B2686+1)</f>
        <v/>
      </c>
      <c r="C2687" s="1">
        <f>IF(DAY(D2687)=DAY($L$1+1),1,C2686+1)</f>
        <v/>
      </c>
      <c r="D2687" s="2">
        <f>D2686+1</f>
        <v/>
      </c>
      <c r="E2687" s="8">
        <f>IF(DAY(D2687)=DAY($L$1+1),TRUNC((N2686),8),E2686)</f>
        <v/>
      </c>
      <c r="F2687" s="49">
        <f>TRUNC(((1+VLOOKUP(A2687,IPCA!$A$2:$C$140,3,0)))^(C2687/(EDATE(D2687-C2687,1)-(D2687-C2687))),8)</f>
        <v/>
      </c>
      <c r="G2687" s="44">
        <f>TRUNC((E2687*F2687),8)</f>
        <v/>
      </c>
      <c r="H2687" s="44">
        <f>ROUND(((1+$H$4)^(30/360))^(C2687/(EDATE(D2687-B2687,1)-(D2687-B2687))),9)</f>
        <v/>
      </c>
      <c r="I2687" s="44">
        <f>TRUNC((G2687*H2687-G2687),8)</f>
        <v/>
      </c>
      <c r="J2687" s="49">
        <f>G2687+I2687</f>
        <v/>
      </c>
      <c r="K2687" s="256" t="n"/>
      <c r="L2687" s="256" t="n"/>
      <c r="M2687" s="256" t="n"/>
      <c r="N2687" s="256" t="n"/>
      <c r="O2687" s="256" t="n"/>
      <c r="P2687" s="256" t="n"/>
      <c r="Q2687" s="256" t="n"/>
    </row>
    <row r="2688">
      <c r="A2688">
        <f>IF(DAY(D2688)=DAY($L$1+1),A2687+1,A2687)</f>
        <v/>
      </c>
      <c r="B2688" s="46">
        <f>IF(DAY(D2688)=DAY($L$1+1),1,B2687+1)</f>
        <v/>
      </c>
      <c r="C2688" s="46">
        <f>IF(DAY(D2688)=DAY($L$1+1),1,C2687+1)</f>
        <v/>
      </c>
      <c r="D2688" s="2">
        <f>D2687+1</f>
        <v/>
      </c>
      <c r="E2688" s="8">
        <f>IF(DAY(D2688)=DAY($L$1+1),TRUNC((N2687),8),E2687)</f>
        <v/>
      </c>
      <c r="F2688" s="49">
        <f>TRUNC(((1+VLOOKUP(A2688,IPCA!$A$2:$C$140,3,0)))^(C2688/(EDATE(D2688-C2688,1)-(D2688-C2688))),8)</f>
        <v/>
      </c>
      <c r="G2688" s="44">
        <f>TRUNC((E2688*F2688),8)</f>
        <v/>
      </c>
      <c r="H2688" s="44">
        <f>ROUND(((1+$H$4)^(30/360))^(C2688/(EDATE(D2688-B2688,1)-(D2688-B2688))),9)</f>
        <v/>
      </c>
      <c r="I2688" s="44">
        <f>TRUNC((G2688*H2688-G2688),8)</f>
        <v/>
      </c>
      <c r="J2688" s="49">
        <f>G2688+I2688</f>
        <v/>
      </c>
      <c r="K2688" s="256" t="n"/>
      <c r="L2688" s="256" t="n"/>
      <c r="M2688" s="256" t="n"/>
      <c r="N2688" s="256" t="n"/>
      <c r="O2688" s="256" t="n"/>
      <c r="P2688" s="256" t="n"/>
      <c r="Q2688" s="256" t="n"/>
    </row>
    <row r="2689">
      <c r="A2689">
        <f>IF(DAY(D2689)=DAY($L$1+1),A2688+1,A2688)</f>
        <v/>
      </c>
      <c r="B2689" s="1">
        <f>IF(DAY(D2689)=DAY($L$1+1),1,B2688+1)</f>
        <v/>
      </c>
      <c r="C2689" s="1">
        <f>IF(DAY(D2689)=DAY($L$1+1),1,C2688+1)</f>
        <v/>
      </c>
      <c r="D2689" s="2">
        <f>D2688+1</f>
        <v/>
      </c>
      <c r="E2689" s="8">
        <f>IF(DAY(D2689)=DAY($L$1+1),TRUNC((N2688),8),E2688)</f>
        <v/>
      </c>
      <c r="F2689" s="49">
        <f>TRUNC(((1+VLOOKUP(A2689,IPCA!$A$2:$C$140,3,0)))^(C2689/(EDATE(D2689-C2689,1)-(D2689-C2689))),8)</f>
        <v/>
      </c>
      <c r="G2689" s="44">
        <f>TRUNC((E2689*F2689),8)</f>
        <v/>
      </c>
      <c r="H2689" s="44">
        <f>ROUND(((1+$H$4)^(30/360))^(C2689/(EDATE(D2689-B2689,1)-(D2689-B2689))),9)</f>
        <v/>
      </c>
      <c r="I2689" s="44">
        <f>TRUNC((G2689*H2689-G2689),8)</f>
        <v/>
      </c>
      <c r="J2689" s="49">
        <f>G2689+I2689</f>
        <v/>
      </c>
      <c r="K2689" s="256" t="n"/>
      <c r="L2689" s="256" t="n"/>
      <c r="M2689" s="256" t="n"/>
      <c r="N2689" s="256" t="n"/>
      <c r="O2689" s="256" t="n"/>
      <c r="P2689" s="256" t="n"/>
      <c r="Q2689" s="256" t="n"/>
    </row>
    <row r="2690">
      <c r="A2690">
        <f>IF(DAY(D2690)=DAY($L$1+1),A2689+1,A2689)</f>
        <v/>
      </c>
      <c r="B2690" s="46">
        <f>IF(DAY(D2690)=DAY($L$1+1),1,B2689+1)</f>
        <v/>
      </c>
      <c r="C2690" s="46">
        <f>IF(DAY(D2690)=DAY($L$1+1),1,C2689+1)</f>
        <v/>
      </c>
      <c r="D2690" s="2">
        <f>D2689+1</f>
        <v/>
      </c>
      <c r="E2690" s="8">
        <f>IF(DAY(D2690)=DAY($L$1+1),TRUNC((N2689),8),E2689)</f>
        <v/>
      </c>
      <c r="F2690" s="49">
        <f>TRUNC(((1+VLOOKUP(A2690,IPCA!$A$2:$C$140,3,0)))^(C2690/(EDATE(D2690-C2690,1)-(D2690-C2690))),8)</f>
        <v/>
      </c>
      <c r="G2690" s="44">
        <f>TRUNC((E2690*F2690),8)</f>
        <v/>
      </c>
      <c r="H2690" s="44">
        <f>ROUND(((1+$H$4)^(30/360))^(C2690/(EDATE(D2690-B2690,1)-(D2690-B2690))),9)</f>
        <v/>
      </c>
      <c r="I2690" s="44">
        <f>TRUNC((G2690*H2690-G2690),8)</f>
        <v/>
      </c>
      <c r="J2690" s="49">
        <f>G2690+I2690</f>
        <v/>
      </c>
      <c r="K2690" s="256" t="n"/>
      <c r="L2690" s="256" t="n"/>
      <c r="M2690" s="256" t="n"/>
      <c r="N2690" s="256" t="n"/>
      <c r="O2690" s="256" t="n"/>
      <c r="P2690" s="256" t="n"/>
      <c r="Q2690" s="256" t="n"/>
    </row>
    <row r="2691">
      <c r="A2691">
        <f>IF(DAY(D2691)=DAY($L$1+1),A2690+1,A2690)</f>
        <v/>
      </c>
      <c r="B2691" s="1">
        <f>IF(DAY(D2691)=DAY($L$1+1),1,B2690+1)</f>
        <v/>
      </c>
      <c r="C2691" s="1">
        <f>IF(DAY(D2691)=DAY($L$1+1),1,C2690+1)</f>
        <v/>
      </c>
      <c r="D2691" s="2">
        <f>D2690+1</f>
        <v/>
      </c>
      <c r="E2691" s="8">
        <f>IF(DAY(D2691)=DAY($L$1+1),TRUNC((N2690),8),E2690)</f>
        <v/>
      </c>
      <c r="F2691" s="49">
        <f>TRUNC(((1+VLOOKUP(A2691,IPCA!$A$2:$C$140,3,0)))^(C2691/(EDATE(D2691-C2691,1)-(D2691-C2691))),8)</f>
        <v/>
      </c>
      <c r="G2691" s="44">
        <f>TRUNC((E2691*F2691),8)</f>
        <v/>
      </c>
      <c r="H2691" s="44">
        <f>ROUND(((1+$H$4)^(30/360))^(C2691/(EDATE(D2691-B2691,1)-(D2691-B2691))),9)</f>
        <v/>
      </c>
      <c r="I2691" s="44">
        <f>TRUNC((G2691*H2691-G2691),8)</f>
        <v/>
      </c>
      <c r="J2691" s="49">
        <f>G2691+I2691</f>
        <v/>
      </c>
      <c r="K2691" s="256" t="n"/>
      <c r="L2691" s="256" t="n"/>
      <c r="M2691" s="256" t="n"/>
      <c r="N2691" s="256" t="n"/>
      <c r="O2691" s="256" t="n"/>
      <c r="P2691" s="256" t="n"/>
      <c r="Q2691" s="256" t="n"/>
    </row>
    <row r="2692">
      <c r="A2692">
        <f>IF(DAY(D2692)=DAY($L$1+1),A2691+1,A2691)</f>
        <v/>
      </c>
      <c r="B2692" s="46">
        <f>IF(DAY(D2692)=DAY($L$1+1),1,B2691+1)</f>
        <v/>
      </c>
      <c r="C2692" s="46">
        <f>IF(DAY(D2692)=DAY($L$1+1),1,C2691+1)</f>
        <v/>
      </c>
      <c r="D2692" s="2">
        <f>D2691+1</f>
        <v/>
      </c>
      <c r="E2692" s="8">
        <f>IF(DAY(D2692)=DAY($L$1+1),TRUNC((N2691),8),E2691)</f>
        <v/>
      </c>
      <c r="F2692" s="49">
        <f>TRUNC(((1+VLOOKUP(A2692,IPCA!$A$2:$C$140,3,0)))^(C2692/(EDATE(D2692-C2692,1)-(D2692-C2692))),8)</f>
        <v/>
      </c>
      <c r="G2692" s="44">
        <f>TRUNC((E2692*F2692),8)</f>
        <v/>
      </c>
      <c r="H2692" s="44">
        <f>ROUND(((1+$H$4)^(30/360))^(C2692/(EDATE(D2692-B2692,1)-(D2692-B2692))),9)</f>
        <v/>
      </c>
      <c r="I2692" s="44">
        <f>TRUNC((G2692*H2692-G2692),8)</f>
        <v/>
      </c>
      <c r="J2692" s="49">
        <f>G2692+I2692</f>
        <v/>
      </c>
      <c r="K2692" s="256" t="n"/>
      <c r="L2692" s="256" t="n"/>
      <c r="M2692" s="256" t="n"/>
      <c r="N2692" s="256" t="n"/>
      <c r="O2692" s="256" t="n"/>
      <c r="P2692" s="256" t="n"/>
      <c r="Q2692" s="256" t="n"/>
    </row>
    <row r="2693">
      <c r="A2693">
        <f>IF(DAY(D2693)=DAY($L$1+1),A2692+1,A2692)</f>
        <v/>
      </c>
      <c r="B2693" s="1">
        <f>IF(DAY(D2693)=DAY($L$1+1),1,B2692+1)</f>
        <v/>
      </c>
      <c r="C2693" s="1">
        <f>IF(DAY(D2693)=DAY($L$1+1),1,C2692+1)</f>
        <v/>
      </c>
      <c r="D2693" s="2">
        <f>D2692+1</f>
        <v/>
      </c>
      <c r="E2693" s="8">
        <f>IF(DAY(D2693)=DAY($L$1+1),TRUNC((N2692),8),E2692)</f>
        <v/>
      </c>
      <c r="F2693" s="49">
        <f>TRUNC(((1+VLOOKUP(A2693,IPCA!$A$2:$C$140,3,0)))^(C2693/(EDATE(D2693-C2693,1)-(D2693-C2693))),8)</f>
        <v/>
      </c>
      <c r="G2693" s="44">
        <f>TRUNC((E2693*F2693),8)</f>
        <v/>
      </c>
      <c r="H2693" s="44">
        <f>ROUND(((1+$H$4)^(30/360))^(C2693/(EDATE(D2693-B2693,1)-(D2693-B2693))),9)</f>
        <v/>
      </c>
      <c r="I2693" s="44">
        <f>TRUNC((G2693*H2693-G2693),8)</f>
        <v/>
      </c>
      <c r="J2693" s="49">
        <f>G2693+I2693</f>
        <v/>
      </c>
      <c r="K2693" s="256" t="n"/>
      <c r="L2693" s="256" t="n"/>
      <c r="M2693" s="256" t="n"/>
      <c r="N2693" s="256" t="n"/>
      <c r="O2693" s="256" t="n"/>
      <c r="P2693" s="256" t="n"/>
      <c r="Q2693" s="256" t="n"/>
    </row>
    <row r="2694">
      <c r="A2694">
        <f>IF(DAY(D2694)=DAY($L$1+1),A2693+1,A2693)</f>
        <v/>
      </c>
      <c r="B2694" s="46">
        <f>IF(DAY(D2694)=DAY($L$1+1),1,B2693+1)</f>
        <v/>
      </c>
      <c r="C2694" s="46">
        <f>IF(DAY(D2694)=DAY($L$1+1),1,C2693+1)</f>
        <v/>
      </c>
      <c r="D2694" s="2">
        <f>D2693+1</f>
        <v/>
      </c>
      <c r="E2694" s="8">
        <f>IF(DAY(D2694)=DAY($L$1+1),TRUNC((N2693),8),E2693)</f>
        <v/>
      </c>
      <c r="F2694" s="49">
        <f>TRUNC(((1+VLOOKUP(A2694,IPCA!$A$2:$C$140,3,0)))^(C2694/(EDATE(D2694-C2694,1)-(D2694-C2694))),8)</f>
        <v/>
      </c>
      <c r="G2694" s="44">
        <f>TRUNC((E2694*F2694),8)</f>
        <v/>
      </c>
      <c r="H2694" s="44">
        <f>ROUND(((1+$H$4)^(30/360))^(C2694/(EDATE(D2694-B2694,1)-(D2694-B2694))),9)</f>
        <v/>
      </c>
      <c r="I2694" s="44">
        <f>TRUNC((G2694*H2694-G2694),8)</f>
        <v/>
      </c>
      <c r="J2694" s="49">
        <f>G2694+I2694</f>
        <v/>
      </c>
      <c r="K2694" s="256" t="n"/>
      <c r="L2694" s="256" t="n"/>
      <c r="M2694" s="256" t="n"/>
      <c r="N2694" s="256" t="n"/>
      <c r="O2694" s="256" t="n"/>
      <c r="P2694" s="256" t="n"/>
      <c r="Q2694" s="256" t="n"/>
    </row>
    <row r="2695">
      <c r="A2695">
        <f>IF(DAY(D2695)=DAY($L$1+1),A2694+1,A2694)</f>
        <v/>
      </c>
      <c r="B2695" s="1">
        <f>IF(DAY(D2695)=DAY($L$1+1),1,B2694+1)</f>
        <v/>
      </c>
      <c r="C2695" s="1">
        <f>IF(DAY(D2695)=DAY($L$1+1),1,C2694+1)</f>
        <v/>
      </c>
      <c r="D2695" s="2">
        <f>D2694+1</f>
        <v/>
      </c>
      <c r="E2695" s="8">
        <f>IF(DAY(D2695)=DAY($L$1+1),TRUNC((N2694),8),E2694)</f>
        <v/>
      </c>
      <c r="F2695" s="49">
        <f>TRUNC(((1+VLOOKUP(A2695,IPCA!$A$2:$C$140,3,0)))^(C2695/(EDATE(D2695-C2695,1)-(D2695-C2695))),8)</f>
        <v/>
      </c>
      <c r="G2695" s="44">
        <f>TRUNC((E2695*F2695),8)</f>
        <v/>
      </c>
      <c r="H2695" s="44">
        <f>ROUND(((1+$H$4)^(30/360))^(C2695/(EDATE(D2695-B2695,1)-(D2695-B2695))),9)</f>
        <v/>
      </c>
      <c r="I2695" s="44">
        <f>TRUNC((G2695*H2695-G2695),8)</f>
        <v/>
      </c>
      <c r="J2695" s="49">
        <f>G2695+I2695</f>
        <v/>
      </c>
      <c r="K2695" s="256" t="n"/>
      <c r="L2695" s="256" t="n"/>
      <c r="M2695" s="256" t="n"/>
      <c r="N2695" s="256" t="n"/>
      <c r="O2695" s="256" t="n"/>
      <c r="P2695" s="256" t="n"/>
      <c r="Q2695" s="256" t="n"/>
    </row>
    <row r="2696">
      <c r="A2696">
        <f>IF(DAY(D2696)=DAY($L$1+1),A2695+1,A2695)</f>
        <v/>
      </c>
      <c r="B2696" s="46">
        <f>IF(DAY(D2696)=DAY($L$1+1),1,B2695+1)</f>
        <v/>
      </c>
      <c r="C2696" s="46">
        <f>IF(DAY(D2696)=DAY($L$1+1),1,C2695+1)</f>
        <v/>
      </c>
      <c r="D2696" s="2">
        <f>D2695+1</f>
        <v/>
      </c>
      <c r="E2696" s="8">
        <f>IF(DAY(D2696)=DAY($L$1+1),TRUNC((N2695),8),E2695)</f>
        <v/>
      </c>
      <c r="F2696" s="49">
        <f>TRUNC(((1+VLOOKUP(A2696,IPCA!$A$2:$C$140,3,0)))^(C2696/(EDATE(D2696-C2696,1)-(D2696-C2696))),8)</f>
        <v/>
      </c>
      <c r="G2696" s="44">
        <f>TRUNC((E2696*F2696),8)</f>
        <v/>
      </c>
      <c r="H2696" s="44">
        <f>ROUND(((1+$H$4)^(30/360))^(C2696/(EDATE(D2696-B2696,1)-(D2696-B2696))),9)</f>
        <v/>
      </c>
      <c r="I2696" s="44">
        <f>TRUNC((G2696*H2696-G2696),8)</f>
        <v/>
      </c>
      <c r="J2696" s="49">
        <f>G2696+I2696</f>
        <v/>
      </c>
      <c r="K2696" s="256" t="n"/>
      <c r="L2696" s="256" t="n"/>
      <c r="M2696" s="256" t="n"/>
      <c r="N2696" s="256" t="n"/>
      <c r="O2696" s="256" t="n"/>
      <c r="P2696" s="256" t="n"/>
      <c r="Q2696" s="256" t="n"/>
    </row>
    <row r="2697">
      <c r="A2697">
        <f>IF(DAY(D2697)=DAY($L$1+1),A2696+1,A2696)</f>
        <v/>
      </c>
      <c r="B2697" s="46">
        <f>IF(DAY(D2697)=DAY($L$1+1),1,B2696+1)</f>
        <v/>
      </c>
      <c r="C2697" s="46">
        <f>IF(DAY(D2697)=DAY($L$1+1),1,C2696+1)</f>
        <v/>
      </c>
      <c r="D2697" s="2">
        <f>D2696+1</f>
        <v/>
      </c>
      <c r="E2697" s="8">
        <f>IF(DAY(D2697)=DAY($L$1+1),TRUNC((N2696),8),E2696)</f>
        <v/>
      </c>
      <c r="F2697" s="49">
        <f>TRUNC(((1+VLOOKUP(A2697,IPCA!$A$2:$C$140,3,0)))^(C2697/(EDATE(D2697-C2697,1)-(D2697-C2697))),8)</f>
        <v/>
      </c>
      <c r="G2697" s="49">
        <f>TRUNC((E2697*F2697),8)</f>
        <v/>
      </c>
      <c r="H2697" s="49">
        <f>ROUND(((1+$H$4)^(30/360))^(C2697/(EDATE(D2697-B2697,1)-(D2697-B2697))),9)</f>
        <v/>
      </c>
      <c r="I2697" s="49">
        <f>TRUNC((G2697*H2697-G2697),8)</f>
        <v/>
      </c>
      <c r="J2697" s="49">
        <f>G2697+I2697</f>
        <v/>
      </c>
      <c r="K2697" s="256" t="inlineStr">
        <is>
          <t>Cri Integralizado</t>
        </is>
      </c>
      <c r="L2697" s="270">
        <f>L2666</f>
        <v/>
      </c>
      <c r="M2697" s="256" t="n"/>
      <c r="N2697" s="256" t="n"/>
      <c r="O2697" s="256" t="n"/>
      <c r="P2697" s="256" t="n"/>
      <c r="Q2697" s="256" t="n"/>
    </row>
    <row r="2698">
      <c r="A2698">
        <f>IF(DAY(D2698)=DAY($L$1+1),A2697+1,A2697)</f>
        <v/>
      </c>
      <c r="B2698" s="46">
        <f>IF(DAY(D2698)=DAY($L$1+1),1,B2697+1)</f>
        <v/>
      </c>
      <c r="C2698" s="46">
        <f>IF(DAY(D2698)=DAY($L$1+1),1,C2697+1)</f>
        <v/>
      </c>
      <c r="D2698" s="47">
        <f>D2697+1</f>
        <v/>
      </c>
      <c r="E2698" s="8">
        <f>IF(DAY(D2698)=DAY($L$1+1),TRUNC((N2697),8),E2697)</f>
        <v/>
      </c>
      <c r="F2698" s="49">
        <f>TRUNC(((1+VLOOKUP(A2698,IPCA!$A$2:$C$140,3,0)))^(C2698/(EDATE(D2698-C2698,1)-(D2698-C2698))),8)</f>
        <v/>
      </c>
      <c r="G2698" s="49">
        <f>TRUNC((E2698*F2698),8)</f>
        <v/>
      </c>
      <c r="H2698" s="49">
        <f>ROUND(((1+$H$4)^(30/360))^(C2698/(EDATE(D2698-B2698,1)-(D2698-B2698))),9)</f>
        <v/>
      </c>
      <c r="I2698" s="49">
        <f>TRUNC((G2698*H2698-G2698),8)</f>
        <v/>
      </c>
      <c r="J2698" s="49">
        <f>G2698+I2698</f>
        <v/>
      </c>
      <c r="K2698" s="137" t="inlineStr">
        <is>
          <t>JUROS</t>
        </is>
      </c>
      <c r="L2698" s="118" t="inlineStr">
        <is>
          <t>AMORTIZAÇÃO</t>
        </is>
      </c>
      <c r="M2698" s="118" t="inlineStr">
        <is>
          <t>AMEX</t>
        </is>
      </c>
      <c r="N2698" s="118" t="inlineStr">
        <is>
          <t>RESIDUAL</t>
        </is>
      </c>
      <c r="O2698" s="256" t="n"/>
      <c r="P2698" s="256" t="n"/>
      <c r="Q2698" s="256" t="n"/>
    </row>
    <row r="2699">
      <c r="A2699">
        <f>IF(DAY(D2699)=DAY($L$1+1),A2698+1,A2698)</f>
        <v/>
      </c>
      <c r="B2699" s="111">
        <f>IF(DAY(D2699)=DAY($L$1+1),1,B2698+1)</f>
        <v/>
      </c>
      <c r="C2699" s="111">
        <f>IF(DAY(D2699)=DAY($L$1+1),1,C2698+1)</f>
        <v/>
      </c>
      <c r="D2699" s="112">
        <f>D2698+1</f>
        <v/>
      </c>
      <c r="E2699" s="113">
        <f>IF(DAY(D2699)=DAY($L$1+1),TRUNC((N2698),8),E2698)</f>
        <v/>
      </c>
      <c r="F2699" s="114">
        <f>TRUNC(((1+VLOOKUP(A2699,IPCA!$A$2:$C$140,3,0)))^(C2699/(EDATE(D2699-C2699,1)-(D2699-C2699))),8)</f>
        <v/>
      </c>
      <c r="G2699" s="114">
        <f>TRUNC((E2699*F2699),8)</f>
        <v/>
      </c>
      <c r="H2699" s="114">
        <f>ROUND(((1+$H$4)^(30/360))^(C2699/(EDATE(D2699-B2699,1)-(D2699-B2699))),9)</f>
        <v/>
      </c>
      <c r="I2699" s="114">
        <f>TRUNC((G2699*H2699-G2699),8)</f>
        <v/>
      </c>
      <c r="J2699" s="114">
        <f>G2699+I2699</f>
        <v/>
      </c>
      <c r="K2699" s="119">
        <f>I2699</f>
        <v/>
      </c>
      <c r="L2699" s="120">
        <f>TRUNC(G2699*VLOOKUP(D2699,'Amort TS'!$G$3:$H$140,2,0),8)</f>
        <v/>
      </c>
      <c r="M2699" s="120" t="n">
        <v>0</v>
      </c>
      <c r="N2699" s="120">
        <f>J2699-K2699-L2699-M2699</f>
        <v/>
      </c>
      <c r="O2699" s="256" t="n"/>
      <c r="P2699" s="256" t="n"/>
      <c r="Q2699" s="256" t="n"/>
    </row>
    <row r="2700">
      <c r="A2700">
        <f>IF(DAY(D2700)=DAY($L$1+1),A2699+1,A2699)</f>
        <v/>
      </c>
      <c r="B2700" s="46">
        <f>IF(DAY(D2700)=DAY($L$1+1),1,B2699+1)</f>
        <v/>
      </c>
      <c r="C2700" s="46">
        <f>IF(DAY(D2700)=DAY($L$1+1),1,C2699+1)</f>
        <v/>
      </c>
      <c r="D2700" s="2">
        <f>D2699+1</f>
        <v/>
      </c>
      <c r="E2700" s="8">
        <f>IF(DAY(D2700)=DAY($L$1+1),TRUNC((N2699),8),E2699)</f>
        <v/>
      </c>
      <c r="F2700" s="49">
        <f>TRUNC(((1+VLOOKUP(A2700,IPCA!$A$2:$C$140,3,0)))^(C2700/(EDATE(D2700-C2700,1)-(D2700-C2700))),8)</f>
        <v/>
      </c>
      <c r="G2700" s="49">
        <f>TRUNC((E2700*F2700),8)</f>
        <v/>
      </c>
      <c r="H2700" s="49">
        <f>ROUND(((1+$H$4)^(30/360))^(C2700/(EDATE(D2700-B2700,1)-(D2700-B2700))),9)</f>
        <v/>
      </c>
      <c r="I2700" s="49">
        <f>TRUNC((G2700*H2700-G2700),8)</f>
        <v/>
      </c>
      <c r="J2700" s="49">
        <f>G2700+I2700</f>
        <v/>
      </c>
      <c r="K2700" s="121">
        <f>K2699*L2697</f>
        <v/>
      </c>
      <c r="L2700" s="121">
        <f>L2699*L2697</f>
        <v/>
      </c>
      <c r="M2700" s="121">
        <f>M2699*L2697</f>
        <v/>
      </c>
      <c r="N2700" s="121">
        <f>N2699*L2697</f>
        <v/>
      </c>
      <c r="O2700" s="256" t="n"/>
      <c r="P2700" s="256" t="n"/>
      <c r="Q2700" s="256" t="n"/>
    </row>
    <row r="2701">
      <c r="A2701">
        <f>IF(DAY(D2701)=DAY($L$1+1),A2700+1,A2700)</f>
        <v/>
      </c>
      <c r="B2701" s="46">
        <f>IF(DAY(D2701)=DAY($L$1+1),1,B2700+1)</f>
        <v/>
      </c>
      <c r="C2701" s="46">
        <f>IF(DAY(D2701)=DAY($L$1+1),1,C2700+1)</f>
        <v/>
      </c>
      <c r="D2701" s="47">
        <f>D2700+1</f>
        <v/>
      </c>
      <c r="E2701" s="8">
        <f>IF(DAY(D2701)=DAY($L$1+1),TRUNC((N2700),8),E2700)</f>
        <v/>
      </c>
      <c r="F2701" s="49">
        <f>TRUNC(((1+VLOOKUP(A2701,IPCA!$A$2:$C$140,3,0)))^(C2701/(EDATE(D2701-C2701,1)-(D2701-C2701))),8)</f>
        <v/>
      </c>
      <c r="G2701" s="49">
        <f>TRUNC((E2701*F2701),8)</f>
        <v/>
      </c>
      <c r="H2701" s="49">
        <f>ROUND(((1+$H$4)^(30/360))^(C2701/(EDATE(D2701-B2701,1)-(D2701-B2701))),9)</f>
        <v/>
      </c>
      <c r="I2701" s="49">
        <f>TRUNC((G2701*H2701-G2701),8)</f>
        <v/>
      </c>
      <c r="J2701" s="49">
        <f>G2701+I2701</f>
        <v/>
      </c>
      <c r="K2701" s="256" t="n"/>
      <c r="L2701" s="256" t="n"/>
      <c r="M2701" s="256" t="n"/>
      <c r="N2701" s="256" t="n"/>
      <c r="O2701" s="256" t="n"/>
      <c r="P2701" s="256" t="n"/>
      <c r="Q2701" s="256" t="n"/>
    </row>
    <row r="2702">
      <c r="A2702">
        <f>IF(DAY(D2702)=DAY($L$1+1),A2701+1,A2701)</f>
        <v/>
      </c>
      <c r="B2702" s="46">
        <f>IF(DAY(D2702)=DAY($L$1+1),1,B2701+1)</f>
        <v/>
      </c>
      <c r="C2702" s="46">
        <f>IF(DAY(D2702)=DAY($L$1+1),1,C2701+1)</f>
        <v/>
      </c>
      <c r="D2702" s="2">
        <f>D2701+1</f>
        <v/>
      </c>
      <c r="E2702" s="8">
        <f>IF(DAY(D2702)=DAY($L$1+1),TRUNC((#REF!),8),E2701)</f>
        <v/>
      </c>
      <c r="F2702" s="49">
        <f>TRUNC(((1+VLOOKUP(A2702,IPCA!$A$2:$C$140,3,0)))^(C2702/(EDATE(D2702-C2702,1)-(D2702-C2702))),8)</f>
        <v/>
      </c>
      <c r="G2702" s="44">
        <f>TRUNC((E2702*F2702),8)</f>
        <v/>
      </c>
      <c r="H2702" s="44">
        <f>ROUND(((1+$H$4)^(30/360))^(C2702/(EDATE(D2702-B2702,1)-(D2702-B2702))),9)</f>
        <v/>
      </c>
      <c r="I2702" s="44">
        <f>TRUNC((G2702*H2702-G2702),8)</f>
        <v/>
      </c>
      <c r="J2702" s="49">
        <f>G2702+I2702</f>
        <v/>
      </c>
      <c r="K2702" s="256" t="n"/>
      <c r="L2702" s="256" t="n"/>
      <c r="M2702" s="256" t="n"/>
      <c r="N2702" s="256" t="n"/>
      <c r="O2702" s="256" t="n"/>
      <c r="P2702" s="256" t="n"/>
      <c r="Q2702" s="256" t="n"/>
    </row>
    <row r="2703">
      <c r="A2703">
        <f>IF(DAY(D2703)=DAY($L$1+1),A2702+1,A2702)</f>
        <v/>
      </c>
      <c r="B2703" s="1">
        <f>IF(DAY(D2703)=DAY($L$1+1),1,B2702+1)</f>
        <v/>
      </c>
      <c r="C2703" s="1">
        <f>IF(DAY(D2703)=DAY($L$1+1),1,C2702+1)</f>
        <v/>
      </c>
      <c r="D2703" s="2">
        <f>D2702+1</f>
        <v/>
      </c>
      <c r="E2703" s="8">
        <f>IF(DAY(D2703)=DAY($L$1+1),TRUNC((#REF!),8),E2702)</f>
        <v/>
      </c>
      <c r="F2703" s="49">
        <f>TRUNC(((1+VLOOKUP(A2703,IPCA!$A$2:$C$140,3,0)))^(C2703/(EDATE(D2703-C2703,1)-(D2703-C2703))),8)</f>
        <v/>
      </c>
      <c r="G2703" s="44">
        <f>TRUNC((E2703*F2703),8)</f>
        <v/>
      </c>
      <c r="H2703" s="44">
        <f>ROUND(((1+$H$4)^(30/360))^(C2703/(EDATE(D2703-B2703,1)-(D2703-B2703))),9)</f>
        <v/>
      </c>
      <c r="I2703" s="44">
        <f>TRUNC((G2703*H2703-G2703),8)</f>
        <v/>
      </c>
      <c r="J2703" s="49">
        <f>G2703+I2703</f>
        <v/>
      </c>
      <c r="K2703" s="256" t="n"/>
      <c r="L2703" s="256" t="n"/>
      <c r="M2703" s="256" t="n"/>
      <c r="N2703" s="256" t="n"/>
      <c r="O2703" s="256" t="n"/>
      <c r="P2703" s="256" t="n"/>
      <c r="Q2703" s="256" t="n"/>
    </row>
    <row r="2704">
      <c r="A2704">
        <f>IF(DAY(D2704)=DAY($L$1+1),A2703+1,A2703)</f>
        <v/>
      </c>
      <c r="B2704" s="46">
        <f>IF(DAY(D2704)=DAY($L$1+1),1,B2703+1)</f>
        <v/>
      </c>
      <c r="C2704" s="46">
        <f>IF(DAY(D2704)=DAY($L$1+1),1,C2703+1)</f>
        <v/>
      </c>
      <c r="D2704" s="2">
        <f>D2703+1</f>
        <v/>
      </c>
      <c r="E2704" s="8">
        <f>IF(DAY(D2704)=DAY($L$1+1),TRUNC((#REF!),8),E2703)</f>
        <v/>
      </c>
      <c r="F2704" s="49">
        <f>TRUNC(((1+VLOOKUP(A2704,IPCA!$A$2:$C$140,3,0)))^(C2704/(EDATE(D2704-C2704,1)-(D2704-C2704))),8)</f>
        <v/>
      </c>
      <c r="G2704" s="44">
        <f>TRUNC((E2704*F2704),8)</f>
        <v/>
      </c>
      <c r="H2704" s="44">
        <f>ROUND(((1+$H$4)^(30/360))^(C2704/(EDATE(D2704-B2704,1)-(D2704-B2704))),9)</f>
        <v/>
      </c>
      <c r="I2704" s="44">
        <f>TRUNC((G2704*H2704-G2704),8)</f>
        <v/>
      </c>
      <c r="J2704" s="49">
        <f>G2704+I2704</f>
        <v/>
      </c>
      <c r="K2704" s="256" t="n"/>
      <c r="L2704" s="256" t="n"/>
      <c r="M2704" s="256" t="n"/>
      <c r="N2704" s="256" t="n"/>
      <c r="O2704" s="256" t="n"/>
      <c r="P2704" s="256" t="n"/>
      <c r="Q2704" s="256" t="n"/>
    </row>
    <row r="2705">
      <c r="A2705">
        <f>IF(DAY(D2705)=DAY($L$1+1),A2704+1,A2704)</f>
        <v/>
      </c>
      <c r="B2705" s="1">
        <f>IF(DAY(D2705)=DAY($L$1+1),1,B2704+1)</f>
        <v/>
      </c>
      <c r="C2705" s="1">
        <f>IF(DAY(D2705)=DAY($L$1+1),1,C2704+1)</f>
        <v/>
      </c>
      <c r="D2705" s="2">
        <f>D2704+1</f>
        <v/>
      </c>
      <c r="E2705" s="8">
        <f>IF(DAY(D2705)=DAY($L$1+1),TRUNC((#REF!),8),E2704)</f>
        <v/>
      </c>
      <c r="F2705" s="49">
        <f>TRUNC(((1+VLOOKUP(A2705,IPCA!$A$2:$C$140,3,0)))^(C2705/(EDATE(D2705-C2705,1)-(D2705-C2705))),8)</f>
        <v/>
      </c>
      <c r="G2705" s="44">
        <f>TRUNC((E2705*F2705),8)</f>
        <v/>
      </c>
      <c r="H2705" s="44">
        <f>ROUND(((1+$H$4)^(30/360))^(C2705/(EDATE(D2705-B2705,1)-(D2705-B2705))),9)</f>
        <v/>
      </c>
      <c r="I2705" s="44">
        <f>TRUNC((G2705*H2705-G2705),8)</f>
        <v/>
      </c>
      <c r="J2705" s="49">
        <f>G2705+I2705</f>
        <v/>
      </c>
      <c r="K2705" s="256" t="n"/>
      <c r="L2705" s="256" t="n"/>
      <c r="M2705" s="256" t="n"/>
      <c r="N2705" s="256" t="n"/>
      <c r="O2705" s="256" t="n"/>
      <c r="P2705" s="256" t="n"/>
      <c r="Q2705" s="256" t="n"/>
    </row>
    <row r="2706">
      <c r="A2706">
        <f>IF(DAY(D2706)=DAY($L$1+1),A2705+1,A2705)</f>
        <v/>
      </c>
      <c r="B2706" s="46">
        <f>IF(DAY(D2706)=DAY($L$1+1),1,B2705+1)</f>
        <v/>
      </c>
      <c r="C2706" s="46">
        <f>IF(DAY(D2706)=DAY($L$1+1),1,C2705+1)</f>
        <v/>
      </c>
      <c r="D2706" s="2">
        <f>D2705+1</f>
        <v/>
      </c>
      <c r="E2706" s="8">
        <f>IF(DAY(D2706)=DAY($L$1+1),TRUNC((#REF!),8),E2705)</f>
        <v/>
      </c>
      <c r="F2706" s="49">
        <f>TRUNC(((1+VLOOKUP(A2706,IPCA!$A$2:$C$140,3,0)))^(C2706/(EDATE(D2706-C2706,1)-(D2706-C2706))),8)</f>
        <v/>
      </c>
      <c r="G2706" s="44">
        <f>TRUNC((E2706*F2706),8)</f>
        <v/>
      </c>
      <c r="H2706" s="44">
        <f>ROUND(((1+$H$4)^(30/360))^(C2706/(EDATE(D2706-B2706,1)-(D2706-B2706))),9)</f>
        <v/>
      </c>
      <c r="I2706" s="44">
        <f>TRUNC((G2706*H2706-G2706),8)</f>
        <v/>
      </c>
      <c r="J2706" s="49">
        <f>G2706+I2706</f>
        <v/>
      </c>
      <c r="K2706" s="256" t="n"/>
      <c r="L2706" s="256" t="n"/>
      <c r="M2706" s="256" t="n"/>
      <c r="N2706" s="256" t="n"/>
      <c r="O2706" s="256" t="n"/>
      <c r="P2706" s="256" t="n"/>
      <c r="Q2706" s="256" t="n"/>
    </row>
    <row r="2707">
      <c r="A2707">
        <f>IF(DAY(D2707)=DAY($L$1+1),A2706+1,A2706)</f>
        <v/>
      </c>
      <c r="B2707" s="1">
        <f>IF(DAY(D2707)=DAY($L$1+1),1,B2706+1)</f>
        <v/>
      </c>
      <c r="C2707" s="1">
        <f>IF(DAY(D2707)=DAY($L$1+1),1,C2706+1)</f>
        <v/>
      </c>
      <c r="D2707" s="2">
        <f>D2706+1</f>
        <v/>
      </c>
      <c r="E2707" s="8">
        <f>IF(DAY(D2707)=DAY($L$1+1),TRUNC((#REF!),8),E2706)</f>
        <v/>
      </c>
      <c r="F2707" s="49">
        <f>TRUNC(((1+VLOOKUP(A2707,IPCA!$A$2:$C$140,3,0)))^(C2707/(EDATE(D2707-C2707,1)-(D2707-C2707))),8)</f>
        <v/>
      </c>
      <c r="G2707" s="44">
        <f>TRUNC((E2707*F2707),8)</f>
        <v/>
      </c>
      <c r="H2707" s="44">
        <f>ROUND(((1+$H$4)^(30/360))^(C2707/(EDATE(D2707-B2707,1)-(D2707-B2707))),9)</f>
        <v/>
      </c>
      <c r="I2707" s="44">
        <f>TRUNC((G2707*H2707-G2707),8)</f>
        <v/>
      </c>
      <c r="J2707" s="49">
        <f>G2707+I2707</f>
        <v/>
      </c>
      <c r="K2707" s="256" t="n"/>
      <c r="L2707" s="256" t="n"/>
      <c r="M2707" s="256" t="n"/>
      <c r="N2707" s="256" t="n"/>
      <c r="O2707" s="256" t="n"/>
      <c r="P2707" s="256" t="n"/>
      <c r="Q2707" s="256" t="n"/>
    </row>
    <row r="2708">
      <c r="A2708">
        <f>IF(DAY(D2708)=DAY($L$1+1),A2707+1,A2707)</f>
        <v/>
      </c>
      <c r="B2708" s="46">
        <f>IF(DAY(D2708)=DAY($L$1+1),1,B2707+1)</f>
        <v/>
      </c>
      <c r="C2708" s="46">
        <f>IF(DAY(D2708)=DAY($L$1+1),1,C2707+1)</f>
        <v/>
      </c>
      <c r="D2708" s="2">
        <f>D2707+1</f>
        <v/>
      </c>
      <c r="E2708" s="8">
        <f>IF(DAY(D2708)=DAY($L$1+1),TRUNC((#REF!),8),E2707)</f>
        <v/>
      </c>
      <c r="F2708" s="49">
        <f>TRUNC(((1+VLOOKUP(A2708,IPCA!$A$2:$C$140,3,0)))^(C2708/(EDATE(D2708-C2708,1)-(D2708-C2708))),8)</f>
        <v/>
      </c>
      <c r="G2708" s="44">
        <f>TRUNC((E2708*F2708),8)</f>
        <v/>
      </c>
      <c r="H2708" s="44">
        <f>ROUND(((1+$H$4)^(30/360))^(C2708/(EDATE(D2708-B2708,1)-(D2708-B2708))),9)</f>
        <v/>
      </c>
      <c r="I2708" s="44">
        <f>TRUNC((G2708*H2708-G2708),8)</f>
        <v/>
      </c>
      <c r="J2708" s="49">
        <f>G2708+I2708</f>
        <v/>
      </c>
      <c r="K2708" s="256" t="n"/>
      <c r="L2708" s="256" t="n"/>
      <c r="M2708" s="256" t="n"/>
      <c r="N2708" s="256" t="n"/>
      <c r="O2708" s="256" t="n"/>
      <c r="P2708" s="256" t="n"/>
      <c r="Q2708" s="256" t="n"/>
    </row>
    <row r="2709">
      <c r="A2709">
        <f>IF(DAY(D2709)=DAY($L$1+1),A2708+1,A2708)</f>
        <v/>
      </c>
      <c r="B2709" s="1">
        <f>IF(DAY(D2709)=DAY($L$1+1),1,B2708+1)</f>
        <v/>
      </c>
      <c r="C2709" s="1">
        <f>IF(DAY(D2709)=DAY($L$1+1),1,C2708+1)</f>
        <v/>
      </c>
      <c r="D2709" s="2">
        <f>D2708+1</f>
        <v/>
      </c>
      <c r="E2709" s="8">
        <f>IF(DAY(D2709)=DAY($L$1+1),TRUNC((#REF!),8),E2708)</f>
        <v/>
      </c>
      <c r="F2709" s="49">
        <f>TRUNC(((1+VLOOKUP(A2709,IPCA!$A$2:$C$140,3,0)))^(C2709/(EDATE(D2709-C2709,1)-(D2709-C2709))),8)</f>
        <v/>
      </c>
      <c r="G2709" s="44">
        <f>TRUNC((E2709*F2709),8)</f>
        <v/>
      </c>
      <c r="H2709" s="44">
        <f>ROUND(((1+$H$4)^(30/360))^(C2709/(EDATE(D2709-B2709,1)-(D2709-B2709))),9)</f>
        <v/>
      </c>
      <c r="I2709" s="44">
        <f>TRUNC((G2709*H2709-G2709),8)</f>
        <v/>
      </c>
      <c r="J2709" s="49">
        <f>G2709+I2709</f>
        <v/>
      </c>
      <c r="K2709" s="256" t="n"/>
      <c r="L2709" s="256" t="n"/>
      <c r="M2709" s="256" t="n"/>
      <c r="N2709" s="256" t="n"/>
      <c r="O2709" s="256" t="n"/>
      <c r="P2709" s="256" t="n"/>
      <c r="Q2709" s="256" t="n"/>
    </row>
    <row r="2710">
      <c r="A2710">
        <f>IF(DAY(D2710)=DAY($L$1+1),A2709+1,A2709)</f>
        <v/>
      </c>
      <c r="B2710" s="46">
        <f>IF(DAY(D2710)=DAY($L$1+1),1,B2709+1)</f>
        <v/>
      </c>
      <c r="C2710" s="46">
        <f>IF(DAY(D2710)=DAY($L$1+1),1,C2709+1)</f>
        <v/>
      </c>
      <c r="D2710" s="2">
        <f>D2709+1</f>
        <v/>
      </c>
      <c r="E2710" s="8">
        <f>IF(DAY(D2710)=DAY($L$1+1),TRUNC((#REF!),8),E2709)</f>
        <v/>
      </c>
      <c r="F2710" s="49">
        <f>TRUNC(((1+VLOOKUP(A2710,IPCA!$A$2:$C$140,3,0)))^(C2710/(EDATE(D2710-C2710,1)-(D2710-C2710))),8)</f>
        <v/>
      </c>
      <c r="G2710" s="44">
        <f>TRUNC((E2710*F2710),8)</f>
        <v/>
      </c>
      <c r="H2710" s="44">
        <f>ROUND(((1+$H$4)^(30/360))^(C2710/(EDATE(D2710-B2710,1)-(D2710-B2710))),9)</f>
        <v/>
      </c>
      <c r="I2710" s="44">
        <f>TRUNC((G2710*H2710-G2710),8)</f>
        <v/>
      </c>
      <c r="J2710" s="49">
        <f>G2710+I2710</f>
        <v/>
      </c>
      <c r="K2710" s="256" t="n"/>
      <c r="L2710" s="256" t="n"/>
      <c r="M2710" s="256" t="n"/>
      <c r="N2710" s="256" t="n"/>
      <c r="O2710" s="256" t="n"/>
      <c r="P2710" s="256" t="n"/>
      <c r="Q2710" s="256" t="n"/>
    </row>
    <row r="2711">
      <c r="A2711">
        <f>IF(DAY(D2711)=DAY($L$1+1),A2710+1,A2710)</f>
        <v/>
      </c>
      <c r="B2711" s="1">
        <f>IF(DAY(D2711)=DAY($L$1+1),1,B2710+1)</f>
        <v/>
      </c>
      <c r="C2711" s="1">
        <f>IF(DAY(D2711)=DAY($L$1+1),1,C2710+1)</f>
        <v/>
      </c>
      <c r="D2711" s="2">
        <f>D2710+1</f>
        <v/>
      </c>
      <c r="E2711" s="8">
        <f>IF(DAY(D2711)=DAY($L$1+1),TRUNC((#REF!),8),E2710)</f>
        <v/>
      </c>
      <c r="F2711" s="49">
        <f>TRUNC(((1+VLOOKUP(A2711,IPCA!$A$2:$C$140,3,0)))^(C2711/(EDATE(D2711-C2711,1)-(D2711-C2711))),8)</f>
        <v/>
      </c>
      <c r="G2711" s="44">
        <f>TRUNC((E2711*F2711),8)</f>
        <v/>
      </c>
      <c r="H2711" s="44">
        <f>ROUND(((1+$H$4)^(30/360))^(C2711/(EDATE(D2711-B2711,1)-(D2711-B2711))),9)</f>
        <v/>
      </c>
      <c r="I2711" s="44">
        <f>TRUNC((G2711*H2711-G2711),8)</f>
        <v/>
      </c>
      <c r="J2711" s="49">
        <f>G2711+I2711</f>
        <v/>
      </c>
      <c r="K2711" s="256" t="n"/>
      <c r="L2711" s="256" t="n"/>
      <c r="M2711" s="256" t="n"/>
      <c r="N2711" s="256" t="n"/>
      <c r="O2711" s="256" t="n"/>
      <c r="P2711" s="256" t="n"/>
      <c r="Q2711" s="256" t="n"/>
    </row>
    <row r="2712">
      <c r="A2712">
        <f>IF(DAY(D2712)=DAY($L$1+1),A2711+1,A2711)</f>
        <v/>
      </c>
      <c r="B2712" s="46">
        <f>IF(DAY(D2712)=DAY($L$1+1),1,B2711+1)</f>
        <v/>
      </c>
      <c r="C2712" s="46">
        <f>IF(DAY(D2712)=DAY($L$1+1),1,C2711+1)</f>
        <v/>
      </c>
      <c r="D2712" s="2">
        <f>D2711+1</f>
        <v/>
      </c>
      <c r="E2712" s="8">
        <f>IF(DAY(D2712)=DAY($L$1+1),TRUNC((#REF!),8),E2711)</f>
        <v/>
      </c>
      <c r="F2712" s="49">
        <f>TRUNC(((1+VLOOKUP(A2712,IPCA!$A$2:$C$140,3,0)))^(C2712/(EDATE(D2712-C2712,1)-(D2712-C2712))),8)</f>
        <v/>
      </c>
      <c r="G2712" s="44">
        <f>TRUNC((E2712*F2712),8)</f>
        <v/>
      </c>
      <c r="H2712" s="44">
        <f>ROUND(((1+$H$4)^(30/360))^(C2712/(EDATE(D2712-B2712,1)-(D2712-B2712))),9)</f>
        <v/>
      </c>
      <c r="I2712" s="44">
        <f>TRUNC((G2712*H2712-G2712),8)</f>
        <v/>
      </c>
      <c r="J2712" s="49">
        <f>G2712+I2712</f>
        <v/>
      </c>
      <c r="K2712" s="256" t="n"/>
      <c r="L2712" s="256" t="n"/>
      <c r="M2712" s="256" t="n"/>
      <c r="N2712" s="256" t="n"/>
      <c r="O2712" s="256" t="n"/>
      <c r="P2712" s="256" t="n"/>
      <c r="Q2712" s="256" t="n"/>
    </row>
    <row r="2713">
      <c r="A2713">
        <f>IF(DAY(D2713)=DAY($L$1+1),A2712+1,A2712)</f>
        <v/>
      </c>
      <c r="B2713" s="1">
        <f>IF(DAY(D2713)=DAY($L$1+1),1,B2712+1)</f>
        <v/>
      </c>
      <c r="C2713" s="1">
        <f>IF(DAY(D2713)=DAY($L$1+1),1,C2712+1)</f>
        <v/>
      </c>
      <c r="D2713" s="2">
        <f>D2712+1</f>
        <v/>
      </c>
      <c r="E2713" s="8">
        <f>IF(DAY(D2713)=DAY($L$1+1),TRUNC((#REF!),8),E2712)</f>
        <v/>
      </c>
      <c r="F2713" s="49">
        <f>TRUNC(((1+VLOOKUP(A2713,IPCA!$A$2:$C$140,3,0)))^(C2713/(EDATE(D2713-C2713,1)-(D2713-C2713))),8)</f>
        <v/>
      </c>
      <c r="G2713" s="44">
        <f>TRUNC((E2713*F2713),8)</f>
        <v/>
      </c>
      <c r="H2713" s="44">
        <f>ROUND(((1+$H$4)^(30/360))^(C2713/(EDATE(D2713-B2713,1)-(D2713-B2713))),9)</f>
        <v/>
      </c>
      <c r="I2713" s="44">
        <f>TRUNC((G2713*H2713-G2713),8)</f>
        <v/>
      </c>
      <c r="J2713" s="49">
        <f>G2713+I2713</f>
        <v/>
      </c>
      <c r="K2713" s="256" t="n"/>
      <c r="L2713" s="256" t="n"/>
      <c r="M2713" s="256" t="n"/>
      <c r="N2713" s="256" t="n"/>
      <c r="O2713" s="256" t="n"/>
      <c r="P2713" s="256" t="n"/>
      <c r="Q2713" s="256" t="n"/>
    </row>
    <row r="2714">
      <c r="A2714">
        <f>IF(DAY(D2714)=DAY($L$1+1),A2713+1,A2713)</f>
        <v/>
      </c>
      <c r="B2714" s="46">
        <f>IF(DAY(D2714)=DAY($L$1+1),1,B2713+1)</f>
        <v/>
      </c>
      <c r="C2714" s="46">
        <f>IF(DAY(D2714)=DAY($L$1+1),1,C2713+1)</f>
        <v/>
      </c>
      <c r="D2714" s="2">
        <f>D2713+1</f>
        <v/>
      </c>
      <c r="E2714" s="8">
        <f>IF(DAY(D2714)=DAY($L$1+1),TRUNC((#REF!),8),E2713)</f>
        <v/>
      </c>
      <c r="F2714" s="49">
        <f>TRUNC(((1+VLOOKUP(A2714,IPCA!$A$2:$C$140,3,0)))^(C2714/(EDATE(D2714-C2714,1)-(D2714-C2714))),8)</f>
        <v/>
      </c>
      <c r="G2714" s="44">
        <f>TRUNC((E2714*F2714),8)</f>
        <v/>
      </c>
      <c r="H2714" s="44">
        <f>ROUND(((1+$H$4)^(30/360))^(C2714/(EDATE(D2714-B2714,1)-(D2714-B2714))),9)</f>
        <v/>
      </c>
      <c r="I2714" s="44">
        <f>TRUNC((G2714*H2714-G2714),8)</f>
        <v/>
      </c>
      <c r="J2714" s="49">
        <f>G2714+I2714</f>
        <v/>
      </c>
      <c r="K2714" s="256" t="n"/>
      <c r="L2714" s="256" t="n"/>
      <c r="M2714" s="256" t="n"/>
      <c r="N2714" s="256" t="n"/>
      <c r="O2714" s="256" t="n"/>
      <c r="P2714" s="256" t="n"/>
      <c r="Q2714" s="256" t="n"/>
    </row>
    <row r="2715">
      <c r="A2715">
        <f>IF(DAY(D2715)=DAY($L$1+1),A2714+1,A2714)</f>
        <v/>
      </c>
      <c r="B2715" s="1">
        <f>IF(DAY(D2715)=DAY($L$1+1),1,B2714+1)</f>
        <v/>
      </c>
      <c r="C2715" s="1">
        <f>IF(DAY(D2715)=DAY($L$1+1),1,C2714+1)</f>
        <v/>
      </c>
      <c r="D2715" s="2">
        <f>D2714+1</f>
        <v/>
      </c>
      <c r="E2715" s="8">
        <f>IF(DAY(D2715)=DAY($L$1+1),TRUNC((#REF!),8),E2714)</f>
        <v/>
      </c>
      <c r="F2715" s="49">
        <f>TRUNC(((1+VLOOKUP(A2715,IPCA!$A$2:$C$140,3,0)))^(C2715/(EDATE(D2715-C2715,1)-(D2715-C2715))),8)</f>
        <v/>
      </c>
      <c r="G2715" s="44">
        <f>TRUNC((E2715*F2715),8)</f>
        <v/>
      </c>
      <c r="H2715" s="44">
        <f>ROUND(((1+$H$4)^(30/360))^(C2715/(EDATE(D2715-B2715,1)-(D2715-B2715))),9)</f>
        <v/>
      </c>
      <c r="I2715" s="44">
        <f>TRUNC((G2715*H2715-G2715),8)</f>
        <v/>
      </c>
      <c r="J2715" s="49">
        <f>G2715+I2715</f>
        <v/>
      </c>
      <c r="K2715" s="256" t="n"/>
      <c r="L2715" s="256" t="n"/>
      <c r="M2715" s="256" t="n"/>
      <c r="N2715" s="256" t="n"/>
      <c r="O2715" s="256" t="n"/>
      <c r="P2715" s="256" t="n"/>
      <c r="Q2715" s="256" t="n"/>
    </row>
    <row r="2716">
      <c r="A2716">
        <f>IF(DAY(D2716)=DAY($L$1+1),A2715+1,A2715)</f>
        <v/>
      </c>
      <c r="B2716" s="46">
        <f>IF(DAY(D2716)=DAY($L$1+1),1,B2715+1)</f>
        <v/>
      </c>
      <c r="C2716" s="46">
        <f>IF(DAY(D2716)=DAY($L$1+1),1,C2715+1)</f>
        <v/>
      </c>
      <c r="D2716" s="2">
        <f>D2715+1</f>
        <v/>
      </c>
      <c r="E2716" s="8">
        <f>IF(DAY(D2716)=DAY($L$1+1),TRUNC((#REF!),8),E2715)</f>
        <v/>
      </c>
      <c r="F2716" s="49">
        <f>TRUNC(((1+VLOOKUP(A2716,IPCA!$A$2:$C$140,3,0)))^(C2716/(EDATE(D2716-C2716,1)-(D2716-C2716))),8)</f>
        <v/>
      </c>
      <c r="G2716" s="44">
        <f>TRUNC((E2716*F2716),8)</f>
        <v/>
      </c>
      <c r="H2716" s="44">
        <f>ROUND(((1+$H$4)^(30/360))^(C2716/(EDATE(D2716-B2716,1)-(D2716-B2716))),9)</f>
        <v/>
      </c>
      <c r="I2716" s="44">
        <f>TRUNC((G2716*H2716-G2716),8)</f>
        <v/>
      </c>
      <c r="J2716" s="49">
        <f>G2716+I2716</f>
        <v/>
      </c>
      <c r="K2716" s="256" t="n"/>
      <c r="L2716" s="256" t="n"/>
      <c r="M2716" s="256" t="n"/>
      <c r="N2716" s="256" t="n"/>
      <c r="O2716" s="256" t="n"/>
      <c r="P2716" s="256" t="n"/>
      <c r="Q2716" s="256" t="n"/>
    </row>
    <row r="2717">
      <c r="A2717">
        <f>IF(DAY(D2717)=DAY($L$1+1),A2716+1,A2716)</f>
        <v/>
      </c>
      <c r="B2717" s="1">
        <f>IF(DAY(D2717)=DAY($L$1+1),1,B2716+1)</f>
        <v/>
      </c>
      <c r="C2717" s="1">
        <f>IF(DAY(D2717)=DAY($L$1+1),1,C2716+1)</f>
        <v/>
      </c>
      <c r="D2717" s="2">
        <f>D2716+1</f>
        <v/>
      </c>
      <c r="E2717" s="8">
        <f>IF(DAY(D2717)=DAY($L$1+1),TRUNC((#REF!),8),E2716)</f>
        <v/>
      </c>
      <c r="F2717" s="49">
        <f>TRUNC(((1+VLOOKUP(A2717,IPCA!$A$2:$C$140,3,0)))^(C2717/(EDATE(D2717-C2717,1)-(D2717-C2717))),8)</f>
        <v/>
      </c>
      <c r="G2717" s="44">
        <f>TRUNC((E2717*F2717),8)</f>
        <v/>
      </c>
      <c r="H2717" s="44">
        <f>ROUND(((1+$H$4)^(30/360))^(C2717/(EDATE(D2717-B2717,1)-(D2717-B2717))),9)</f>
        <v/>
      </c>
      <c r="I2717" s="44">
        <f>TRUNC((G2717*H2717-G2717),8)</f>
        <v/>
      </c>
      <c r="J2717" s="49">
        <f>G2717+I2717</f>
        <v/>
      </c>
      <c r="K2717" s="256" t="n"/>
      <c r="L2717" s="256" t="n"/>
      <c r="M2717" s="256" t="n"/>
      <c r="N2717" s="256" t="n"/>
      <c r="O2717" s="256" t="n"/>
      <c r="P2717" s="256" t="n"/>
      <c r="Q2717" s="256" t="n"/>
    </row>
    <row r="2718">
      <c r="A2718">
        <f>IF(DAY(D2718)=DAY($L$1+1),A2717+1,A2717)</f>
        <v/>
      </c>
      <c r="B2718" s="46">
        <f>IF(DAY(D2718)=DAY($L$1+1),1,B2717+1)</f>
        <v/>
      </c>
      <c r="C2718" s="46">
        <f>IF(DAY(D2718)=DAY($L$1+1),1,C2717+1)</f>
        <v/>
      </c>
      <c r="D2718" s="2">
        <f>D2717+1</f>
        <v/>
      </c>
      <c r="E2718" s="8">
        <f>IF(DAY(D2718)=DAY($L$1+1),TRUNC((#REF!),8),E2717)</f>
        <v/>
      </c>
      <c r="F2718" s="49">
        <f>TRUNC(((1+VLOOKUP(A2718,IPCA!$A$2:$C$140,3,0)))^(C2718/(EDATE(D2718-C2718,1)-(D2718-C2718))),8)</f>
        <v/>
      </c>
      <c r="G2718" s="44">
        <f>TRUNC((E2718*F2718),8)</f>
        <v/>
      </c>
      <c r="H2718" s="44">
        <f>ROUND(((1+$H$4)^(30/360))^(C2718/(EDATE(D2718-B2718,1)-(D2718-B2718))),9)</f>
        <v/>
      </c>
      <c r="I2718" s="44">
        <f>TRUNC((G2718*H2718-G2718),8)</f>
        <v/>
      </c>
      <c r="J2718" s="49">
        <f>G2718+I2718</f>
        <v/>
      </c>
      <c r="K2718" s="256" t="n"/>
      <c r="L2718" s="256" t="n"/>
      <c r="M2718" s="256" t="n"/>
      <c r="N2718" s="256" t="n"/>
      <c r="O2718" s="256" t="n"/>
      <c r="P2718" s="256" t="n"/>
      <c r="Q2718" s="256" t="n"/>
    </row>
    <row r="2719">
      <c r="A2719">
        <f>IF(DAY(D2719)=DAY($L$1+1),A2718+1,A2718)</f>
        <v/>
      </c>
      <c r="B2719" s="1">
        <f>IF(DAY(D2719)=DAY($L$1+1),1,B2718+1)</f>
        <v/>
      </c>
      <c r="C2719" s="1">
        <f>IF(DAY(D2719)=DAY($L$1+1),1,C2718+1)</f>
        <v/>
      </c>
      <c r="D2719" s="2">
        <f>D2718+1</f>
        <v/>
      </c>
      <c r="E2719" s="8">
        <f>IF(DAY(D2719)=DAY($L$1+1),TRUNC((#REF!),8),E2718)</f>
        <v/>
      </c>
      <c r="F2719" s="49">
        <f>TRUNC(((1+VLOOKUP(A2719,IPCA!$A$2:$C$140,3,0)))^(C2719/(EDATE(D2719-C2719,1)-(D2719-C2719))),8)</f>
        <v/>
      </c>
      <c r="G2719" s="44">
        <f>TRUNC((E2719*F2719),8)</f>
        <v/>
      </c>
      <c r="H2719" s="44">
        <f>ROUND(((1+$H$4)^(30/360))^(C2719/(EDATE(D2719-B2719,1)-(D2719-B2719))),9)</f>
        <v/>
      </c>
      <c r="I2719" s="44">
        <f>TRUNC((G2719*H2719-G2719),8)</f>
        <v/>
      </c>
      <c r="J2719" s="49">
        <f>G2719+I2719</f>
        <v/>
      </c>
      <c r="K2719" s="256" t="n"/>
      <c r="L2719" s="256" t="n"/>
      <c r="M2719" s="256" t="n"/>
      <c r="N2719" s="256" t="n"/>
      <c r="O2719" s="256" t="n"/>
      <c r="P2719" s="256" t="n"/>
      <c r="Q2719" s="256" t="n"/>
    </row>
    <row r="2720">
      <c r="A2720">
        <f>IF(DAY(D2720)=DAY($L$1+1),A2719+1,A2719)</f>
        <v/>
      </c>
      <c r="B2720" s="46">
        <f>IF(DAY(D2720)=DAY($L$1+1),1,B2719+1)</f>
        <v/>
      </c>
      <c r="C2720" s="46">
        <f>IF(DAY(D2720)=DAY($L$1+1),1,C2719+1)</f>
        <v/>
      </c>
      <c r="D2720" s="2">
        <f>D2719+1</f>
        <v/>
      </c>
      <c r="E2720" s="8">
        <f>IF(DAY(D2720)=DAY($L$1+1),TRUNC((N2719),8),E2719)</f>
        <v/>
      </c>
      <c r="F2720" s="49">
        <f>TRUNC(((1+VLOOKUP(A2720,IPCA!$A$2:$C$140,3,0)))^(C2720/(EDATE(D2720-C2720,1)-(D2720-C2720))),8)</f>
        <v/>
      </c>
      <c r="G2720" s="44">
        <f>TRUNC((E2720*F2720),8)</f>
        <v/>
      </c>
      <c r="H2720" s="44">
        <f>ROUND(((1+$H$4)^(30/360))^(C2720/(EDATE(D2720-B2720,1)-(D2720-B2720))),9)</f>
        <v/>
      </c>
      <c r="I2720" s="44">
        <f>TRUNC((G2720*H2720-G2720),8)</f>
        <v/>
      </c>
      <c r="J2720" s="49">
        <f>G2720+I2720</f>
        <v/>
      </c>
      <c r="K2720" s="256" t="n"/>
      <c r="L2720" s="256" t="n"/>
      <c r="M2720" s="256" t="n"/>
      <c r="N2720" s="256" t="n"/>
      <c r="O2720" s="256" t="n"/>
      <c r="P2720" s="256" t="n"/>
      <c r="Q2720" s="256" t="n"/>
    </row>
    <row r="2721">
      <c r="A2721">
        <f>IF(DAY(D2721)=DAY($L$1+1),A2720+1,A2720)</f>
        <v/>
      </c>
      <c r="B2721" s="1">
        <f>IF(DAY(D2721)=DAY($L$1+1),1,B2720+1)</f>
        <v/>
      </c>
      <c r="C2721" s="1">
        <f>IF(DAY(D2721)=DAY($L$1+1),1,C2720+1)</f>
        <v/>
      </c>
      <c r="D2721" s="2">
        <f>D2720+1</f>
        <v/>
      </c>
      <c r="E2721" s="8">
        <f>IF(DAY(D2721)=DAY($L$1+1),TRUNC((N2720),8),E2720)</f>
        <v/>
      </c>
      <c r="F2721" s="49">
        <f>TRUNC(((1+VLOOKUP(A2721,IPCA!$A$2:$C$140,3,0)))^(C2721/(EDATE(D2721-C2721,1)-(D2721-C2721))),8)</f>
        <v/>
      </c>
      <c r="G2721" s="44">
        <f>TRUNC((E2721*F2721),8)</f>
        <v/>
      </c>
      <c r="H2721" s="44">
        <f>ROUND(((1+$H$4)^(30/360))^(C2721/(EDATE(D2721-B2721,1)-(D2721-B2721))),9)</f>
        <v/>
      </c>
      <c r="I2721" s="44">
        <f>TRUNC((G2721*H2721-G2721),8)</f>
        <v/>
      </c>
      <c r="J2721" s="49">
        <f>G2721+I2721</f>
        <v/>
      </c>
      <c r="K2721" s="256" t="n"/>
      <c r="L2721" s="256" t="n"/>
      <c r="M2721" s="256" t="n"/>
      <c r="N2721" s="256" t="n"/>
      <c r="O2721" s="256" t="n"/>
      <c r="P2721" s="256" t="n"/>
      <c r="Q2721" s="256" t="n"/>
    </row>
    <row r="2722">
      <c r="A2722">
        <f>IF(DAY(D2722)=DAY($L$1+1),A2721+1,A2721)</f>
        <v/>
      </c>
      <c r="B2722" s="46">
        <f>IF(DAY(D2722)=DAY($L$1+1),1,B2721+1)</f>
        <v/>
      </c>
      <c r="C2722" s="46">
        <f>IF(DAY(D2722)=DAY($L$1+1),1,C2721+1)</f>
        <v/>
      </c>
      <c r="D2722" s="2">
        <f>D2721+1</f>
        <v/>
      </c>
      <c r="E2722" s="8">
        <f>IF(DAY(D2722)=DAY($L$1+1),TRUNC((N2721),8),E2721)</f>
        <v/>
      </c>
      <c r="F2722" s="49">
        <f>TRUNC(((1+VLOOKUP(A2722,IPCA!$A$2:$C$140,3,0)))^(C2722/(EDATE(D2722-C2722,1)-(D2722-C2722))),8)</f>
        <v/>
      </c>
      <c r="G2722" s="44">
        <f>TRUNC((E2722*F2722),8)</f>
        <v/>
      </c>
      <c r="H2722" s="44">
        <f>ROUND(((1+$H$4)^(30/360))^(C2722/(EDATE(D2722-B2722,1)-(D2722-B2722))),9)</f>
        <v/>
      </c>
      <c r="I2722" s="44">
        <f>TRUNC((G2722*H2722-G2722),8)</f>
        <v/>
      </c>
      <c r="J2722" s="49">
        <f>G2722+I2722</f>
        <v/>
      </c>
      <c r="K2722" s="256" t="n"/>
      <c r="L2722" s="256" t="n"/>
      <c r="M2722" s="256" t="n"/>
      <c r="N2722" s="256" t="n"/>
      <c r="O2722" s="256" t="n"/>
      <c r="P2722" s="256" t="n"/>
      <c r="Q2722" s="256" t="n"/>
    </row>
    <row r="2723">
      <c r="A2723">
        <f>IF(DAY(D2723)=DAY($L$1+1),A2722+1,A2722)</f>
        <v/>
      </c>
      <c r="B2723" s="1">
        <f>IF(DAY(D2723)=DAY($L$1+1),1,B2722+1)</f>
        <v/>
      </c>
      <c r="C2723" s="1">
        <f>IF(DAY(D2723)=DAY($L$1+1),1,C2722+1)</f>
        <v/>
      </c>
      <c r="D2723" s="2">
        <f>D2722+1</f>
        <v/>
      </c>
      <c r="E2723" s="8">
        <f>IF(DAY(D2723)=DAY($L$1+1),TRUNC((N2722),8),E2722)</f>
        <v/>
      </c>
      <c r="F2723" s="49">
        <f>TRUNC(((1+VLOOKUP(A2723,IPCA!$A$2:$C$140,3,0)))^(C2723/(EDATE(D2723-C2723,1)-(D2723-C2723))),8)</f>
        <v/>
      </c>
      <c r="G2723" s="44">
        <f>TRUNC((E2723*F2723),8)</f>
        <v/>
      </c>
      <c r="H2723" s="44">
        <f>ROUND(((1+$H$4)^(30/360))^(C2723/(EDATE(D2723-B2723,1)-(D2723-B2723))),9)</f>
        <v/>
      </c>
      <c r="I2723" s="44">
        <f>TRUNC((G2723*H2723-G2723),8)</f>
        <v/>
      </c>
      <c r="J2723" s="49">
        <f>G2723+I2723</f>
        <v/>
      </c>
      <c r="K2723" s="256" t="n"/>
      <c r="L2723" s="256" t="n"/>
      <c r="M2723" s="256" t="n"/>
      <c r="N2723" s="256" t="n"/>
      <c r="O2723" s="256" t="n"/>
      <c r="P2723" s="256" t="n"/>
      <c r="Q2723" s="256" t="n"/>
    </row>
    <row r="2724">
      <c r="A2724">
        <f>IF(DAY(D2724)=DAY($L$1+1),A2723+1,A2723)</f>
        <v/>
      </c>
      <c r="B2724" s="46">
        <f>IF(DAY(D2724)=DAY($L$1+1),1,B2723+1)</f>
        <v/>
      </c>
      <c r="C2724" s="46">
        <f>IF(DAY(D2724)=DAY($L$1+1),1,C2723+1)</f>
        <v/>
      </c>
      <c r="D2724" s="2">
        <f>D2723+1</f>
        <v/>
      </c>
      <c r="E2724" s="8">
        <f>IF(DAY(D2724)=DAY($L$1+1),TRUNC((N2723),8),E2723)</f>
        <v/>
      </c>
      <c r="F2724" s="49">
        <f>TRUNC(((1+VLOOKUP(A2724,IPCA!$A$2:$C$140,3,0)))^(C2724/(EDATE(D2724-C2724,1)-(D2724-C2724))),8)</f>
        <v/>
      </c>
      <c r="G2724" s="44">
        <f>TRUNC((E2724*F2724),8)</f>
        <v/>
      </c>
      <c r="H2724" s="44">
        <f>ROUND(((1+$H$4)^(30/360))^(C2724/(EDATE(D2724-B2724,1)-(D2724-B2724))),9)</f>
        <v/>
      </c>
      <c r="I2724" s="44">
        <f>TRUNC((G2724*H2724-G2724),8)</f>
        <v/>
      </c>
      <c r="J2724" s="49">
        <f>G2724+I2724</f>
        <v/>
      </c>
      <c r="K2724" s="256" t="n"/>
      <c r="L2724" s="256" t="n"/>
      <c r="M2724" s="256" t="n"/>
      <c r="N2724" s="256" t="n"/>
      <c r="O2724" s="256" t="n"/>
      <c r="P2724" s="256" t="n"/>
      <c r="Q2724" s="256" t="n"/>
    </row>
    <row r="2725">
      <c r="A2725">
        <f>IF(DAY(D2725)=DAY($L$1+1),A2724+1,A2724)</f>
        <v/>
      </c>
      <c r="B2725" s="1">
        <f>IF(DAY(D2725)=DAY($L$1+1),1,B2724+1)</f>
        <v/>
      </c>
      <c r="C2725" s="1">
        <f>IF(DAY(D2725)=DAY($L$1+1),1,C2724+1)</f>
        <v/>
      </c>
      <c r="D2725" s="2">
        <f>D2724+1</f>
        <v/>
      </c>
      <c r="E2725" s="8">
        <f>IF(DAY(D2725)=DAY($L$1+1),TRUNC((N2724),8),E2724)</f>
        <v/>
      </c>
      <c r="F2725" s="49">
        <f>TRUNC(((1+VLOOKUP(A2725,IPCA!$A$2:$C$140,3,0)))^(C2725/(EDATE(D2725-C2725,1)-(D2725-C2725))),8)</f>
        <v/>
      </c>
      <c r="G2725" s="44">
        <f>TRUNC((E2725*F2725),8)</f>
        <v/>
      </c>
      <c r="H2725" s="44">
        <f>ROUND(((1+$H$4)^(30/360))^(C2725/(EDATE(D2725-B2725,1)-(D2725-B2725))),9)</f>
        <v/>
      </c>
      <c r="I2725" s="44">
        <f>TRUNC((G2725*H2725-G2725),8)</f>
        <v/>
      </c>
      <c r="J2725" s="49">
        <f>G2725+I2725</f>
        <v/>
      </c>
      <c r="K2725" s="256" t="n"/>
      <c r="L2725" s="256" t="n"/>
      <c r="M2725" s="256" t="n"/>
      <c r="N2725" s="256" t="n"/>
      <c r="O2725" s="256" t="n"/>
      <c r="P2725" s="256" t="n"/>
      <c r="Q2725" s="256" t="n"/>
    </row>
    <row r="2726">
      <c r="A2726">
        <f>IF(DAY(D2726)=DAY($L$1+1),A2725+1,A2725)</f>
        <v/>
      </c>
      <c r="B2726" s="46">
        <f>IF(DAY(D2726)=DAY($L$1+1),1,B2725+1)</f>
        <v/>
      </c>
      <c r="C2726" s="46">
        <f>IF(DAY(D2726)=DAY($L$1+1),1,C2725+1)</f>
        <v/>
      </c>
      <c r="D2726" s="2">
        <f>D2725+1</f>
        <v/>
      </c>
      <c r="E2726" s="8">
        <f>IF(DAY(D2726)=DAY($L$1+1),TRUNC((N2725),8),E2725)</f>
        <v/>
      </c>
      <c r="F2726" s="49">
        <f>TRUNC(((1+VLOOKUP(A2726,IPCA!$A$2:$C$140,3,0)))^(C2726/(EDATE(D2726-C2726,1)-(D2726-C2726))),8)</f>
        <v/>
      </c>
      <c r="G2726" s="44">
        <f>TRUNC((E2726*F2726),8)</f>
        <v/>
      </c>
      <c r="H2726" s="44">
        <f>ROUND(((1+$H$4)^(30/360))^(C2726/(EDATE(D2726-B2726,1)-(D2726-B2726))),9)</f>
        <v/>
      </c>
      <c r="I2726" s="44">
        <f>TRUNC((G2726*H2726-G2726),8)</f>
        <v/>
      </c>
      <c r="J2726" s="49">
        <f>G2726+I2726</f>
        <v/>
      </c>
      <c r="K2726" s="256" t="n"/>
      <c r="L2726" s="256" t="n"/>
      <c r="M2726" s="256" t="n"/>
      <c r="N2726" s="256" t="n"/>
      <c r="O2726" s="256" t="n"/>
      <c r="P2726" s="256" t="n"/>
      <c r="Q2726" s="256" t="n"/>
    </row>
    <row r="2727">
      <c r="A2727">
        <f>IF(DAY(D2727)=DAY($L$1+1),A2726+1,A2726)</f>
        <v/>
      </c>
      <c r="B2727" s="46">
        <f>IF(DAY(D2727)=DAY($L$1+1),1,B2726+1)</f>
        <v/>
      </c>
      <c r="C2727" s="46">
        <f>IF(DAY(D2727)=DAY($L$1+1),1,C2726+1)</f>
        <v/>
      </c>
      <c r="D2727" s="2">
        <f>D2726+1</f>
        <v/>
      </c>
      <c r="E2727" s="8">
        <f>IF(DAY(D2727)=DAY($L$1+1),TRUNC((N2726),8),E2726)</f>
        <v/>
      </c>
      <c r="F2727" s="49">
        <f>TRUNC(((1+VLOOKUP(A2727,IPCA!$A$2:$C$140,3,0)))^(C2727/(EDATE(D2727-C2727,1)-(D2727-C2727))),8)</f>
        <v/>
      </c>
      <c r="G2727" s="49">
        <f>TRUNC((E2727*F2727),8)</f>
        <v/>
      </c>
      <c r="H2727" s="49">
        <f>ROUND(((1+$H$4)^(30/360))^(C2727/(EDATE(D2727-B2727,1)-(D2727-B2727))),9)</f>
        <v/>
      </c>
      <c r="I2727" s="49">
        <f>TRUNC((G2727*H2727-G2727),8)</f>
        <v/>
      </c>
      <c r="J2727" s="49">
        <f>G2727+I2727</f>
        <v/>
      </c>
      <c r="K2727" s="256" t="inlineStr">
        <is>
          <t>Cri Integralizado</t>
        </is>
      </c>
      <c r="L2727" s="270">
        <f>L2697</f>
        <v/>
      </c>
      <c r="M2727" s="256" t="n"/>
      <c r="N2727" s="256" t="n"/>
      <c r="O2727" s="256" t="n"/>
      <c r="P2727" s="256" t="n"/>
      <c r="Q2727" s="256" t="n"/>
    </row>
    <row r="2728">
      <c r="A2728">
        <f>IF(DAY(D2728)=DAY($L$1+1),A2727+1,A2727)</f>
        <v/>
      </c>
      <c r="B2728" s="46">
        <f>IF(DAY(D2728)=DAY($L$1+1),1,B2727+1)</f>
        <v/>
      </c>
      <c r="C2728" s="46">
        <f>IF(DAY(D2728)=DAY($L$1+1),1,C2727+1)</f>
        <v/>
      </c>
      <c r="D2728" s="47">
        <f>D2727+1</f>
        <v/>
      </c>
      <c r="E2728" s="8">
        <f>IF(DAY(D2728)=DAY($L$1+1),TRUNC((N2727),8),E2727)</f>
        <v/>
      </c>
      <c r="F2728" s="49">
        <f>TRUNC(((1+VLOOKUP(A2728,IPCA!$A$2:$C$140,3,0)))^(C2728/(EDATE(D2728-C2728,1)-(D2728-C2728))),8)</f>
        <v/>
      </c>
      <c r="G2728" s="49">
        <f>TRUNC((E2728*F2728),8)</f>
        <v/>
      </c>
      <c r="H2728" s="49">
        <f>ROUND(((1+$H$4)^(30/360))^(C2728/(EDATE(D2728-B2728,1)-(D2728-B2728))),9)</f>
        <v/>
      </c>
      <c r="I2728" s="49">
        <f>TRUNC((G2728*H2728-G2728),8)</f>
        <v/>
      </c>
      <c r="J2728" s="49">
        <f>G2728+I2728</f>
        <v/>
      </c>
      <c r="K2728" s="137" t="inlineStr">
        <is>
          <t>JUROS</t>
        </is>
      </c>
      <c r="L2728" s="118" t="inlineStr">
        <is>
          <t>AMORTIZAÇÃO</t>
        </is>
      </c>
      <c r="M2728" s="118" t="inlineStr">
        <is>
          <t>AMEX</t>
        </is>
      </c>
      <c r="N2728" s="118" t="inlineStr">
        <is>
          <t>RESIDUAL</t>
        </is>
      </c>
      <c r="O2728" s="256" t="n"/>
      <c r="P2728" s="256" t="n"/>
      <c r="Q2728" s="256" t="n"/>
    </row>
    <row r="2729">
      <c r="A2729">
        <f>IF(DAY(D2729)=DAY($L$1+1),A2728+1,A2728)</f>
        <v/>
      </c>
      <c r="B2729" s="111">
        <f>IF(DAY(D2729)=DAY($L$1+1),1,B2728+1)</f>
        <v/>
      </c>
      <c r="C2729" s="111">
        <f>IF(DAY(D2729)=DAY($L$1+1),1,C2728+1)</f>
        <v/>
      </c>
      <c r="D2729" s="112">
        <f>D2728+1</f>
        <v/>
      </c>
      <c r="E2729" s="113">
        <f>IF(DAY(D2729)=DAY($L$1+1),TRUNC((N2728),8),E2728)</f>
        <v/>
      </c>
      <c r="F2729" s="114">
        <f>TRUNC(((1+VLOOKUP(A2729,IPCA!$A$2:$C$140,3,0)))^(C2729/(EDATE(D2729-C2729,1)-(D2729-C2729))),8)</f>
        <v/>
      </c>
      <c r="G2729" s="114">
        <f>TRUNC((E2729*F2729),8)</f>
        <v/>
      </c>
      <c r="H2729" s="114">
        <f>ROUND(((1+$H$4)^(30/360))^(C2729/(EDATE(D2729-B2729,1)-(D2729-B2729))),9)</f>
        <v/>
      </c>
      <c r="I2729" s="114">
        <f>TRUNC((G2729*H2729-G2729),8)</f>
        <v/>
      </c>
      <c r="J2729" s="114">
        <f>G2729+I2729</f>
        <v/>
      </c>
      <c r="K2729" s="119">
        <f>I2729</f>
        <v/>
      </c>
      <c r="L2729" s="120">
        <f>TRUNC(G2729*VLOOKUP(D2729,'Amort TS'!$G$3:$H$140,2,0),8)</f>
        <v/>
      </c>
      <c r="M2729" s="120" t="n">
        <v>0</v>
      </c>
      <c r="N2729" s="120">
        <f>J2729-K2729-L2729-M2729</f>
        <v/>
      </c>
      <c r="O2729" s="256" t="n"/>
      <c r="P2729" s="256" t="n"/>
      <c r="Q2729" s="256" t="n"/>
    </row>
    <row r="2730">
      <c r="A2730">
        <f>IF(DAY(D2730)=DAY($L$1+1),A2729+1,A2729)</f>
        <v/>
      </c>
      <c r="B2730" s="46">
        <f>IF(DAY(D2730)=DAY($L$1+1),1,B2729+1)</f>
        <v/>
      </c>
      <c r="C2730" s="46">
        <f>IF(DAY(D2730)=DAY($L$1+1),1,C2729+1)</f>
        <v/>
      </c>
      <c r="D2730" s="2">
        <f>D2729+1</f>
        <v/>
      </c>
      <c r="E2730" s="8">
        <f>IF(DAY(D2730)=DAY($L$1+1),TRUNC((N2729),8),E2729)</f>
        <v/>
      </c>
      <c r="F2730" s="49">
        <f>TRUNC(((1+VLOOKUP(A2730,IPCA!$A$2:$C$140,3,0)))^(C2730/(EDATE(D2730-C2730,1)-(D2730-C2730))),8)</f>
        <v/>
      </c>
      <c r="G2730" s="49">
        <f>TRUNC((E2730*F2730),8)</f>
        <v/>
      </c>
      <c r="H2730" s="49">
        <f>ROUND(((1+$H$4)^(30/360))^(C2730/(EDATE(D2730-B2730,1)-(D2730-B2730))),9)</f>
        <v/>
      </c>
      <c r="I2730" s="49">
        <f>TRUNC((G2730*H2730-G2730),8)</f>
        <v/>
      </c>
      <c r="J2730" s="49">
        <f>G2730+I2730</f>
        <v/>
      </c>
      <c r="K2730" s="121">
        <f>K2729*L2727</f>
        <v/>
      </c>
      <c r="L2730" s="121">
        <f>L2729*L2727</f>
        <v/>
      </c>
      <c r="M2730" s="121">
        <f>M2729*L2727</f>
        <v/>
      </c>
      <c r="N2730" s="121">
        <f>N2729*L2727</f>
        <v/>
      </c>
      <c r="O2730" s="256" t="n"/>
      <c r="P2730" s="256" t="n"/>
      <c r="Q2730" s="256" t="n"/>
    </row>
    <row r="2731">
      <c r="A2731">
        <f>IF(DAY(D2731)=DAY($L$1+1),A2730+1,A2730)</f>
        <v/>
      </c>
      <c r="B2731" s="46">
        <f>IF(DAY(D2731)=DAY($L$1+1),1,B2730+1)</f>
        <v/>
      </c>
      <c r="C2731" s="46">
        <f>IF(DAY(D2731)=DAY($L$1+1),1,C2730+1)</f>
        <v/>
      </c>
      <c r="D2731" s="47">
        <f>D2730+1</f>
        <v/>
      </c>
      <c r="E2731" s="8">
        <f>IF(DAY(D2731)=DAY($L$1+1),TRUNC((N2730),8),E2730)</f>
        <v/>
      </c>
      <c r="F2731" s="49">
        <f>TRUNC(((1+VLOOKUP(A2731,IPCA!$A$2:$C$140,3,0)))^(C2731/(EDATE(D2731-C2731,1)-(D2731-C2731))),8)</f>
        <v/>
      </c>
      <c r="G2731" s="49">
        <f>TRUNC((E2731*F2731),8)</f>
        <v/>
      </c>
      <c r="H2731" s="49">
        <f>ROUND(((1+$H$4)^(30/360))^(C2731/(EDATE(D2731-B2731,1)-(D2731-B2731))),9)</f>
        <v/>
      </c>
      <c r="I2731" s="49">
        <f>TRUNC((G2731*H2731-G2731),8)</f>
        <v/>
      </c>
      <c r="J2731" s="49">
        <f>G2731+I2731</f>
        <v/>
      </c>
      <c r="K2731" s="256" t="n"/>
      <c r="L2731" s="256" t="n"/>
      <c r="M2731" s="256" t="n"/>
      <c r="N2731" s="256" t="n"/>
      <c r="O2731" s="256" t="n"/>
      <c r="P2731" s="256" t="n"/>
      <c r="Q2731" s="256" t="n"/>
    </row>
    <row r="2732">
      <c r="A2732">
        <f>IF(DAY(D2732)=DAY($L$1+1),A2731+1,A2731)</f>
        <v/>
      </c>
      <c r="B2732" s="46">
        <f>IF(DAY(D2732)=DAY($L$1+1),1,B2731+1)</f>
        <v/>
      </c>
      <c r="C2732" s="46">
        <f>IF(DAY(D2732)=DAY($L$1+1),1,C2731+1)</f>
        <v/>
      </c>
      <c r="D2732" s="2">
        <f>D2731+1</f>
        <v/>
      </c>
      <c r="E2732" s="8">
        <f>IF(DAY(D2732)=DAY($L$1+1),TRUNC((#REF!),8),E2731)</f>
        <v/>
      </c>
      <c r="F2732" s="49">
        <f>TRUNC(((1+VLOOKUP(A2732,IPCA!$A$2:$C$140,3,0)))^(C2732/(EDATE(D2732-C2732,1)-(D2732-C2732))),8)</f>
        <v/>
      </c>
      <c r="G2732" s="44">
        <f>TRUNC((E2732*F2732),8)</f>
        <v/>
      </c>
      <c r="H2732" s="44">
        <f>ROUND(((1+$H$4)^(30/360))^(C2732/(EDATE(D2732-B2732,1)-(D2732-B2732))),9)</f>
        <v/>
      </c>
      <c r="I2732" s="44">
        <f>TRUNC((G2732*H2732-G2732),8)</f>
        <v/>
      </c>
      <c r="J2732" s="49">
        <f>G2732+I2732</f>
        <v/>
      </c>
      <c r="K2732" s="256" t="n"/>
      <c r="L2732" s="256" t="n"/>
      <c r="M2732" s="256" t="n"/>
      <c r="N2732" s="256" t="n"/>
      <c r="O2732" s="256" t="n"/>
      <c r="P2732" s="256" t="n"/>
      <c r="Q2732" s="256" t="n"/>
    </row>
    <row r="2733">
      <c r="A2733">
        <f>IF(DAY(D2733)=DAY($L$1+1),A2732+1,A2732)</f>
        <v/>
      </c>
      <c r="B2733" s="1">
        <f>IF(DAY(D2733)=DAY($L$1+1),1,B2732+1)</f>
        <v/>
      </c>
      <c r="C2733" s="1">
        <f>IF(DAY(D2733)=DAY($L$1+1),1,C2732+1)</f>
        <v/>
      </c>
      <c r="D2733" s="2">
        <f>D2732+1</f>
        <v/>
      </c>
      <c r="E2733" s="8">
        <f>IF(DAY(D2733)=DAY($L$1+1),TRUNC((#REF!),8),E2732)</f>
        <v/>
      </c>
      <c r="F2733" s="49">
        <f>TRUNC(((1+VLOOKUP(A2733,IPCA!$A$2:$C$140,3,0)))^(C2733/(EDATE(D2733-C2733,1)-(D2733-C2733))),8)</f>
        <v/>
      </c>
      <c r="G2733" s="44">
        <f>TRUNC((E2733*F2733),8)</f>
        <v/>
      </c>
      <c r="H2733" s="44">
        <f>ROUND(((1+$H$4)^(30/360))^(C2733/(EDATE(D2733-B2733,1)-(D2733-B2733))),9)</f>
        <v/>
      </c>
      <c r="I2733" s="44">
        <f>TRUNC((G2733*H2733-G2733),8)</f>
        <v/>
      </c>
      <c r="J2733" s="49">
        <f>G2733+I2733</f>
        <v/>
      </c>
      <c r="K2733" s="256" t="n"/>
      <c r="L2733" s="256" t="n"/>
      <c r="M2733" s="256" t="n"/>
      <c r="N2733" s="256" t="n"/>
      <c r="O2733" s="256" t="n"/>
      <c r="P2733" s="256" t="n"/>
      <c r="Q2733" s="256" t="n"/>
    </row>
    <row r="2734">
      <c r="A2734">
        <f>IF(DAY(D2734)=DAY($L$1+1),A2733+1,A2733)</f>
        <v/>
      </c>
      <c r="B2734" s="46">
        <f>IF(DAY(D2734)=DAY($L$1+1),1,B2733+1)</f>
        <v/>
      </c>
      <c r="C2734" s="46">
        <f>IF(DAY(D2734)=DAY($L$1+1),1,C2733+1)</f>
        <v/>
      </c>
      <c r="D2734" s="2">
        <f>D2733+1</f>
        <v/>
      </c>
      <c r="E2734" s="8">
        <f>IF(DAY(D2734)=DAY($L$1+1),TRUNC((#REF!),8),E2733)</f>
        <v/>
      </c>
      <c r="F2734" s="49">
        <f>TRUNC(((1+VLOOKUP(A2734,IPCA!$A$2:$C$140,3,0)))^(C2734/(EDATE(D2734-C2734,1)-(D2734-C2734))),8)</f>
        <v/>
      </c>
      <c r="G2734" s="44">
        <f>TRUNC((E2734*F2734),8)</f>
        <v/>
      </c>
      <c r="H2734" s="44">
        <f>ROUND(((1+$H$4)^(30/360))^(C2734/(EDATE(D2734-B2734,1)-(D2734-B2734))),9)</f>
        <v/>
      </c>
      <c r="I2734" s="44">
        <f>TRUNC((G2734*H2734-G2734),8)</f>
        <v/>
      </c>
      <c r="J2734" s="49">
        <f>G2734+I2734</f>
        <v/>
      </c>
      <c r="K2734" s="256" t="n"/>
      <c r="L2734" s="256" t="n"/>
      <c r="M2734" s="256" t="n"/>
      <c r="N2734" s="256" t="n"/>
      <c r="O2734" s="256" t="n"/>
      <c r="P2734" s="256" t="n"/>
      <c r="Q2734" s="256" t="n"/>
    </row>
    <row r="2735">
      <c r="A2735">
        <f>IF(DAY(D2735)=DAY($L$1+1),A2734+1,A2734)</f>
        <v/>
      </c>
      <c r="B2735" s="1">
        <f>IF(DAY(D2735)=DAY($L$1+1),1,B2734+1)</f>
        <v/>
      </c>
      <c r="C2735" s="1">
        <f>IF(DAY(D2735)=DAY($L$1+1),1,C2734+1)</f>
        <v/>
      </c>
      <c r="D2735" s="2">
        <f>D2734+1</f>
        <v/>
      </c>
      <c r="E2735" s="8">
        <f>IF(DAY(D2735)=DAY($L$1+1),TRUNC((#REF!),8),E2734)</f>
        <v/>
      </c>
      <c r="F2735" s="49">
        <f>TRUNC(((1+VLOOKUP(A2735,IPCA!$A$2:$C$140,3,0)))^(C2735/(EDATE(D2735-C2735,1)-(D2735-C2735))),8)</f>
        <v/>
      </c>
      <c r="G2735" s="44">
        <f>TRUNC((E2735*F2735),8)</f>
        <v/>
      </c>
      <c r="H2735" s="44">
        <f>ROUND(((1+$H$4)^(30/360))^(C2735/(EDATE(D2735-B2735,1)-(D2735-B2735))),9)</f>
        <v/>
      </c>
      <c r="I2735" s="44">
        <f>TRUNC((G2735*H2735-G2735),8)</f>
        <v/>
      </c>
      <c r="J2735" s="49">
        <f>G2735+I2735</f>
        <v/>
      </c>
      <c r="K2735" s="256" t="n"/>
      <c r="L2735" s="256" t="n"/>
      <c r="M2735" s="256" t="n"/>
      <c r="N2735" s="256" t="n"/>
      <c r="O2735" s="256" t="n"/>
      <c r="P2735" s="256" t="n"/>
      <c r="Q2735" s="256" t="n"/>
    </row>
    <row r="2736">
      <c r="A2736">
        <f>IF(DAY(D2736)=DAY($L$1+1),A2735+1,A2735)</f>
        <v/>
      </c>
      <c r="B2736" s="46">
        <f>IF(DAY(D2736)=DAY($L$1+1),1,B2735+1)</f>
        <v/>
      </c>
      <c r="C2736" s="46">
        <f>IF(DAY(D2736)=DAY($L$1+1),1,C2735+1)</f>
        <v/>
      </c>
      <c r="D2736" s="2">
        <f>D2735+1</f>
        <v/>
      </c>
      <c r="E2736" s="8">
        <f>IF(DAY(D2736)=DAY($L$1+1),TRUNC((#REF!),8),E2735)</f>
        <v/>
      </c>
      <c r="F2736" s="49">
        <f>TRUNC(((1+VLOOKUP(A2736,IPCA!$A$2:$C$140,3,0)))^(C2736/(EDATE(D2736-C2736,1)-(D2736-C2736))),8)</f>
        <v/>
      </c>
      <c r="G2736" s="44">
        <f>TRUNC((E2736*F2736),8)</f>
        <v/>
      </c>
      <c r="H2736" s="44">
        <f>ROUND(((1+$H$4)^(30/360))^(C2736/(EDATE(D2736-B2736,1)-(D2736-B2736))),9)</f>
        <v/>
      </c>
      <c r="I2736" s="44">
        <f>TRUNC((G2736*H2736-G2736),8)</f>
        <v/>
      </c>
      <c r="J2736" s="49">
        <f>G2736+I2736</f>
        <v/>
      </c>
      <c r="K2736" s="256" t="n"/>
      <c r="L2736" s="256" t="n"/>
      <c r="M2736" s="256" t="n"/>
      <c r="N2736" s="256" t="n"/>
      <c r="O2736" s="256" t="n"/>
      <c r="P2736" s="256" t="n"/>
      <c r="Q2736" s="256" t="n"/>
    </row>
    <row r="2737">
      <c r="A2737">
        <f>IF(DAY(D2737)=DAY($L$1+1),A2736+1,A2736)</f>
        <v/>
      </c>
      <c r="B2737" s="1">
        <f>IF(DAY(D2737)=DAY($L$1+1),1,B2736+1)</f>
        <v/>
      </c>
      <c r="C2737" s="1">
        <f>IF(DAY(D2737)=DAY($L$1+1),1,C2736+1)</f>
        <v/>
      </c>
      <c r="D2737" s="2">
        <f>D2736+1</f>
        <v/>
      </c>
      <c r="E2737" s="8">
        <f>IF(DAY(D2737)=DAY($L$1+1),TRUNC((#REF!),8),E2736)</f>
        <v/>
      </c>
      <c r="F2737" s="49">
        <f>TRUNC(((1+VLOOKUP(A2737,IPCA!$A$2:$C$140,3,0)))^(C2737/(EDATE(D2737-C2737,1)-(D2737-C2737))),8)</f>
        <v/>
      </c>
      <c r="G2737" s="44">
        <f>TRUNC((E2737*F2737),8)</f>
        <v/>
      </c>
      <c r="H2737" s="44">
        <f>ROUND(((1+$H$4)^(30/360))^(C2737/(EDATE(D2737-B2737,1)-(D2737-B2737))),9)</f>
        <v/>
      </c>
      <c r="I2737" s="44">
        <f>TRUNC((G2737*H2737-G2737),8)</f>
        <v/>
      </c>
      <c r="J2737" s="49">
        <f>G2737+I2737</f>
        <v/>
      </c>
      <c r="K2737" s="256" t="n"/>
      <c r="L2737" s="256" t="n"/>
      <c r="M2737" s="256" t="n"/>
      <c r="N2737" s="256" t="n"/>
      <c r="O2737" s="256" t="n"/>
      <c r="P2737" s="256" t="n"/>
      <c r="Q2737" s="256" t="n"/>
    </row>
    <row r="2738">
      <c r="A2738">
        <f>IF(DAY(D2738)=DAY($L$1+1),A2737+1,A2737)</f>
        <v/>
      </c>
      <c r="B2738" s="46">
        <f>IF(DAY(D2738)=DAY($L$1+1),1,B2737+1)</f>
        <v/>
      </c>
      <c r="C2738" s="46">
        <f>IF(DAY(D2738)=DAY($L$1+1),1,C2737+1)</f>
        <v/>
      </c>
      <c r="D2738" s="2">
        <f>D2737+1</f>
        <v/>
      </c>
      <c r="E2738" s="8">
        <f>IF(DAY(D2738)=DAY($L$1+1),TRUNC((#REF!),8),E2737)</f>
        <v/>
      </c>
      <c r="F2738" s="49">
        <f>TRUNC(((1+VLOOKUP(A2738,IPCA!$A$2:$C$140,3,0)))^(C2738/(EDATE(D2738-C2738,1)-(D2738-C2738))),8)</f>
        <v/>
      </c>
      <c r="G2738" s="44">
        <f>TRUNC((E2738*F2738),8)</f>
        <v/>
      </c>
      <c r="H2738" s="44">
        <f>ROUND(((1+$H$4)^(30/360))^(C2738/(EDATE(D2738-B2738,1)-(D2738-B2738))),9)</f>
        <v/>
      </c>
      <c r="I2738" s="44">
        <f>TRUNC((G2738*H2738-G2738),8)</f>
        <v/>
      </c>
      <c r="J2738" s="49">
        <f>G2738+I2738</f>
        <v/>
      </c>
      <c r="K2738" s="256" t="n"/>
      <c r="L2738" s="256" t="n"/>
      <c r="M2738" s="256" t="n"/>
      <c r="N2738" s="256" t="n"/>
      <c r="O2738" s="256" t="n"/>
      <c r="P2738" s="256" t="n"/>
      <c r="Q2738" s="256" t="n"/>
    </row>
    <row r="2739">
      <c r="A2739">
        <f>IF(DAY(D2739)=DAY($L$1+1),A2738+1,A2738)</f>
        <v/>
      </c>
      <c r="B2739" s="1">
        <f>IF(DAY(D2739)=DAY($L$1+1),1,B2738+1)</f>
        <v/>
      </c>
      <c r="C2739" s="1">
        <f>IF(DAY(D2739)=DAY($L$1+1),1,C2738+1)</f>
        <v/>
      </c>
      <c r="D2739" s="2">
        <f>D2738+1</f>
        <v/>
      </c>
      <c r="E2739" s="8">
        <f>IF(DAY(D2739)=DAY($L$1+1),TRUNC((#REF!),8),E2738)</f>
        <v/>
      </c>
      <c r="F2739" s="49">
        <f>TRUNC(((1+VLOOKUP(A2739,IPCA!$A$2:$C$140,3,0)))^(C2739/(EDATE(D2739-C2739,1)-(D2739-C2739))),8)</f>
        <v/>
      </c>
      <c r="G2739" s="44">
        <f>TRUNC((E2739*F2739),8)</f>
        <v/>
      </c>
      <c r="H2739" s="44">
        <f>ROUND(((1+$H$4)^(30/360))^(C2739/(EDATE(D2739-B2739,1)-(D2739-B2739))),9)</f>
        <v/>
      </c>
      <c r="I2739" s="44">
        <f>TRUNC((G2739*H2739-G2739),8)</f>
        <v/>
      </c>
      <c r="J2739" s="49">
        <f>G2739+I2739</f>
        <v/>
      </c>
      <c r="K2739" s="256" t="n"/>
      <c r="L2739" s="256" t="n"/>
      <c r="M2739" s="256" t="n"/>
      <c r="N2739" s="256" t="n"/>
      <c r="O2739" s="256" t="n"/>
      <c r="P2739" s="256" t="n"/>
      <c r="Q2739" s="256" t="n"/>
    </row>
    <row r="2740">
      <c r="A2740">
        <f>IF(DAY(D2740)=DAY($L$1+1),A2739+1,A2739)</f>
        <v/>
      </c>
      <c r="B2740" s="46">
        <f>IF(DAY(D2740)=DAY($L$1+1),1,B2739+1)</f>
        <v/>
      </c>
      <c r="C2740" s="46">
        <f>IF(DAY(D2740)=DAY($L$1+1),1,C2739+1)</f>
        <v/>
      </c>
      <c r="D2740" s="2">
        <f>D2739+1</f>
        <v/>
      </c>
      <c r="E2740" s="8">
        <f>IF(DAY(D2740)=DAY($L$1+1),TRUNC((#REF!),8),E2739)</f>
        <v/>
      </c>
      <c r="F2740" s="49">
        <f>TRUNC(((1+VLOOKUP(A2740,IPCA!$A$2:$C$140,3,0)))^(C2740/(EDATE(D2740-C2740,1)-(D2740-C2740))),8)</f>
        <v/>
      </c>
      <c r="G2740" s="44">
        <f>TRUNC((E2740*F2740),8)</f>
        <v/>
      </c>
      <c r="H2740" s="44">
        <f>ROUND(((1+$H$4)^(30/360))^(C2740/(EDATE(D2740-B2740,1)-(D2740-B2740))),9)</f>
        <v/>
      </c>
      <c r="I2740" s="44">
        <f>TRUNC((G2740*H2740-G2740),8)</f>
        <v/>
      </c>
      <c r="J2740" s="49">
        <f>G2740+I2740</f>
        <v/>
      </c>
      <c r="K2740" s="256" t="n"/>
      <c r="L2740" s="256" t="n"/>
      <c r="M2740" s="256" t="n"/>
      <c r="N2740" s="256" t="n"/>
      <c r="O2740" s="256" t="n"/>
      <c r="P2740" s="256" t="n"/>
      <c r="Q2740" s="256" t="n"/>
    </row>
    <row r="2741">
      <c r="A2741">
        <f>IF(DAY(D2741)=DAY($L$1+1),A2740+1,A2740)</f>
        <v/>
      </c>
      <c r="B2741" s="1">
        <f>IF(DAY(D2741)=DAY($L$1+1),1,B2740+1)</f>
        <v/>
      </c>
      <c r="C2741" s="1">
        <f>IF(DAY(D2741)=DAY($L$1+1),1,C2740+1)</f>
        <v/>
      </c>
      <c r="D2741" s="2">
        <f>D2740+1</f>
        <v/>
      </c>
      <c r="E2741" s="8">
        <f>IF(DAY(D2741)=DAY($L$1+1),TRUNC((#REF!),8),E2740)</f>
        <v/>
      </c>
      <c r="F2741" s="49">
        <f>TRUNC(((1+VLOOKUP(A2741,IPCA!$A$2:$C$140,3,0)))^(C2741/(EDATE(D2741-C2741,1)-(D2741-C2741))),8)</f>
        <v/>
      </c>
      <c r="G2741" s="44">
        <f>TRUNC((E2741*F2741),8)</f>
        <v/>
      </c>
      <c r="H2741" s="44">
        <f>ROUND(((1+$H$4)^(30/360))^(C2741/(EDATE(D2741-B2741,1)-(D2741-B2741))),9)</f>
        <v/>
      </c>
      <c r="I2741" s="44">
        <f>TRUNC((G2741*H2741-G2741),8)</f>
        <v/>
      </c>
      <c r="J2741" s="49">
        <f>G2741+I2741</f>
        <v/>
      </c>
      <c r="K2741" s="256" t="n"/>
      <c r="L2741" s="256" t="n"/>
      <c r="M2741" s="256" t="n"/>
      <c r="N2741" s="256" t="n"/>
      <c r="O2741" s="256" t="n"/>
      <c r="P2741" s="256" t="n"/>
      <c r="Q2741" s="256" t="n"/>
    </row>
    <row r="2742">
      <c r="A2742">
        <f>IF(DAY(D2742)=DAY($L$1+1),A2741+1,A2741)</f>
        <v/>
      </c>
      <c r="B2742" s="46">
        <f>IF(DAY(D2742)=DAY($L$1+1),1,B2741+1)</f>
        <v/>
      </c>
      <c r="C2742" s="46">
        <f>IF(DAY(D2742)=DAY($L$1+1),1,C2741+1)</f>
        <v/>
      </c>
      <c r="D2742" s="2">
        <f>D2741+1</f>
        <v/>
      </c>
      <c r="E2742" s="8">
        <f>IF(DAY(D2742)=DAY($L$1+1),TRUNC((#REF!),8),E2741)</f>
        <v/>
      </c>
      <c r="F2742" s="49">
        <f>TRUNC(((1+VLOOKUP(A2742,IPCA!$A$2:$C$140,3,0)))^(C2742/(EDATE(D2742-C2742,1)-(D2742-C2742))),8)</f>
        <v/>
      </c>
      <c r="G2742" s="44">
        <f>TRUNC((E2742*F2742),8)</f>
        <v/>
      </c>
      <c r="H2742" s="44">
        <f>ROUND(((1+$H$4)^(30/360))^(C2742/(EDATE(D2742-B2742,1)-(D2742-B2742))),9)</f>
        <v/>
      </c>
      <c r="I2742" s="44">
        <f>TRUNC((G2742*H2742-G2742),8)</f>
        <v/>
      </c>
      <c r="J2742" s="49">
        <f>G2742+I2742</f>
        <v/>
      </c>
      <c r="K2742" s="256" t="n"/>
      <c r="L2742" s="256" t="n"/>
      <c r="M2742" s="256" t="n"/>
      <c r="N2742" s="256" t="n"/>
      <c r="O2742" s="256" t="n"/>
      <c r="P2742" s="256" t="n"/>
      <c r="Q2742" s="256" t="n"/>
    </row>
    <row r="2743">
      <c r="A2743">
        <f>IF(DAY(D2743)=DAY($L$1+1),A2742+1,A2742)</f>
        <v/>
      </c>
      <c r="B2743" s="1">
        <f>IF(DAY(D2743)=DAY($L$1+1),1,B2742+1)</f>
        <v/>
      </c>
      <c r="C2743" s="1">
        <f>IF(DAY(D2743)=DAY($L$1+1),1,C2742+1)</f>
        <v/>
      </c>
      <c r="D2743" s="2">
        <f>D2742+1</f>
        <v/>
      </c>
      <c r="E2743" s="8">
        <f>IF(DAY(D2743)=DAY($L$1+1),TRUNC((#REF!),8),E2742)</f>
        <v/>
      </c>
      <c r="F2743" s="49">
        <f>TRUNC(((1+VLOOKUP(A2743,IPCA!$A$2:$C$140,3,0)))^(C2743/(EDATE(D2743-C2743,1)-(D2743-C2743))),8)</f>
        <v/>
      </c>
      <c r="G2743" s="44">
        <f>TRUNC((E2743*F2743),8)</f>
        <v/>
      </c>
      <c r="H2743" s="44">
        <f>ROUND(((1+$H$4)^(30/360))^(C2743/(EDATE(D2743-B2743,1)-(D2743-B2743))),9)</f>
        <v/>
      </c>
      <c r="I2743" s="44">
        <f>TRUNC((G2743*H2743-G2743),8)</f>
        <v/>
      </c>
      <c r="J2743" s="49">
        <f>G2743+I2743</f>
        <v/>
      </c>
      <c r="K2743" s="256" t="n"/>
      <c r="L2743" s="256" t="n"/>
      <c r="M2743" s="256" t="n"/>
      <c r="N2743" s="256" t="n"/>
      <c r="O2743" s="256" t="n"/>
      <c r="P2743" s="256" t="n"/>
      <c r="Q2743" s="256" t="n"/>
    </row>
    <row r="2744">
      <c r="A2744">
        <f>IF(DAY(D2744)=DAY($L$1+1),A2743+1,A2743)</f>
        <v/>
      </c>
      <c r="B2744" s="46">
        <f>IF(DAY(D2744)=DAY($L$1+1),1,B2743+1)</f>
        <v/>
      </c>
      <c r="C2744" s="46">
        <f>IF(DAY(D2744)=DAY($L$1+1),1,C2743+1)</f>
        <v/>
      </c>
      <c r="D2744" s="2">
        <f>D2743+1</f>
        <v/>
      </c>
      <c r="E2744" s="8">
        <f>IF(DAY(D2744)=DAY($L$1+1),TRUNC((N2743),8),E2743)</f>
        <v/>
      </c>
      <c r="F2744" s="49">
        <f>TRUNC(((1+VLOOKUP(A2744,IPCA!$A$2:$C$140,3,0)))^(C2744/(EDATE(D2744-C2744,1)-(D2744-C2744))),8)</f>
        <v/>
      </c>
      <c r="G2744" s="44">
        <f>TRUNC((E2744*F2744),8)</f>
        <v/>
      </c>
      <c r="H2744" s="44">
        <f>ROUND(((1+$H$4)^(30/360))^(C2744/(EDATE(D2744-B2744,1)-(D2744-B2744))),9)</f>
        <v/>
      </c>
      <c r="I2744" s="44">
        <f>TRUNC((G2744*H2744-G2744),8)</f>
        <v/>
      </c>
      <c r="J2744" s="49">
        <f>G2744+I2744</f>
        <v/>
      </c>
      <c r="K2744" s="256" t="n"/>
      <c r="L2744" s="256" t="n"/>
      <c r="M2744" s="256" t="n"/>
      <c r="N2744" s="256" t="n"/>
      <c r="O2744" s="256" t="n"/>
      <c r="P2744" s="256" t="n"/>
      <c r="Q2744" s="256" t="n"/>
    </row>
    <row r="2745">
      <c r="A2745">
        <f>IF(DAY(D2745)=DAY($L$1+1),A2744+1,A2744)</f>
        <v/>
      </c>
      <c r="B2745" s="1">
        <f>IF(DAY(D2745)=DAY($L$1+1),1,B2744+1)</f>
        <v/>
      </c>
      <c r="C2745" s="1">
        <f>IF(DAY(D2745)=DAY($L$1+1),1,C2744+1)</f>
        <v/>
      </c>
      <c r="D2745" s="2">
        <f>D2744+1</f>
        <v/>
      </c>
      <c r="E2745" s="8">
        <f>IF(DAY(D2745)=DAY($L$1+1),TRUNC((N2744),8),E2744)</f>
        <v/>
      </c>
      <c r="F2745" s="49">
        <f>TRUNC(((1+VLOOKUP(A2745,IPCA!$A$2:$C$140,3,0)))^(C2745/(EDATE(D2745-C2745,1)-(D2745-C2745))),8)</f>
        <v/>
      </c>
      <c r="G2745" s="44">
        <f>TRUNC((E2745*F2745),8)</f>
        <v/>
      </c>
      <c r="H2745" s="44">
        <f>ROUND(((1+$H$4)^(30/360))^(C2745/(EDATE(D2745-B2745,1)-(D2745-B2745))),9)</f>
        <v/>
      </c>
      <c r="I2745" s="44">
        <f>TRUNC((G2745*H2745-G2745),8)</f>
        <v/>
      </c>
      <c r="J2745" s="49">
        <f>G2745+I2745</f>
        <v/>
      </c>
      <c r="K2745" s="256" t="n"/>
      <c r="L2745" s="256" t="n"/>
      <c r="M2745" s="256" t="n"/>
      <c r="N2745" s="256" t="n"/>
      <c r="O2745" s="256" t="n"/>
      <c r="P2745" s="256" t="n"/>
      <c r="Q2745" s="256" t="n"/>
    </row>
    <row r="2746">
      <c r="A2746">
        <f>IF(DAY(D2746)=DAY($L$1+1),A2745+1,A2745)</f>
        <v/>
      </c>
      <c r="B2746" s="46">
        <f>IF(DAY(D2746)=DAY($L$1+1),1,B2745+1)</f>
        <v/>
      </c>
      <c r="C2746" s="46">
        <f>IF(DAY(D2746)=DAY($L$1+1),1,C2745+1)</f>
        <v/>
      </c>
      <c r="D2746" s="2">
        <f>D2745+1</f>
        <v/>
      </c>
      <c r="E2746" s="8">
        <f>IF(DAY(D2746)=DAY($L$1+1),TRUNC((N2745),8),E2745)</f>
        <v/>
      </c>
      <c r="F2746" s="49">
        <f>TRUNC(((1+VLOOKUP(A2746,IPCA!$A$2:$C$140,3,0)))^(C2746/(EDATE(D2746-C2746,1)-(D2746-C2746))),8)</f>
        <v/>
      </c>
      <c r="G2746" s="44">
        <f>TRUNC((E2746*F2746),8)</f>
        <v/>
      </c>
      <c r="H2746" s="44">
        <f>ROUND(((1+$H$4)^(30/360))^(C2746/(EDATE(D2746-B2746,1)-(D2746-B2746))),9)</f>
        <v/>
      </c>
      <c r="I2746" s="44">
        <f>TRUNC((G2746*H2746-G2746),8)</f>
        <v/>
      </c>
      <c r="J2746" s="49">
        <f>G2746+I2746</f>
        <v/>
      </c>
      <c r="K2746" s="256" t="n"/>
      <c r="L2746" s="256" t="n"/>
      <c r="M2746" s="256" t="n"/>
      <c r="N2746" s="256" t="n"/>
      <c r="O2746" s="256" t="n"/>
      <c r="P2746" s="256" t="n"/>
      <c r="Q2746" s="256" t="n"/>
    </row>
    <row r="2747">
      <c r="A2747">
        <f>IF(DAY(D2747)=DAY($L$1+1),A2746+1,A2746)</f>
        <v/>
      </c>
      <c r="B2747" s="1">
        <f>IF(DAY(D2747)=DAY($L$1+1),1,B2746+1)</f>
        <v/>
      </c>
      <c r="C2747" s="1">
        <f>IF(DAY(D2747)=DAY($L$1+1),1,C2746+1)</f>
        <v/>
      </c>
      <c r="D2747" s="2">
        <f>D2746+1</f>
        <v/>
      </c>
      <c r="E2747" s="8">
        <f>IF(DAY(D2747)=DAY($L$1+1),TRUNC((N2746),8),E2746)</f>
        <v/>
      </c>
      <c r="F2747" s="49">
        <f>TRUNC(((1+VLOOKUP(A2747,IPCA!$A$2:$C$140,3,0)))^(C2747/(EDATE(D2747-C2747,1)-(D2747-C2747))),8)</f>
        <v/>
      </c>
      <c r="G2747" s="44">
        <f>TRUNC((E2747*F2747),8)</f>
        <v/>
      </c>
      <c r="H2747" s="44">
        <f>ROUND(((1+$H$4)^(30/360))^(C2747/(EDATE(D2747-B2747,1)-(D2747-B2747))),9)</f>
        <v/>
      </c>
      <c r="I2747" s="44">
        <f>TRUNC((G2747*H2747-G2747),8)</f>
        <v/>
      </c>
      <c r="J2747" s="49">
        <f>G2747+I2747</f>
        <v/>
      </c>
      <c r="K2747" s="256" t="n"/>
      <c r="L2747" s="256" t="n"/>
      <c r="M2747" s="256" t="n"/>
      <c r="N2747" s="256" t="n"/>
      <c r="O2747" s="256" t="n"/>
      <c r="P2747" s="256" t="n"/>
      <c r="Q2747" s="256" t="n"/>
    </row>
    <row r="2748">
      <c r="A2748">
        <f>IF(DAY(D2748)=DAY($L$1+1),A2747+1,A2747)</f>
        <v/>
      </c>
      <c r="B2748" s="46">
        <f>IF(DAY(D2748)=DAY($L$1+1),1,B2747+1)</f>
        <v/>
      </c>
      <c r="C2748" s="46">
        <f>IF(DAY(D2748)=DAY($L$1+1),1,C2747+1)</f>
        <v/>
      </c>
      <c r="D2748" s="2">
        <f>D2747+1</f>
        <v/>
      </c>
      <c r="E2748" s="8">
        <f>IF(DAY(D2748)=DAY($L$1+1),TRUNC((N2747),8),E2747)</f>
        <v/>
      </c>
      <c r="F2748" s="49">
        <f>TRUNC(((1+VLOOKUP(A2748,IPCA!$A$2:$C$140,3,0)))^(C2748/(EDATE(D2748-C2748,1)-(D2748-C2748))),8)</f>
        <v/>
      </c>
      <c r="G2748" s="44">
        <f>TRUNC((E2748*F2748),8)</f>
        <v/>
      </c>
      <c r="H2748" s="44">
        <f>ROUND(((1+$H$4)^(30/360))^(C2748/(EDATE(D2748-B2748,1)-(D2748-B2748))),9)</f>
        <v/>
      </c>
      <c r="I2748" s="44">
        <f>TRUNC((G2748*H2748-G2748),8)</f>
        <v/>
      </c>
      <c r="J2748" s="49">
        <f>G2748+I2748</f>
        <v/>
      </c>
      <c r="K2748" s="256" t="n"/>
      <c r="L2748" s="256" t="n"/>
      <c r="M2748" s="256" t="n"/>
      <c r="N2748" s="256" t="n"/>
      <c r="O2748" s="256" t="n"/>
      <c r="P2748" s="256" t="n"/>
      <c r="Q2748" s="256" t="n"/>
    </row>
    <row r="2749">
      <c r="A2749">
        <f>IF(DAY(D2749)=DAY($L$1+1),A2748+1,A2748)</f>
        <v/>
      </c>
      <c r="B2749" s="1">
        <f>IF(DAY(D2749)=DAY($L$1+1),1,B2748+1)</f>
        <v/>
      </c>
      <c r="C2749" s="1">
        <f>IF(DAY(D2749)=DAY($L$1+1),1,C2748+1)</f>
        <v/>
      </c>
      <c r="D2749" s="2">
        <f>D2748+1</f>
        <v/>
      </c>
      <c r="E2749" s="8">
        <f>IF(DAY(D2749)=DAY($L$1+1),TRUNC((N2748),8),E2748)</f>
        <v/>
      </c>
      <c r="F2749" s="49">
        <f>TRUNC(((1+VLOOKUP(A2749,IPCA!$A$2:$C$140,3,0)))^(C2749/(EDATE(D2749-C2749,1)-(D2749-C2749))),8)</f>
        <v/>
      </c>
      <c r="G2749" s="44">
        <f>TRUNC((E2749*F2749),8)</f>
        <v/>
      </c>
      <c r="H2749" s="44">
        <f>ROUND(((1+$H$4)^(30/360))^(C2749/(EDATE(D2749-B2749,1)-(D2749-B2749))),9)</f>
        <v/>
      </c>
      <c r="I2749" s="44">
        <f>TRUNC((G2749*H2749-G2749),8)</f>
        <v/>
      </c>
      <c r="J2749" s="49">
        <f>G2749+I2749</f>
        <v/>
      </c>
      <c r="K2749" s="256" t="n"/>
      <c r="L2749" s="256" t="n"/>
      <c r="M2749" s="256" t="n"/>
      <c r="N2749" s="256" t="n"/>
      <c r="O2749" s="256" t="n"/>
      <c r="P2749" s="256" t="n"/>
      <c r="Q2749" s="256" t="n"/>
    </row>
    <row r="2750">
      <c r="A2750">
        <f>IF(DAY(D2750)=DAY($L$1+1),A2749+1,A2749)</f>
        <v/>
      </c>
      <c r="B2750" s="46">
        <f>IF(DAY(D2750)=DAY($L$1+1),1,B2749+1)</f>
        <v/>
      </c>
      <c r="C2750" s="46">
        <f>IF(DAY(D2750)=DAY($L$1+1),1,C2749+1)</f>
        <v/>
      </c>
      <c r="D2750" s="2">
        <f>D2749+1</f>
        <v/>
      </c>
      <c r="E2750" s="8">
        <f>IF(DAY(D2750)=DAY($L$1+1),TRUNC((N2749),8),E2749)</f>
        <v/>
      </c>
      <c r="F2750" s="49">
        <f>TRUNC(((1+VLOOKUP(A2750,IPCA!$A$2:$C$140,3,0)))^(C2750/(EDATE(D2750-C2750,1)-(D2750-C2750))),8)</f>
        <v/>
      </c>
      <c r="G2750" s="44">
        <f>TRUNC((E2750*F2750),8)</f>
        <v/>
      </c>
      <c r="H2750" s="44">
        <f>ROUND(((1+$H$4)^(30/360))^(C2750/(EDATE(D2750-B2750,1)-(D2750-B2750))),9)</f>
        <v/>
      </c>
      <c r="I2750" s="44">
        <f>TRUNC((G2750*H2750-G2750),8)</f>
        <v/>
      </c>
      <c r="J2750" s="49">
        <f>G2750+I2750</f>
        <v/>
      </c>
      <c r="K2750" s="256" t="n"/>
      <c r="L2750" s="256" t="n"/>
      <c r="M2750" s="256" t="n"/>
      <c r="N2750" s="256" t="n"/>
      <c r="O2750" s="256" t="n"/>
      <c r="P2750" s="256" t="n"/>
      <c r="Q2750" s="256" t="n"/>
    </row>
    <row r="2751">
      <c r="A2751">
        <f>IF(DAY(D2751)=DAY($L$1+1),A2750+1,A2750)</f>
        <v/>
      </c>
      <c r="B2751" s="1">
        <f>IF(DAY(D2751)=DAY($L$1+1),1,B2750+1)</f>
        <v/>
      </c>
      <c r="C2751" s="1">
        <f>IF(DAY(D2751)=DAY($L$1+1),1,C2750+1)</f>
        <v/>
      </c>
      <c r="D2751" s="2">
        <f>D2750+1</f>
        <v/>
      </c>
      <c r="E2751" s="8">
        <f>IF(DAY(D2751)=DAY($L$1+1),TRUNC((N2750),8),E2750)</f>
        <v/>
      </c>
      <c r="F2751" s="49">
        <f>TRUNC(((1+VLOOKUP(A2751,IPCA!$A$2:$C$140,3,0)))^(C2751/(EDATE(D2751-C2751,1)-(D2751-C2751))),8)</f>
        <v/>
      </c>
      <c r="G2751" s="44">
        <f>TRUNC((E2751*F2751),8)</f>
        <v/>
      </c>
      <c r="H2751" s="44">
        <f>ROUND(((1+$H$4)^(30/360))^(C2751/(EDATE(D2751-B2751,1)-(D2751-B2751))),9)</f>
        <v/>
      </c>
      <c r="I2751" s="44">
        <f>TRUNC((G2751*H2751-G2751),8)</f>
        <v/>
      </c>
      <c r="J2751" s="49">
        <f>G2751+I2751</f>
        <v/>
      </c>
      <c r="K2751" s="256" t="n"/>
      <c r="L2751" s="256" t="n"/>
      <c r="M2751" s="256" t="n"/>
      <c r="N2751" s="256" t="n"/>
      <c r="O2751" s="256" t="n"/>
      <c r="P2751" s="256" t="n"/>
      <c r="Q2751" s="256" t="n"/>
    </row>
    <row r="2752">
      <c r="A2752">
        <f>IF(DAY(D2752)=DAY($L$1+1),A2751+1,A2751)</f>
        <v/>
      </c>
      <c r="B2752" s="46">
        <f>IF(DAY(D2752)=DAY($L$1+1),1,B2751+1)</f>
        <v/>
      </c>
      <c r="C2752" s="46">
        <f>IF(DAY(D2752)=DAY($L$1+1),1,C2751+1)</f>
        <v/>
      </c>
      <c r="D2752" s="2">
        <f>D2751+1</f>
        <v/>
      </c>
      <c r="E2752" s="8">
        <f>IF(DAY(D2752)=DAY($L$1+1),TRUNC((N2751),8),E2751)</f>
        <v/>
      </c>
      <c r="F2752" s="49">
        <f>TRUNC(((1+VLOOKUP(A2752,IPCA!$A$2:$C$140,3,0)))^(C2752/(EDATE(D2752-C2752,1)-(D2752-C2752))),8)</f>
        <v/>
      </c>
      <c r="G2752" s="44">
        <f>TRUNC((E2752*F2752),8)</f>
        <v/>
      </c>
      <c r="H2752" s="44">
        <f>ROUND(((1+$H$4)^(30/360))^(C2752/(EDATE(D2752-B2752,1)-(D2752-B2752))),9)</f>
        <v/>
      </c>
      <c r="I2752" s="44">
        <f>TRUNC((G2752*H2752-G2752),8)</f>
        <v/>
      </c>
      <c r="J2752" s="49">
        <f>G2752+I2752</f>
        <v/>
      </c>
      <c r="K2752" s="256" t="n"/>
      <c r="L2752" s="256" t="n"/>
      <c r="M2752" s="256" t="n"/>
      <c r="N2752" s="256" t="n"/>
      <c r="O2752" s="256" t="n"/>
      <c r="P2752" s="256" t="n"/>
      <c r="Q2752" s="256" t="n"/>
    </row>
    <row r="2753">
      <c r="A2753">
        <f>IF(DAY(D2753)=DAY($L$1+1),A2752+1,A2752)</f>
        <v/>
      </c>
      <c r="B2753" s="1">
        <f>IF(DAY(D2753)=DAY($L$1+1),1,B2752+1)</f>
        <v/>
      </c>
      <c r="C2753" s="1">
        <f>IF(DAY(D2753)=DAY($L$1+1),1,C2752+1)</f>
        <v/>
      </c>
      <c r="D2753" s="2">
        <f>D2752+1</f>
        <v/>
      </c>
      <c r="E2753" s="8">
        <f>IF(DAY(D2753)=DAY($L$1+1),TRUNC((N2752),8),E2752)</f>
        <v/>
      </c>
      <c r="F2753" s="49">
        <f>TRUNC(((1+VLOOKUP(A2753,IPCA!$A$2:$C$140,3,0)))^(C2753/(EDATE(D2753-C2753,1)-(D2753-C2753))),8)</f>
        <v/>
      </c>
      <c r="G2753" s="44">
        <f>TRUNC((E2753*F2753),8)</f>
        <v/>
      </c>
      <c r="H2753" s="44">
        <f>ROUND(((1+$H$4)^(30/360))^(C2753/(EDATE(D2753-B2753,1)-(D2753-B2753))),9)</f>
        <v/>
      </c>
      <c r="I2753" s="44">
        <f>TRUNC((G2753*H2753-G2753),8)</f>
        <v/>
      </c>
      <c r="J2753" s="49">
        <f>G2753+I2753</f>
        <v/>
      </c>
      <c r="K2753" s="256" t="n"/>
      <c r="L2753" s="256" t="n"/>
      <c r="M2753" s="256" t="n"/>
      <c r="N2753" s="256" t="n"/>
      <c r="O2753" s="256" t="n"/>
      <c r="P2753" s="256" t="n"/>
      <c r="Q2753" s="256" t="n"/>
    </row>
    <row r="2754">
      <c r="A2754">
        <f>IF(DAY(D2754)=DAY($L$1+1),A2753+1,A2753)</f>
        <v/>
      </c>
      <c r="B2754" s="46">
        <f>IF(DAY(D2754)=DAY($L$1+1),1,B2753+1)</f>
        <v/>
      </c>
      <c r="C2754" s="46">
        <f>IF(DAY(D2754)=DAY($L$1+1),1,C2753+1)</f>
        <v/>
      </c>
      <c r="D2754" s="2">
        <f>D2753+1</f>
        <v/>
      </c>
      <c r="E2754" s="8">
        <f>IF(DAY(D2754)=DAY($L$1+1),TRUNC((N2753),8),E2753)</f>
        <v/>
      </c>
      <c r="F2754" s="49">
        <f>TRUNC(((1+VLOOKUP(A2754,IPCA!$A$2:$C$140,3,0)))^(C2754/(EDATE(D2754-C2754,1)-(D2754-C2754))),8)</f>
        <v/>
      </c>
      <c r="G2754" s="44">
        <f>TRUNC((E2754*F2754),8)</f>
        <v/>
      </c>
      <c r="H2754" s="44">
        <f>ROUND(((1+$H$4)^(30/360))^(C2754/(EDATE(D2754-B2754,1)-(D2754-B2754))),9)</f>
        <v/>
      </c>
      <c r="I2754" s="44">
        <f>TRUNC((G2754*H2754-G2754),8)</f>
        <v/>
      </c>
      <c r="J2754" s="49">
        <f>G2754+I2754</f>
        <v/>
      </c>
      <c r="K2754" s="256" t="n"/>
      <c r="L2754" s="256" t="n"/>
      <c r="M2754" s="256" t="n"/>
      <c r="N2754" s="256" t="n"/>
      <c r="O2754" s="256" t="n"/>
      <c r="P2754" s="256" t="n"/>
      <c r="Q2754" s="256" t="n"/>
    </row>
    <row r="2755">
      <c r="A2755">
        <f>IF(DAY(D2755)=DAY($L$1+1),A2754+1,A2754)</f>
        <v/>
      </c>
      <c r="B2755" s="1">
        <f>IF(DAY(D2755)=DAY($L$1+1),1,B2754+1)</f>
        <v/>
      </c>
      <c r="C2755" s="1">
        <f>IF(DAY(D2755)=DAY($L$1+1),1,C2754+1)</f>
        <v/>
      </c>
      <c r="D2755" s="2">
        <f>D2754+1</f>
        <v/>
      </c>
      <c r="E2755" s="8">
        <f>IF(DAY(D2755)=DAY($L$1+1),TRUNC((N2754),8),E2754)</f>
        <v/>
      </c>
      <c r="F2755" s="49">
        <f>TRUNC(((1+VLOOKUP(A2755,IPCA!$A$2:$C$140,3,0)))^(C2755/(EDATE(D2755-C2755,1)-(D2755-C2755))),8)</f>
        <v/>
      </c>
      <c r="G2755" s="44">
        <f>TRUNC((E2755*F2755),8)</f>
        <v/>
      </c>
      <c r="H2755" s="44">
        <f>ROUND(((1+$H$4)^(30/360))^(C2755/(EDATE(D2755-B2755,1)-(D2755-B2755))),9)</f>
        <v/>
      </c>
      <c r="I2755" s="44">
        <f>TRUNC((G2755*H2755-G2755),8)</f>
        <v/>
      </c>
      <c r="J2755" s="49">
        <f>G2755+I2755</f>
        <v/>
      </c>
      <c r="K2755" s="256" t="n"/>
      <c r="L2755" s="256" t="n"/>
      <c r="M2755" s="256" t="n"/>
      <c r="N2755" s="256" t="n"/>
      <c r="O2755" s="256" t="n"/>
      <c r="P2755" s="256" t="n"/>
      <c r="Q2755" s="256" t="n"/>
    </row>
    <row r="2756">
      <c r="A2756">
        <f>IF(DAY(D2756)=DAY($L$1+1),A2755+1,A2755)</f>
        <v/>
      </c>
      <c r="B2756" s="46">
        <f>IF(DAY(D2756)=DAY($L$1+1),1,B2755+1)</f>
        <v/>
      </c>
      <c r="C2756" s="46">
        <f>IF(DAY(D2756)=DAY($L$1+1),1,C2755+1)</f>
        <v/>
      </c>
      <c r="D2756" s="2">
        <f>D2755+1</f>
        <v/>
      </c>
      <c r="E2756" s="8">
        <f>IF(DAY(D2756)=DAY($L$1+1),TRUNC((N2755),8),E2755)</f>
        <v/>
      </c>
      <c r="F2756" s="49">
        <f>TRUNC(((1+VLOOKUP(A2756,IPCA!$A$2:$C$140,3,0)))^(C2756/(EDATE(D2756-C2756,1)-(D2756-C2756))),8)</f>
        <v/>
      </c>
      <c r="G2756" s="44">
        <f>TRUNC((E2756*F2756),8)</f>
        <v/>
      </c>
      <c r="H2756" s="44">
        <f>ROUND(((1+$H$4)^(30/360))^(C2756/(EDATE(D2756-B2756,1)-(D2756-B2756))),9)</f>
        <v/>
      </c>
      <c r="I2756" s="44">
        <f>TRUNC((G2756*H2756-G2756),8)</f>
        <v/>
      </c>
      <c r="J2756" s="49">
        <f>G2756+I2756</f>
        <v/>
      </c>
      <c r="K2756" s="256" t="n"/>
      <c r="L2756" s="256" t="n"/>
      <c r="M2756" s="256" t="n"/>
      <c r="N2756" s="256" t="n"/>
      <c r="O2756" s="256" t="n"/>
      <c r="P2756" s="256" t="n"/>
      <c r="Q2756" s="256" t="n"/>
    </row>
    <row r="2757">
      <c r="A2757">
        <f>IF(DAY(D2757)=DAY($L$1+1),A2756+1,A2756)</f>
        <v/>
      </c>
      <c r="B2757" s="1">
        <f>IF(DAY(D2757)=DAY($L$1+1),1,B2756+1)</f>
        <v/>
      </c>
      <c r="C2757" s="1">
        <f>IF(DAY(D2757)=DAY($L$1+1),1,C2756+1)</f>
        <v/>
      </c>
      <c r="D2757" s="2">
        <f>D2756+1</f>
        <v/>
      </c>
      <c r="E2757" s="8">
        <f>IF(DAY(D2757)=DAY($L$1+1),TRUNC((N2756),8),E2756)</f>
        <v/>
      </c>
      <c r="F2757" s="49">
        <f>TRUNC(((1+VLOOKUP(A2757,IPCA!$A$2:$C$140,3,0)))^(C2757/(EDATE(D2757-C2757,1)-(D2757-C2757))),8)</f>
        <v/>
      </c>
      <c r="G2757" s="44">
        <f>TRUNC((E2757*F2757),8)</f>
        <v/>
      </c>
      <c r="H2757" s="44">
        <f>ROUND(((1+$H$4)^(30/360))^(C2757/(EDATE(D2757-B2757,1)-(D2757-B2757))),9)</f>
        <v/>
      </c>
      <c r="I2757" s="44">
        <f>TRUNC((G2757*H2757-G2757),8)</f>
        <v/>
      </c>
      <c r="J2757" s="49">
        <f>G2757+I2757</f>
        <v/>
      </c>
      <c r="K2757" s="256" t="n"/>
      <c r="L2757" s="256" t="n"/>
      <c r="M2757" s="256" t="n"/>
      <c r="N2757" s="256" t="n"/>
      <c r="O2757" s="256" t="n"/>
      <c r="P2757" s="256" t="n"/>
      <c r="Q2757" s="256" t="n"/>
    </row>
    <row r="2758">
      <c r="A2758">
        <f>IF(DAY(D2758)=DAY($L$1+1),A2757+1,A2757)</f>
        <v/>
      </c>
      <c r="B2758" s="46">
        <f>IF(DAY(D2758)=DAY($L$1+1),1,B2757+1)</f>
        <v/>
      </c>
      <c r="C2758" s="46">
        <f>IF(DAY(D2758)=DAY($L$1+1),1,C2757+1)</f>
        <v/>
      </c>
      <c r="D2758" s="2">
        <f>D2757+1</f>
        <v/>
      </c>
      <c r="E2758" s="8">
        <f>IF(DAY(D2758)=DAY($L$1+1),TRUNC((N2757),8),E2757)</f>
        <v/>
      </c>
      <c r="F2758" s="49">
        <f>TRUNC(((1+VLOOKUP(A2758,IPCA!$A$2:$C$140,3,0)))^(C2758/(EDATE(D2758-C2758,1)-(D2758-C2758))),8)</f>
        <v/>
      </c>
      <c r="G2758" s="49">
        <f>TRUNC((E2758*F2758),8)</f>
        <v/>
      </c>
      <c r="H2758" s="49">
        <f>ROUND(((1+$H$4)^(30/360))^(C2758/(EDATE(D2758-B2758,1)-(D2758-B2758))),9)</f>
        <v/>
      </c>
      <c r="I2758" s="49">
        <f>TRUNC((G2758*H2758-G2758),8)</f>
        <v/>
      </c>
      <c r="J2758" s="49">
        <f>G2758+I2758</f>
        <v/>
      </c>
      <c r="K2758" s="256" t="inlineStr">
        <is>
          <t>Cri Integralizado</t>
        </is>
      </c>
      <c r="L2758" s="270">
        <f>L2727</f>
        <v/>
      </c>
      <c r="M2758" s="256" t="n"/>
      <c r="N2758" s="256" t="n"/>
      <c r="O2758" s="256" t="n"/>
      <c r="P2758" s="256" t="n"/>
      <c r="Q2758" s="256" t="n"/>
    </row>
    <row r="2759">
      <c r="A2759">
        <f>IF(DAY(D2759)=DAY($L$1+1),A2758+1,A2758)</f>
        <v/>
      </c>
      <c r="B2759" s="46">
        <f>IF(DAY(D2759)=DAY($L$1+1),1,B2758+1)</f>
        <v/>
      </c>
      <c r="C2759" s="46">
        <f>IF(DAY(D2759)=DAY($L$1+1),1,C2758+1)</f>
        <v/>
      </c>
      <c r="D2759" s="47">
        <f>D2758+1</f>
        <v/>
      </c>
      <c r="E2759" s="8">
        <f>IF(DAY(D2759)=DAY($L$1+1),TRUNC((N2758),8),E2758)</f>
        <v/>
      </c>
      <c r="F2759" s="49">
        <f>TRUNC(((1+VLOOKUP(A2759,IPCA!$A$2:$C$140,3,0)))^(C2759/(EDATE(D2759-C2759,1)-(D2759-C2759))),8)</f>
        <v/>
      </c>
      <c r="G2759" s="49">
        <f>TRUNC((E2759*F2759),8)</f>
        <v/>
      </c>
      <c r="H2759" s="49">
        <f>ROUND(((1+$H$4)^(30/360))^(C2759/(EDATE(D2759-B2759,1)-(D2759-B2759))),9)</f>
        <v/>
      </c>
      <c r="I2759" s="49">
        <f>TRUNC((G2759*H2759-G2759),8)</f>
        <v/>
      </c>
      <c r="J2759" s="49">
        <f>G2759+I2759</f>
        <v/>
      </c>
      <c r="K2759" s="137" t="inlineStr">
        <is>
          <t>JUROS</t>
        </is>
      </c>
      <c r="L2759" s="118" t="inlineStr">
        <is>
          <t>AMORTIZAÇÃO</t>
        </is>
      </c>
      <c r="M2759" s="118" t="inlineStr">
        <is>
          <t>AMEX</t>
        </is>
      </c>
      <c r="N2759" s="118" t="inlineStr">
        <is>
          <t>RESIDUAL</t>
        </is>
      </c>
      <c r="O2759" s="256" t="n"/>
      <c r="P2759" s="256" t="n"/>
      <c r="Q2759" s="256" t="n"/>
    </row>
    <row r="2760">
      <c r="A2760">
        <f>IF(DAY(D2760)=DAY($L$1+1),A2759+1,A2759)</f>
        <v/>
      </c>
      <c r="B2760" s="111">
        <f>IF(DAY(D2760)=DAY($L$1+1),1,B2759+1)</f>
        <v/>
      </c>
      <c r="C2760" s="111">
        <f>IF(DAY(D2760)=DAY($L$1+1),1,C2759+1)</f>
        <v/>
      </c>
      <c r="D2760" s="112">
        <f>D2759+1</f>
        <v/>
      </c>
      <c r="E2760" s="113">
        <f>IF(DAY(D2760)=DAY($L$1+1),TRUNC((N2759),8),E2759)</f>
        <v/>
      </c>
      <c r="F2760" s="114">
        <f>TRUNC(((1+VLOOKUP(A2760,IPCA!$A$2:$C$140,3,0)))^(C2760/(EDATE(D2760-C2760,1)-(D2760-C2760))),8)</f>
        <v/>
      </c>
      <c r="G2760" s="114">
        <f>TRUNC((E2760*F2760),8)</f>
        <v/>
      </c>
      <c r="H2760" s="114">
        <f>ROUND(((1+$H$4)^(30/360))^(C2760/(EDATE(D2760-B2760,1)-(D2760-B2760))),9)</f>
        <v/>
      </c>
      <c r="I2760" s="114">
        <f>TRUNC((G2760*H2760-G2760),8)</f>
        <v/>
      </c>
      <c r="J2760" s="114">
        <f>G2760+I2760</f>
        <v/>
      </c>
      <c r="K2760" s="119">
        <f>I2760</f>
        <v/>
      </c>
      <c r="L2760" s="120">
        <f>TRUNC(G2760*VLOOKUP(D2760,'Amort TS'!$G$3:$H$140,2,0),8)</f>
        <v/>
      </c>
      <c r="M2760" s="120" t="n">
        <v>0</v>
      </c>
      <c r="N2760" s="120">
        <f>J2760-K2760-L2760-M2760</f>
        <v/>
      </c>
      <c r="O2760" s="256" t="n"/>
      <c r="P2760" s="256" t="n"/>
      <c r="Q2760" s="256" t="n"/>
    </row>
    <row r="2761">
      <c r="A2761">
        <f>IF(DAY(D2761)=DAY($L$1+1),A2760+1,A2760)</f>
        <v/>
      </c>
      <c r="B2761" s="46">
        <f>IF(DAY(D2761)=DAY($L$1+1),1,B2760+1)</f>
        <v/>
      </c>
      <c r="C2761" s="46">
        <f>IF(DAY(D2761)=DAY($L$1+1),1,C2760+1)</f>
        <v/>
      </c>
      <c r="D2761" s="2">
        <f>D2760+1</f>
        <v/>
      </c>
      <c r="E2761" s="8">
        <f>IF(DAY(D2761)=DAY($L$1+1),TRUNC((N2760),8),E2760)</f>
        <v/>
      </c>
      <c r="F2761" s="49">
        <f>TRUNC(((1+VLOOKUP(A2761,IPCA!$A$2:$C$140,3,0)))^(C2761/(EDATE(D2761-C2761,1)-(D2761-C2761))),8)</f>
        <v/>
      </c>
      <c r="G2761" s="49">
        <f>TRUNC((E2761*F2761),8)</f>
        <v/>
      </c>
      <c r="H2761" s="49">
        <f>ROUND(((1+$H$4)^(30/360))^(C2761/(EDATE(D2761-B2761,1)-(D2761-B2761))),9)</f>
        <v/>
      </c>
      <c r="I2761" s="49">
        <f>TRUNC((G2761*H2761-G2761),8)</f>
        <v/>
      </c>
      <c r="J2761" s="49">
        <f>G2761+I2761</f>
        <v/>
      </c>
      <c r="K2761" s="121">
        <f>K2760*L2758</f>
        <v/>
      </c>
      <c r="L2761" s="121">
        <f>L2760*L2758</f>
        <v/>
      </c>
      <c r="M2761" s="121">
        <f>M2760*L2758</f>
        <v/>
      </c>
      <c r="N2761" s="121">
        <f>N2760*L2758</f>
        <v/>
      </c>
      <c r="O2761" s="256" t="n"/>
      <c r="P2761" s="256" t="n"/>
      <c r="Q2761" s="256" t="n"/>
    </row>
    <row r="2762">
      <c r="A2762">
        <f>IF(DAY(D2762)=DAY($L$1+1),A2761+1,A2761)</f>
        <v/>
      </c>
      <c r="B2762" s="46">
        <f>IF(DAY(D2762)=DAY($L$1+1),1,B2761+1)</f>
        <v/>
      </c>
      <c r="C2762" s="46">
        <f>IF(DAY(D2762)=DAY($L$1+1),1,C2761+1)</f>
        <v/>
      </c>
      <c r="D2762" s="47">
        <f>D2761+1</f>
        <v/>
      </c>
      <c r="E2762" s="8">
        <f>IF(DAY(D2762)=DAY($L$1+1),TRUNC((N2761),8),E2761)</f>
        <v/>
      </c>
      <c r="F2762" s="49">
        <f>TRUNC(((1+VLOOKUP(A2762,IPCA!$A$2:$C$140,3,0)))^(C2762/(EDATE(D2762-C2762,1)-(D2762-C2762))),8)</f>
        <v/>
      </c>
      <c r="G2762" s="49">
        <f>TRUNC((E2762*F2762),8)</f>
        <v/>
      </c>
      <c r="H2762" s="49">
        <f>ROUND(((1+$H$4)^(30/360))^(C2762/(EDATE(D2762-B2762,1)-(D2762-B2762))),9)</f>
        <v/>
      </c>
      <c r="I2762" s="49">
        <f>TRUNC((G2762*H2762-G2762),8)</f>
        <v/>
      </c>
      <c r="J2762" s="49">
        <f>G2762+I2762</f>
        <v/>
      </c>
      <c r="K2762" s="256" t="n"/>
      <c r="L2762" s="256" t="n"/>
      <c r="M2762" s="256" t="n"/>
      <c r="N2762" s="256" t="n"/>
      <c r="O2762" s="256" t="n"/>
      <c r="P2762" s="256" t="n"/>
      <c r="Q2762" s="256" t="n"/>
    </row>
    <row r="2763">
      <c r="A2763">
        <f>IF(DAY(D2763)=DAY($L$1+1),A2762+1,A2762)</f>
        <v/>
      </c>
      <c r="B2763" s="1">
        <f>IF(DAY(D2763)=DAY($L$1+1),1,B2762+1)</f>
        <v/>
      </c>
      <c r="C2763" s="1">
        <f>IF(DAY(D2763)=DAY($L$1+1),1,C2762+1)</f>
        <v/>
      </c>
      <c r="D2763" s="2">
        <f>D2762+1</f>
        <v/>
      </c>
      <c r="E2763" s="8">
        <f>IF(DAY(D2763)=DAY($L$1+1),TRUNC((#REF!),8),E2762)</f>
        <v/>
      </c>
      <c r="F2763" s="49">
        <f>TRUNC(((1+VLOOKUP(A2763,IPCA!$A$2:$C$140,3,0)))^(C2763/(EDATE(D2763-C2763,1)-(D2763-C2763))),8)</f>
        <v/>
      </c>
      <c r="G2763" s="44">
        <f>TRUNC((E2763*F2763),8)</f>
        <v/>
      </c>
      <c r="H2763" s="44">
        <f>ROUND(((1+$H$4)^(30/360))^(C2763/(EDATE(D2763-B2763,1)-(D2763-B2763))),9)</f>
        <v/>
      </c>
      <c r="I2763" s="44">
        <f>TRUNC((G2763*H2763-G2763),8)</f>
        <v/>
      </c>
      <c r="J2763" s="49">
        <f>G2763+I2763</f>
        <v/>
      </c>
      <c r="K2763" s="256" t="n"/>
      <c r="L2763" s="256" t="n"/>
      <c r="M2763" s="256" t="n"/>
      <c r="N2763" s="256" t="n"/>
      <c r="O2763" s="256" t="n"/>
      <c r="P2763" s="256" t="n"/>
      <c r="Q2763" s="256" t="n"/>
    </row>
    <row r="2764">
      <c r="A2764">
        <f>IF(DAY(D2764)=DAY($L$1+1),A2763+1,A2763)</f>
        <v/>
      </c>
      <c r="B2764" s="46">
        <f>IF(DAY(D2764)=DAY($L$1+1),1,B2763+1)</f>
        <v/>
      </c>
      <c r="C2764" s="46">
        <f>IF(DAY(D2764)=DAY($L$1+1),1,C2763+1)</f>
        <v/>
      </c>
      <c r="D2764" s="2">
        <f>D2763+1</f>
        <v/>
      </c>
      <c r="E2764" s="8">
        <f>IF(DAY(D2764)=DAY($L$1+1),TRUNC((#REF!),8),E2763)</f>
        <v/>
      </c>
      <c r="F2764" s="49">
        <f>TRUNC(((1+VLOOKUP(A2764,IPCA!$A$2:$C$140,3,0)))^(C2764/(EDATE(D2764-C2764,1)-(D2764-C2764))),8)</f>
        <v/>
      </c>
      <c r="G2764" s="44">
        <f>TRUNC((E2764*F2764),8)</f>
        <v/>
      </c>
      <c r="H2764" s="44">
        <f>ROUND(((1+$H$4)^(30/360))^(C2764/(EDATE(D2764-B2764,1)-(D2764-B2764))),9)</f>
        <v/>
      </c>
      <c r="I2764" s="44">
        <f>TRUNC((G2764*H2764-G2764),8)</f>
        <v/>
      </c>
      <c r="J2764" s="49">
        <f>G2764+I2764</f>
        <v/>
      </c>
      <c r="K2764" s="256" t="n"/>
      <c r="L2764" s="256" t="n"/>
      <c r="M2764" s="256" t="n"/>
      <c r="N2764" s="256" t="n"/>
      <c r="O2764" s="256" t="n"/>
      <c r="P2764" s="256" t="n"/>
      <c r="Q2764" s="256" t="n"/>
    </row>
    <row r="2765">
      <c r="A2765">
        <f>IF(DAY(D2765)=DAY($L$1+1),A2764+1,A2764)</f>
        <v/>
      </c>
      <c r="B2765" s="1">
        <f>IF(DAY(D2765)=DAY($L$1+1),1,B2764+1)</f>
        <v/>
      </c>
      <c r="C2765" s="1">
        <f>IF(DAY(D2765)=DAY($L$1+1),1,C2764+1)</f>
        <v/>
      </c>
      <c r="D2765" s="2">
        <f>D2764+1</f>
        <v/>
      </c>
      <c r="E2765" s="8">
        <f>IF(DAY(D2765)=DAY($L$1+1),TRUNC((#REF!),8),E2764)</f>
        <v/>
      </c>
      <c r="F2765" s="49">
        <f>TRUNC(((1+VLOOKUP(A2765,IPCA!$A$2:$C$140,3,0)))^(C2765/(EDATE(D2765-C2765,1)-(D2765-C2765))),8)</f>
        <v/>
      </c>
      <c r="G2765" s="44">
        <f>TRUNC((E2765*F2765),8)</f>
        <v/>
      </c>
      <c r="H2765" s="44">
        <f>ROUND(((1+$H$4)^(30/360))^(C2765/(EDATE(D2765-B2765,1)-(D2765-B2765))),9)</f>
        <v/>
      </c>
      <c r="I2765" s="44">
        <f>TRUNC((G2765*H2765-G2765),8)</f>
        <v/>
      </c>
      <c r="J2765" s="49">
        <f>G2765+I2765</f>
        <v/>
      </c>
      <c r="K2765" s="256" t="n"/>
      <c r="L2765" s="256" t="n"/>
      <c r="M2765" s="256" t="n"/>
      <c r="N2765" s="256" t="n"/>
      <c r="O2765" s="256" t="n"/>
      <c r="P2765" s="256" t="n"/>
      <c r="Q2765" s="256" t="n"/>
    </row>
    <row r="2766">
      <c r="A2766">
        <f>IF(DAY(D2766)=DAY($L$1+1),A2765+1,A2765)</f>
        <v/>
      </c>
      <c r="B2766" s="46">
        <f>IF(DAY(D2766)=DAY($L$1+1),1,B2765+1)</f>
        <v/>
      </c>
      <c r="C2766" s="46">
        <f>IF(DAY(D2766)=DAY($L$1+1),1,C2765+1)</f>
        <v/>
      </c>
      <c r="D2766" s="2">
        <f>D2765+1</f>
        <v/>
      </c>
      <c r="E2766" s="8">
        <f>IF(DAY(D2766)=DAY($L$1+1),TRUNC((#REF!),8),E2765)</f>
        <v/>
      </c>
      <c r="F2766" s="49">
        <f>TRUNC(((1+VLOOKUP(A2766,IPCA!$A$2:$C$140,3,0)))^(C2766/(EDATE(D2766-C2766,1)-(D2766-C2766))),8)</f>
        <v/>
      </c>
      <c r="G2766" s="44">
        <f>TRUNC((E2766*F2766),8)</f>
        <v/>
      </c>
      <c r="H2766" s="44">
        <f>ROUND(((1+$H$4)^(30/360))^(C2766/(EDATE(D2766-B2766,1)-(D2766-B2766))),9)</f>
        <v/>
      </c>
      <c r="I2766" s="44">
        <f>TRUNC((G2766*H2766-G2766),8)</f>
        <v/>
      </c>
      <c r="J2766" s="49">
        <f>G2766+I2766</f>
        <v/>
      </c>
      <c r="K2766" s="256" t="n"/>
      <c r="L2766" s="256" t="n"/>
      <c r="M2766" s="256" t="n"/>
      <c r="N2766" s="256" t="n"/>
      <c r="O2766" s="256" t="n"/>
      <c r="P2766" s="256" t="n"/>
      <c r="Q2766" s="256" t="n"/>
    </row>
    <row r="2767">
      <c r="A2767">
        <f>IF(DAY(D2767)=DAY($L$1+1),A2766+1,A2766)</f>
        <v/>
      </c>
      <c r="B2767" s="1">
        <f>IF(DAY(D2767)=DAY($L$1+1),1,B2766+1)</f>
        <v/>
      </c>
      <c r="C2767" s="1">
        <f>IF(DAY(D2767)=DAY($L$1+1),1,C2766+1)</f>
        <v/>
      </c>
      <c r="D2767" s="2">
        <f>D2766+1</f>
        <v/>
      </c>
      <c r="E2767" s="8">
        <f>IF(DAY(D2767)=DAY($L$1+1),TRUNC((#REF!),8),E2766)</f>
        <v/>
      </c>
      <c r="F2767" s="49">
        <f>TRUNC(((1+VLOOKUP(A2767,IPCA!$A$2:$C$140,3,0)))^(C2767/(EDATE(D2767-C2767,1)-(D2767-C2767))),8)</f>
        <v/>
      </c>
      <c r="G2767" s="44">
        <f>TRUNC((E2767*F2767),8)</f>
        <v/>
      </c>
      <c r="H2767" s="44">
        <f>ROUND(((1+$H$4)^(30/360))^(C2767/(EDATE(D2767-B2767,1)-(D2767-B2767))),9)</f>
        <v/>
      </c>
      <c r="I2767" s="44">
        <f>TRUNC((G2767*H2767-G2767),8)</f>
        <v/>
      </c>
      <c r="J2767" s="49">
        <f>G2767+I2767</f>
        <v/>
      </c>
      <c r="K2767" s="256" t="n"/>
      <c r="L2767" s="256" t="n"/>
      <c r="M2767" s="256" t="n"/>
      <c r="N2767" s="256" t="n"/>
      <c r="O2767" s="256" t="n"/>
      <c r="P2767" s="256" t="n"/>
      <c r="Q2767" s="256" t="n"/>
    </row>
    <row r="2768">
      <c r="A2768">
        <f>IF(DAY(D2768)=DAY($L$1+1),A2767+1,A2767)</f>
        <v/>
      </c>
      <c r="B2768" s="46">
        <f>IF(DAY(D2768)=DAY($L$1+1),1,B2767+1)</f>
        <v/>
      </c>
      <c r="C2768" s="46">
        <f>IF(DAY(D2768)=DAY($L$1+1),1,C2767+1)</f>
        <v/>
      </c>
      <c r="D2768" s="2">
        <f>D2767+1</f>
        <v/>
      </c>
      <c r="E2768" s="8">
        <f>IF(DAY(D2768)=DAY($L$1+1),TRUNC((#REF!),8),E2767)</f>
        <v/>
      </c>
      <c r="F2768" s="49">
        <f>TRUNC(((1+VLOOKUP(A2768,IPCA!$A$2:$C$140,3,0)))^(C2768/(EDATE(D2768-C2768,1)-(D2768-C2768))),8)</f>
        <v/>
      </c>
      <c r="G2768" s="44">
        <f>TRUNC((E2768*F2768),8)</f>
        <v/>
      </c>
      <c r="H2768" s="44">
        <f>ROUND(((1+$H$4)^(30/360))^(C2768/(EDATE(D2768-B2768,1)-(D2768-B2768))),9)</f>
        <v/>
      </c>
      <c r="I2768" s="44">
        <f>TRUNC((G2768*H2768-G2768),8)</f>
        <v/>
      </c>
      <c r="J2768" s="49">
        <f>G2768+I2768</f>
        <v/>
      </c>
      <c r="K2768" s="256" t="n"/>
      <c r="L2768" s="256" t="n"/>
      <c r="M2768" s="256" t="n"/>
      <c r="N2768" s="256" t="n"/>
      <c r="O2768" s="256" t="n"/>
      <c r="P2768" s="256" t="n"/>
      <c r="Q2768" s="256" t="n"/>
    </row>
    <row r="2769">
      <c r="A2769">
        <f>IF(DAY(D2769)=DAY($L$1+1),A2768+1,A2768)</f>
        <v/>
      </c>
      <c r="B2769" s="1">
        <f>IF(DAY(D2769)=DAY($L$1+1),1,B2768+1)</f>
        <v/>
      </c>
      <c r="C2769" s="1">
        <f>IF(DAY(D2769)=DAY($L$1+1),1,C2768+1)</f>
        <v/>
      </c>
      <c r="D2769" s="2">
        <f>D2768+1</f>
        <v/>
      </c>
      <c r="E2769" s="8">
        <f>IF(DAY(D2769)=DAY($L$1+1),TRUNC((#REF!),8),E2768)</f>
        <v/>
      </c>
      <c r="F2769" s="49">
        <f>TRUNC(((1+VLOOKUP(A2769,IPCA!$A$2:$C$140,3,0)))^(C2769/(EDATE(D2769-C2769,1)-(D2769-C2769))),8)</f>
        <v/>
      </c>
      <c r="G2769" s="44">
        <f>TRUNC((E2769*F2769),8)</f>
        <v/>
      </c>
      <c r="H2769" s="44">
        <f>ROUND(((1+$H$4)^(30/360))^(C2769/(EDATE(D2769-B2769,1)-(D2769-B2769))),9)</f>
        <v/>
      </c>
      <c r="I2769" s="44">
        <f>TRUNC((G2769*H2769-G2769),8)</f>
        <v/>
      </c>
      <c r="J2769" s="49">
        <f>G2769+I2769</f>
        <v/>
      </c>
      <c r="K2769" s="256" t="n"/>
      <c r="L2769" s="256" t="n"/>
      <c r="M2769" s="256" t="n"/>
      <c r="N2769" s="256" t="n"/>
      <c r="O2769" s="256" t="n"/>
      <c r="P2769" s="256" t="n"/>
      <c r="Q2769" s="256" t="n"/>
    </row>
    <row r="2770">
      <c r="A2770">
        <f>IF(DAY(D2770)=DAY($L$1+1),A2769+1,A2769)</f>
        <v/>
      </c>
      <c r="B2770" s="46">
        <f>IF(DAY(D2770)=DAY($L$1+1),1,B2769+1)</f>
        <v/>
      </c>
      <c r="C2770" s="46">
        <f>IF(DAY(D2770)=DAY($L$1+1),1,C2769+1)</f>
        <v/>
      </c>
      <c r="D2770" s="2">
        <f>D2769+1</f>
        <v/>
      </c>
      <c r="E2770" s="8">
        <f>IF(DAY(D2770)=DAY($L$1+1),TRUNC((#REF!),8),E2769)</f>
        <v/>
      </c>
      <c r="F2770" s="49">
        <f>TRUNC(((1+VLOOKUP(A2770,IPCA!$A$2:$C$140,3,0)))^(C2770/(EDATE(D2770-C2770,1)-(D2770-C2770))),8)</f>
        <v/>
      </c>
      <c r="G2770" s="44">
        <f>TRUNC((E2770*F2770),8)</f>
        <v/>
      </c>
      <c r="H2770" s="44">
        <f>ROUND(((1+$H$4)^(30/360))^(C2770/(EDATE(D2770-B2770,1)-(D2770-B2770))),9)</f>
        <v/>
      </c>
      <c r="I2770" s="44">
        <f>TRUNC((G2770*H2770-G2770),8)</f>
        <v/>
      </c>
      <c r="J2770" s="49">
        <f>G2770+I2770</f>
        <v/>
      </c>
      <c r="K2770" s="256" t="n"/>
      <c r="L2770" s="256" t="n"/>
      <c r="M2770" s="256" t="n"/>
      <c r="N2770" s="256" t="n"/>
      <c r="O2770" s="256" t="n"/>
      <c r="P2770" s="256" t="n"/>
      <c r="Q2770" s="256" t="n"/>
    </row>
    <row r="2771">
      <c r="A2771">
        <f>IF(DAY(D2771)=DAY($L$1+1),A2770+1,A2770)</f>
        <v/>
      </c>
      <c r="B2771" s="1">
        <f>IF(DAY(D2771)=DAY($L$1+1),1,B2770+1)</f>
        <v/>
      </c>
      <c r="C2771" s="1">
        <f>IF(DAY(D2771)=DAY($L$1+1),1,C2770+1)</f>
        <v/>
      </c>
      <c r="D2771" s="2">
        <f>D2770+1</f>
        <v/>
      </c>
      <c r="E2771" s="8">
        <f>IF(DAY(D2771)=DAY($L$1+1),TRUNC((#REF!),8),E2770)</f>
        <v/>
      </c>
      <c r="F2771" s="49">
        <f>TRUNC(((1+VLOOKUP(A2771,IPCA!$A$2:$C$140,3,0)))^(C2771/(EDATE(D2771-C2771,1)-(D2771-C2771))),8)</f>
        <v/>
      </c>
      <c r="G2771" s="44">
        <f>TRUNC((E2771*F2771),8)</f>
        <v/>
      </c>
      <c r="H2771" s="44">
        <f>ROUND(((1+$H$4)^(30/360))^(C2771/(EDATE(D2771-B2771,1)-(D2771-B2771))),9)</f>
        <v/>
      </c>
      <c r="I2771" s="44">
        <f>TRUNC((G2771*H2771-G2771),8)</f>
        <v/>
      </c>
      <c r="J2771" s="49">
        <f>G2771+I2771</f>
        <v/>
      </c>
      <c r="K2771" s="256" t="n"/>
      <c r="L2771" s="256" t="n"/>
      <c r="M2771" s="256" t="n"/>
      <c r="N2771" s="256" t="n"/>
      <c r="O2771" s="256" t="n"/>
      <c r="P2771" s="256" t="n"/>
      <c r="Q2771" s="256" t="n"/>
    </row>
    <row r="2772">
      <c r="A2772">
        <f>IF(DAY(D2772)=DAY($L$1+1),A2771+1,A2771)</f>
        <v/>
      </c>
      <c r="B2772" s="46">
        <f>IF(DAY(D2772)=DAY($L$1+1),1,B2771+1)</f>
        <v/>
      </c>
      <c r="C2772" s="46">
        <f>IF(DAY(D2772)=DAY($L$1+1),1,C2771+1)</f>
        <v/>
      </c>
      <c r="D2772" s="2">
        <f>D2771+1</f>
        <v/>
      </c>
      <c r="E2772" s="8">
        <f>IF(DAY(D2772)=DAY($L$1+1),TRUNC((#REF!),8),E2771)</f>
        <v/>
      </c>
      <c r="F2772" s="49">
        <f>TRUNC(((1+VLOOKUP(A2772,IPCA!$A$2:$C$140,3,0)))^(C2772/(EDATE(D2772-C2772,1)-(D2772-C2772))),8)</f>
        <v/>
      </c>
      <c r="G2772" s="44">
        <f>TRUNC((E2772*F2772),8)</f>
        <v/>
      </c>
      <c r="H2772" s="44">
        <f>ROUND(((1+$H$4)^(30/360))^(C2772/(EDATE(D2772-B2772,1)-(D2772-B2772))),9)</f>
        <v/>
      </c>
      <c r="I2772" s="44">
        <f>TRUNC((G2772*H2772-G2772),8)</f>
        <v/>
      </c>
      <c r="J2772" s="49">
        <f>G2772+I2772</f>
        <v/>
      </c>
      <c r="K2772" s="256" t="n"/>
      <c r="L2772" s="256" t="n"/>
      <c r="M2772" s="256" t="n"/>
      <c r="N2772" s="256" t="n"/>
      <c r="O2772" s="256" t="n"/>
      <c r="P2772" s="256" t="n"/>
      <c r="Q2772" s="256" t="n"/>
    </row>
    <row r="2773">
      <c r="A2773">
        <f>IF(DAY(D2773)=DAY($L$1+1),A2772+1,A2772)</f>
        <v/>
      </c>
      <c r="B2773" s="1">
        <f>IF(DAY(D2773)=DAY($L$1+1),1,B2772+1)</f>
        <v/>
      </c>
      <c r="C2773" s="1">
        <f>IF(DAY(D2773)=DAY($L$1+1),1,C2772+1)</f>
        <v/>
      </c>
      <c r="D2773" s="2">
        <f>D2772+1</f>
        <v/>
      </c>
      <c r="E2773" s="8">
        <f>IF(DAY(D2773)=DAY($L$1+1),TRUNC((#REF!),8),E2772)</f>
        <v/>
      </c>
      <c r="F2773" s="49">
        <f>TRUNC(((1+VLOOKUP(A2773,IPCA!$A$2:$C$140,3,0)))^(C2773/(EDATE(D2773-C2773,1)-(D2773-C2773))),8)</f>
        <v/>
      </c>
      <c r="G2773" s="44">
        <f>TRUNC((E2773*F2773),8)</f>
        <v/>
      </c>
      <c r="H2773" s="44">
        <f>ROUND(((1+$H$4)^(30/360))^(C2773/(EDATE(D2773-B2773,1)-(D2773-B2773))),9)</f>
        <v/>
      </c>
      <c r="I2773" s="44">
        <f>TRUNC((G2773*H2773-G2773),8)</f>
        <v/>
      </c>
      <c r="J2773" s="49">
        <f>G2773+I2773</f>
        <v/>
      </c>
      <c r="K2773" s="256" t="n"/>
      <c r="L2773" s="256" t="n"/>
      <c r="M2773" s="256" t="n"/>
      <c r="N2773" s="256" t="n"/>
      <c r="O2773" s="256" t="n"/>
      <c r="P2773" s="256" t="n"/>
      <c r="Q2773" s="256" t="n"/>
    </row>
    <row r="2774">
      <c r="A2774">
        <f>IF(DAY(D2774)=DAY($L$1+1),A2773+1,A2773)</f>
        <v/>
      </c>
      <c r="B2774" s="46">
        <f>IF(DAY(D2774)=DAY($L$1+1),1,B2773+1)</f>
        <v/>
      </c>
      <c r="C2774" s="46">
        <f>IF(DAY(D2774)=DAY($L$1+1),1,C2773+1)</f>
        <v/>
      </c>
      <c r="D2774" s="2">
        <f>D2773+1</f>
        <v/>
      </c>
      <c r="E2774" s="8">
        <f>IF(DAY(D2774)=DAY($L$1+1),TRUNC((#REF!),8),E2773)</f>
        <v/>
      </c>
      <c r="F2774" s="49">
        <f>TRUNC(((1+VLOOKUP(A2774,IPCA!$A$2:$C$140,3,0)))^(C2774/(EDATE(D2774-C2774,1)-(D2774-C2774))),8)</f>
        <v/>
      </c>
      <c r="G2774" s="44">
        <f>TRUNC((E2774*F2774),8)</f>
        <v/>
      </c>
      <c r="H2774" s="44">
        <f>ROUND(((1+$H$4)^(30/360))^(C2774/(EDATE(D2774-B2774,1)-(D2774-B2774))),9)</f>
        <v/>
      </c>
      <c r="I2774" s="44">
        <f>TRUNC((G2774*H2774-G2774),8)</f>
        <v/>
      </c>
      <c r="J2774" s="49">
        <f>G2774+I2774</f>
        <v/>
      </c>
      <c r="K2774" s="256" t="n"/>
      <c r="L2774" s="256" t="n"/>
      <c r="M2774" s="256" t="n"/>
      <c r="N2774" s="256" t="n"/>
      <c r="O2774" s="256" t="n"/>
      <c r="P2774" s="256" t="n"/>
      <c r="Q2774" s="256" t="n"/>
    </row>
    <row r="2775">
      <c r="A2775">
        <f>IF(DAY(D2775)=DAY($L$1+1),A2774+1,A2774)</f>
        <v/>
      </c>
      <c r="B2775" s="1">
        <f>IF(DAY(D2775)=DAY($L$1+1),1,B2774+1)</f>
        <v/>
      </c>
      <c r="C2775" s="1">
        <f>IF(DAY(D2775)=DAY($L$1+1),1,C2774+1)</f>
        <v/>
      </c>
      <c r="D2775" s="2">
        <f>D2774+1</f>
        <v/>
      </c>
      <c r="E2775" s="8">
        <f>IF(DAY(D2775)=DAY($L$1+1),TRUNC((#REF!),8),E2774)</f>
        <v/>
      </c>
      <c r="F2775" s="49">
        <f>TRUNC(((1+VLOOKUP(A2775,IPCA!$A$2:$C$140,3,0)))^(C2775/(EDATE(D2775-C2775,1)-(D2775-C2775))),8)</f>
        <v/>
      </c>
      <c r="G2775" s="44">
        <f>TRUNC((E2775*F2775),8)</f>
        <v/>
      </c>
      <c r="H2775" s="44">
        <f>ROUND(((1+$H$4)^(30/360))^(C2775/(EDATE(D2775-B2775,1)-(D2775-B2775))),9)</f>
        <v/>
      </c>
      <c r="I2775" s="44">
        <f>TRUNC((G2775*H2775-G2775),8)</f>
        <v/>
      </c>
      <c r="J2775" s="49">
        <f>G2775+I2775</f>
        <v/>
      </c>
      <c r="K2775" s="256" t="n"/>
      <c r="L2775" s="256" t="n"/>
      <c r="M2775" s="256" t="n"/>
      <c r="N2775" s="256" t="n"/>
      <c r="O2775" s="256" t="n"/>
      <c r="P2775" s="256" t="n"/>
      <c r="Q2775" s="256" t="n"/>
    </row>
    <row r="2776">
      <c r="A2776">
        <f>IF(DAY(D2776)=DAY($L$1+1),A2775+1,A2775)</f>
        <v/>
      </c>
      <c r="B2776" s="46">
        <f>IF(DAY(D2776)=DAY($L$1+1),1,B2775+1)</f>
        <v/>
      </c>
      <c r="C2776" s="46">
        <f>IF(DAY(D2776)=DAY($L$1+1),1,C2775+1)</f>
        <v/>
      </c>
      <c r="D2776" s="2">
        <f>D2775+1</f>
        <v/>
      </c>
      <c r="E2776" s="8">
        <f>IF(DAY(D2776)=DAY($L$1+1),TRUNC((#REF!),8),E2775)</f>
        <v/>
      </c>
      <c r="F2776" s="49">
        <f>TRUNC(((1+VLOOKUP(A2776,IPCA!$A$2:$C$140,3,0)))^(C2776/(EDATE(D2776-C2776,1)-(D2776-C2776))),8)</f>
        <v/>
      </c>
      <c r="G2776" s="44">
        <f>TRUNC((E2776*F2776),8)</f>
        <v/>
      </c>
      <c r="H2776" s="44">
        <f>ROUND(((1+$H$4)^(30/360))^(C2776/(EDATE(D2776-B2776,1)-(D2776-B2776))),9)</f>
        <v/>
      </c>
      <c r="I2776" s="44">
        <f>TRUNC((G2776*H2776-G2776),8)</f>
        <v/>
      </c>
      <c r="J2776" s="49">
        <f>G2776+I2776</f>
        <v/>
      </c>
      <c r="K2776" s="256" t="n"/>
      <c r="L2776" s="256" t="n"/>
      <c r="M2776" s="256" t="n"/>
      <c r="N2776" s="256" t="n"/>
      <c r="O2776" s="256" t="n"/>
      <c r="P2776" s="256" t="n"/>
      <c r="Q2776" s="256" t="n"/>
    </row>
    <row r="2777">
      <c r="A2777">
        <f>IF(DAY(D2777)=DAY($L$1+1),A2776+1,A2776)</f>
        <v/>
      </c>
      <c r="B2777" s="1">
        <f>IF(DAY(D2777)=DAY($L$1+1),1,B2776+1)</f>
        <v/>
      </c>
      <c r="C2777" s="1">
        <f>IF(DAY(D2777)=DAY($L$1+1),1,C2776+1)</f>
        <v/>
      </c>
      <c r="D2777" s="2">
        <f>D2776+1</f>
        <v/>
      </c>
      <c r="E2777" s="8">
        <f>IF(DAY(D2777)=DAY($L$1+1),TRUNC((#REF!),8),E2776)</f>
        <v/>
      </c>
      <c r="F2777" s="49">
        <f>TRUNC(((1+VLOOKUP(A2777,IPCA!$A$2:$C$140,3,0)))^(C2777/(EDATE(D2777-C2777,1)-(D2777-C2777))),8)</f>
        <v/>
      </c>
      <c r="G2777" s="44">
        <f>TRUNC((E2777*F2777),8)</f>
        <v/>
      </c>
      <c r="H2777" s="44">
        <f>ROUND(((1+$H$4)^(30/360))^(C2777/(EDATE(D2777-B2777,1)-(D2777-B2777))),9)</f>
        <v/>
      </c>
      <c r="I2777" s="44">
        <f>TRUNC((G2777*H2777-G2777),8)</f>
        <v/>
      </c>
      <c r="J2777" s="49">
        <f>G2777+I2777</f>
        <v/>
      </c>
      <c r="K2777" s="256" t="n"/>
      <c r="L2777" s="256" t="n"/>
      <c r="M2777" s="256" t="n"/>
      <c r="N2777" s="256" t="n"/>
      <c r="O2777" s="256" t="n"/>
      <c r="P2777" s="256" t="n"/>
      <c r="Q2777" s="256" t="n"/>
    </row>
    <row r="2778">
      <c r="A2778">
        <f>IF(DAY(D2778)=DAY($L$1+1),A2777+1,A2777)</f>
        <v/>
      </c>
      <c r="B2778" s="46">
        <f>IF(DAY(D2778)=DAY($L$1+1),1,B2777+1)</f>
        <v/>
      </c>
      <c r="C2778" s="46">
        <f>IF(DAY(D2778)=DAY($L$1+1),1,C2777+1)</f>
        <v/>
      </c>
      <c r="D2778" s="2">
        <f>D2777+1</f>
        <v/>
      </c>
      <c r="E2778" s="8">
        <f>IF(DAY(D2778)=DAY($L$1+1),TRUNC((#REF!),8),E2777)</f>
        <v/>
      </c>
      <c r="F2778" s="49">
        <f>TRUNC(((1+VLOOKUP(A2778,IPCA!$A$2:$C$140,3,0)))^(C2778/(EDATE(D2778-C2778,1)-(D2778-C2778))),8)</f>
        <v/>
      </c>
      <c r="G2778" s="44">
        <f>TRUNC((E2778*F2778),8)</f>
        <v/>
      </c>
      <c r="H2778" s="44">
        <f>ROUND(((1+$H$4)^(30/360))^(C2778/(EDATE(D2778-B2778,1)-(D2778-B2778))),9)</f>
        <v/>
      </c>
      <c r="I2778" s="44">
        <f>TRUNC((G2778*H2778-G2778),8)</f>
        <v/>
      </c>
      <c r="J2778" s="49">
        <f>G2778+I2778</f>
        <v/>
      </c>
      <c r="K2778" s="256" t="n"/>
      <c r="L2778" s="256" t="n"/>
      <c r="M2778" s="256" t="n"/>
      <c r="N2778" s="256" t="n"/>
      <c r="O2778" s="256" t="n"/>
      <c r="P2778" s="256" t="n"/>
      <c r="Q2778" s="256" t="n"/>
    </row>
    <row r="2779">
      <c r="A2779">
        <f>IF(DAY(D2779)=DAY($L$1+1),A2778+1,A2778)</f>
        <v/>
      </c>
      <c r="B2779" s="1">
        <f>IF(DAY(D2779)=DAY($L$1+1),1,B2778+1)</f>
        <v/>
      </c>
      <c r="C2779" s="1">
        <f>IF(DAY(D2779)=DAY($L$1+1),1,C2778+1)</f>
        <v/>
      </c>
      <c r="D2779" s="2">
        <f>D2778+1</f>
        <v/>
      </c>
      <c r="E2779" s="8">
        <f>IF(DAY(D2779)=DAY($L$1+1),TRUNC((#REF!),8),E2778)</f>
        <v/>
      </c>
      <c r="F2779" s="49">
        <f>TRUNC(((1+VLOOKUP(A2779,IPCA!$A$2:$C$140,3,0)))^(C2779/(EDATE(D2779-C2779,1)-(D2779-C2779))),8)</f>
        <v/>
      </c>
      <c r="G2779" s="44">
        <f>TRUNC((E2779*F2779),8)</f>
        <v/>
      </c>
      <c r="H2779" s="44">
        <f>ROUND(((1+$H$4)^(30/360))^(C2779/(EDATE(D2779-B2779,1)-(D2779-B2779))),9)</f>
        <v/>
      </c>
      <c r="I2779" s="44">
        <f>TRUNC((G2779*H2779-G2779),8)</f>
        <v/>
      </c>
      <c r="J2779" s="49">
        <f>G2779+I2779</f>
        <v/>
      </c>
      <c r="K2779" s="256" t="n"/>
      <c r="L2779" s="256" t="n"/>
      <c r="M2779" s="256" t="n"/>
      <c r="N2779" s="256" t="n"/>
      <c r="O2779" s="256" t="n"/>
      <c r="P2779" s="256" t="n"/>
      <c r="Q2779" s="256" t="n"/>
    </row>
    <row r="2780">
      <c r="A2780">
        <f>IF(DAY(D2780)=DAY($L$1+1),A2779+1,A2779)</f>
        <v/>
      </c>
      <c r="B2780" s="46">
        <f>IF(DAY(D2780)=DAY($L$1+1),1,B2779+1)</f>
        <v/>
      </c>
      <c r="C2780" s="46">
        <f>IF(DAY(D2780)=DAY($L$1+1),1,C2779+1)</f>
        <v/>
      </c>
      <c r="D2780" s="2">
        <f>D2779+1</f>
        <v/>
      </c>
      <c r="E2780" s="8">
        <f>IF(DAY(D2780)=DAY($L$1+1),TRUNC((#REF!),8),E2779)</f>
        <v/>
      </c>
      <c r="F2780" s="49">
        <f>TRUNC(((1+VLOOKUP(A2780,IPCA!$A$2:$C$140,3,0)))^(C2780/(EDATE(D2780-C2780,1)-(D2780-C2780))),8)</f>
        <v/>
      </c>
      <c r="G2780" s="44">
        <f>TRUNC((E2780*F2780),8)</f>
        <v/>
      </c>
      <c r="H2780" s="44">
        <f>ROUND(((1+$H$4)^(30/360))^(C2780/(EDATE(D2780-B2780,1)-(D2780-B2780))),9)</f>
        <v/>
      </c>
      <c r="I2780" s="44">
        <f>TRUNC((G2780*H2780-G2780),8)</f>
        <v/>
      </c>
      <c r="J2780" s="49">
        <f>G2780+I2780</f>
        <v/>
      </c>
      <c r="K2780" s="256" t="n"/>
      <c r="L2780" s="256" t="n"/>
      <c r="M2780" s="256" t="n"/>
      <c r="N2780" s="256" t="n"/>
      <c r="O2780" s="256" t="n"/>
      <c r="P2780" s="256" t="n"/>
      <c r="Q2780" s="256" t="n"/>
    </row>
    <row r="2781">
      <c r="A2781">
        <f>IF(DAY(D2781)=DAY($L$1+1),A2780+1,A2780)</f>
        <v/>
      </c>
      <c r="B2781" s="1">
        <f>IF(DAY(D2781)=DAY($L$1+1),1,B2780+1)</f>
        <v/>
      </c>
      <c r="C2781" s="1">
        <f>IF(DAY(D2781)=DAY($L$1+1),1,C2780+1)</f>
        <v/>
      </c>
      <c r="D2781" s="2">
        <f>D2780+1</f>
        <v/>
      </c>
      <c r="E2781" s="8">
        <f>IF(DAY(D2781)=DAY($L$1+1),TRUNC((#REF!),8),E2780)</f>
        <v/>
      </c>
      <c r="F2781" s="49">
        <f>TRUNC(((1+VLOOKUP(A2781,IPCA!$A$2:$C$140,3,0)))^(C2781/(EDATE(D2781-C2781,1)-(D2781-C2781))),8)</f>
        <v/>
      </c>
      <c r="G2781" s="44">
        <f>TRUNC((E2781*F2781),8)</f>
        <v/>
      </c>
      <c r="H2781" s="44">
        <f>ROUND(((1+$H$4)^(30/360))^(C2781/(EDATE(D2781-B2781,1)-(D2781-B2781))),9)</f>
        <v/>
      </c>
      <c r="I2781" s="44">
        <f>TRUNC((G2781*H2781-G2781),8)</f>
        <v/>
      </c>
      <c r="J2781" s="49">
        <f>G2781+I2781</f>
        <v/>
      </c>
      <c r="K2781" s="256" t="n"/>
      <c r="L2781" s="256" t="n"/>
      <c r="M2781" s="256" t="n"/>
      <c r="N2781" s="256" t="n"/>
      <c r="O2781" s="256" t="n"/>
      <c r="P2781" s="256" t="n"/>
      <c r="Q2781" s="256" t="n"/>
    </row>
    <row r="2782">
      <c r="A2782">
        <f>IF(DAY(D2782)=DAY($L$1+1),A2781+1,A2781)</f>
        <v/>
      </c>
      <c r="B2782" s="46">
        <f>IF(DAY(D2782)=DAY($L$1+1),1,B2781+1)</f>
        <v/>
      </c>
      <c r="C2782" s="46">
        <f>IF(DAY(D2782)=DAY($L$1+1),1,C2781+1)</f>
        <v/>
      </c>
      <c r="D2782" s="2">
        <f>D2781+1</f>
        <v/>
      </c>
      <c r="E2782" s="8">
        <f>IF(DAY(D2782)=DAY($L$1+1),TRUNC((#REF!),8),E2781)</f>
        <v/>
      </c>
      <c r="F2782" s="49">
        <f>TRUNC(((1+VLOOKUP(A2782,IPCA!$A$2:$C$140,3,0)))^(C2782/(EDATE(D2782-C2782,1)-(D2782-C2782))),8)</f>
        <v/>
      </c>
      <c r="G2782" s="44">
        <f>TRUNC((E2782*F2782),8)</f>
        <v/>
      </c>
      <c r="H2782" s="44">
        <f>ROUND(((1+$H$4)^(30/360))^(C2782/(EDATE(D2782-B2782,1)-(D2782-B2782))),9)</f>
        <v/>
      </c>
      <c r="I2782" s="44">
        <f>TRUNC((G2782*H2782-G2782),8)</f>
        <v/>
      </c>
      <c r="J2782" s="49">
        <f>G2782+I2782</f>
        <v/>
      </c>
      <c r="K2782" s="256" t="n"/>
      <c r="L2782" s="256" t="n"/>
      <c r="M2782" s="256" t="n"/>
      <c r="N2782" s="256" t="n"/>
      <c r="O2782" s="256" t="n"/>
      <c r="P2782" s="256" t="n"/>
      <c r="Q2782" s="256" t="n"/>
    </row>
    <row r="2783">
      <c r="A2783">
        <f>IF(DAY(D2783)=DAY($L$1+1),A2782+1,A2782)</f>
        <v/>
      </c>
      <c r="B2783" s="1">
        <f>IF(DAY(D2783)=DAY($L$1+1),1,B2782+1)</f>
        <v/>
      </c>
      <c r="C2783" s="1">
        <f>IF(DAY(D2783)=DAY($L$1+1),1,C2782+1)</f>
        <v/>
      </c>
      <c r="D2783" s="2">
        <f>D2782+1</f>
        <v/>
      </c>
      <c r="E2783" s="8">
        <f>IF(DAY(D2783)=DAY($L$1+1),TRUNC((#REF!),8),E2782)</f>
        <v/>
      </c>
      <c r="F2783" s="49">
        <f>TRUNC(((1+VLOOKUP(A2783,IPCA!$A$2:$C$140,3,0)))^(C2783/(EDATE(D2783-C2783,1)-(D2783-C2783))),8)</f>
        <v/>
      </c>
      <c r="G2783" s="44">
        <f>TRUNC((E2783*F2783),8)</f>
        <v/>
      </c>
      <c r="H2783" s="44">
        <f>ROUND(((1+$H$4)^(30/360))^(C2783/(EDATE(D2783-B2783,1)-(D2783-B2783))),9)</f>
        <v/>
      </c>
      <c r="I2783" s="44">
        <f>TRUNC((G2783*H2783-G2783),8)</f>
        <v/>
      </c>
      <c r="J2783" s="49">
        <f>G2783+I2783</f>
        <v/>
      </c>
      <c r="K2783" s="256" t="n"/>
      <c r="L2783" s="256" t="n"/>
      <c r="M2783" s="256" t="n"/>
      <c r="N2783" s="256" t="n"/>
      <c r="O2783" s="256" t="n"/>
      <c r="P2783" s="256" t="n"/>
      <c r="Q2783" s="256" t="n"/>
    </row>
    <row r="2784">
      <c r="A2784">
        <f>IF(DAY(D2784)=DAY($L$1+1),A2783+1,A2783)</f>
        <v/>
      </c>
      <c r="B2784" s="46">
        <f>IF(DAY(D2784)=DAY($L$1+1),1,B2783+1)</f>
        <v/>
      </c>
      <c r="C2784" s="46">
        <f>IF(DAY(D2784)=DAY($L$1+1),1,C2783+1)</f>
        <v/>
      </c>
      <c r="D2784" s="2">
        <f>D2783+1</f>
        <v/>
      </c>
      <c r="E2784" s="8">
        <f>IF(DAY(D2784)=DAY($L$1+1),TRUNC((#REF!),8),E2783)</f>
        <v/>
      </c>
      <c r="F2784" s="49">
        <f>TRUNC(((1+VLOOKUP(A2784,IPCA!$A$2:$C$140,3,0)))^(C2784/(EDATE(D2784-C2784,1)-(D2784-C2784))),8)</f>
        <v/>
      </c>
      <c r="G2784" s="44">
        <f>TRUNC((E2784*F2784),8)</f>
        <v/>
      </c>
      <c r="H2784" s="44">
        <f>ROUND(((1+$H$4)^(30/360))^(C2784/(EDATE(D2784-B2784,1)-(D2784-B2784))),9)</f>
        <v/>
      </c>
      <c r="I2784" s="44">
        <f>TRUNC((G2784*H2784-G2784),8)</f>
        <v/>
      </c>
      <c r="J2784" s="49">
        <f>G2784+I2784</f>
        <v/>
      </c>
      <c r="K2784" s="256" t="n"/>
      <c r="L2784" s="256" t="n"/>
      <c r="M2784" s="256" t="n"/>
      <c r="N2784" s="256" t="n"/>
      <c r="O2784" s="256" t="n"/>
      <c r="P2784" s="256" t="n"/>
      <c r="Q2784" s="256" t="n"/>
    </row>
    <row r="2785">
      <c r="A2785">
        <f>IF(DAY(D2785)=DAY($L$1+1),A2784+1,A2784)</f>
        <v/>
      </c>
      <c r="B2785" s="1">
        <f>IF(DAY(D2785)=DAY($L$1+1),1,B2784+1)</f>
        <v/>
      </c>
      <c r="C2785" s="1">
        <f>IF(DAY(D2785)=DAY($L$1+1),1,C2784+1)</f>
        <v/>
      </c>
      <c r="D2785" s="2">
        <f>D2784+1</f>
        <v/>
      </c>
      <c r="E2785" s="8">
        <f>IF(DAY(D2785)=DAY($L$1+1),TRUNC((N2784),8),E2784)</f>
        <v/>
      </c>
      <c r="F2785" s="49">
        <f>TRUNC(((1+VLOOKUP(A2785,IPCA!$A$2:$C$140,3,0)))^(C2785/(EDATE(D2785-C2785,1)-(D2785-C2785))),8)</f>
        <v/>
      </c>
      <c r="G2785" s="44">
        <f>TRUNC((E2785*F2785),8)</f>
        <v/>
      </c>
      <c r="H2785" s="44">
        <f>ROUND(((1+$H$4)^(30/360))^(C2785/(EDATE(D2785-B2785,1)-(D2785-B2785))),9)</f>
        <v/>
      </c>
      <c r="I2785" s="44">
        <f>TRUNC((G2785*H2785-G2785),8)</f>
        <v/>
      </c>
      <c r="J2785" s="49">
        <f>G2785+I2785</f>
        <v/>
      </c>
      <c r="K2785" s="256" t="n"/>
      <c r="L2785" s="256" t="n"/>
      <c r="M2785" s="256" t="n"/>
      <c r="N2785" s="256" t="n"/>
      <c r="O2785" s="256" t="n"/>
      <c r="P2785" s="256" t="n"/>
      <c r="Q2785" s="256" t="n"/>
    </row>
    <row r="2786">
      <c r="A2786">
        <f>IF(DAY(D2786)=DAY($L$1+1),A2785+1,A2785)</f>
        <v/>
      </c>
      <c r="B2786" s="46">
        <f>IF(DAY(D2786)=DAY($L$1+1),1,B2785+1)</f>
        <v/>
      </c>
      <c r="C2786" s="46">
        <f>IF(DAY(D2786)=DAY($L$1+1),1,C2785+1)</f>
        <v/>
      </c>
      <c r="D2786" s="2">
        <f>D2785+1</f>
        <v/>
      </c>
      <c r="E2786" s="8">
        <f>IF(DAY(D2786)=DAY($L$1+1),TRUNC((N2785),8),E2785)</f>
        <v/>
      </c>
      <c r="F2786" s="49">
        <f>TRUNC(((1+VLOOKUP(A2786,IPCA!$A$2:$C$140,3,0)))^(C2786/(EDATE(D2786-C2786,1)-(D2786-C2786))),8)</f>
        <v/>
      </c>
      <c r="G2786" s="44">
        <f>TRUNC((E2786*F2786),8)</f>
        <v/>
      </c>
      <c r="H2786" s="44">
        <f>ROUND(((1+$H$4)^(30/360))^(C2786/(EDATE(D2786-B2786,1)-(D2786-B2786))),9)</f>
        <v/>
      </c>
      <c r="I2786" s="44">
        <f>TRUNC((G2786*H2786-G2786),8)</f>
        <v/>
      </c>
      <c r="J2786" s="49">
        <f>G2786+I2786</f>
        <v/>
      </c>
      <c r="K2786" s="256" t="n"/>
      <c r="L2786" s="256" t="n"/>
      <c r="M2786" s="256" t="n"/>
      <c r="N2786" s="256" t="n"/>
      <c r="O2786" s="256" t="n"/>
      <c r="P2786" s="256" t="n"/>
      <c r="Q2786" s="256" t="n"/>
    </row>
    <row r="2787">
      <c r="A2787">
        <f>IF(DAY(D2787)=DAY($L$1+1),A2786+1,A2786)</f>
        <v/>
      </c>
      <c r="B2787" s="1">
        <f>IF(DAY(D2787)=DAY($L$1+1),1,B2786+1)</f>
        <v/>
      </c>
      <c r="C2787" s="1">
        <f>IF(DAY(D2787)=DAY($L$1+1),1,C2786+1)</f>
        <v/>
      </c>
      <c r="D2787" s="2">
        <f>D2786+1</f>
        <v/>
      </c>
      <c r="E2787" s="8">
        <f>IF(DAY(D2787)=DAY($L$1+1),TRUNC((N2786),8),E2786)</f>
        <v/>
      </c>
      <c r="F2787" s="49">
        <f>TRUNC(((1+VLOOKUP(A2787,IPCA!$A$2:$C$140,3,0)))^(C2787/(EDATE(D2787-C2787,1)-(D2787-C2787))),8)</f>
        <v/>
      </c>
      <c r="G2787" s="44">
        <f>TRUNC((E2787*F2787),8)</f>
        <v/>
      </c>
      <c r="H2787" s="44">
        <f>ROUND(((1+$H$4)^(30/360))^(C2787/(EDATE(D2787-B2787,1)-(D2787-B2787))),9)</f>
        <v/>
      </c>
      <c r="I2787" s="44">
        <f>TRUNC((G2787*H2787-G2787),8)</f>
        <v/>
      </c>
      <c r="J2787" s="49">
        <f>G2787+I2787</f>
        <v/>
      </c>
      <c r="K2787" s="256" t="n"/>
      <c r="L2787" s="256" t="n"/>
      <c r="M2787" s="256" t="n"/>
      <c r="N2787" s="256" t="n"/>
      <c r="O2787" s="256" t="n"/>
      <c r="P2787" s="256" t="n"/>
      <c r="Q2787" s="256" t="n"/>
    </row>
    <row r="2788">
      <c r="A2788">
        <f>IF(DAY(D2788)=DAY($L$1+1),A2787+1,A2787)</f>
        <v/>
      </c>
      <c r="B2788" s="46">
        <f>IF(DAY(D2788)=DAY($L$1+1),1,B2787+1)</f>
        <v/>
      </c>
      <c r="C2788" s="46">
        <f>IF(DAY(D2788)=DAY($L$1+1),1,C2787+1)</f>
        <v/>
      </c>
      <c r="D2788" s="2">
        <f>D2787+1</f>
        <v/>
      </c>
      <c r="E2788" s="8">
        <f>IF(DAY(D2788)=DAY($L$1+1),TRUNC((N2787),8),E2787)</f>
        <v/>
      </c>
      <c r="F2788" s="49">
        <f>TRUNC(((1+VLOOKUP(A2788,IPCA!$A$2:$C$140,3,0)))^(C2788/(EDATE(D2788-C2788,1)-(D2788-C2788))),8)</f>
        <v/>
      </c>
      <c r="G2788" s="44">
        <f>TRUNC((E2788*F2788),8)</f>
        <v/>
      </c>
      <c r="H2788" s="44">
        <f>ROUND(((1+$H$4)^(30/360))^(C2788/(EDATE(D2788-B2788,1)-(D2788-B2788))),9)</f>
        <v/>
      </c>
      <c r="I2788" s="44">
        <f>TRUNC((G2788*H2788-G2788),8)</f>
        <v/>
      </c>
      <c r="J2788" s="49">
        <f>G2788+I2788</f>
        <v/>
      </c>
      <c r="K2788" s="256" t="n"/>
      <c r="L2788" s="256" t="n"/>
      <c r="M2788" s="256" t="n"/>
      <c r="N2788" s="256" t="n"/>
      <c r="O2788" s="256" t="n"/>
      <c r="P2788" s="256" t="n"/>
      <c r="Q2788" s="256" t="n"/>
    </row>
    <row r="2789">
      <c r="A2789">
        <f>IF(DAY(D2789)=DAY($L$1+1),A2788+1,A2788)</f>
        <v/>
      </c>
      <c r="B2789" s="46">
        <f>IF(DAY(D2789)=DAY($L$1+1),1,B2788+1)</f>
        <v/>
      </c>
      <c r="C2789" s="46">
        <f>IF(DAY(D2789)=DAY($L$1+1),1,C2788+1)</f>
        <v/>
      </c>
      <c r="D2789" s="2">
        <f>D2788+1</f>
        <v/>
      </c>
      <c r="E2789" s="8">
        <f>IF(DAY(D2789)=DAY($L$1+1),TRUNC((N2788),8),E2788)</f>
        <v/>
      </c>
      <c r="F2789" s="49">
        <f>TRUNC(((1+VLOOKUP(A2789,IPCA!$A$2:$C$140,3,0)))^(C2789/(EDATE(D2789-C2789,1)-(D2789-C2789))),8)</f>
        <v/>
      </c>
      <c r="G2789" s="49">
        <f>TRUNC((E2789*F2789),8)</f>
        <v/>
      </c>
      <c r="H2789" s="49">
        <f>ROUND(((1+$H$4)^(30/360))^(C2789/(EDATE(D2789-B2789,1)-(D2789-B2789))),9)</f>
        <v/>
      </c>
      <c r="I2789" s="49">
        <f>TRUNC((G2789*H2789-G2789),8)</f>
        <v/>
      </c>
      <c r="J2789" s="49">
        <f>G2789+I2789</f>
        <v/>
      </c>
      <c r="K2789" s="256" t="inlineStr">
        <is>
          <t>Cri Integralizado</t>
        </is>
      </c>
      <c r="L2789" s="270">
        <f>L2758</f>
        <v/>
      </c>
      <c r="M2789" s="256" t="n"/>
      <c r="N2789" s="256" t="n"/>
      <c r="O2789" s="256" t="n"/>
      <c r="P2789" s="256" t="n"/>
      <c r="Q2789" s="256" t="n"/>
    </row>
    <row r="2790">
      <c r="A2790">
        <f>IF(DAY(D2790)=DAY($L$1+1),A2789+1,A2789)</f>
        <v/>
      </c>
      <c r="B2790" s="46">
        <f>IF(DAY(D2790)=DAY($L$1+1),1,B2789+1)</f>
        <v/>
      </c>
      <c r="C2790" s="46">
        <f>IF(DAY(D2790)=DAY($L$1+1),1,C2789+1)</f>
        <v/>
      </c>
      <c r="D2790" s="47">
        <f>D2789+1</f>
        <v/>
      </c>
      <c r="E2790" s="8">
        <f>IF(DAY(D2790)=DAY($L$1+1),TRUNC((N2789),8),E2789)</f>
        <v/>
      </c>
      <c r="F2790" s="49">
        <f>TRUNC(((1+VLOOKUP(A2790,IPCA!$A$2:$C$140,3,0)))^(C2790/(EDATE(D2790-C2790,1)-(D2790-C2790))),8)</f>
        <v/>
      </c>
      <c r="G2790" s="49">
        <f>TRUNC((E2790*F2790),8)</f>
        <v/>
      </c>
      <c r="H2790" s="49">
        <f>ROUND(((1+$H$4)^(30/360))^(C2790/(EDATE(D2790-B2790,1)-(D2790-B2790))),9)</f>
        <v/>
      </c>
      <c r="I2790" s="49">
        <f>TRUNC((G2790*H2790-G2790),8)</f>
        <v/>
      </c>
      <c r="J2790" s="49">
        <f>G2790+I2790</f>
        <v/>
      </c>
      <c r="K2790" s="137" t="inlineStr">
        <is>
          <t>JUROS</t>
        </is>
      </c>
      <c r="L2790" s="118" t="inlineStr">
        <is>
          <t>AMORTIZAÇÃO</t>
        </is>
      </c>
      <c r="M2790" s="118" t="inlineStr">
        <is>
          <t>AMEX</t>
        </is>
      </c>
      <c r="N2790" s="118" t="inlineStr">
        <is>
          <t>RESIDUAL</t>
        </is>
      </c>
      <c r="O2790" s="256" t="n"/>
      <c r="P2790" s="256" t="n"/>
      <c r="Q2790" s="256" t="n"/>
    </row>
    <row r="2791">
      <c r="A2791">
        <f>IF(DAY(D2791)=DAY($L$1+1),A2790+1,A2790)</f>
        <v/>
      </c>
      <c r="B2791" s="111">
        <f>IF(DAY(D2791)=DAY($L$1+1),1,B2790+1)</f>
        <v/>
      </c>
      <c r="C2791" s="111">
        <f>IF(DAY(D2791)=DAY($L$1+1),1,C2790+1)</f>
        <v/>
      </c>
      <c r="D2791" s="112">
        <f>D2790+1</f>
        <v/>
      </c>
      <c r="E2791" s="113">
        <f>IF(DAY(D2791)=DAY($L$1+1),TRUNC((N2790),8),E2790)</f>
        <v/>
      </c>
      <c r="F2791" s="114">
        <f>TRUNC(((1+VLOOKUP(A2791,IPCA!$A$2:$C$140,3,0)))^(C2791/(EDATE(D2791-C2791,1)-(D2791-C2791))),8)</f>
        <v/>
      </c>
      <c r="G2791" s="114">
        <f>TRUNC((E2791*F2791),8)</f>
        <v/>
      </c>
      <c r="H2791" s="114">
        <f>ROUND(((1+$H$4)^(30/360))^(C2791/(EDATE(D2791-B2791,1)-(D2791-B2791))),9)</f>
        <v/>
      </c>
      <c r="I2791" s="114">
        <f>TRUNC((G2791*H2791-G2791),8)</f>
        <v/>
      </c>
      <c r="J2791" s="114">
        <f>G2791+I2791</f>
        <v/>
      </c>
      <c r="K2791" s="119">
        <f>I2791</f>
        <v/>
      </c>
      <c r="L2791" s="120">
        <f>TRUNC(G2791*VLOOKUP(D2791,'Amort TS'!$G$3:$H$140,2,0),8)</f>
        <v/>
      </c>
      <c r="M2791" s="120" t="n">
        <v>0</v>
      </c>
      <c r="N2791" s="120">
        <f>J2791-K2791-L2791-M2791</f>
        <v/>
      </c>
      <c r="O2791" s="256" t="n"/>
      <c r="P2791" s="256" t="n"/>
      <c r="Q2791" s="256" t="n"/>
    </row>
    <row r="2792">
      <c r="A2792">
        <f>IF(DAY(D2792)=DAY($L$1+1),A2791+1,A2791)</f>
        <v/>
      </c>
      <c r="B2792" s="46">
        <f>IF(DAY(D2792)=DAY($L$1+1),1,B2791+1)</f>
        <v/>
      </c>
      <c r="C2792" s="46">
        <f>IF(DAY(D2792)=DAY($L$1+1),1,C2791+1)</f>
        <v/>
      </c>
      <c r="D2792" s="2">
        <f>D2791+1</f>
        <v/>
      </c>
      <c r="E2792" s="8">
        <f>IF(DAY(D2792)=DAY($L$1+1),TRUNC((N2791),8),E2791)</f>
        <v/>
      </c>
      <c r="F2792" s="49">
        <f>TRUNC(((1+VLOOKUP(A2792,IPCA!$A$2:$C$140,3,0)))^(C2792/(EDATE(D2792-C2792,1)-(D2792-C2792))),8)</f>
        <v/>
      </c>
      <c r="G2792" s="49">
        <f>TRUNC((E2792*F2792),8)</f>
        <v/>
      </c>
      <c r="H2792" s="49">
        <f>ROUND(((1+$H$4)^(30/360))^(C2792/(EDATE(D2792-B2792,1)-(D2792-B2792))),9)</f>
        <v/>
      </c>
      <c r="I2792" s="49">
        <f>TRUNC((G2792*H2792-G2792),8)</f>
        <v/>
      </c>
      <c r="J2792" s="49">
        <f>G2792+I2792</f>
        <v/>
      </c>
      <c r="K2792" s="121">
        <f>K2791*L2789</f>
        <v/>
      </c>
      <c r="L2792" s="121">
        <f>L2791*L2789</f>
        <v/>
      </c>
      <c r="M2792" s="121">
        <f>M2791*L2789</f>
        <v/>
      </c>
      <c r="N2792" s="121">
        <f>N2791*L2789</f>
        <v/>
      </c>
      <c r="O2792" s="256" t="n"/>
      <c r="P2792" s="256" t="n"/>
      <c r="Q2792" s="256" t="n"/>
    </row>
    <row r="2793">
      <c r="A2793">
        <f>IF(DAY(D2793)=DAY($L$1+1),A2792+1,A2792)</f>
        <v/>
      </c>
      <c r="B2793" s="46">
        <f>IF(DAY(D2793)=DAY($L$1+1),1,B2792+1)</f>
        <v/>
      </c>
      <c r="C2793" s="46">
        <f>IF(DAY(D2793)=DAY($L$1+1),1,C2792+1)</f>
        <v/>
      </c>
      <c r="D2793" s="47">
        <f>D2792+1</f>
        <v/>
      </c>
      <c r="E2793" s="8">
        <f>IF(DAY(D2793)=DAY($L$1+1),TRUNC((N2792),8),E2792)</f>
        <v/>
      </c>
      <c r="F2793" s="49">
        <f>TRUNC(((1+VLOOKUP(A2793,IPCA!$A$2:$C$140,3,0)))^(C2793/(EDATE(D2793-C2793,1)-(D2793-C2793))),8)</f>
        <v/>
      </c>
      <c r="G2793" s="49">
        <f>TRUNC((E2793*F2793),8)</f>
        <v/>
      </c>
      <c r="H2793" s="49">
        <f>ROUND(((1+$H$4)^(30/360))^(C2793/(EDATE(D2793-B2793,1)-(D2793-B2793))),9)</f>
        <v/>
      </c>
      <c r="I2793" s="49">
        <f>TRUNC((G2793*H2793-G2793),8)</f>
        <v/>
      </c>
      <c r="J2793" s="49">
        <f>G2793+I2793</f>
        <v/>
      </c>
      <c r="K2793" s="256" t="n"/>
      <c r="L2793" s="256" t="n"/>
      <c r="M2793" s="256" t="n"/>
      <c r="N2793" s="256" t="n"/>
      <c r="O2793" s="256" t="n"/>
      <c r="P2793" s="256" t="n"/>
      <c r="Q2793" s="256" t="n"/>
    </row>
    <row r="2794">
      <c r="A2794">
        <f>IF(DAY(D2794)=DAY($L$1+1),A2793+1,A2793)</f>
        <v/>
      </c>
      <c r="B2794" s="46">
        <f>IF(DAY(D2794)=DAY($L$1+1),1,B2793+1)</f>
        <v/>
      </c>
      <c r="C2794" s="46">
        <f>IF(DAY(D2794)=DAY($L$1+1),1,C2793+1)</f>
        <v/>
      </c>
      <c r="D2794" s="2">
        <f>D2793+1</f>
        <v/>
      </c>
      <c r="E2794" s="8">
        <f>IF(DAY(D2794)=DAY($L$1+1),TRUNC((#REF!),8),E2793)</f>
        <v/>
      </c>
      <c r="F2794" s="49">
        <f>TRUNC(((1+VLOOKUP(A2794,IPCA!$A$2:$C$140,3,0)))^(C2794/(EDATE(D2794-C2794,1)-(D2794-C2794))),8)</f>
        <v/>
      </c>
      <c r="G2794" s="44">
        <f>TRUNC((E2794*F2794),8)</f>
        <v/>
      </c>
      <c r="H2794" s="44">
        <f>ROUND(((1+$H$4)^(30/360))^(C2794/(EDATE(D2794-B2794,1)-(D2794-B2794))),9)</f>
        <v/>
      </c>
      <c r="I2794" s="44">
        <f>TRUNC((G2794*H2794-G2794),8)</f>
        <v/>
      </c>
      <c r="J2794" s="49">
        <f>G2794+I2794</f>
        <v/>
      </c>
      <c r="K2794" s="256" t="n"/>
      <c r="L2794" s="256" t="n"/>
      <c r="M2794" s="256" t="n"/>
      <c r="N2794" s="256" t="n"/>
      <c r="O2794" s="256" t="n"/>
      <c r="P2794" s="256" t="n"/>
      <c r="Q2794" s="256" t="n"/>
    </row>
    <row r="2795">
      <c r="A2795">
        <f>IF(DAY(D2795)=DAY($L$1+1),A2794+1,A2794)</f>
        <v/>
      </c>
      <c r="B2795" s="1">
        <f>IF(DAY(D2795)=DAY($L$1+1),1,B2794+1)</f>
        <v/>
      </c>
      <c r="C2795" s="1">
        <f>IF(DAY(D2795)=DAY($L$1+1),1,C2794+1)</f>
        <v/>
      </c>
      <c r="D2795" s="2">
        <f>D2794+1</f>
        <v/>
      </c>
      <c r="E2795" s="8">
        <f>IF(DAY(D2795)=DAY($L$1+1),TRUNC((#REF!),8),E2794)</f>
        <v/>
      </c>
      <c r="F2795" s="49">
        <f>TRUNC(((1+VLOOKUP(A2795,IPCA!$A$2:$C$140,3,0)))^(C2795/(EDATE(D2795-C2795,1)-(D2795-C2795))),8)</f>
        <v/>
      </c>
      <c r="G2795" s="44">
        <f>TRUNC((E2795*F2795),8)</f>
        <v/>
      </c>
      <c r="H2795" s="44">
        <f>ROUND(((1+$H$4)^(30/360))^(C2795/(EDATE(D2795-B2795,1)-(D2795-B2795))),9)</f>
        <v/>
      </c>
      <c r="I2795" s="44">
        <f>TRUNC((G2795*H2795-G2795),8)</f>
        <v/>
      </c>
      <c r="J2795" s="49">
        <f>G2795+I2795</f>
        <v/>
      </c>
      <c r="K2795" s="256" t="n"/>
      <c r="L2795" s="256" t="n"/>
      <c r="M2795" s="256" t="n"/>
      <c r="N2795" s="256" t="n"/>
      <c r="O2795" s="256" t="n"/>
      <c r="P2795" s="256" t="n"/>
      <c r="Q2795" s="256" t="n"/>
    </row>
    <row r="2796">
      <c r="A2796">
        <f>IF(DAY(D2796)=DAY($L$1+1),A2795+1,A2795)</f>
        <v/>
      </c>
      <c r="B2796" s="46">
        <f>IF(DAY(D2796)=DAY($L$1+1),1,B2795+1)</f>
        <v/>
      </c>
      <c r="C2796" s="46">
        <f>IF(DAY(D2796)=DAY($L$1+1),1,C2795+1)</f>
        <v/>
      </c>
      <c r="D2796" s="2">
        <f>D2795+1</f>
        <v/>
      </c>
      <c r="E2796" s="8">
        <f>IF(DAY(D2796)=DAY($L$1+1),TRUNC((#REF!),8),E2795)</f>
        <v/>
      </c>
      <c r="F2796" s="49">
        <f>TRUNC(((1+VLOOKUP(A2796,IPCA!$A$2:$C$140,3,0)))^(C2796/(EDATE(D2796-C2796,1)-(D2796-C2796))),8)</f>
        <v/>
      </c>
      <c r="G2796" s="44">
        <f>TRUNC((E2796*F2796),8)</f>
        <v/>
      </c>
      <c r="H2796" s="44">
        <f>ROUND(((1+$H$4)^(30/360))^(C2796/(EDATE(D2796-B2796,1)-(D2796-B2796))),9)</f>
        <v/>
      </c>
      <c r="I2796" s="44">
        <f>TRUNC((G2796*H2796-G2796),8)</f>
        <v/>
      </c>
      <c r="J2796" s="49">
        <f>G2796+I2796</f>
        <v/>
      </c>
      <c r="K2796" s="256" t="n"/>
      <c r="L2796" s="256" t="n"/>
      <c r="M2796" s="256" t="n"/>
      <c r="N2796" s="256" t="n"/>
      <c r="O2796" s="256" t="n"/>
      <c r="P2796" s="256" t="n"/>
      <c r="Q2796" s="256" t="n"/>
    </row>
    <row r="2797">
      <c r="A2797">
        <f>IF(DAY(D2797)=DAY($L$1+1),A2796+1,A2796)</f>
        <v/>
      </c>
      <c r="B2797" s="1">
        <f>IF(DAY(D2797)=DAY($L$1+1),1,B2796+1)</f>
        <v/>
      </c>
      <c r="C2797" s="1">
        <f>IF(DAY(D2797)=DAY($L$1+1),1,C2796+1)</f>
        <v/>
      </c>
      <c r="D2797" s="2">
        <f>D2796+1</f>
        <v/>
      </c>
      <c r="E2797" s="8">
        <f>IF(DAY(D2797)=DAY($L$1+1),TRUNC((#REF!),8),E2796)</f>
        <v/>
      </c>
      <c r="F2797" s="49">
        <f>TRUNC(((1+VLOOKUP(A2797,IPCA!$A$2:$C$140,3,0)))^(C2797/(EDATE(D2797-C2797,1)-(D2797-C2797))),8)</f>
        <v/>
      </c>
      <c r="G2797" s="44">
        <f>TRUNC((E2797*F2797),8)</f>
        <v/>
      </c>
      <c r="H2797" s="44">
        <f>ROUND(((1+$H$4)^(30/360))^(C2797/(EDATE(D2797-B2797,1)-(D2797-B2797))),9)</f>
        <v/>
      </c>
      <c r="I2797" s="44">
        <f>TRUNC((G2797*H2797-G2797),8)</f>
        <v/>
      </c>
      <c r="J2797" s="49">
        <f>G2797+I2797</f>
        <v/>
      </c>
      <c r="K2797" s="256" t="n"/>
      <c r="L2797" s="256" t="n"/>
      <c r="M2797" s="256" t="n"/>
      <c r="N2797" s="256" t="n"/>
      <c r="O2797" s="256" t="n"/>
      <c r="P2797" s="256" t="n"/>
      <c r="Q2797" s="256" t="n"/>
    </row>
    <row r="2798">
      <c r="A2798">
        <f>IF(DAY(D2798)=DAY($L$1+1),A2797+1,A2797)</f>
        <v/>
      </c>
      <c r="B2798" s="46">
        <f>IF(DAY(D2798)=DAY($L$1+1),1,B2797+1)</f>
        <v/>
      </c>
      <c r="C2798" s="46">
        <f>IF(DAY(D2798)=DAY($L$1+1),1,C2797+1)</f>
        <v/>
      </c>
      <c r="D2798" s="2">
        <f>D2797+1</f>
        <v/>
      </c>
      <c r="E2798" s="8">
        <f>IF(DAY(D2798)=DAY($L$1+1),TRUNC((#REF!),8),E2797)</f>
        <v/>
      </c>
      <c r="F2798" s="49">
        <f>TRUNC(((1+VLOOKUP(A2798,IPCA!$A$2:$C$140,3,0)))^(C2798/(EDATE(D2798-C2798,1)-(D2798-C2798))),8)</f>
        <v/>
      </c>
      <c r="G2798" s="44">
        <f>TRUNC((E2798*F2798),8)</f>
        <v/>
      </c>
      <c r="H2798" s="44">
        <f>ROUND(((1+$H$4)^(30/360))^(C2798/(EDATE(D2798-B2798,1)-(D2798-B2798))),9)</f>
        <v/>
      </c>
      <c r="I2798" s="44">
        <f>TRUNC((G2798*H2798-G2798),8)</f>
        <v/>
      </c>
      <c r="J2798" s="49">
        <f>G2798+I2798</f>
        <v/>
      </c>
      <c r="K2798" s="256" t="n"/>
      <c r="L2798" s="256" t="n"/>
      <c r="M2798" s="256" t="n"/>
      <c r="N2798" s="256" t="n"/>
      <c r="O2798" s="256" t="n"/>
      <c r="P2798" s="256" t="n"/>
      <c r="Q2798" s="256" t="n"/>
    </row>
    <row r="2799">
      <c r="A2799">
        <f>IF(DAY(D2799)=DAY($L$1+1),A2798+1,A2798)</f>
        <v/>
      </c>
      <c r="B2799" s="1">
        <f>IF(DAY(D2799)=DAY($L$1+1),1,B2798+1)</f>
        <v/>
      </c>
      <c r="C2799" s="1">
        <f>IF(DAY(D2799)=DAY($L$1+1),1,C2798+1)</f>
        <v/>
      </c>
      <c r="D2799" s="2">
        <f>D2798+1</f>
        <v/>
      </c>
      <c r="E2799" s="8">
        <f>IF(DAY(D2799)=DAY($L$1+1),TRUNC((#REF!),8),E2798)</f>
        <v/>
      </c>
      <c r="F2799" s="49">
        <f>TRUNC(((1+VLOOKUP(A2799,IPCA!$A$2:$C$140,3,0)))^(C2799/(EDATE(D2799-C2799,1)-(D2799-C2799))),8)</f>
        <v/>
      </c>
      <c r="G2799" s="44">
        <f>TRUNC((E2799*F2799),8)</f>
        <v/>
      </c>
      <c r="H2799" s="44">
        <f>ROUND(((1+$H$4)^(30/360))^(C2799/(EDATE(D2799-B2799,1)-(D2799-B2799))),9)</f>
        <v/>
      </c>
      <c r="I2799" s="44">
        <f>TRUNC((G2799*H2799-G2799),8)</f>
        <v/>
      </c>
      <c r="J2799" s="49">
        <f>G2799+I2799</f>
        <v/>
      </c>
      <c r="K2799" s="256" t="n"/>
      <c r="L2799" s="256" t="n"/>
      <c r="M2799" s="256" t="n"/>
      <c r="N2799" s="256" t="n"/>
      <c r="O2799" s="256" t="n"/>
      <c r="P2799" s="256" t="n"/>
      <c r="Q2799" s="256" t="n"/>
    </row>
    <row r="2800">
      <c r="A2800">
        <f>IF(DAY(D2800)=DAY($L$1+1),A2799+1,A2799)</f>
        <v/>
      </c>
      <c r="B2800" s="46">
        <f>IF(DAY(D2800)=DAY($L$1+1),1,B2799+1)</f>
        <v/>
      </c>
      <c r="C2800" s="46">
        <f>IF(DAY(D2800)=DAY($L$1+1),1,C2799+1)</f>
        <v/>
      </c>
      <c r="D2800" s="2">
        <f>D2799+1</f>
        <v/>
      </c>
      <c r="E2800" s="8">
        <f>IF(DAY(D2800)=DAY($L$1+1),TRUNC((#REF!),8),E2799)</f>
        <v/>
      </c>
      <c r="F2800" s="49">
        <f>TRUNC(((1+VLOOKUP(A2800,IPCA!$A$2:$C$140,3,0)))^(C2800/(EDATE(D2800-C2800,1)-(D2800-C2800))),8)</f>
        <v/>
      </c>
      <c r="G2800" s="44">
        <f>TRUNC((E2800*F2800),8)</f>
        <v/>
      </c>
      <c r="H2800" s="44">
        <f>ROUND(((1+$H$4)^(30/360))^(C2800/(EDATE(D2800-B2800,1)-(D2800-B2800))),9)</f>
        <v/>
      </c>
      <c r="I2800" s="44">
        <f>TRUNC((G2800*H2800-G2800),8)</f>
        <v/>
      </c>
      <c r="J2800" s="49">
        <f>G2800+I2800</f>
        <v/>
      </c>
      <c r="K2800" s="256" t="n"/>
      <c r="L2800" s="256" t="n"/>
      <c r="M2800" s="256" t="n"/>
      <c r="N2800" s="256" t="n"/>
      <c r="O2800" s="256" t="n"/>
      <c r="P2800" s="256" t="n"/>
      <c r="Q2800" s="256" t="n"/>
    </row>
    <row r="2801">
      <c r="A2801">
        <f>IF(DAY(D2801)=DAY($L$1+1),A2800+1,A2800)</f>
        <v/>
      </c>
      <c r="B2801" s="1">
        <f>IF(DAY(D2801)=DAY($L$1+1),1,B2800+1)</f>
        <v/>
      </c>
      <c r="C2801" s="1">
        <f>IF(DAY(D2801)=DAY($L$1+1),1,C2800+1)</f>
        <v/>
      </c>
      <c r="D2801" s="2">
        <f>D2800+1</f>
        <v/>
      </c>
      <c r="E2801" s="8">
        <f>IF(DAY(D2801)=DAY($L$1+1),TRUNC((#REF!),8),E2800)</f>
        <v/>
      </c>
      <c r="F2801" s="49">
        <f>TRUNC(((1+VLOOKUP(A2801,IPCA!$A$2:$C$140,3,0)))^(C2801/(EDATE(D2801-C2801,1)-(D2801-C2801))),8)</f>
        <v/>
      </c>
      <c r="G2801" s="44">
        <f>TRUNC((E2801*F2801),8)</f>
        <v/>
      </c>
      <c r="H2801" s="44">
        <f>ROUND(((1+$H$4)^(30/360))^(C2801/(EDATE(D2801-B2801,1)-(D2801-B2801))),9)</f>
        <v/>
      </c>
      <c r="I2801" s="44">
        <f>TRUNC((G2801*H2801-G2801),8)</f>
        <v/>
      </c>
      <c r="J2801" s="49">
        <f>G2801+I2801</f>
        <v/>
      </c>
      <c r="K2801" s="256" t="n"/>
      <c r="L2801" s="256" t="n"/>
      <c r="M2801" s="256" t="n"/>
      <c r="N2801" s="256" t="n"/>
      <c r="O2801" s="256" t="n"/>
      <c r="P2801" s="256" t="n"/>
      <c r="Q2801" s="256" t="n"/>
    </row>
    <row r="2802">
      <c r="A2802">
        <f>IF(DAY(D2802)=DAY($L$1+1),A2801+1,A2801)</f>
        <v/>
      </c>
      <c r="B2802" s="46">
        <f>IF(DAY(D2802)=DAY($L$1+1),1,B2801+1)</f>
        <v/>
      </c>
      <c r="C2802" s="46">
        <f>IF(DAY(D2802)=DAY($L$1+1),1,C2801+1)</f>
        <v/>
      </c>
      <c r="D2802" s="2">
        <f>D2801+1</f>
        <v/>
      </c>
      <c r="E2802" s="8">
        <f>IF(DAY(D2802)=DAY($L$1+1),TRUNC((#REF!),8),E2801)</f>
        <v/>
      </c>
      <c r="F2802" s="49">
        <f>TRUNC(((1+VLOOKUP(A2802,IPCA!$A$2:$C$140,3,0)))^(C2802/(EDATE(D2802-C2802,1)-(D2802-C2802))),8)</f>
        <v/>
      </c>
      <c r="G2802" s="44">
        <f>TRUNC((E2802*F2802),8)</f>
        <v/>
      </c>
      <c r="H2802" s="44">
        <f>ROUND(((1+$H$4)^(30/360))^(C2802/(EDATE(D2802-B2802,1)-(D2802-B2802))),9)</f>
        <v/>
      </c>
      <c r="I2802" s="44">
        <f>TRUNC((G2802*H2802-G2802),8)</f>
        <v/>
      </c>
      <c r="J2802" s="49">
        <f>G2802+I2802</f>
        <v/>
      </c>
      <c r="K2802" s="256" t="n"/>
      <c r="L2802" s="256" t="n"/>
      <c r="M2802" s="256" t="n"/>
      <c r="N2802" s="256" t="n"/>
      <c r="O2802" s="256" t="n"/>
      <c r="P2802" s="256" t="n"/>
      <c r="Q2802" s="256" t="n"/>
    </row>
    <row r="2803">
      <c r="A2803">
        <f>IF(DAY(D2803)=DAY($L$1+1),A2802+1,A2802)</f>
        <v/>
      </c>
      <c r="B2803" s="1">
        <f>IF(DAY(D2803)=DAY($L$1+1),1,B2802+1)</f>
        <v/>
      </c>
      <c r="C2803" s="1">
        <f>IF(DAY(D2803)=DAY($L$1+1),1,C2802+1)</f>
        <v/>
      </c>
      <c r="D2803" s="2">
        <f>D2802+1</f>
        <v/>
      </c>
      <c r="E2803" s="8">
        <f>IF(DAY(D2803)=DAY($L$1+1),TRUNC((#REF!),8),E2802)</f>
        <v/>
      </c>
      <c r="F2803" s="49">
        <f>TRUNC(((1+VLOOKUP(A2803,IPCA!$A$2:$C$140,3,0)))^(C2803/(EDATE(D2803-C2803,1)-(D2803-C2803))),8)</f>
        <v/>
      </c>
      <c r="G2803" s="44">
        <f>TRUNC((E2803*F2803),8)</f>
        <v/>
      </c>
      <c r="H2803" s="44">
        <f>ROUND(((1+$H$4)^(30/360))^(C2803/(EDATE(D2803-B2803,1)-(D2803-B2803))),9)</f>
        <v/>
      </c>
      <c r="I2803" s="44">
        <f>TRUNC((G2803*H2803-G2803),8)</f>
        <v/>
      </c>
      <c r="J2803" s="49">
        <f>G2803+I2803</f>
        <v/>
      </c>
      <c r="K2803" s="256" t="n"/>
      <c r="L2803" s="256" t="n"/>
      <c r="M2803" s="256" t="n"/>
      <c r="N2803" s="256" t="n"/>
      <c r="O2803" s="256" t="n"/>
      <c r="P2803" s="256" t="n"/>
      <c r="Q2803" s="256" t="n"/>
    </row>
    <row r="2804">
      <c r="A2804">
        <f>IF(DAY(D2804)=DAY($L$1+1),A2803+1,A2803)</f>
        <v/>
      </c>
      <c r="B2804" s="46">
        <f>IF(DAY(D2804)=DAY($L$1+1),1,B2803+1)</f>
        <v/>
      </c>
      <c r="C2804" s="46">
        <f>IF(DAY(D2804)=DAY($L$1+1),1,C2803+1)</f>
        <v/>
      </c>
      <c r="D2804" s="2">
        <f>D2803+1</f>
        <v/>
      </c>
      <c r="E2804" s="8">
        <f>IF(DAY(D2804)=DAY($L$1+1),TRUNC((#REF!),8),E2803)</f>
        <v/>
      </c>
      <c r="F2804" s="49">
        <f>TRUNC(((1+VLOOKUP(A2804,IPCA!$A$2:$C$140,3,0)))^(C2804/(EDATE(D2804-C2804,1)-(D2804-C2804))),8)</f>
        <v/>
      </c>
      <c r="G2804" s="44">
        <f>TRUNC((E2804*F2804),8)</f>
        <v/>
      </c>
      <c r="H2804" s="44">
        <f>ROUND(((1+$H$4)^(30/360))^(C2804/(EDATE(D2804-B2804,1)-(D2804-B2804))),9)</f>
        <v/>
      </c>
      <c r="I2804" s="44">
        <f>TRUNC((G2804*H2804-G2804),8)</f>
        <v/>
      </c>
      <c r="J2804" s="49">
        <f>G2804+I2804</f>
        <v/>
      </c>
      <c r="K2804" s="256" t="n"/>
      <c r="L2804" s="256" t="n"/>
      <c r="M2804" s="256" t="n"/>
      <c r="N2804" s="256" t="n"/>
      <c r="O2804" s="256" t="n"/>
      <c r="P2804" s="256" t="n"/>
      <c r="Q2804" s="256" t="n"/>
    </row>
    <row r="2805">
      <c r="A2805">
        <f>IF(DAY(D2805)=DAY($L$1+1),A2804+1,A2804)</f>
        <v/>
      </c>
      <c r="B2805" s="1">
        <f>IF(DAY(D2805)=DAY($L$1+1),1,B2804+1)</f>
        <v/>
      </c>
      <c r="C2805" s="1">
        <f>IF(DAY(D2805)=DAY($L$1+1),1,C2804+1)</f>
        <v/>
      </c>
      <c r="D2805" s="2">
        <f>D2804+1</f>
        <v/>
      </c>
      <c r="E2805" s="8">
        <f>IF(DAY(D2805)=DAY($L$1+1),TRUNC((#REF!),8),E2804)</f>
        <v/>
      </c>
      <c r="F2805" s="49">
        <f>TRUNC(((1+VLOOKUP(A2805,IPCA!$A$2:$C$140,3,0)))^(C2805/(EDATE(D2805-C2805,1)-(D2805-C2805))),8)</f>
        <v/>
      </c>
      <c r="G2805" s="44">
        <f>TRUNC((E2805*F2805),8)</f>
        <v/>
      </c>
      <c r="H2805" s="44">
        <f>ROUND(((1+$H$4)^(30/360))^(C2805/(EDATE(D2805-B2805,1)-(D2805-B2805))),9)</f>
        <v/>
      </c>
      <c r="I2805" s="44">
        <f>TRUNC((G2805*H2805-G2805),8)</f>
        <v/>
      </c>
      <c r="J2805" s="49">
        <f>G2805+I2805</f>
        <v/>
      </c>
      <c r="K2805" s="256" t="n"/>
      <c r="L2805" s="256" t="n"/>
      <c r="M2805" s="256" t="n"/>
      <c r="N2805" s="256" t="n"/>
      <c r="O2805" s="256" t="n"/>
      <c r="P2805" s="256" t="n"/>
      <c r="Q2805" s="256" t="n"/>
    </row>
    <row r="2806">
      <c r="A2806">
        <f>IF(DAY(D2806)=DAY($L$1+1),A2805+1,A2805)</f>
        <v/>
      </c>
      <c r="B2806" s="46">
        <f>IF(DAY(D2806)=DAY($L$1+1),1,B2805+1)</f>
        <v/>
      </c>
      <c r="C2806" s="46">
        <f>IF(DAY(D2806)=DAY($L$1+1),1,C2805+1)</f>
        <v/>
      </c>
      <c r="D2806" s="2">
        <f>D2805+1</f>
        <v/>
      </c>
      <c r="E2806" s="8">
        <f>IF(DAY(D2806)=DAY($L$1+1),TRUNC((#REF!),8),E2805)</f>
        <v/>
      </c>
      <c r="F2806" s="49">
        <f>TRUNC(((1+VLOOKUP(A2806,IPCA!$A$2:$C$140,3,0)))^(C2806/(EDATE(D2806-C2806,1)-(D2806-C2806))),8)</f>
        <v/>
      </c>
      <c r="G2806" s="44">
        <f>TRUNC((E2806*F2806),8)</f>
        <v/>
      </c>
      <c r="H2806" s="44">
        <f>ROUND(((1+$H$4)^(30/360))^(C2806/(EDATE(D2806-B2806,1)-(D2806-B2806))),9)</f>
        <v/>
      </c>
      <c r="I2806" s="44">
        <f>TRUNC((G2806*H2806-G2806),8)</f>
        <v/>
      </c>
      <c r="J2806" s="49">
        <f>G2806+I2806</f>
        <v/>
      </c>
      <c r="K2806" s="256" t="n"/>
      <c r="L2806" s="256" t="n"/>
      <c r="M2806" s="256" t="n"/>
      <c r="N2806" s="256" t="n"/>
      <c r="O2806" s="256" t="n"/>
      <c r="P2806" s="256" t="n"/>
      <c r="Q2806" s="256" t="n"/>
    </row>
    <row r="2807">
      <c r="A2807">
        <f>IF(DAY(D2807)=DAY($L$1+1),A2806+1,A2806)</f>
        <v/>
      </c>
      <c r="B2807" s="1">
        <f>IF(DAY(D2807)=DAY($L$1+1),1,B2806+1)</f>
        <v/>
      </c>
      <c r="C2807" s="1">
        <f>IF(DAY(D2807)=DAY($L$1+1),1,C2806+1)</f>
        <v/>
      </c>
      <c r="D2807" s="2">
        <f>D2806+1</f>
        <v/>
      </c>
      <c r="E2807" s="8">
        <f>IF(DAY(D2807)=DAY($L$1+1),TRUNC((#REF!),8),E2806)</f>
        <v/>
      </c>
      <c r="F2807" s="49">
        <f>TRUNC(((1+VLOOKUP(A2807,IPCA!$A$2:$C$140,3,0)))^(C2807/(EDATE(D2807-C2807,1)-(D2807-C2807))),8)</f>
        <v/>
      </c>
      <c r="G2807" s="44">
        <f>TRUNC((E2807*F2807),8)</f>
        <v/>
      </c>
      <c r="H2807" s="44">
        <f>ROUND(((1+$H$4)^(30/360))^(C2807/(EDATE(D2807-B2807,1)-(D2807-B2807))),9)</f>
        <v/>
      </c>
      <c r="I2807" s="44">
        <f>TRUNC((G2807*H2807-G2807),8)</f>
        <v/>
      </c>
      <c r="J2807" s="49">
        <f>G2807+I2807</f>
        <v/>
      </c>
      <c r="K2807" s="256" t="n"/>
      <c r="L2807" s="256" t="n"/>
      <c r="M2807" s="256" t="n"/>
      <c r="N2807" s="256" t="n"/>
      <c r="O2807" s="256" t="n"/>
      <c r="P2807" s="256" t="n"/>
      <c r="Q2807" s="256" t="n"/>
    </row>
    <row r="2808">
      <c r="A2808">
        <f>IF(DAY(D2808)=DAY($L$1+1),A2807+1,A2807)</f>
        <v/>
      </c>
      <c r="B2808" s="46">
        <f>IF(DAY(D2808)=DAY($L$1+1),1,B2807+1)</f>
        <v/>
      </c>
      <c r="C2808" s="46">
        <f>IF(DAY(D2808)=DAY($L$1+1),1,C2807+1)</f>
        <v/>
      </c>
      <c r="D2808" s="2">
        <f>D2807+1</f>
        <v/>
      </c>
      <c r="E2808" s="8">
        <f>IF(DAY(D2808)=DAY($L$1+1),TRUNC((#REF!),8),E2807)</f>
        <v/>
      </c>
      <c r="F2808" s="49">
        <f>TRUNC(((1+VLOOKUP(A2808,IPCA!$A$2:$C$140,3,0)))^(C2808/(EDATE(D2808-C2808,1)-(D2808-C2808))),8)</f>
        <v/>
      </c>
      <c r="G2808" s="44">
        <f>TRUNC((E2808*F2808),8)</f>
        <v/>
      </c>
      <c r="H2808" s="44">
        <f>ROUND(((1+$H$4)^(30/360))^(C2808/(EDATE(D2808-B2808,1)-(D2808-B2808))),9)</f>
        <v/>
      </c>
      <c r="I2808" s="44">
        <f>TRUNC((G2808*H2808-G2808),8)</f>
        <v/>
      </c>
      <c r="J2808" s="49">
        <f>G2808+I2808</f>
        <v/>
      </c>
      <c r="K2808" s="256" t="n"/>
      <c r="L2808" s="256" t="n"/>
      <c r="M2808" s="256" t="n"/>
      <c r="N2808" s="256" t="n"/>
      <c r="O2808" s="256" t="n"/>
      <c r="P2808" s="256" t="n"/>
      <c r="Q2808" s="256" t="n"/>
    </row>
    <row r="2809">
      <c r="A2809">
        <f>IF(DAY(D2809)=DAY($L$1+1),A2808+1,A2808)</f>
        <v/>
      </c>
      <c r="B2809" s="1">
        <f>IF(DAY(D2809)=DAY($L$1+1),1,B2808+1)</f>
        <v/>
      </c>
      <c r="C2809" s="1">
        <f>IF(DAY(D2809)=DAY($L$1+1),1,C2808+1)</f>
        <v/>
      </c>
      <c r="D2809" s="2">
        <f>D2808+1</f>
        <v/>
      </c>
      <c r="E2809" s="8">
        <f>IF(DAY(D2809)=DAY($L$1+1),TRUNC((#REF!),8),E2808)</f>
        <v/>
      </c>
      <c r="F2809" s="49">
        <f>TRUNC(((1+VLOOKUP(A2809,IPCA!$A$2:$C$140,3,0)))^(C2809/(EDATE(D2809-C2809,1)-(D2809-C2809))),8)</f>
        <v/>
      </c>
      <c r="G2809" s="44">
        <f>TRUNC((E2809*F2809),8)</f>
        <v/>
      </c>
      <c r="H2809" s="44">
        <f>ROUND(((1+$H$4)^(30/360))^(C2809/(EDATE(D2809-B2809,1)-(D2809-B2809))),9)</f>
        <v/>
      </c>
      <c r="I2809" s="44">
        <f>TRUNC((G2809*H2809-G2809),8)</f>
        <v/>
      </c>
      <c r="J2809" s="49">
        <f>G2809+I2809</f>
        <v/>
      </c>
      <c r="K2809" s="256" t="n"/>
      <c r="L2809" s="256" t="n"/>
      <c r="M2809" s="256" t="n"/>
      <c r="N2809" s="256" t="n"/>
      <c r="O2809" s="256" t="n"/>
      <c r="P2809" s="256" t="n"/>
      <c r="Q2809" s="256" t="n"/>
    </row>
    <row r="2810">
      <c r="A2810">
        <f>IF(DAY(D2810)=DAY($L$1+1),A2809+1,A2809)</f>
        <v/>
      </c>
      <c r="B2810" s="46">
        <f>IF(DAY(D2810)=DAY($L$1+1),1,B2809+1)</f>
        <v/>
      </c>
      <c r="C2810" s="46">
        <f>IF(DAY(D2810)=DAY($L$1+1),1,C2809+1)</f>
        <v/>
      </c>
      <c r="D2810" s="2">
        <f>D2809+1</f>
        <v/>
      </c>
      <c r="E2810" s="8">
        <f>IF(DAY(D2810)=DAY($L$1+1),TRUNC((#REF!),8),E2809)</f>
        <v/>
      </c>
      <c r="F2810" s="49">
        <f>TRUNC(((1+VLOOKUP(A2810,IPCA!$A$2:$C$140,3,0)))^(C2810/(EDATE(D2810-C2810,1)-(D2810-C2810))),8)</f>
        <v/>
      </c>
      <c r="G2810" s="44">
        <f>TRUNC((E2810*F2810),8)</f>
        <v/>
      </c>
      <c r="H2810" s="44">
        <f>ROUND(((1+$H$4)^(30/360))^(C2810/(EDATE(D2810-B2810,1)-(D2810-B2810))),9)</f>
        <v/>
      </c>
      <c r="I2810" s="44">
        <f>TRUNC((G2810*H2810-G2810),8)</f>
        <v/>
      </c>
      <c r="J2810" s="49">
        <f>G2810+I2810</f>
        <v/>
      </c>
      <c r="K2810" s="256" t="n"/>
      <c r="L2810" s="256" t="n"/>
      <c r="M2810" s="256" t="n"/>
      <c r="N2810" s="256" t="n"/>
      <c r="O2810" s="256" t="n"/>
      <c r="P2810" s="256" t="n"/>
      <c r="Q2810" s="256" t="n"/>
    </row>
    <row r="2811">
      <c r="A2811">
        <f>IF(DAY(D2811)=DAY($L$1+1),A2810+1,A2810)</f>
        <v/>
      </c>
      <c r="B2811" s="1">
        <f>IF(DAY(D2811)=DAY($L$1+1),1,B2810+1)</f>
        <v/>
      </c>
      <c r="C2811" s="1">
        <f>IF(DAY(D2811)=DAY($L$1+1),1,C2810+1)</f>
        <v/>
      </c>
      <c r="D2811" s="2">
        <f>D2810+1</f>
        <v/>
      </c>
      <c r="E2811" s="8">
        <f>IF(DAY(D2811)=DAY($L$1+1),TRUNC((N2810),8),E2810)</f>
        <v/>
      </c>
      <c r="F2811" s="49">
        <f>TRUNC(((1+VLOOKUP(A2811,IPCA!$A$2:$C$140,3,0)))^(C2811/(EDATE(D2811-C2811,1)-(D2811-C2811))),8)</f>
        <v/>
      </c>
      <c r="G2811" s="44">
        <f>TRUNC((E2811*F2811),8)</f>
        <v/>
      </c>
      <c r="H2811" s="44">
        <f>ROUND(((1+$H$4)^(30/360))^(C2811/(EDATE(D2811-B2811,1)-(D2811-B2811))),9)</f>
        <v/>
      </c>
      <c r="I2811" s="44">
        <f>TRUNC((G2811*H2811-G2811),8)</f>
        <v/>
      </c>
      <c r="J2811" s="49">
        <f>G2811+I2811</f>
        <v/>
      </c>
      <c r="K2811" s="256" t="n"/>
      <c r="L2811" s="256" t="n"/>
      <c r="M2811" s="256" t="n"/>
      <c r="N2811" s="256" t="n"/>
      <c r="O2811" s="256" t="n"/>
      <c r="P2811" s="256" t="n"/>
      <c r="Q2811" s="256" t="n"/>
    </row>
    <row r="2812">
      <c r="A2812">
        <f>IF(DAY(D2812)=DAY($L$1+1),A2811+1,A2811)</f>
        <v/>
      </c>
      <c r="B2812" s="46">
        <f>IF(DAY(D2812)=DAY($L$1+1),1,B2811+1)</f>
        <v/>
      </c>
      <c r="C2812" s="46">
        <f>IF(DAY(D2812)=DAY($L$1+1),1,C2811+1)</f>
        <v/>
      </c>
      <c r="D2812" s="2">
        <f>D2811+1</f>
        <v/>
      </c>
      <c r="E2812" s="8">
        <f>IF(DAY(D2812)=DAY($L$1+1),TRUNC((N2811),8),E2811)</f>
        <v/>
      </c>
      <c r="F2812" s="49">
        <f>TRUNC(((1+VLOOKUP(A2812,IPCA!$A$2:$C$140,3,0)))^(C2812/(EDATE(D2812-C2812,1)-(D2812-C2812))),8)</f>
        <v/>
      </c>
      <c r="G2812" s="44">
        <f>TRUNC((E2812*F2812),8)</f>
        <v/>
      </c>
      <c r="H2812" s="44">
        <f>ROUND(((1+$H$4)^(30/360))^(C2812/(EDATE(D2812-B2812,1)-(D2812-B2812))),9)</f>
        <v/>
      </c>
      <c r="I2812" s="44">
        <f>TRUNC((G2812*H2812-G2812),8)</f>
        <v/>
      </c>
      <c r="J2812" s="49">
        <f>G2812+I2812</f>
        <v/>
      </c>
      <c r="K2812" s="256" t="n"/>
      <c r="L2812" s="256" t="n"/>
      <c r="M2812" s="256" t="n"/>
      <c r="N2812" s="256" t="n"/>
      <c r="O2812" s="256" t="n"/>
      <c r="P2812" s="256" t="n"/>
      <c r="Q2812" s="256" t="n"/>
    </row>
    <row r="2813">
      <c r="A2813">
        <f>IF(DAY(D2813)=DAY($L$1+1),A2812+1,A2812)</f>
        <v/>
      </c>
      <c r="B2813" s="1">
        <f>IF(DAY(D2813)=DAY($L$1+1),1,B2812+1)</f>
        <v/>
      </c>
      <c r="C2813" s="1">
        <f>IF(DAY(D2813)=DAY($L$1+1),1,C2812+1)</f>
        <v/>
      </c>
      <c r="D2813" s="2">
        <f>D2812+1</f>
        <v/>
      </c>
      <c r="E2813" s="8">
        <f>IF(DAY(D2813)=DAY($L$1+1),TRUNC((N2812),8),E2812)</f>
        <v/>
      </c>
      <c r="F2813" s="49">
        <f>TRUNC(((1+VLOOKUP(A2813,IPCA!$A$2:$C$140,3,0)))^(C2813/(EDATE(D2813-C2813,1)-(D2813-C2813))),8)</f>
        <v/>
      </c>
      <c r="G2813" s="44">
        <f>TRUNC((E2813*F2813),8)</f>
        <v/>
      </c>
      <c r="H2813" s="44">
        <f>ROUND(((1+$H$4)^(30/360))^(C2813/(EDATE(D2813-B2813,1)-(D2813-B2813))),9)</f>
        <v/>
      </c>
      <c r="I2813" s="44">
        <f>TRUNC((G2813*H2813-G2813),8)</f>
        <v/>
      </c>
      <c r="J2813" s="49">
        <f>G2813+I2813</f>
        <v/>
      </c>
      <c r="K2813" s="256" t="n"/>
      <c r="L2813" s="256" t="n"/>
      <c r="M2813" s="256" t="n"/>
      <c r="N2813" s="256" t="n"/>
      <c r="O2813" s="256" t="n"/>
      <c r="P2813" s="256" t="n"/>
      <c r="Q2813" s="256" t="n"/>
    </row>
    <row r="2814">
      <c r="A2814">
        <f>IF(DAY(D2814)=DAY($L$1+1),A2813+1,A2813)</f>
        <v/>
      </c>
      <c r="B2814" s="46">
        <f>IF(DAY(D2814)=DAY($L$1+1),1,B2813+1)</f>
        <v/>
      </c>
      <c r="C2814" s="46">
        <f>IF(DAY(D2814)=DAY($L$1+1),1,C2813+1)</f>
        <v/>
      </c>
      <c r="D2814" s="2">
        <f>D2813+1</f>
        <v/>
      </c>
      <c r="E2814" s="8">
        <f>IF(DAY(D2814)=DAY($L$1+1),TRUNC((N2813),8),E2813)</f>
        <v/>
      </c>
      <c r="F2814" s="49">
        <f>TRUNC(((1+VLOOKUP(A2814,IPCA!$A$2:$C$140,3,0)))^(C2814/(EDATE(D2814-C2814,1)-(D2814-C2814))),8)</f>
        <v/>
      </c>
      <c r="G2814" s="44">
        <f>TRUNC((E2814*F2814),8)</f>
        <v/>
      </c>
      <c r="H2814" s="44">
        <f>ROUND(((1+$H$4)^(30/360))^(C2814/(EDATE(D2814-B2814,1)-(D2814-B2814))),9)</f>
        <v/>
      </c>
      <c r="I2814" s="44">
        <f>TRUNC((G2814*H2814-G2814),8)</f>
        <v/>
      </c>
      <c r="J2814" s="49">
        <f>G2814+I2814</f>
        <v/>
      </c>
      <c r="K2814" s="256" t="n"/>
      <c r="L2814" s="256" t="n"/>
      <c r="M2814" s="256" t="n"/>
      <c r="N2814" s="256" t="n"/>
      <c r="O2814" s="256" t="n"/>
      <c r="P2814" s="256" t="n"/>
      <c r="Q2814" s="256" t="n"/>
    </row>
    <row r="2815">
      <c r="A2815">
        <f>IF(DAY(D2815)=DAY($L$1+1),A2814+1,A2814)</f>
        <v/>
      </c>
      <c r="B2815" s="1">
        <f>IF(DAY(D2815)=DAY($L$1+1),1,B2814+1)</f>
        <v/>
      </c>
      <c r="C2815" s="1">
        <f>IF(DAY(D2815)=DAY($L$1+1),1,C2814+1)</f>
        <v/>
      </c>
      <c r="D2815" s="2">
        <f>D2814+1</f>
        <v/>
      </c>
      <c r="E2815" s="8">
        <f>IF(DAY(D2815)=DAY($L$1+1),TRUNC((N2814),8),E2814)</f>
        <v/>
      </c>
      <c r="F2815" s="49">
        <f>TRUNC(((1+VLOOKUP(A2815,IPCA!$A$2:$C$140,3,0)))^(C2815/(EDATE(D2815-C2815,1)-(D2815-C2815))),8)</f>
        <v/>
      </c>
      <c r="G2815" s="44">
        <f>TRUNC((E2815*F2815),8)</f>
        <v/>
      </c>
      <c r="H2815" s="44">
        <f>ROUND(((1+$H$4)^(30/360))^(C2815/(EDATE(D2815-B2815,1)-(D2815-B2815))),9)</f>
        <v/>
      </c>
      <c r="I2815" s="44">
        <f>TRUNC((G2815*H2815-G2815),8)</f>
        <v/>
      </c>
      <c r="J2815" s="49">
        <f>G2815+I2815</f>
        <v/>
      </c>
      <c r="K2815" s="256" t="n"/>
      <c r="L2815" s="256" t="n"/>
      <c r="M2815" s="256" t="n"/>
      <c r="N2815" s="256" t="n"/>
      <c r="O2815" s="256" t="n"/>
      <c r="P2815" s="256" t="n"/>
      <c r="Q2815" s="256" t="n"/>
    </row>
    <row r="2816">
      <c r="A2816">
        <f>IF(DAY(D2816)=DAY($L$1+1),A2815+1,A2815)</f>
        <v/>
      </c>
      <c r="B2816" s="46">
        <f>IF(DAY(D2816)=DAY($L$1+1),1,B2815+1)</f>
        <v/>
      </c>
      <c r="C2816" s="46">
        <f>IF(DAY(D2816)=DAY($L$1+1),1,C2815+1)</f>
        <v/>
      </c>
      <c r="D2816" s="2">
        <f>D2815+1</f>
        <v/>
      </c>
      <c r="E2816" s="8">
        <f>IF(DAY(D2816)=DAY($L$1+1),TRUNC((N2815),8),E2815)</f>
        <v/>
      </c>
      <c r="F2816" s="49">
        <f>TRUNC(((1+VLOOKUP(A2816,IPCA!$A$2:$C$140,3,0)))^(C2816/(EDATE(D2816-C2816,1)-(D2816-C2816))),8)</f>
        <v/>
      </c>
      <c r="G2816" s="44">
        <f>TRUNC((E2816*F2816),8)</f>
        <v/>
      </c>
      <c r="H2816" s="44">
        <f>ROUND(((1+$H$4)^(30/360))^(C2816/(EDATE(D2816-B2816,1)-(D2816-B2816))),9)</f>
        <v/>
      </c>
      <c r="I2816" s="44">
        <f>TRUNC((G2816*H2816-G2816),8)</f>
        <v/>
      </c>
      <c r="J2816" s="49">
        <f>G2816+I2816</f>
        <v/>
      </c>
      <c r="K2816" s="256" t="n"/>
      <c r="L2816" s="256" t="n"/>
      <c r="M2816" s="256" t="n"/>
      <c r="N2816" s="256" t="n"/>
      <c r="O2816" s="256" t="n"/>
      <c r="P2816" s="256" t="n"/>
      <c r="Q2816" s="256" t="n"/>
    </row>
    <row r="2817">
      <c r="A2817">
        <f>IF(DAY(D2817)=DAY($L$1+1),A2816+1,A2816)</f>
        <v/>
      </c>
      <c r="B2817" s="46">
        <f>IF(DAY(D2817)=DAY($L$1+1),1,B2816+1)</f>
        <v/>
      </c>
      <c r="C2817" s="46">
        <f>IF(DAY(D2817)=DAY($L$1+1),1,C2816+1)</f>
        <v/>
      </c>
      <c r="D2817" s="2">
        <f>D2816+1</f>
        <v/>
      </c>
      <c r="E2817" s="8">
        <f>IF(DAY(D2817)=DAY($L$1+1),TRUNC((N2816),8),E2816)</f>
        <v/>
      </c>
      <c r="F2817" s="49">
        <f>TRUNC(((1+VLOOKUP(A2817,IPCA!$A$2:$C$140,3,0)))^(C2817/(EDATE(D2817-C2817,1)-(D2817-C2817))),8)</f>
        <v/>
      </c>
      <c r="G2817" s="49">
        <f>TRUNC((E2817*F2817),8)</f>
        <v/>
      </c>
      <c r="H2817" s="49">
        <f>ROUND(((1+$H$4)^(30/360))^(C2817/(EDATE(D2817-B2817,1)-(D2817-B2817))),9)</f>
        <v/>
      </c>
      <c r="I2817" s="49">
        <f>TRUNC((G2817*H2817-G2817),8)</f>
        <v/>
      </c>
      <c r="J2817" s="49">
        <f>G2817+I2817</f>
        <v/>
      </c>
      <c r="K2817" s="256" t="inlineStr">
        <is>
          <t>Cri Integralizado</t>
        </is>
      </c>
      <c r="L2817" s="270">
        <f>L2789</f>
        <v/>
      </c>
      <c r="M2817" s="256" t="n"/>
      <c r="N2817" s="256" t="n"/>
      <c r="O2817" s="256" t="n"/>
      <c r="P2817" s="256" t="n"/>
      <c r="Q2817" s="256" t="n"/>
    </row>
    <row r="2818">
      <c r="A2818">
        <f>IF(DAY(D2818)=DAY($L$1+1),A2817+1,A2817)</f>
        <v/>
      </c>
      <c r="B2818" s="46">
        <f>IF(DAY(D2818)=DAY($L$1+1),1,B2817+1)</f>
        <v/>
      </c>
      <c r="C2818" s="46">
        <f>IF(DAY(D2818)=DAY($L$1+1),1,C2817+1)</f>
        <v/>
      </c>
      <c r="D2818" s="47">
        <f>D2817+1</f>
        <v/>
      </c>
      <c r="E2818" s="8">
        <f>IF(DAY(D2818)=DAY($L$1+1),TRUNC((N2817),8),E2817)</f>
        <v/>
      </c>
      <c r="F2818" s="49">
        <f>TRUNC(((1+VLOOKUP(A2818,IPCA!$A$2:$C$140,3,0)))^(C2818/(EDATE(D2818-C2818,1)-(D2818-C2818))),8)</f>
        <v/>
      </c>
      <c r="G2818" s="49">
        <f>TRUNC((E2818*F2818),8)</f>
        <v/>
      </c>
      <c r="H2818" s="49">
        <f>ROUND(((1+$H$4)^(30/360))^(C2818/(EDATE(D2818-B2818,1)-(D2818-B2818))),9)</f>
        <v/>
      </c>
      <c r="I2818" s="49">
        <f>TRUNC((G2818*H2818-G2818),8)</f>
        <v/>
      </c>
      <c r="J2818" s="49">
        <f>G2818+I2818</f>
        <v/>
      </c>
      <c r="K2818" s="137" t="inlineStr">
        <is>
          <t>JUROS</t>
        </is>
      </c>
      <c r="L2818" s="118" t="inlineStr">
        <is>
          <t>AMORTIZAÇÃO</t>
        </is>
      </c>
      <c r="M2818" s="118" t="inlineStr">
        <is>
          <t>AMEX</t>
        </is>
      </c>
      <c r="N2818" s="118" t="inlineStr">
        <is>
          <t>RESIDUAL</t>
        </is>
      </c>
      <c r="O2818" s="256" t="n"/>
      <c r="P2818" s="256" t="n"/>
      <c r="Q2818" s="256" t="n"/>
    </row>
    <row r="2819">
      <c r="A2819">
        <f>IF(DAY(D2819)=DAY($L$1+1),A2818+1,A2818)</f>
        <v/>
      </c>
      <c r="B2819" s="111">
        <f>IF(DAY(D2819)=DAY($L$1+1),1,B2818+1)</f>
        <v/>
      </c>
      <c r="C2819" s="111">
        <f>IF(DAY(D2819)=DAY($L$1+1),1,C2818+1)</f>
        <v/>
      </c>
      <c r="D2819" s="112">
        <f>D2818+1</f>
        <v/>
      </c>
      <c r="E2819" s="113">
        <f>IF(DAY(D2819)=DAY($L$1+1),TRUNC((N2818),8),E2818)</f>
        <v/>
      </c>
      <c r="F2819" s="114">
        <f>TRUNC(((1+VLOOKUP(A2819,IPCA!$A$2:$C$140,3,0)))^(C2819/(EDATE(D2819-C2819,1)-(D2819-C2819))),8)</f>
        <v/>
      </c>
      <c r="G2819" s="114">
        <f>TRUNC((E2819*F2819),8)</f>
        <v/>
      </c>
      <c r="H2819" s="114">
        <f>ROUND(((1+$H$4)^(30/360))^(C2819/(EDATE(D2819-B2819,1)-(D2819-B2819))),9)</f>
        <v/>
      </c>
      <c r="I2819" s="114">
        <f>TRUNC((G2819*H2819-G2819),8)</f>
        <v/>
      </c>
      <c r="J2819" s="114">
        <f>G2819+I2819</f>
        <v/>
      </c>
      <c r="K2819" s="119">
        <f>I2819</f>
        <v/>
      </c>
      <c r="L2819" s="120">
        <f>TRUNC(G2819*VLOOKUP(D2819,'Amort TS'!$G$3:$H$140,2,0),8)</f>
        <v/>
      </c>
      <c r="M2819" s="120" t="n">
        <v>0</v>
      </c>
      <c r="N2819" s="120">
        <f>J2819-K2819-L2819-M2819</f>
        <v/>
      </c>
      <c r="O2819" s="256" t="n"/>
      <c r="P2819" s="256" t="n"/>
      <c r="Q2819" s="256" t="n"/>
    </row>
    <row r="2820">
      <c r="A2820">
        <f>IF(DAY(D2820)=DAY($L$1+1),A2819+1,A2819)</f>
        <v/>
      </c>
      <c r="B2820" s="46">
        <f>IF(DAY(D2820)=DAY($L$1+1),1,B2819+1)</f>
        <v/>
      </c>
      <c r="C2820" s="46">
        <f>IF(DAY(D2820)=DAY($L$1+1),1,C2819+1)</f>
        <v/>
      </c>
      <c r="D2820" s="2">
        <f>D2819+1</f>
        <v/>
      </c>
      <c r="E2820" s="8">
        <f>IF(DAY(D2820)=DAY($L$1+1),TRUNC((N2819),8),E2819)</f>
        <v/>
      </c>
      <c r="F2820" s="49">
        <f>TRUNC(((1+VLOOKUP(A2820,IPCA!$A$2:$C$140,3,0)))^(C2820/(EDATE(D2820-C2820,1)-(D2820-C2820))),8)</f>
        <v/>
      </c>
      <c r="G2820" s="49">
        <f>TRUNC((E2820*F2820),8)</f>
        <v/>
      </c>
      <c r="H2820" s="49">
        <f>ROUND(((1+$H$4)^(30/360))^(C2820/(EDATE(D2820-B2820,1)-(D2820-B2820))),9)</f>
        <v/>
      </c>
      <c r="I2820" s="49">
        <f>TRUNC((G2820*H2820-G2820),8)</f>
        <v/>
      </c>
      <c r="J2820" s="49">
        <f>G2820+I2820</f>
        <v/>
      </c>
      <c r="K2820" s="121">
        <f>K2819*L2817</f>
        <v/>
      </c>
      <c r="L2820" s="121">
        <f>L2819*L2817</f>
        <v/>
      </c>
      <c r="M2820" s="121">
        <f>M2819*L2817</f>
        <v/>
      </c>
      <c r="N2820" s="121">
        <f>N2819*L2817</f>
        <v/>
      </c>
      <c r="O2820" s="256" t="n"/>
      <c r="P2820" s="256" t="n"/>
      <c r="Q2820" s="256" t="n"/>
    </row>
    <row r="2821">
      <c r="A2821">
        <f>IF(DAY(D2821)=DAY($L$1+1),A2820+1,A2820)</f>
        <v/>
      </c>
      <c r="B2821" s="46">
        <f>IF(DAY(D2821)=DAY($L$1+1),1,B2820+1)</f>
        <v/>
      </c>
      <c r="C2821" s="46">
        <f>IF(DAY(D2821)=DAY($L$1+1),1,C2820+1)</f>
        <v/>
      </c>
      <c r="D2821" s="47">
        <f>D2820+1</f>
        <v/>
      </c>
      <c r="E2821" s="8">
        <f>IF(DAY(D2821)=DAY($L$1+1),TRUNC((N2820),8),E2820)</f>
        <v/>
      </c>
      <c r="F2821" s="49">
        <f>TRUNC(((1+VLOOKUP(A2821,IPCA!$A$2:$C$140,3,0)))^(C2821/(EDATE(D2821-C2821,1)-(D2821-C2821))),8)</f>
        <v/>
      </c>
      <c r="G2821" s="49">
        <f>TRUNC((E2821*F2821),8)</f>
        <v/>
      </c>
      <c r="H2821" s="49">
        <f>ROUND(((1+$H$4)^(30/360))^(C2821/(EDATE(D2821-B2821,1)-(D2821-B2821))),9)</f>
        <v/>
      </c>
      <c r="I2821" s="49">
        <f>TRUNC((G2821*H2821-G2821),8)</f>
        <v/>
      </c>
      <c r="J2821" s="49">
        <f>G2821+I2821</f>
        <v/>
      </c>
      <c r="K2821" s="256" t="n"/>
      <c r="L2821" s="256" t="n"/>
      <c r="M2821" s="256" t="n"/>
      <c r="N2821" s="256" t="n"/>
      <c r="O2821" s="256" t="n"/>
      <c r="P2821" s="256" t="n"/>
      <c r="Q2821" s="256" t="n"/>
    </row>
    <row r="2822">
      <c r="A2822">
        <f>IF(DAY(D2822)=DAY($L$1+1),A2821+1,A2821)</f>
        <v/>
      </c>
      <c r="B2822" s="46">
        <f>IF(DAY(D2822)=DAY($L$1+1),1,B2821+1)</f>
        <v/>
      </c>
      <c r="C2822" s="46">
        <f>IF(DAY(D2822)=DAY($L$1+1),1,C2821+1)</f>
        <v/>
      </c>
      <c r="D2822" s="2">
        <f>D2821+1</f>
        <v/>
      </c>
      <c r="E2822" s="8">
        <f>IF(DAY(D2822)=DAY($L$1+1),TRUNC((#REF!),8),E2821)</f>
        <v/>
      </c>
      <c r="F2822" s="49">
        <f>TRUNC(((1+VLOOKUP(A2822,IPCA!$A$2:$C$140,3,0)))^(C2822/(EDATE(D2822-C2822,1)-(D2822-C2822))),8)</f>
        <v/>
      </c>
      <c r="G2822" s="44">
        <f>TRUNC((E2822*F2822),8)</f>
        <v/>
      </c>
      <c r="H2822" s="44">
        <f>ROUND(((1+$H$4)^(30/360))^(C2822/(EDATE(D2822-B2822,1)-(D2822-B2822))),9)</f>
        <v/>
      </c>
      <c r="I2822" s="44">
        <f>TRUNC((G2822*H2822-G2822),8)</f>
        <v/>
      </c>
      <c r="J2822" s="49">
        <f>G2822+I2822</f>
        <v/>
      </c>
      <c r="K2822" s="256" t="n"/>
      <c r="L2822" s="256" t="n"/>
      <c r="M2822" s="256" t="n"/>
      <c r="N2822" s="256" t="n"/>
      <c r="O2822" s="256" t="n"/>
      <c r="P2822" s="256" t="n"/>
      <c r="Q2822" s="256" t="n"/>
    </row>
    <row r="2823">
      <c r="A2823">
        <f>IF(DAY(D2823)=DAY($L$1+1),A2822+1,A2822)</f>
        <v/>
      </c>
      <c r="B2823" s="1">
        <f>IF(DAY(D2823)=DAY($L$1+1),1,B2822+1)</f>
        <v/>
      </c>
      <c r="C2823" s="1">
        <f>IF(DAY(D2823)=DAY($L$1+1),1,C2822+1)</f>
        <v/>
      </c>
      <c r="D2823" s="2">
        <f>D2822+1</f>
        <v/>
      </c>
      <c r="E2823" s="8">
        <f>IF(DAY(D2823)=DAY($L$1+1),TRUNC((#REF!),8),E2822)</f>
        <v/>
      </c>
      <c r="F2823" s="49">
        <f>TRUNC(((1+VLOOKUP(A2823,IPCA!$A$2:$C$140,3,0)))^(C2823/(EDATE(D2823-C2823,1)-(D2823-C2823))),8)</f>
        <v/>
      </c>
      <c r="G2823" s="44">
        <f>TRUNC((E2823*F2823),8)</f>
        <v/>
      </c>
      <c r="H2823" s="44">
        <f>ROUND(((1+$H$4)^(30/360))^(C2823/(EDATE(D2823-B2823,1)-(D2823-B2823))),9)</f>
        <v/>
      </c>
      <c r="I2823" s="44">
        <f>TRUNC((G2823*H2823-G2823),8)</f>
        <v/>
      </c>
      <c r="J2823" s="49">
        <f>G2823+I2823</f>
        <v/>
      </c>
      <c r="K2823" s="256" t="n"/>
      <c r="L2823" s="256" t="n"/>
      <c r="M2823" s="256" t="n"/>
      <c r="N2823" s="256" t="n"/>
      <c r="O2823" s="256" t="n"/>
      <c r="P2823" s="256" t="n"/>
      <c r="Q2823" s="256" t="n"/>
    </row>
    <row r="2824">
      <c r="A2824">
        <f>IF(DAY(D2824)=DAY($L$1+1),A2823+1,A2823)</f>
        <v/>
      </c>
      <c r="B2824" s="46">
        <f>IF(DAY(D2824)=DAY($L$1+1),1,B2823+1)</f>
        <v/>
      </c>
      <c r="C2824" s="46">
        <f>IF(DAY(D2824)=DAY($L$1+1),1,C2823+1)</f>
        <v/>
      </c>
      <c r="D2824" s="2">
        <f>D2823+1</f>
        <v/>
      </c>
      <c r="E2824" s="8">
        <f>IF(DAY(D2824)=DAY($L$1+1),TRUNC((#REF!),8),E2823)</f>
        <v/>
      </c>
      <c r="F2824" s="49">
        <f>TRUNC(((1+VLOOKUP(A2824,IPCA!$A$2:$C$140,3,0)))^(C2824/(EDATE(D2824-C2824,1)-(D2824-C2824))),8)</f>
        <v/>
      </c>
      <c r="G2824" s="44">
        <f>TRUNC((E2824*F2824),8)</f>
        <v/>
      </c>
      <c r="H2824" s="44">
        <f>ROUND(((1+$H$4)^(30/360))^(C2824/(EDATE(D2824-B2824,1)-(D2824-B2824))),9)</f>
        <v/>
      </c>
      <c r="I2824" s="44">
        <f>TRUNC((G2824*H2824-G2824),8)</f>
        <v/>
      </c>
      <c r="J2824" s="49">
        <f>G2824+I2824</f>
        <v/>
      </c>
      <c r="K2824" s="256" t="n"/>
      <c r="L2824" s="256" t="n"/>
      <c r="M2824" s="256" t="n"/>
      <c r="N2824" s="256" t="n"/>
      <c r="O2824" s="256" t="n"/>
      <c r="P2824" s="256" t="n"/>
      <c r="Q2824" s="256" t="n"/>
    </row>
    <row r="2825">
      <c r="A2825">
        <f>IF(DAY(D2825)=DAY($L$1+1),A2824+1,A2824)</f>
        <v/>
      </c>
      <c r="B2825" s="1">
        <f>IF(DAY(D2825)=DAY($L$1+1),1,B2824+1)</f>
        <v/>
      </c>
      <c r="C2825" s="1">
        <f>IF(DAY(D2825)=DAY($L$1+1),1,C2824+1)</f>
        <v/>
      </c>
      <c r="D2825" s="2">
        <f>D2824+1</f>
        <v/>
      </c>
      <c r="E2825" s="8">
        <f>IF(DAY(D2825)=DAY($L$1+1),TRUNC((#REF!),8),E2824)</f>
        <v/>
      </c>
      <c r="F2825" s="49">
        <f>TRUNC(((1+VLOOKUP(A2825,IPCA!$A$2:$C$140,3,0)))^(C2825/(EDATE(D2825-C2825,1)-(D2825-C2825))),8)</f>
        <v/>
      </c>
      <c r="G2825" s="44">
        <f>TRUNC((E2825*F2825),8)</f>
        <v/>
      </c>
      <c r="H2825" s="44">
        <f>ROUND(((1+$H$4)^(30/360))^(C2825/(EDATE(D2825-B2825,1)-(D2825-B2825))),9)</f>
        <v/>
      </c>
      <c r="I2825" s="44">
        <f>TRUNC((G2825*H2825-G2825),8)</f>
        <v/>
      </c>
      <c r="J2825" s="49">
        <f>G2825+I2825</f>
        <v/>
      </c>
      <c r="K2825" s="256" t="n"/>
      <c r="L2825" s="256" t="n"/>
      <c r="M2825" s="256" t="n"/>
      <c r="N2825" s="256" t="n"/>
      <c r="O2825" s="256" t="n"/>
      <c r="P2825" s="256" t="n"/>
      <c r="Q2825" s="256" t="n"/>
    </row>
    <row r="2826">
      <c r="A2826">
        <f>IF(DAY(D2826)=DAY($L$1+1),A2825+1,A2825)</f>
        <v/>
      </c>
      <c r="B2826" s="46">
        <f>IF(DAY(D2826)=DAY($L$1+1),1,B2825+1)</f>
        <v/>
      </c>
      <c r="C2826" s="46">
        <f>IF(DAY(D2826)=DAY($L$1+1),1,C2825+1)</f>
        <v/>
      </c>
      <c r="D2826" s="2">
        <f>D2825+1</f>
        <v/>
      </c>
      <c r="E2826" s="8">
        <f>IF(DAY(D2826)=DAY($L$1+1),TRUNC((#REF!),8),E2825)</f>
        <v/>
      </c>
      <c r="F2826" s="49">
        <f>TRUNC(((1+VLOOKUP(A2826,IPCA!$A$2:$C$140,3,0)))^(C2826/(EDATE(D2826-C2826,1)-(D2826-C2826))),8)</f>
        <v/>
      </c>
      <c r="G2826" s="44">
        <f>TRUNC((E2826*F2826),8)</f>
        <v/>
      </c>
      <c r="H2826" s="44">
        <f>ROUND(((1+$H$4)^(30/360))^(C2826/(EDATE(D2826-B2826,1)-(D2826-B2826))),9)</f>
        <v/>
      </c>
      <c r="I2826" s="44">
        <f>TRUNC((G2826*H2826-G2826),8)</f>
        <v/>
      </c>
      <c r="J2826" s="49">
        <f>G2826+I2826</f>
        <v/>
      </c>
      <c r="K2826" s="256" t="n"/>
      <c r="L2826" s="256" t="n"/>
      <c r="M2826" s="256" t="n"/>
      <c r="N2826" s="256" t="n"/>
      <c r="O2826" s="256" t="n"/>
      <c r="P2826" s="256" t="n"/>
      <c r="Q2826" s="256" t="n"/>
    </row>
    <row r="2827">
      <c r="A2827">
        <f>IF(DAY(D2827)=DAY($L$1+1),A2826+1,A2826)</f>
        <v/>
      </c>
      <c r="B2827" s="1">
        <f>IF(DAY(D2827)=DAY($L$1+1),1,B2826+1)</f>
        <v/>
      </c>
      <c r="C2827" s="1">
        <f>IF(DAY(D2827)=DAY($L$1+1),1,C2826+1)</f>
        <v/>
      </c>
      <c r="D2827" s="2">
        <f>D2826+1</f>
        <v/>
      </c>
      <c r="E2827" s="8">
        <f>IF(DAY(D2827)=DAY($L$1+1),TRUNC((#REF!),8),E2826)</f>
        <v/>
      </c>
      <c r="F2827" s="49">
        <f>TRUNC(((1+VLOOKUP(A2827,IPCA!$A$2:$C$140,3,0)))^(C2827/(EDATE(D2827-C2827,1)-(D2827-C2827))),8)</f>
        <v/>
      </c>
      <c r="G2827" s="44">
        <f>TRUNC((E2827*F2827),8)</f>
        <v/>
      </c>
      <c r="H2827" s="44">
        <f>ROUND(((1+$H$4)^(30/360))^(C2827/(EDATE(D2827-B2827,1)-(D2827-B2827))),9)</f>
        <v/>
      </c>
      <c r="I2827" s="44">
        <f>TRUNC((G2827*H2827-G2827),8)</f>
        <v/>
      </c>
      <c r="J2827" s="49">
        <f>G2827+I2827</f>
        <v/>
      </c>
      <c r="K2827" s="256" t="n"/>
      <c r="L2827" s="256" t="n"/>
      <c r="M2827" s="256" t="n"/>
      <c r="N2827" s="256" t="n"/>
      <c r="O2827" s="256" t="n"/>
      <c r="P2827" s="256" t="n"/>
      <c r="Q2827" s="256" t="n"/>
    </row>
    <row r="2828">
      <c r="A2828">
        <f>IF(DAY(D2828)=DAY($L$1+1),A2827+1,A2827)</f>
        <v/>
      </c>
      <c r="B2828" s="46">
        <f>IF(DAY(D2828)=DAY($L$1+1),1,B2827+1)</f>
        <v/>
      </c>
      <c r="C2828" s="46">
        <f>IF(DAY(D2828)=DAY($L$1+1),1,C2827+1)</f>
        <v/>
      </c>
      <c r="D2828" s="2">
        <f>D2827+1</f>
        <v/>
      </c>
      <c r="E2828" s="8">
        <f>IF(DAY(D2828)=DAY($L$1+1),TRUNC((#REF!),8),E2827)</f>
        <v/>
      </c>
      <c r="F2828" s="49">
        <f>TRUNC(((1+VLOOKUP(A2828,IPCA!$A$2:$C$140,3,0)))^(C2828/(EDATE(D2828-C2828,1)-(D2828-C2828))),8)</f>
        <v/>
      </c>
      <c r="G2828" s="44">
        <f>TRUNC((E2828*F2828),8)</f>
        <v/>
      </c>
      <c r="H2828" s="44">
        <f>ROUND(((1+$H$4)^(30/360))^(C2828/(EDATE(D2828-B2828,1)-(D2828-B2828))),9)</f>
        <v/>
      </c>
      <c r="I2828" s="44">
        <f>TRUNC((G2828*H2828-G2828),8)</f>
        <v/>
      </c>
      <c r="J2828" s="49">
        <f>G2828+I2828</f>
        <v/>
      </c>
      <c r="K2828" s="256" t="n"/>
      <c r="L2828" s="256" t="n"/>
      <c r="M2828" s="256" t="n"/>
      <c r="N2828" s="256" t="n"/>
      <c r="O2828" s="256" t="n"/>
      <c r="P2828" s="256" t="n"/>
      <c r="Q2828" s="256" t="n"/>
    </row>
    <row r="2829">
      <c r="A2829">
        <f>IF(DAY(D2829)=DAY($L$1+1),A2828+1,A2828)</f>
        <v/>
      </c>
      <c r="B2829" s="1">
        <f>IF(DAY(D2829)=DAY($L$1+1),1,B2828+1)</f>
        <v/>
      </c>
      <c r="C2829" s="1">
        <f>IF(DAY(D2829)=DAY($L$1+1),1,C2828+1)</f>
        <v/>
      </c>
      <c r="D2829" s="2">
        <f>D2828+1</f>
        <v/>
      </c>
      <c r="E2829" s="8">
        <f>IF(DAY(D2829)=DAY($L$1+1),TRUNC((#REF!),8),E2828)</f>
        <v/>
      </c>
      <c r="F2829" s="49">
        <f>TRUNC(((1+VLOOKUP(A2829,IPCA!$A$2:$C$140,3,0)))^(C2829/(EDATE(D2829-C2829,1)-(D2829-C2829))),8)</f>
        <v/>
      </c>
      <c r="G2829" s="44">
        <f>TRUNC((E2829*F2829),8)</f>
        <v/>
      </c>
      <c r="H2829" s="44">
        <f>ROUND(((1+$H$4)^(30/360))^(C2829/(EDATE(D2829-B2829,1)-(D2829-B2829))),9)</f>
        <v/>
      </c>
      <c r="I2829" s="44">
        <f>TRUNC((G2829*H2829-G2829),8)</f>
        <v/>
      </c>
      <c r="J2829" s="49">
        <f>G2829+I2829</f>
        <v/>
      </c>
      <c r="K2829" s="256" t="n"/>
      <c r="L2829" s="256" t="n"/>
      <c r="M2829" s="256" t="n"/>
      <c r="N2829" s="256" t="n"/>
      <c r="O2829" s="256" t="n"/>
      <c r="P2829" s="256" t="n"/>
      <c r="Q2829" s="256" t="n"/>
    </row>
    <row r="2830">
      <c r="A2830">
        <f>IF(DAY(D2830)=DAY($L$1+1),A2829+1,A2829)</f>
        <v/>
      </c>
      <c r="B2830" s="46">
        <f>IF(DAY(D2830)=DAY($L$1+1),1,B2829+1)</f>
        <v/>
      </c>
      <c r="C2830" s="46">
        <f>IF(DAY(D2830)=DAY($L$1+1),1,C2829+1)</f>
        <v/>
      </c>
      <c r="D2830" s="2">
        <f>D2829+1</f>
        <v/>
      </c>
      <c r="E2830" s="8">
        <f>IF(DAY(D2830)=DAY($L$1+1),TRUNC((#REF!),8),E2829)</f>
        <v/>
      </c>
      <c r="F2830" s="49">
        <f>TRUNC(((1+VLOOKUP(A2830,IPCA!$A$2:$C$140,3,0)))^(C2830/(EDATE(D2830-C2830,1)-(D2830-C2830))),8)</f>
        <v/>
      </c>
      <c r="G2830" s="44">
        <f>TRUNC((E2830*F2830),8)</f>
        <v/>
      </c>
      <c r="H2830" s="44">
        <f>ROUND(((1+$H$4)^(30/360))^(C2830/(EDATE(D2830-B2830,1)-(D2830-B2830))),9)</f>
        <v/>
      </c>
      <c r="I2830" s="44">
        <f>TRUNC((G2830*H2830-G2830),8)</f>
        <v/>
      </c>
      <c r="J2830" s="49">
        <f>G2830+I2830</f>
        <v/>
      </c>
      <c r="K2830" s="256" t="n"/>
      <c r="L2830" s="256" t="n"/>
      <c r="M2830" s="256" t="n"/>
      <c r="N2830" s="256" t="n"/>
      <c r="O2830" s="256" t="n"/>
      <c r="P2830" s="256" t="n"/>
      <c r="Q2830" s="256" t="n"/>
    </row>
    <row r="2831">
      <c r="A2831">
        <f>IF(DAY(D2831)=DAY($L$1+1),A2830+1,A2830)</f>
        <v/>
      </c>
      <c r="B2831" s="1">
        <f>IF(DAY(D2831)=DAY($L$1+1),1,B2830+1)</f>
        <v/>
      </c>
      <c r="C2831" s="1">
        <f>IF(DAY(D2831)=DAY($L$1+1),1,C2830+1)</f>
        <v/>
      </c>
      <c r="D2831" s="2">
        <f>D2830+1</f>
        <v/>
      </c>
      <c r="E2831" s="8">
        <f>IF(DAY(D2831)=DAY($L$1+1),TRUNC((#REF!),8),E2830)</f>
        <v/>
      </c>
      <c r="F2831" s="49">
        <f>TRUNC(((1+VLOOKUP(A2831,IPCA!$A$2:$C$140,3,0)))^(C2831/(EDATE(D2831-C2831,1)-(D2831-C2831))),8)</f>
        <v/>
      </c>
      <c r="G2831" s="44">
        <f>TRUNC((E2831*F2831),8)</f>
        <v/>
      </c>
      <c r="H2831" s="44">
        <f>ROUND(((1+$H$4)^(30/360))^(C2831/(EDATE(D2831-B2831,1)-(D2831-B2831))),9)</f>
        <v/>
      </c>
      <c r="I2831" s="44">
        <f>TRUNC((G2831*H2831-G2831),8)</f>
        <v/>
      </c>
      <c r="J2831" s="49">
        <f>G2831+I2831</f>
        <v/>
      </c>
      <c r="K2831" s="256" t="n"/>
      <c r="L2831" s="256" t="n"/>
      <c r="M2831" s="256" t="n"/>
      <c r="N2831" s="256" t="n"/>
      <c r="O2831" s="256" t="n"/>
      <c r="P2831" s="256" t="n"/>
      <c r="Q2831" s="256" t="n"/>
    </row>
    <row r="2832">
      <c r="A2832">
        <f>IF(DAY(D2832)=DAY($L$1+1),A2831+1,A2831)</f>
        <v/>
      </c>
      <c r="B2832" s="46">
        <f>IF(DAY(D2832)=DAY($L$1+1),1,B2831+1)</f>
        <v/>
      </c>
      <c r="C2832" s="46">
        <f>IF(DAY(D2832)=DAY($L$1+1),1,C2831+1)</f>
        <v/>
      </c>
      <c r="D2832" s="2">
        <f>D2831+1</f>
        <v/>
      </c>
      <c r="E2832" s="8">
        <f>IF(DAY(D2832)=DAY($L$1+1),TRUNC((#REF!),8),E2831)</f>
        <v/>
      </c>
      <c r="F2832" s="49">
        <f>TRUNC(((1+VLOOKUP(A2832,IPCA!$A$2:$C$140,3,0)))^(C2832/(EDATE(D2832-C2832,1)-(D2832-C2832))),8)</f>
        <v/>
      </c>
      <c r="G2832" s="44">
        <f>TRUNC((E2832*F2832),8)</f>
        <v/>
      </c>
      <c r="H2832" s="44">
        <f>ROUND(((1+$H$4)^(30/360))^(C2832/(EDATE(D2832-B2832,1)-(D2832-B2832))),9)</f>
        <v/>
      </c>
      <c r="I2832" s="44">
        <f>TRUNC((G2832*H2832-G2832),8)</f>
        <v/>
      </c>
      <c r="J2832" s="49">
        <f>G2832+I2832</f>
        <v/>
      </c>
      <c r="K2832" s="256" t="n"/>
      <c r="L2832" s="256" t="n"/>
      <c r="M2832" s="256" t="n"/>
      <c r="N2832" s="256" t="n"/>
      <c r="O2832" s="256" t="n"/>
      <c r="P2832" s="256" t="n"/>
      <c r="Q2832" s="256" t="n"/>
    </row>
    <row r="2833">
      <c r="A2833">
        <f>IF(DAY(D2833)=DAY($L$1+1),A2832+1,A2832)</f>
        <v/>
      </c>
      <c r="B2833" s="1">
        <f>IF(DAY(D2833)=DAY($L$1+1),1,B2832+1)</f>
        <v/>
      </c>
      <c r="C2833" s="1">
        <f>IF(DAY(D2833)=DAY($L$1+1),1,C2832+1)</f>
        <v/>
      </c>
      <c r="D2833" s="2">
        <f>D2832+1</f>
        <v/>
      </c>
      <c r="E2833" s="8">
        <f>IF(DAY(D2833)=DAY($L$1+1),TRUNC((#REF!),8),E2832)</f>
        <v/>
      </c>
      <c r="F2833" s="49">
        <f>TRUNC(((1+VLOOKUP(A2833,IPCA!$A$2:$C$140,3,0)))^(C2833/(EDATE(D2833-C2833,1)-(D2833-C2833))),8)</f>
        <v/>
      </c>
      <c r="G2833" s="44">
        <f>TRUNC((E2833*F2833),8)</f>
        <v/>
      </c>
      <c r="H2833" s="44">
        <f>ROUND(((1+$H$4)^(30/360))^(C2833/(EDATE(D2833-B2833,1)-(D2833-B2833))),9)</f>
        <v/>
      </c>
      <c r="I2833" s="44">
        <f>TRUNC((G2833*H2833-G2833),8)</f>
        <v/>
      </c>
      <c r="J2833" s="49">
        <f>G2833+I2833</f>
        <v/>
      </c>
      <c r="K2833" s="256" t="n"/>
      <c r="L2833" s="256" t="n"/>
      <c r="M2833" s="256" t="n"/>
      <c r="N2833" s="256" t="n"/>
      <c r="O2833" s="256" t="n"/>
      <c r="P2833" s="256" t="n"/>
      <c r="Q2833" s="256" t="n"/>
    </row>
    <row r="2834">
      <c r="A2834">
        <f>IF(DAY(D2834)=DAY($L$1+1),A2833+1,A2833)</f>
        <v/>
      </c>
      <c r="B2834" s="46">
        <f>IF(DAY(D2834)=DAY($L$1+1),1,B2833+1)</f>
        <v/>
      </c>
      <c r="C2834" s="46">
        <f>IF(DAY(D2834)=DAY($L$1+1),1,C2833+1)</f>
        <v/>
      </c>
      <c r="D2834" s="2">
        <f>D2833+1</f>
        <v/>
      </c>
      <c r="E2834" s="8">
        <f>IF(DAY(D2834)=DAY($L$1+1),TRUNC((#REF!),8),E2833)</f>
        <v/>
      </c>
      <c r="F2834" s="49">
        <f>TRUNC(((1+VLOOKUP(A2834,IPCA!$A$2:$C$140,3,0)))^(C2834/(EDATE(D2834-C2834,1)-(D2834-C2834))),8)</f>
        <v/>
      </c>
      <c r="G2834" s="44">
        <f>TRUNC((E2834*F2834),8)</f>
        <v/>
      </c>
      <c r="H2834" s="44">
        <f>ROUND(((1+$H$4)^(30/360))^(C2834/(EDATE(D2834-B2834,1)-(D2834-B2834))),9)</f>
        <v/>
      </c>
      <c r="I2834" s="44">
        <f>TRUNC((G2834*H2834-G2834),8)</f>
        <v/>
      </c>
      <c r="J2834" s="49">
        <f>G2834+I2834</f>
        <v/>
      </c>
      <c r="K2834" s="256" t="n"/>
      <c r="L2834" s="256" t="n"/>
      <c r="M2834" s="256" t="n"/>
      <c r="N2834" s="256" t="n"/>
      <c r="O2834" s="256" t="n"/>
      <c r="P2834" s="256" t="n"/>
      <c r="Q2834" s="256" t="n"/>
    </row>
    <row r="2835">
      <c r="A2835">
        <f>IF(DAY(D2835)=DAY($L$1+1),A2834+1,A2834)</f>
        <v/>
      </c>
      <c r="B2835" s="1">
        <f>IF(DAY(D2835)=DAY($L$1+1),1,B2834+1)</f>
        <v/>
      </c>
      <c r="C2835" s="1">
        <f>IF(DAY(D2835)=DAY($L$1+1),1,C2834+1)</f>
        <v/>
      </c>
      <c r="D2835" s="2">
        <f>D2834+1</f>
        <v/>
      </c>
      <c r="E2835" s="8">
        <f>IF(DAY(D2835)=DAY($L$1+1),TRUNC((#REF!),8),E2834)</f>
        <v/>
      </c>
      <c r="F2835" s="49">
        <f>TRUNC(((1+VLOOKUP(A2835,IPCA!$A$2:$C$140,3,0)))^(C2835/(EDATE(D2835-C2835,1)-(D2835-C2835))),8)</f>
        <v/>
      </c>
      <c r="G2835" s="44">
        <f>TRUNC((E2835*F2835),8)</f>
        <v/>
      </c>
      <c r="H2835" s="44">
        <f>ROUND(((1+$H$4)^(30/360))^(C2835/(EDATE(D2835-B2835,1)-(D2835-B2835))),9)</f>
        <v/>
      </c>
      <c r="I2835" s="44">
        <f>TRUNC((G2835*H2835-G2835),8)</f>
        <v/>
      </c>
      <c r="J2835" s="49">
        <f>G2835+I2835</f>
        <v/>
      </c>
      <c r="K2835" s="256" t="n"/>
      <c r="L2835" s="256" t="n"/>
      <c r="M2835" s="256" t="n"/>
      <c r="N2835" s="256" t="n"/>
      <c r="O2835" s="256" t="n"/>
      <c r="P2835" s="256" t="n"/>
      <c r="Q2835" s="256" t="n"/>
    </row>
    <row r="2836">
      <c r="A2836">
        <f>IF(DAY(D2836)=DAY($L$1+1),A2835+1,A2835)</f>
        <v/>
      </c>
      <c r="B2836" s="46">
        <f>IF(DAY(D2836)=DAY($L$1+1),1,B2835+1)</f>
        <v/>
      </c>
      <c r="C2836" s="46">
        <f>IF(DAY(D2836)=DAY($L$1+1),1,C2835+1)</f>
        <v/>
      </c>
      <c r="D2836" s="2">
        <f>D2835+1</f>
        <v/>
      </c>
      <c r="E2836" s="8">
        <f>IF(DAY(D2836)=DAY($L$1+1),TRUNC((#REF!),8),E2835)</f>
        <v/>
      </c>
      <c r="F2836" s="49">
        <f>TRUNC(((1+VLOOKUP(A2836,IPCA!$A$2:$C$140,3,0)))^(C2836/(EDATE(D2836-C2836,1)-(D2836-C2836))),8)</f>
        <v/>
      </c>
      <c r="G2836" s="44">
        <f>TRUNC((E2836*F2836),8)</f>
        <v/>
      </c>
      <c r="H2836" s="44">
        <f>ROUND(((1+$H$4)^(30/360))^(C2836/(EDATE(D2836-B2836,1)-(D2836-B2836))),9)</f>
        <v/>
      </c>
      <c r="I2836" s="44">
        <f>TRUNC((G2836*H2836-G2836),8)</f>
        <v/>
      </c>
      <c r="J2836" s="49">
        <f>G2836+I2836</f>
        <v/>
      </c>
      <c r="K2836" s="256" t="n"/>
      <c r="L2836" s="256" t="n"/>
      <c r="M2836" s="256" t="n"/>
      <c r="N2836" s="256" t="n"/>
      <c r="O2836" s="256" t="n"/>
      <c r="P2836" s="256" t="n"/>
      <c r="Q2836" s="256" t="n"/>
    </row>
    <row r="2837">
      <c r="A2837">
        <f>IF(DAY(D2837)=DAY($L$1+1),A2836+1,A2836)</f>
        <v/>
      </c>
      <c r="B2837" s="1">
        <f>IF(DAY(D2837)=DAY($L$1+1),1,B2836+1)</f>
        <v/>
      </c>
      <c r="C2837" s="1">
        <f>IF(DAY(D2837)=DAY($L$1+1),1,C2836+1)</f>
        <v/>
      </c>
      <c r="D2837" s="2">
        <f>D2836+1</f>
        <v/>
      </c>
      <c r="E2837" s="8">
        <f>IF(DAY(D2837)=DAY($L$1+1),TRUNC((#REF!),8),E2836)</f>
        <v/>
      </c>
      <c r="F2837" s="49">
        <f>TRUNC(((1+VLOOKUP(A2837,IPCA!$A$2:$C$140,3,0)))^(C2837/(EDATE(D2837-C2837,1)-(D2837-C2837))),8)</f>
        <v/>
      </c>
      <c r="G2837" s="44">
        <f>TRUNC((E2837*F2837),8)</f>
        <v/>
      </c>
      <c r="H2837" s="44">
        <f>ROUND(((1+$H$4)^(30/360))^(C2837/(EDATE(D2837-B2837,1)-(D2837-B2837))),9)</f>
        <v/>
      </c>
      <c r="I2837" s="44">
        <f>TRUNC((G2837*H2837-G2837),8)</f>
        <v/>
      </c>
      <c r="J2837" s="49">
        <f>G2837+I2837</f>
        <v/>
      </c>
      <c r="K2837" s="256" t="n"/>
      <c r="L2837" s="256" t="n"/>
      <c r="M2837" s="256" t="n"/>
      <c r="N2837" s="256" t="n"/>
      <c r="O2837" s="256" t="n"/>
      <c r="P2837" s="256" t="n"/>
      <c r="Q2837" s="256" t="n"/>
    </row>
    <row r="2838">
      <c r="A2838">
        <f>IF(DAY(D2838)=DAY($L$1+1),A2837+1,A2837)</f>
        <v/>
      </c>
      <c r="B2838" s="46">
        <f>IF(DAY(D2838)=DAY($L$1+1),1,B2837+1)</f>
        <v/>
      </c>
      <c r="C2838" s="46">
        <f>IF(DAY(D2838)=DAY($L$1+1),1,C2837+1)</f>
        <v/>
      </c>
      <c r="D2838" s="2">
        <f>D2837+1</f>
        <v/>
      </c>
      <c r="E2838" s="8">
        <f>IF(DAY(D2838)=DAY($L$1+1),TRUNC((#REF!),8),E2837)</f>
        <v/>
      </c>
      <c r="F2838" s="49">
        <f>TRUNC(((1+VLOOKUP(A2838,IPCA!$A$2:$C$140,3,0)))^(C2838/(EDATE(D2838-C2838,1)-(D2838-C2838))),8)</f>
        <v/>
      </c>
      <c r="G2838" s="44">
        <f>TRUNC((E2838*F2838),8)</f>
        <v/>
      </c>
      <c r="H2838" s="44">
        <f>ROUND(((1+$H$4)^(30/360))^(C2838/(EDATE(D2838-B2838,1)-(D2838-B2838))),9)</f>
        <v/>
      </c>
      <c r="I2838" s="44">
        <f>TRUNC((G2838*H2838-G2838),8)</f>
        <v/>
      </c>
      <c r="J2838" s="49">
        <f>G2838+I2838</f>
        <v/>
      </c>
      <c r="K2838" s="256" t="n"/>
      <c r="L2838" s="256" t="n"/>
      <c r="M2838" s="256" t="n"/>
      <c r="N2838" s="256" t="n"/>
      <c r="O2838" s="256" t="n"/>
      <c r="P2838" s="256" t="n"/>
      <c r="Q2838" s="256" t="n"/>
    </row>
    <row r="2839">
      <c r="A2839">
        <f>IF(DAY(D2839)=DAY($L$1+1),A2838+1,A2838)</f>
        <v/>
      </c>
      <c r="B2839" s="1">
        <f>IF(DAY(D2839)=DAY($L$1+1),1,B2838+1)</f>
        <v/>
      </c>
      <c r="C2839" s="1">
        <f>IF(DAY(D2839)=DAY($L$1+1),1,C2838+1)</f>
        <v/>
      </c>
      <c r="D2839" s="2">
        <f>D2838+1</f>
        <v/>
      </c>
      <c r="E2839" s="8">
        <f>IF(DAY(D2839)=DAY($L$1+1),TRUNC((#REF!),8),E2838)</f>
        <v/>
      </c>
      <c r="F2839" s="49">
        <f>TRUNC(((1+VLOOKUP(A2839,IPCA!$A$2:$C$140,3,0)))^(C2839/(EDATE(D2839-C2839,1)-(D2839-C2839))),8)</f>
        <v/>
      </c>
      <c r="G2839" s="44">
        <f>TRUNC((E2839*F2839),8)</f>
        <v/>
      </c>
      <c r="H2839" s="44">
        <f>ROUND(((1+$H$4)^(30/360))^(C2839/(EDATE(D2839-B2839,1)-(D2839-B2839))),9)</f>
        <v/>
      </c>
      <c r="I2839" s="44">
        <f>TRUNC((G2839*H2839-G2839),8)</f>
        <v/>
      </c>
      <c r="J2839" s="49">
        <f>G2839+I2839</f>
        <v/>
      </c>
      <c r="K2839" s="256" t="n"/>
      <c r="L2839" s="256" t="n"/>
      <c r="M2839" s="256" t="n"/>
      <c r="N2839" s="256" t="n"/>
      <c r="O2839" s="256" t="n"/>
      <c r="P2839" s="256" t="n"/>
      <c r="Q2839" s="256" t="n"/>
    </row>
    <row r="2840">
      <c r="A2840">
        <f>IF(DAY(D2840)=DAY($L$1+1),A2839+1,A2839)</f>
        <v/>
      </c>
      <c r="B2840" s="46">
        <f>IF(DAY(D2840)=DAY($L$1+1),1,B2839+1)</f>
        <v/>
      </c>
      <c r="C2840" s="46">
        <f>IF(DAY(D2840)=DAY($L$1+1),1,C2839+1)</f>
        <v/>
      </c>
      <c r="D2840" s="2">
        <f>D2839+1</f>
        <v/>
      </c>
      <c r="E2840" s="8">
        <f>IF(DAY(D2840)=DAY($L$1+1),TRUNC((N2839),8),E2839)</f>
        <v/>
      </c>
      <c r="F2840" s="49">
        <f>TRUNC(((1+VLOOKUP(A2840,IPCA!$A$2:$C$140,3,0)))^(C2840/(EDATE(D2840-C2840,1)-(D2840-C2840))),8)</f>
        <v/>
      </c>
      <c r="G2840" s="44">
        <f>TRUNC((E2840*F2840),8)</f>
        <v/>
      </c>
      <c r="H2840" s="44">
        <f>ROUND(((1+$H$4)^(30/360))^(C2840/(EDATE(D2840-B2840,1)-(D2840-B2840))),9)</f>
        <v/>
      </c>
      <c r="I2840" s="44">
        <f>TRUNC((G2840*H2840-G2840),8)</f>
        <v/>
      </c>
      <c r="J2840" s="49">
        <f>G2840+I2840</f>
        <v/>
      </c>
      <c r="K2840" s="256" t="n"/>
      <c r="L2840" s="256" t="n"/>
      <c r="M2840" s="256" t="n"/>
      <c r="N2840" s="256" t="n"/>
      <c r="O2840" s="256" t="n"/>
      <c r="P2840" s="256" t="n"/>
      <c r="Q2840" s="256" t="n"/>
    </row>
    <row r="2841">
      <c r="A2841">
        <f>IF(DAY(D2841)=DAY($L$1+1),A2840+1,A2840)</f>
        <v/>
      </c>
      <c r="B2841" s="1">
        <f>IF(DAY(D2841)=DAY($L$1+1),1,B2840+1)</f>
        <v/>
      </c>
      <c r="C2841" s="1">
        <f>IF(DAY(D2841)=DAY($L$1+1),1,C2840+1)</f>
        <v/>
      </c>
      <c r="D2841" s="2">
        <f>D2840+1</f>
        <v/>
      </c>
      <c r="E2841" s="8">
        <f>IF(DAY(D2841)=DAY($L$1+1),TRUNC((N2840),8),E2840)</f>
        <v/>
      </c>
      <c r="F2841" s="49">
        <f>TRUNC(((1+VLOOKUP(A2841,IPCA!$A$2:$C$140,3,0)))^(C2841/(EDATE(D2841-C2841,1)-(D2841-C2841))),8)</f>
        <v/>
      </c>
      <c r="G2841" s="44">
        <f>TRUNC((E2841*F2841),8)</f>
        <v/>
      </c>
      <c r="H2841" s="44">
        <f>ROUND(((1+$H$4)^(30/360))^(C2841/(EDATE(D2841-B2841,1)-(D2841-B2841))),9)</f>
        <v/>
      </c>
      <c r="I2841" s="44">
        <f>TRUNC((G2841*H2841-G2841),8)</f>
        <v/>
      </c>
      <c r="J2841" s="49">
        <f>G2841+I2841</f>
        <v/>
      </c>
      <c r="K2841" s="256" t="n"/>
      <c r="L2841" s="256" t="n"/>
      <c r="M2841" s="256" t="n"/>
      <c r="N2841" s="256" t="n"/>
      <c r="O2841" s="256" t="n"/>
      <c r="P2841" s="256" t="n"/>
      <c r="Q2841" s="256" t="n"/>
    </row>
    <row r="2842">
      <c r="A2842">
        <f>IF(DAY(D2842)=DAY($L$1+1),A2841+1,A2841)</f>
        <v/>
      </c>
      <c r="B2842" s="46">
        <f>IF(DAY(D2842)=DAY($L$1+1),1,B2841+1)</f>
        <v/>
      </c>
      <c r="C2842" s="46">
        <f>IF(DAY(D2842)=DAY($L$1+1),1,C2841+1)</f>
        <v/>
      </c>
      <c r="D2842" s="2">
        <f>D2841+1</f>
        <v/>
      </c>
      <c r="E2842" s="8">
        <f>IF(DAY(D2842)=DAY($L$1+1),TRUNC((N2841),8),E2841)</f>
        <v/>
      </c>
      <c r="F2842" s="49">
        <f>TRUNC(((1+VLOOKUP(A2842,IPCA!$A$2:$C$140,3,0)))^(C2842/(EDATE(D2842-C2842,1)-(D2842-C2842))),8)</f>
        <v/>
      </c>
      <c r="G2842" s="44">
        <f>TRUNC((E2842*F2842),8)</f>
        <v/>
      </c>
      <c r="H2842" s="44">
        <f>ROUND(((1+$H$4)^(30/360))^(C2842/(EDATE(D2842-B2842,1)-(D2842-B2842))),9)</f>
        <v/>
      </c>
      <c r="I2842" s="44">
        <f>TRUNC((G2842*H2842-G2842),8)</f>
        <v/>
      </c>
      <c r="J2842" s="49">
        <f>G2842+I2842</f>
        <v/>
      </c>
      <c r="K2842" s="256" t="n"/>
      <c r="L2842" s="256" t="n"/>
      <c r="M2842" s="256" t="n"/>
      <c r="N2842" s="256" t="n"/>
      <c r="O2842" s="256" t="n"/>
      <c r="P2842" s="256" t="n"/>
      <c r="Q2842" s="256" t="n"/>
    </row>
    <row r="2843">
      <c r="A2843">
        <f>IF(DAY(D2843)=DAY($L$1+1),A2842+1,A2842)</f>
        <v/>
      </c>
      <c r="B2843" s="1">
        <f>IF(DAY(D2843)=DAY($L$1+1),1,B2842+1)</f>
        <v/>
      </c>
      <c r="C2843" s="1">
        <f>IF(DAY(D2843)=DAY($L$1+1),1,C2842+1)</f>
        <v/>
      </c>
      <c r="D2843" s="2">
        <f>D2842+1</f>
        <v/>
      </c>
      <c r="E2843" s="8">
        <f>IF(DAY(D2843)=DAY($L$1+1),TRUNC((N2842),8),E2842)</f>
        <v/>
      </c>
      <c r="F2843" s="49">
        <f>TRUNC(((1+VLOOKUP(A2843,IPCA!$A$2:$C$140,3,0)))^(C2843/(EDATE(D2843-C2843,1)-(D2843-C2843))),8)</f>
        <v/>
      </c>
      <c r="G2843" s="44">
        <f>TRUNC((E2843*F2843),8)</f>
        <v/>
      </c>
      <c r="H2843" s="44">
        <f>ROUND(((1+$H$4)^(30/360))^(C2843/(EDATE(D2843-B2843,1)-(D2843-B2843))),9)</f>
        <v/>
      </c>
      <c r="I2843" s="44">
        <f>TRUNC((G2843*H2843-G2843),8)</f>
        <v/>
      </c>
      <c r="J2843" s="49">
        <f>G2843+I2843</f>
        <v/>
      </c>
      <c r="K2843" s="256" t="n"/>
      <c r="L2843" s="256" t="n"/>
      <c r="M2843" s="256" t="n"/>
      <c r="N2843" s="256" t="n"/>
      <c r="O2843" s="256" t="n"/>
      <c r="P2843" s="256" t="n"/>
      <c r="Q2843" s="256" t="n"/>
    </row>
    <row r="2844">
      <c r="A2844">
        <f>IF(DAY(D2844)=DAY($L$1+1),A2843+1,A2843)</f>
        <v/>
      </c>
      <c r="B2844" s="46">
        <f>IF(DAY(D2844)=DAY($L$1+1),1,B2843+1)</f>
        <v/>
      </c>
      <c r="C2844" s="46">
        <f>IF(DAY(D2844)=DAY($L$1+1),1,C2843+1)</f>
        <v/>
      </c>
      <c r="D2844" s="2">
        <f>D2843+1</f>
        <v/>
      </c>
      <c r="E2844" s="8">
        <f>IF(DAY(D2844)=DAY($L$1+1),TRUNC((N2843),8),E2843)</f>
        <v/>
      </c>
      <c r="F2844" s="49">
        <f>TRUNC(((1+VLOOKUP(A2844,IPCA!$A$2:$C$140,3,0)))^(C2844/(EDATE(D2844-C2844,1)-(D2844-C2844))),8)</f>
        <v/>
      </c>
      <c r="G2844" s="44">
        <f>TRUNC((E2844*F2844),8)</f>
        <v/>
      </c>
      <c r="H2844" s="44">
        <f>ROUND(((1+$H$4)^(30/360))^(C2844/(EDATE(D2844-B2844,1)-(D2844-B2844))),9)</f>
        <v/>
      </c>
      <c r="I2844" s="44">
        <f>TRUNC((G2844*H2844-G2844),8)</f>
        <v/>
      </c>
      <c r="J2844" s="49">
        <f>G2844+I2844</f>
        <v/>
      </c>
      <c r="K2844" s="256" t="n"/>
      <c r="L2844" s="256" t="n"/>
      <c r="M2844" s="256" t="n"/>
      <c r="N2844" s="256" t="n"/>
      <c r="O2844" s="256" t="n"/>
      <c r="P2844" s="256" t="n"/>
      <c r="Q2844" s="256" t="n"/>
    </row>
    <row r="2845">
      <c r="A2845">
        <f>IF(DAY(D2845)=DAY($L$1+1),A2844+1,A2844)</f>
        <v/>
      </c>
      <c r="B2845" s="1">
        <f>IF(DAY(D2845)=DAY($L$1+1),1,B2844+1)</f>
        <v/>
      </c>
      <c r="C2845" s="1">
        <f>IF(DAY(D2845)=DAY($L$1+1),1,C2844+1)</f>
        <v/>
      </c>
      <c r="D2845" s="2">
        <f>D2844+1</f>
        <v/>
      </c>
      <c r="E2845" s="8">
        <f>IF(DAY(D2845)=DAY($L$1+1),TRUNC((N2844),8),E2844)</f>
        <v/>
      </c>
      <c r="F2845" s="49">
        <f>TRUNC(((1+VLOOKUP(A2845,IPCA!$A$2:$C$140,3,0)))^(C2845/(EDATE(D2845-C2845,1)-(D2845-C2845))),8)</f>
        <v/>
      </c>
      <c r="G2845" s="44">
        <f>TRUNC((E2845*F2845),8)</f>
        <v/>
      </c>
      <c r="H2845" s="44">
        <f>ROUND(((1+$H$4)^(30/360))^(C2845/(EDATE(D2845-B2845,1)-(D2845-B2845))),9)</f>
        <v/>
      </c>
      <c r="I2845" s="44">
        <f>TRUNC((G2845*H2845-G2845),8)</f>
        <v/>
      </c>
      <c r="J2845" s="49">
        <f>G2845+I2845</f>
        <v/>
      </c>
      <c r="K2845" s="256" t="n"/>
      <c r="L2845" s="256" t="n"/>
      <c r="M2845" s="256" t="n"/>
      <c r="N2845" s="256" t="n"/>
      <c r="O2845" s="256" t="n"/>
      <c r="P2845" s="256" t="n"/>
      <c r="Q2845" s="256" t="n"/>
    </row>
    <row r="2846">
      <c r="A2846">
        <f>IF(DAY(D2846)=DAY($L$1+1),A2845+1,A2845)</f>
        <v/>
      </c>
      <c r="B2846" s="46">
        <f>IF(DAY(D2846)=DAY($L$1+1),1,B2845+1)</f>
        <v/>
      </c>
      <c r="C2846" s="46">
        <f>IF(DAY(D2846)=DAY($L$1+1),1,C2845+1)</f>
        <v/>
      </c>
      <c r="D2846" s="2">
        <f>D2845+1</f>
        <v/>
      </c>
      <c r="E2846" s="8">
        <f>IF(DAY(D2846)=DAY($L$1+1),TRUNC((N2845),8),E2845)</f>
        <v/>
      </c>
      <c r="F2846" s="49">
        <f>TRUNC(((1+VLOOKUP(A2846,IPCA!$A$2:$C$140,3,0)))^(C2846/(EDATE(D2846-C2846,1)-(D2846-C2846))),8)</f>
        <v/>
      </c>
      <c r="G2846" s="44">
        <f>TRUNC((E2846*F2846),8)</f>
        <v/>
      </c>
      <c r="H2846" s="44">
        <f>ROUND(((1+$H$4)^(30/360))^(C2846/(EDATE(D2846-B2846,1)-(D2846-B2846))),9)</f>
        <v/>
      </c>
      <c r="I2846" s="44">
        <f>TRUNC((G2846*H2846-G2846),8)</f>
        <v/>
      </c>
      <c r="J2846" s="49">
        <f>G2846+I2846</f>
        <v/>
      </c>
      <c r="K2846" s="256" t="n"/>
      <c r="L2846" s="256" t="n"/>
      <c r="M2846" s="256" t="n"/>
      <c r="N2846" s="256" t="n"/>
      <c r="O2846" s="256" t="n"/>
      <c r="P2846" s="256" t="n"/>
      <c r="Q2846" s="256" t="n"/>
    </row>
    <row r="2847">
      <c r="A2847">
        <f>IF(DAY(D2847)=DAY($L$1+1),A2846+1,A2846)</f>
        <v/>
      </c>
      <c r="B2847" s="1">
        <f>IF(DAY(D2847)=DAY($L$1+1),1,B2846+1)</f>
        <v/>
      </c>
      <c r="C2847" s="1">
        <f>IF(DAY(D2847)=DAY($L$1+1),1,C2846+1)</f>
        <v/>
      </c>
      <c r="D2847" s="2">
        <f>D2846+1</f>
        <v/>
      </c>
      <c r="E2847" s="8">
        <f>IF(DAY(D2847)=DAY($L$1+1),TRUNC((N2846),8),E2846)</f>
        <v/>
      </c>
      <c r="F2847" s="49">
        <f>TRUNC(((1+VLOOKUP(A2847,IPCA!$A$2:$C$140,3,0)))^(C2847/(EDATE(D2847-C2847,1)-(D2847-C2847))),8)</f>
        <v/>
      </c>
      <c r="G2847" s="44">
        <f>TRUNC((E2847*F2847),8)</f>
        <v/>
      </c>
      <c r="H2847" s="44">
        <f>ROUND(((1+$H$4)^(30/360))^(C2847/(EDATE(D2847-B2847,1)-(D2847-B2847))),9)</f>
        <v/>
      </c>
      <c r="I2847" s="44">
        <f>TRUNC((G2847*H2847-G2847),8)</f>
        <v/>
      </c>
      <c r="J2847" s="49">
        <f>G2847+I2847</f>
        <v/>
      </c>
      <c r="K2847" s="256" t="n"/>
      <c r="L2847" s="256" t="n"/>
      <c r="M2847" s="256" t="n"/>
      <c r="N2847" s="256" t="n"/>
      <c r="O2847" s="256" t="n"/>
      <c r="P2847" s="256" t="n"/>
      <c r="Q2847" s="256" t="n"/>
    </row>
    <row r="2848">
      <c r="A2848">
        <f>IF(DAY(D2848)=DAY($L$1+1),A2847+1,A2847)</f>
        <v/>
      </c>
      <c r="B2848" s="46">
        <f>IF(DAY(D2848)=DAY($L$1+1),1,B2847+1)</f>
        <v/>
      </c>
      <c r="C2848" s="46">
        <f>IF(DAY(D2848)=DAY($L$1+1),1,C2847+1)</f>
        <v/>
      </c>
      <c r="D2848" s="2">
        <f>D2847+1</f>
        <v/>
      </c>
      <c r="E2848" s="8">
        <f>IF(DAY(D2848)=DAY($L$1+1),TRUNC((N2847),8),E2847)</f>
        <v/>
      </c>
      <c r="F2848" s="49">
        <f>TRUNC(((1+VLOOKUP(A2848,IPCA!$A$2:$C$140,3,0)))^(C2848/(EDATE(D2848-C2848,1)-(D2848-C2848))),8)</f>
        <v/>
      </c>
      <c r="G2848" s="49">
        <f>TRUNC((E2848*F2848),8)</f>
        <v/>
      </c>
      <c r="H2848" s="49">
        <f>ROUND(((1+$H$4)^(30/360))^(C2848/(EDATE(D2848-B2848,1)-(D2848-B2848))),9)</f>
        <v/>
      </c>
      <c r="I2848" s="49">
        <f>TRUNC((G2848*H2848-G2848),8)</f>
        <v/>
      </c>
      <c r="J2848" s="49">
        <f>G2848+I2848</f>
        <v/>
      </c>
      <c r="K2848" s="256" t="inlineStr">
        <is>
          <t>Cri Integralizado</t>
        </is>
      </c>
      <c r="L2848" s="270">
        <f>L2817</f>
        <v/>
      </c>
      <c r="M2848" s="256" t="n"/>
      <c r="N2848" s="256" t="n"/>
      <c r="O2848" s="256" t="n"/>
      <c r="P2848" s="256" t="n"/>
      <c r="Q2848" s="256" t="n"/>
    </row>
    <row r="2849">
      <c r="A2849">
        <f>IF(DAY(D2849)=DAY($L$1+1),A2848+1,A2848)</f>
        <v/>
      </c>
      <c r="B2849" s="46">
        <f>IF(DAY(D2849)=DAY($L$1+1),1,B2848+1)</f>
        <v/>
      </c>
      <c r="C2849" s="46">
        <f>IF(DAY(D2849)=DAY($L$1+1),1,C2848+1)</f>
        <v/>
      </c>
      <c r="D2849" s="47">
        <f>D2848+1</f>
        <v/>
      </c>
      <c r="E2849" s="8">
        <f>IF(DAY(D2849)=DAY($L$1+1),TRUNC((N2848),8),E2848)</f>
        <v/>
      </c>
      <c r="F2849" s="49">
        <f>TRUNC(((1+VLOOKUP(A2849,IPCA!$A$2:$C$140,3,0)))^(C2849/(EDATE(D2849-C2849,1)-(D2849-C2849))),8)</f>
        <v/>
      </c>
      <c r="G2849" s="49">
        <f>TRUNC((E2849*F2849),8)</f>
        <v/>
      </c>
      <c r="H2849" s="49">
        <f>ROUND(((1+$H$4)^(30/360))^(C2849/(EDATE(D2849-B2849,1)-(D2849-B2849))),9)</f>
        <v/>
      </c>
      <c r="I2849" s="49">
        <f>TRUNC((G2849*H2849-G2849),8)</f>
        <v/>
      </c>
      <c r="J2849" s="49">
        <f>G2849+I2849</f>
        <v/>
      </c>
      <c r="K2849" s="137" t="inlineStr">
        <is>
          <t>JUROS</t>
        </is>
      </c>
      <c r="L2849" s="118" t="inlineStr">
        <is>
          <t>AMORTIZAÇÃO</t>
        </is>
      </c>
      <c r="M2849" s="118" t="inlineStr">
        <is>
          <t>AMEX</t>
        </is>
      </c>
      <c r="N2849" s="118" t="inlineStr">
        <is>
          <t>RESIDUAL</t>
        </is>
      </c>
      <c r="O2849" s="256" t="n"/>
      <c r="P2849" s="256" t="n"/>
      <c r="Q2849" s="256" t="n"/>
    </row>
    <row r="2850">
      <c r="A2850">
        <f>IF(DAY(D2850)=DAY($L$1+1),A2849+1,A2849)</f>
        <v/>
      </c>
      <c r="B2850" s="111">
        <f>IF(DAY(D2850)=DAY($L$1+1),1,B2849+1)</f>
        <v/>
      </c>
      <c r="C2850" s="111">
        <f>IF(DAY(D2850)=DAY($L$1+1),1,C2849+1)</f>
        <v/>
      </c>
      <c r="D2850" s="112">
        <f>D2849+1</f>
        <v/>
      </c>
      <c r="E2850" s="113">
        <f>IF(DAY(D2850)=DAY($L$1+1),TRUNC((N2849),8),E2849)</f>
        <v/>
      </c>
      <c r="F2850" s="114">
        <f>TRUNC(((1+VLOOKUP(A2850,IPCA!$A$2:$C$140,3,0)))^(C2850/(EDATE(D2850-C2850,1)-(D2850-C2850))),8)</f>
        <v/>
      </c>
      <c r="G2850" s="114">
        <f>TRUNC((E2850*F2850),8)</f>
        <v/>
      </c>
      <c r="H2850" s="114">
        <f>ROUND(((1+$H$4)^(30/360))^(C2850/(EDATE(D2850-B2850,1)-(D2850-B2850))),9)</f>
        <v/>
      </c>
      <c r="I2850" s="114">
        <f>TRUNC((G2850*H2850-G2850),8)</f>
        <v/>
      </c>
      <c r="J2850" s="114">
        <f>G2850+I2850</f>
        <v/>
      </c>
      <c r="K2850" s="119">
        <f>I2850</f>
        <v/>
      </c>
      <c r="L2850" s="120">
        <f>TRUNC(G2850*VLOOKUP(D2850,'Amort TS'!$G$3:$H$140,2,0),8)</f>
        <v/>
      </c>
      <c r="M2850" s="120" t="n">
        <v>0</v>
      </c>
      <c r="N2850" s="120">
        <f>J2850-K2850-L2850-M2850</f>
        <v/>
      </c>
      <c r="O2850" s="256" t="n"/>
      <c r="P2850" s="256" t="n"/>
      <c r="Q2850" s="256" t="n"/>
    </row>
    <row r="2851">
      <c r="A2851">
        <f>IF(DAY(D2851)=DAY($L$1+1),A2850+1,A2850)</f>
        <v/>
      </c>
      <c r="B2851" s="46">
        <f>IF(DAY(D2851)=DAY($L$1+1),1,B2850+1)</f>
        <v/>
      </c>
      <c r="C2851" s="46">
        <f>IF(DAY(D2851)=DAY($L$1+1),1,C2850+1)</f>
        <v/>
      </c>
      <c r="D2851" s="2">
        <f>D2850+1</f>
        <v/>
      </c>
      <c r="E2851" s="8">
        <f>IF(DAY(D2851)=DAY($L$1+1),TRUNC((N2850),8),E2850)</f>
        <v/>
      </c>
      <c r="F2851" s="49">
        <f>TRUNC(((1+VLOOKUP(A2851,IPCA!$A$2:$C$140,3,0)))^(C2851/(EDATE(D2851-C2851,1)-(D2851-C2851))),8)</f>
        <v/>
      </c>
      <c r="G2851" s="49">
        <f>TRUNC((E2851*F2851),8)</f>
        <v/>
      </c>
      <c r="H2851" s="49">
        <f>ROUND(((1+$H$4)^(30/360))^(C2851/(EDATE(D2851-B2851,1)-(D2851-B2851))),9)</f>
        <v/>
      </c>
      <c r="I2851" s="49">
        <f>TRUNC((G2851*H2851-G2851),8)</f>
        <v/>
      </c>
      <c r="J2851" s="49">
        <f>G2851+I2851</f>
        <v/>
      </c>
      <c r="K2851" s="121">
        <f>K2850*L2848</f>
        <v/>
      </c>
      <c r="L2851" s="121">
        <f>L2850*L2848</f>
        <v/>
      </c>
      <c r="M2851" s="121">
        <f>M2850*L2848</f>
        <v/>
      </c>
      <c r="N2851" s="121">
        <f>N2850*L2848</f>
        <v/>
      </c>
      <c r="O2851" s="256" t="n"/>
      <c r="P2851" s="256" t="n"/>
      <c r="Q2851" s="256" t="n"/>
    </row>
    <row r="2852">
      <c r="A2852">
        <f>IF(DAY(D2852)=DAY($L$1+1),A2851+1,A2851)</f>
        <v/>
      </c>
      <c r="B2852" s="46">
        <f>IF(DAY(D2852)=DAY($L$1+1),1,B2851+1)</f>
        <v/>
      </c>
      <c r="C2852" s="46">
        <f>IF(DAY(D2852)=DAY($L$1+1),1,C2851+1)</f>
        <v/>
      </c>
      <c r="D2852" s="47">
        <f>D2851+1</f>
        <v/>
      </c>
      <c r="E2852" s="8">
        <f>IF(DAY(D2852)=DAY($L$1+1),TRUNC((N2851),8),E2851)</f>
        <v/>
      </c>
      <c r="F2852" s="49">
        <f>TRUNC(((1+VLOOKUP(A2852,IPCA!$A$2:$C$140,3,0)))^(C2852/(EDATE(D2852-C2852,1)-(D2852-C2852))),8)</f>
        <v/>
      </c>
      <c r="G2852" s="49">
        <f>TRUNC((E2852*F2852),8)</f>
        <v/>
      </c>
      <c r="H2852" s="49">
        <f>ROUND(((1+$H$4)^(30/360))^(C2852/(EDATE(D2852-B2852,1)-(D2852-B2852))),9)</f>
        <v/>
      </c>
      <c r="I2852" s="49">
        <f>TRUNC((G2852*H2852-G2852),8)</f>
        <v/>
      </c>
      <c r="J2852" s="49">
        <f>G2852+I2852</f>
        <v/>
      </c>
      <c r="K2852" s="256" t="n"/>
      <c r="L2852" s="256" t="n"/>
      <c r="M2852" s="256" t="n"/>
      <c r="N2852" s="256" t="n"/>
      <c r="O2852" s="256" t="n"/>
      <c r="P2852" s="256" t="n"/>
      <c r="Q2852" s="256" t="n"/>
    </row>
    <row r="2853">
      <c r="A2853">
        <f>IF(DAY(D2853)=DAY($L$1+1),A2852+1,A2852)</f>
        <v/>
      </c>
      <c r="B2853" s="1">
        <f>IF(DAY(D2853)=DAY($L$1+1),1,B2852+1)</f>
        <v/>
      </c>
      <c r="C2853" s="1">
        <f>IF(DAY(D2853)=DAY($L$1+1),1,C2852+1)</f>
        <v/>
      </c>
      <c r="D2853" s="2">
        <f>D2852+1</f>
        <v/>
      </c>
      <c r="E2853" s="8">
        <f>IF(DAY(D2853)=DAY($L$1+1),TRUNC((#REF!),8),E2852)</f>
        <v/>
      </c>
      <c r="F2853" s="49">
        <f>TRUNC(((1+VLOOKUP(A2853,IPCA!$A$2:$C$140,3,0)))^(C2853/(EDATE(D2853-C2853,1)-(D2853-C2853))),8)</f>
        <v/>
      </c>
      <c r="G2853" s="44">
        <f>TRUNC((E2853*F2853),8)</f>
        <v/>
      </c>
      <c r="H2853" s="44">
        <f>ROUND(((1+$H$4)^(30/360))^(C2853/(EDATE(D2853-B2853,1)-(D2853-B2853))),9)</f>
        <v/>
      </c>
      <c r="I2853" s="44">
        <f>TRUNC((G2853*H2853-G2853),8)</f>
        <v/>
      </c>
      <c r="J2853" s="49">
        <f>G2853+I2853</f>
        <v/>
      </c>
      <c r="K2853" s="256" t="n"/>
      <c r="L2853" s="256" t="n"/>
      <c r="M2853" s="256" t="n"/>
      <c r="N2853" s="256" t="n"/>
      <c r="O2853" s="256" t="n"/>
      <c r="P2853" s="256" t="n"/>
      <c r="Q2853" s="256" t="n"/>
    </row>
    <row r="2854">
      <c r="A2854">
        <f>IF(DAY(D2854)=DAY($L$1+1),A2853+1,A2853)</f>
        <v/>
      </c>
      <c r="B2854" s="46">
        <f>IF(DAY(D2854)=DAY($L$1+1),1,B2853+1)</f>
        <v/>
      </c>
      <c r="C2854" s="46">
        <f>IF(DAY(D2854)=DAY($L$1+1),1,C2853+1)</f>
        <v/>
      </c>
      <c r="D2854" s="2">
        <f>D2853+1</f>
        <v/>
      </c>
      <c r="E2854" s="8">
        <f>IF(DAY(D2854)=DAY($L$1+1),TRUNC((#REF!),8),E2853)</f>
        <v/>
      </c>
      <c r="F2854" s="49">
        <f>TRUNC(((1+VLOOKUP(A2854,IPCA!$A$2:$C$140,3,0)))^(C2854/(EDATE(D2854-C2854,1)-(D2854-C2854))),8)</f>
        <v/>
      </c>
      <c r="G2854" s="44">
        <f>TRUNC((E2854*F2854),8)</f>
        <v/>
      </c>
      <c r="H2854" s="44">
        <f>ROUND(((1+$H$4)^(30/360))^(C2854/(EDATE(D2854-B2854,1)-(D2854-B2854))),9)</f>
        <v/>
      </c>
      <c r="I2854" s="44">
        <f>TRUNC((G2854*H2854-G2854),8)</f>
        <v/>
      </c>
      <c r="J2854" s="49">
        <f>G2854+I2854</f>
        <v/>
      </c>
      <c r="K2854" s="256" t="n"/>
      <c r="L2854" s="256" t="n"/>
      <c r="M2854" s="256" t="n"/>
      <c r="N2854" s="256" t="n"/>
      <c r="O2854" s="256" t="n"/>
      <c r="P2854" s="256" t="n"/>
      <c r="Q2854" s="256" t="n"/>
    </row>
    <row r="2855">
      <c r="A2855">
        <f>IF(DAY(D2855)=DAY($L$1+1),A2854+1,A2854)</f>
        <v/>
      </c>
      <c r="B2855" s="1">
        <f>IF(DAY(D2855)=DAY($L$1+1),1,B2854+1)</f>
        <v/>
      </c>
      <c r="C2855" s="1">
        <f>IF(DAY(D2855)=DAY($L$1+1),1,C2854+1)</f>
        <v/>
      </c>
      <c r="D2855" s="2">
        <f>D2854+1</f>
        <v/>
      </c>
      <c r="E2855" s="8">
        <f>IF(DAY(D2855)=DAY($L$1+1),TRUNC((#REF!),8),E2854)</f>
        <v/>
      </c>
      <c r="F2855" s="49">
        <f>TRUNC(((1+VLOOKUP(A2855,IPCA!$A$2:$C$140,3,0)))^(C2855/(EDATE(D2855-C2855,1)-(D2855-C2855))),8)</f>
        <v/>
      </c>
      <c r="G2855" s="44">
        <f>TRUNC((E2855*F2855),8)</f>
        <v/>
      </c>
      <c r="H2855" s="44">
        <f>ROUND(((1+$H$4)^(30/360))^(C2855/(EDATE(D2855-B2855,1)-(D2855-B2855))),9)</f>
        <v/>
      </c>
      <c r="I2855" s="44">
        <f>TRUNC((G2855*H2855-G2855),8)</f>
        <v/>
      </c>
      <c r="J2855" s="49">
        <f>G2855+I2855</f>
        <v/>
      </c>
      <c r="K2855" s="256" t="n"/>
      <c r="L2855" s="256" t="n"/>
      <c r="M2855" s="256" t="n"/>
      <c r="N2855" s="256" t="n"/>
      <c r="O2855" s="256" t="n"/>
      <c r="P2855" s="256" t="n"/>
      <c r="Q2855" s="256" t="n"/>
    </row>
    <row r="2856">
      <c r="A2856">
        <f>IF(DAY(D2856)=DAY($L$1+1),A2855+1,A2855)</f>
        <v/>
      </c>
      <c r="B2856" s="46">
        <f>IF(DAY(D2856)=DAY($L$1+1),1,B2855+1)</f>
        <v/>
      </c>
      <c r="C2856" s="46">
        <f>IF(DAY(D2856)=DAY($L$1+1),1,C2855+1)</f>
        <v/>
      </c>
      <c r="D2856" s="2">
        <f>D2855+1</f>
        <v/>
      </c>
      <c r="E2856" s="8">
        <f>IF(DAY(D2856)=DAY($L$1+1),TRUNC((#REF!),8),E2855)</f>
        <v/>
      </c>
      <c r="F2856" s="49">
        <f>TRUNC(((1+VLOOKUP(A2856,IPCA!$A$2:$C$140,3,0)))^(C2856/(EDATE(D2856-C2856,1)-(D2856-C2856))),8)</f>
        <v/>
      </c>
      <c r="G2856" s="44">
        <f>TRUNC((E2856*F2856),8)</f>
        <v/>
      </c>
      <c r="H2856" s="44">
        <f>ROUND(((1+$H$4)^(30/360))^(C2856/(EDATE(D2856-B2856,1)-(D2856-B2856))),9)</f>
        <v/>
      </c>
      <c r="I2856" s="44">
        <f>TRUNC((G2856*H2856-G2856),8)</f>
        <v/>
      </c>
      <c r="J2856" s="49">
        <f>G2856+I2856</f>
        <v/>
      </c>
      <c r="K2856" s="256" t="n"/>
      <c r="L2856" s="256" t="n"/>
      <c r="M2856" s="256" t="n"/>
      <c r="N2856" s="256" t="n"/>
      <c r="O2856" s="256" t="n"/>
      <c r="P2856" s="256" t="n"/>
      <c r="Q2856" s="256" t="n"/>
    </row>
    <row r="2857">
      <c r="A2857">
        <f>IF(DAY(D2857)=DAY($L$1+1),A2856+1,A2856)</f>
        <v/>
      </c>
      <c r="B2857" s="1">
        <f>IF(DAY(D2857)=DAY($L$1+1),1,B2856+1)</f>
        <v/>
      </c>
      <c r="C2857" s="1">
        <f>IF(DAY(D2857)=DAY($L$1+1),1,C2856+1)</f>
        <v/>
      </c>
      <c r="D2857" s="2">
        <f>D2856+1</f>
        <v/>
      </c>
      <c r="E2857" s="8">
        <f>IF(DAY(D2857)=DAY($L$1+1),TRUNC((#REF!),8),E2856)</f>
        <v/>
      </c>
      <c r="F2857" s="49">
        <f>TRUNC(((1+VLOOKUP(A2857,IPCA!$A$2:$C$140,3,0)))^(C2857/(EDATE(D2857-C2857,1)-(D2857-C2857))),8)</f>
        <v/>
      </c>
      <c r="G2857" s="44">
        <f>TRUNC((E2857*F2857),8)</f>
        <v/>
      </c>
      <c r="H2857" s="44">
        <f>ROUND(((1+$H$4)^(30/360))^(C2857/(EDATE(D2857-B2857,1)-(D2857-B2857))),9)</f>
        <v/>
      </c>
      <c r="I2857" s="44">
        <f>TRUNC((G2857*H2857-G2857),8)</f>
        <v/>
      </c>
      <c r="J2857" s="49">
        <f>G2857+I2857</f>
        <v/>
      </c>
      <c r="K2857" s="256" t="n"/>
      <c r="L2857" s="256" t="n"/>
      <c r="M2857" s="256" t="n"/>
      <c r="N2857" s="256" t="n"/>
      <c r="O2857" s="256" t="n"/>
      <c r="P2857" s="256" t="n"/>
      <c r="Q2857" s="256" t="n"/>
    </row>
    <row r="2858">
      <c r="A2858">
        <f>IF(DAY(D2858)=DAY($L$1+1),A2857+1,A2857)</f>
        <v/>
      </c>
      <c r="B2858" s="46">
        <f>IF(DAY(D2858)=DAY($L$1+1),1,B2857+1)</f>
        <v/>
      </c>
      <c r="C2858" s="46">
        <f>IF(DAY(D2858)=DAY($L$1+1),1,C2857+1)</f>
        <v/>
      </c>
      <c r="D2858" s="2">
        <f>D2857+1</f>
        <v/>
      </c>
      <c r="E2858" s="8">
        <f>IF(DAY(D2858)=DAY($L$1+1),TRUNC((#REF!),8),E2857)</f>
        <v/>
      </c>
      <c r="F2858" s="49">
        <f>TRUNC(((1+VLOOKUP(A2858,IPCA!$A$2:$C$140,3,0)))^(C2858/(EDATE(D2858-C2858,1)-(D2858-C2858))),8)</f>
        <v/>
      </c>
      <c r="G2858" s="44">
        <f>TRUNC((E2858*F2858),8)</f>
        <v/>
      </c>
      <c r="H2858" s="44">
        <f>ROUND(((1+$H$4)^(30/360))^(C2858/(EDATE(D2858-B2858,1)-(D2858-B2858))),9)</f>
        <v/>
      </c>
      <c r="I2858" s="44">
        <f>TRUNC((G2858*H2858-G2858),8)</f>
        <v/>
      </c>
      <c r="J2858" s="49">
        <f>G2858+I2858</f>
        <v/>
      </c>
      <c r="K2858" s="256" t="n"/>
      <c r="L2858" s="256" t="n"/>
      <c r="M2858" s="256" t="n"/>
      <c r="N2858" s="256" t="n"/>
      <c r="O2858" s="256" t="n"/>
      <c r="P2858" s="256" t="n"/>
      <c r="Q2858" s="256" t="n"/>
    </row>
    <row r="2859">
      <c r="A2859">
        <f>IF(DAY(D2859)=DAY($L$1+1),A2858+1,A2858)</f>
        <v/>
      </c>
      <c r="B2859" s="1">
        <f>IF(DAY(D2859)=DAY($L$1+1),1,B2858+1)</f>
        <v/>
      </c>
      <c r="C2859" s="1">
        <f>IF(DAY(D2859)=DAY($L$1+1),1,C2858+1)</f>
        <v/>
      </c>
      <c r="D2859" s="2">
        <f>D2858+1</f>
        <v/>
      </c>
      <c r="E2859" s="8">
        <f>IF(DAY(D2859)=DAY($L$1+1),TRUNC((#REF!),8),E2858)</f>
        <v/>
      </c>
      <c r="F2859" s="49">
        <f>TRUNC(((1+VLOOKUP(A2859,IPCA!$A$2:$C$140,3,0)))^(C2859/(EDATE(D2859-C2859,1)-(D2859-C2859))),8)</f>
        <v/>
      </c>
      <c r="G2859" s="44">
        <f>TRUNC((E2859*F2859),8)</f>
        <v/>
      </c>
      <c r="H2859" s="44">
        <f>ROUND(((1+$H$4)^(30/360))^(C2859/(EDATE(D2859-B2859,1)-(D2859-B2859))),9)</f>
        <v/>
      </c>
      <c r="I2859" s="44">
        <f>TRUNC((G2859*H2859-G2859),8)</f>
        <v/>
      </c>
      <c r="J2859" s="49">
        <f>G2859+I2859</f>
        <v/>
      </c>
      <c r="K2859" s="256" t="n"/>
      <c r="L2859" s="256" t="n"/>
      <c r="M2859" s="256" t="n"/>
      <c r="N2859" s="256" t="n"/>
      <c r="O2859" s="256" t="n"/>
      <c r="P2859" s="256" t="n"/>
      <c r="Q2859" s="256" t="n"/>
    </row>
    <row r="2860">
      <c r="A2860">
        <f>IF(DAY(D2860)=DAY($L$1+1),A2859+1,A2859)</f>
        <v/>
      </c>
      <c r="B2860" s="46">
        <f>IF(DAY(D2860)=DAY($L$1+1),1,B2859+1)</f>
        <v/>
      </c>
      <c r="C2860" s="46">
        <f>IF(DAY(D2860)=DAY($L$1+1),1,C2859+1)</f>
        <v/>
      </c>
      <c r="D2860" s="2">
        <f>D2859+1</f>
        <v/>
      </c>
      <c r="E2860" s="8">
        <f>IF(DAY(D2860)=DAY($L$1+1),TRUNC((#REF!),8),E2859)</f>
        <v/>
      </c>
      <c r="F2860" s="49">
        <f>TRUNC(((1+VLOOKUP(A2860,IPCA!$A$2:$C$140,3,0)))^(C2860/(EDATE(D2860-C2860,1)-(D2860-C2860))),8)</f>
        <v/>
      </c>
      <c r="G2860" s="44">
        <f>TRUNC((E2860*F2860),8)</f>
        <v/>
      </c>
      <c r="H2860" s="44">
        <f>ROUND(((1+$H$4)^(30/360))^(C2860/(EDATE(D2860-B2860,1)-(D2860-B2860))),9)</f>
        <v/>
      </c>
      <c r="I2860" s="44">
        <f>TRUNC((G2860*H2860-G2860),8)</f>
        <v/>
      </c>
      <c r="J2860" s="49">
        <f>G2860+I2860</f>
        <v/>
      </c>
      <c r="K2860" s="256" t="n"/>
      <c r="L2860" s="256" t="n"/>
      <c r="M2860" s="256" t="n"/>
      <c r="N2860" s="256" t="n"/>
      <c r="O2860" s="256" t="n"/>
      <c r="P2860" s="256" t="n"/>
      <c r="Q2860" s="256" t="n"/>
    </row>
    <row r="2861">
      <c r="A2861">
        <f>IF(DAY(D2861)=DAY($L$1+1),A2860+1,A2860)</f>
        <v/>
      </c>
      <c r="B2861" s="1">
        <f>IF(DAY(D2861)=DAY($L$1+1),1,B2860+1)</f>
        <v/>
      </c>
      <c r="C2861" s="1">
        <f>IF(DAY(D2861)=DAY($L$1+1),1,C2860+1)</f>
        <v/>
      </c>
      <c r="D2861" s="2">
        <f>D2860+1</f>
        <v/>
      </c>
      <c r="E2861" s="8">
        <f>IF(DAY(D2861)=DAY($L$1+1),TRUNC((#REF!),8),E2860)</f>
        <v/>
      </c>
      <c r="F2861" s="49">
        <f>TRUNC(((1+VLOOKUP(A2861,IPCA!$A$2:$C$140,3,0)))^(C2861/(EDATE(D2861-C2861,1)-(D2861-C2861))),8)</f>
        <v/>
      </c>
      <c r="G2861" s="44">
        <f>TRUNC((E2861*F2861),8)</f>
        <v/>
      </c>
      <c r="H2861" s="44">
        <f>ROUND(((1+$H$4)^(30/360))^(C2861/(EDATE(D2861-B2861,1)-(D2861-B2861))),9)</f>
        <v/>
      </c>
      <c r="I2861" s="44">
        <f>TRUNC((G2861*H2861-G2861),8)</f>
        <v/>
      </c>
      <c r="J2861" s="49">
        <f>G2861+I2861</f>
        <v/>
      </c>
      <c r="K2861" s="256" t="n"/>
      <c r="L2861" s="256" t="n"/>
      <c r="M2861" s="256" t="n"/>
      <c r="N2861" s="256" t="n"/>
      <c r="O2861" s="256" t="n"/>
      <c r="P2861" s="256" t="n"/>
      <c r="Q2861" s="256" t="n"/>
    </row>
    <row r="2862">
      <c r="A2862">
        <f>IF(DAY(D2862)=DAY($L$1+1),A2861+1,A2861)</f>
        <v/>
      </c>
      <c r="B2862" s="46">
        <f>IF(DAY(D2862)=DAY($L$1+1),1,B2861+1)</f>
        <v/>
      </c>
      <c r="C2862" s="46">
        <f>IF(DAY(D2862)=DAY($L$1+1),1,C2861+1)</f>
        <v/>
      </c>
      <c r="D2862" s="2">
        <f>D2861+1</f>
        <v/>
      </c>
      <c r="E2862" s="8">
        <f>IF(DAY(D2862)=DAY($L$1+1),TRUNC((#REF!),8),E2861)</f>
        <v/>
      </c>
      <c r="F2862" s="49">
        <f>TRUNC(((1+VLOOKUP(A2862,IPCA!$A$2:$C$140,3,0)))^(C2862/(EDATE(D2862-C2862,1)-(D2862-C2862))),8)</f>
        <v/>
      </c>
      <c r="G2862" s="44">
        <f>TRUNC((E2862*F2862),8)</f>
        <v/>
      </c>
      <c r="H2862" s="44">
        <f>ROUND(((1+$H$4)^(30/360))^(C2862/(EDATE(D2862-B2862,1)-(D2862-B2862))),9)</f>
        <v/>
      </c>
      <c r="I2862" s="44">
        <f>TRUNC((G2862*H2862-G2862),8)</f>
        <v/>
      </c>
      <c r="J2862" s="49">
        <f>G2862+I2862</f>
        <v/>
      </c>
      <c r="K2862" s="256" t="n"/>
      <c r="L2862" s="256" t="n"/>
      <c r="M2862" s="256" t="n"/>
      <c r="N2862" s="256" t="n"/>
      <c r="O2862" s="256" t="n"/>
      <c r="P2862" s="256" t="n"/>
      <c r="Q2862" s="256" t="n"/>
    </row>
    <row r="2863">
      <c r="A2863">
        <f>IF(DAY(D2863)=DAY($L$1+1),A2862+1,A2862)</f>
        <v/>
      </c>
      <c r="B2863" s="1">
        <f>IF(DAY(D2863)=DAY($L$1+1),1,B2862+1)</f>
        <v/>
      </c>
      <c r="C2863" s="1">
        <f>IF(DAY(D2863)=DAY($L$1+1),1,C2862+1)</f>
        <v/>
      </c>
      <c r="D2863" s="2">
        <f>D2862+1</f>
        <v/>
      </c>
      <c r="E2863" s="8">
        <f>IF(DAY(D2863)=DAY($L$1+1),TRUNC((#REF!),8),E2862)</f>
        <v/>
      </c>
      <c r="F2863" s="49">
        <f>TRUNC(((1+VLOOKUP(A2863,IPCA!$A$2:$C$140,3,0)))^(C2863/(EDATE(D2863-C2863,1)-(D2863-C2863))),8)</f>
        <v/>
      </c>
      <c r="G2863" s="44">
        <f>TRUNC((E2863*F2863),8)</f>
        <v/>
      </c>
      <c r="H2863" s="44">
        <f>ROUND(((1+$H$4)^(30/360))^(C2863/(EDATE(D2863-B2863,1)-(D2863-B2863))),9)</f>
        <v/>
      </c>
      <c r="I2863" s="44">
        <f>TRUNC((G2863*H2863-G2863),8)</f>
        <v/>
      </c>
      <c r="J2863" s="49">
        <f>G2863+I2863</f>
        <v/>
      </c>
      <c r="K2863" s="256" t="n"/>
      <c r="L2863" s="256" t="n"/>
      <c r="M2863" s="256" t="n"/>
      <c r="N2863" s="256" t="n"/>
      <c r="O2863" s="256" t="n"/>
      <c r="P2863" s="256" t="n"/>
      <c r="Q2863" s="256" t="n"/>
    </row>
    <row r="2864">
      <c r="A2864">
        <f>IF(DAY(D2864)=DAY($L$1+1),A2863+1,A2863)</f>
        <v/>
      </c>
      <c r="B2864" s="46">
        <f>IF(DAY(D2864)=DAY($L$1+1),1,B2863+1)</f>
        <v/>
      </c>
      <c r="C2864" s="46">
        <f>IF(DAY(D2864)=DAY($L$1+1),1,C2863+1)</f>
        <v/>
      </c>
      <c r="D2864" s="2">
        <f>D2863+1</f>
        <v/>
      </c>
      <c r="E2864" s="8">
        <f>IF(DAY(D2864)=DAY($L$1+1),TRUNC((#REF!),8),E2863)</f>
        <v/>
      </c>
      <c r="F2864" s="49">
        <f>TRUNC(((1+VLOOKUP(A2864,IPCA!$A$2:$C$140,3,0)))^(C2864/(EDATE(D2864-C2864,1)-(D2864-C2864))),8)</f>
        <v/>
      </c>
      <c r="G2864" s="44">
        <f>TRUNC((E2864*F2864),8)</f>
        <v/>
      </c>
      <c r="H2864" s="44">
        <f>ROUND(((1+$H$4)^(30/360))^(C2864/(EDATE(D2864-B2864,1)-(D2864-B2864))),9)</f>
        <v/>
      </c>
      <c r="I2864" s="44">
        <f>TRUNC((G2864*H2864-G2864),8)</f>
        <v/>
      </c>
      <c r="J2864" s="49">
        <f>G2864+I2864</f>
        <v/>
      </c>
      <c r="K2864" s="256" t="n"/>
      <c r="L2864" s="256" t="n"/>
      <c r="M2864" s="256" t="n"/>
      <c r="N2864" s="256" t="n"/>
      <c r="O2864" s="256" t="n"/>
      <c r="P2864" s="256" t="n"/>
      <c r="Q2864" s="256" t="n"/>
    </row>
    <row r="2865">
      <c r="A2865">
        <f>IF(DAY(D2865)=DAY($L$1+1),A2864+1,A2864)</f>
        <v/>
      </c>
      <c r="B2865" s="1">
        <f>IF(DAY(D2865)=DAY($L$1+1),1,B2864+1)</f>
        <v/>
      </c>
      <c r="C2865" s="1">
        <f>IF(DAY(D2865)=DAY($L$1+1),1,C2864+1)</f>
        <v/>
      </c>
      <c r="D2865" s="2">
        <f>D2864+1</f>
        <v/>
      </c>
      <c r="E2865" s="8">
        <f>IF(DAY(D2865)=DAY($L$1+1),TRUNC((#REF!),8),E2864)</f>
        <v/>
      </c>
      <c r="F2865" s="49">
        <f>TRUNC(((1+VLOOKUP(A2865,IPCA!$A$2:$C$140,3,0)))^(C2865/(EDATE(D2865-C2865,1)-(D2865-C2865))),8)</f>
        <v/>
      </c>
      <c r="G2865" s="44">
        <f>TRUNC((E2865*F2865),8)</f>
        <v/>
      </c>
      <c r="H2865" s="44">
        <f>ROUND(((1+$H$4)^(30/360))^(C2865/(EDATE(D2865-B2865,1)-(D2865-B2865))),9)</f>
        <v/>
      </c>
      <c r="I2865" s="44">
        <f>TRUNC((G2865*H2865-G2865),8)</f>
        <v/>
      </c>
      <c r="J2865" s="49">
        <f>G2865+I2865</f>
        <v/>
      </c>
      <c r="K2865" s="256" t="n"/>
      <c r="L2865" s="256" t="n"/>
      <c r="M2865" s="256" t="n"/>
      <c r="N2865" s="256" t="n"/>
      <c r="O2865" s="256" t="n"/>
      <c r="P2865" s="256" t="n"/>
      <c r="Q2865" s="256" t="n"/>
    </row>
    <row r="2866">
      <c r="A2866">
        <f>IF(DAY(D2866)=DAY($L$1+1),A2865+1,A2865)</f>
        <v/>
      </c>
      <c r="B2866" s="46">
        <f>IF(DAY(D2866)=DAY($L$1+1),1,B2865+1)</f>
        <v/>
      </c>
      <c r="C2866" s="46">
        <f>IF(DAY(D2866)=DAY($L$1+1),1,C2865+1)</f>
        <v/>
      </c>
      <c r="D2866" s="2">
        <f>D2865+1</f>
        <v/>
      </c>
      <c r="E2866" s="8">
        <f>IF(DAY(D2866)=DAY($L$1+1),TRUNC((#REF!),8),E2865)</f>
        <v/>
      </c>
      <c r="F2866" s="49">
        <f>TRUNC(((1+VLOOKUP(A2866,IPCA!$A$2:$C$140,3,0)))^(C2866/(EDATE(D2866-C2866,1)-(D2866-C2866))),8)</f>
        <v/>
      </c>
      <c r="G2866" s="44">
        <f>TRUNC((E2866*F2866),8)</f>
        <v/>
      </c>
      <c r="H2866" s="44">
        <f>ROUND(((1+$H$4)^(30/360))^(C2866/(EDATE(D2866-B2866,1)-(D2866-B2866))),9)</f>
        <v/>
      </c>
      <c r="I2866" s="44">
        <f>TRUNC((G2866*H2866-G2866),8)</f>
        <v/>
      </c>
      <c r="J2866" s="49">
        <f>G2866+I2866</f>
        <v/>
      </c>
      <c r="K2866" s="256" t="n"/>
      <c r="L2866" s="256" t="n"/>
      <c r="M2866" s="256" t="n"/>
      <c r="N2866" s="256" t="n"/>
      <c r="O2866" s="256" t="n"/>
      <c r="P2866" s="256" t="n"/>
      <c r="Q2866" s="256" t="n"/>
    </row>
    <row r="2867">
      <c r="A2867">
        <f>IF(DAY(D2867)=DAY($L$1+1),A2866+1,A2866)</f>
        <v/>
      </c>
      <c r="B2867" s="1">
        <f>IF(DAY(D2867)=DAY($L$1+1),1,B2866+1)</f>
        <v/>
      </c>
      <c r="C2867" s="1">
        <f>IF(DAY(D2867)=DAY($L$1+1),1,C2866+1)</f>
        <v/>
      </c>
      <c r="D2867" s="2">
        <f>D2866+1</f>
        <v/>
      </c>
      <c r="E2867" s="8">
        <f>IF(DAY(D2867)=DAY($L$1+1),TRUNC((#REF!),8),E2866)</f>
        <v/>
      </c>
      <c r="F2867" s="49">
        <f>TRUNC(((1+VLOOKUP(A2867,IPCA!$A$2:$C$140,3,0)))^(C2867/(EDATE(D2867-C2867,1)-(D2867-C2867))),8)</f>
        <v/>
      </c>
      <c r="G2867" s="44">
        <f>TRUNC((E2867*F2867),8)</f>
        <v/>
      </c>
      <c r="H2867" s="44">
        <f>ROUND(((1+$H$4)^(30/360))^(C2867/(EDATE(D2867-B2867,1)-(D2867-B2867))),9)</f>
        <v/>
      </c>
      <c r="I2867" s="44">
        <f>TRUNC((G2867*H2867-G2867),8)</f>
        <v/>
      </c>
      <c r="J2867" s="49">
        <f>G2867+I2867</f>
        <v/>
      </c>
      <c r="K2867" s="256" t="n"/>
      <c r="L2867" s="256" t="n"/>
      <c r="M2867" s="256" t="n"/>
      <c r="N2867" s="256" t="n"/>
      <c r="O2867" s="256" t="n"/>
      <c r="P2867" s="256" t="n"/>
      <c r="Q2867" s="256" t="n"/>
    </row>
    <row r="2868">
      <c r="A2868">
        <f>IF(DAY(D2868)=DAY($L$1+1),A2867+1,A2867)</f>
        <v/>
      </c>
      <c r="B2868" s="46">
        <f>IF(DAY(D2868)=DAY($L$1+1),1,B2867+1)</f>
        <v/>
      </c>
      <c r="C2868" s="46">
        <f>IF(DAY(D2868)=DAY($L$1+1),1,C2867+1)</f>
        <v/>
      </c>
      <c r="D2868" s="2">
        <f>D2867+1</f>
        <v/>
      </c>
      <c r="E2868" s="8">
        <f>IF(DAY(D2868)=DAY($L$1+1),TRUNC((#REF!),8),E2867)</f>
        <v/>
      </c>
      <c r="F2868" s="49">
        <f>TRUNC(((1+VLOOKUP(A2868,IPCA!$A$2:$C$140,3,0)))^(C2868/(EDATE(D2868-C2868,1)-(D2868-C2868))),8)</f>
        <v/>
      </c>
      <c r="G2868" s="44">
        <f>TRUNC((E2868*F2868),8)</f>
        <v/>
      </c>
      <c r="H2868" s="44">
        <f>ROUND(((1+$H$4)^(30/360))^(C2868/(EDATE(D2868-B2868,1)-(D2868-B2868))),9)</f>
        <v/>
      </c>
      <c r="I2868" s="44">
        <f>TRUNC((G2868*H2868-G2868),8)</f>
        <v/>
      </c>
      <c r="J2868" s="49">
        <f>G2868+I2868</f>
        <v/>
      </c>
      <c r="K2868" s="256" t="n"/>
      <c r="L2868" s="256" t="n"/>
      <c r="M2868" s="256" t="n"/>
      <c r="N2868" s="256" t="n"/>
      <c r="O2868" s="256" t="n"/>
      <c r="P2868" s="256" t="n"/>
      <c r="Q2868" s="256" t="n"/>
    </row>
    <row r="2869">
      <c r="A2869">
        <f>IF(DAY(D2869)=DAY($L$1+1),A2868+1,A2868)</f>
        <v/>
      </c>
      <c r="B2869" s="1">
        <f>IF(DAY(D2869)=DAY($L$1+1),1,B2868+1)</f>
        <v/>
      </c>
      <c r="C2869" s="1">
        <f>IF(DAY(D2869)=DAY($L$1+1),1,C2868+1)</f>
        <v/>
      </c>
      <c r="D2869" s="2">
        <f>D2868+1</f>
        <v/>
      </c>
      <c r="E2869" s="8">
        <f>IF(DAY(D2869)=DAY($L$1+1),TRUNC((#REF!),8),E2868)</f>
        <v/>
      </c>
      <c r="F2869" s="49">
        <f>TRUNC(((1+VLOOKUP(A2869,IPCA!$A$2:$C$140,3,0)))^(C2869/(EDATE(D2869-C2869,1)-(D2869-C2869))),8)</f>
        <v/>
      </c>
      <c r="G2869" s="44">
        <f>TRUNC((E2869*F2869),8)</f>
        <v/>
      </c>
      <c r="H2869" s="44">
        <f>ROUND(((1+$H$4)^(30/360))^(C2869/(EDATE(D2869-B2869,1)-(D2869-B2869))),9)</f>
        <v/>
      </c>
      <c r="I2869" s="44">
        <f>TRUNC((G2869*H2869-G2869),8)</f>
        <v/>
      </c>
      <c r="J2869" s="49">
        <f>G2869+I2869</f>
        <v/>
      </c>
      <c r="K2869" s="256" t="n"/>
      <c r="L2869" s="256" t="n"/>
      <c r="M2869" s="256" t="n"/>
      <c r="N2869" s="256" t="n"/>
      <c r="O2869" s="256" t="n"/>
      <c r="P2869" s="256" t="n"/>
      <c r="Q2869" s="256" t="n"/>
    </row>
    <row r="2870">
      <c r="A2870">
        <f>IF(DAY(D2870)=DAY($L$1+1),A2869+1,A2869)</f>
        <v/>
      </c>
      <c r="B2870" s="46">
        <f>IF(DAY(D2870)=DAY($L$1+1),1,B2869+1)</f>
        <v/>
      </c>
      <c r="C2870" s="46">
        <f>IF(DAY(D2870)=DAY($L$1+1),1,C2869+1)</f>
        <v/>
      </c>
      <c r="D2870" s="2">
        <f>D2869+1</f>
        <v/>
      </c>
      <c r="E2870" s="8">
        <f>IF(DAY(D2870)=DAY($L$1+1),TRUNC((#REF!),8),E2869)</f>
        <v/>
      </c>
      <c r="F2870" s="49">
        <f>TRUNC(((1+VLOOKUP(A2870,IPCA!$A$2:$C$140,3,0)))^(C2870/(EDATE(D2870-C2870,1)-(D2870-C2870))),8)</f>
        <v/>
      </c>
      <c r="G2870" s="44">
        <f>TRUNC((E2870*F2870),8)</f>
        <v/>
      </c>
      <c r="H2870" s="44">
        <f>ROUND(((1+$H$4)^(30/360))^(C2870/(EDATE(D2870-B2870,1)-(D2870-B2870))),9)</f>
        <v/>
      </c>
      <c r="I2870" s="44">
        <f>TRUNC((G2870*H2870-G2870),8)</f>
        <v/>
      </c>
      <c r="J2870" s="49">
        <f>G2870+I2870</f>
        <v/>
      </c>
      <c r="K2870" s="256" t="n"/>
      <c r="L2870" s="256" t="n"/>
      <c r="M2870" s="256" t="n"/>
      <c r="N2870" s="256" t="n"/>
      <c r="O2870" s="256" t="n"/>
      <c r="P2870" s="256" t="n"/>
      <c r="Q2870" s="256" t="n"/>
    </row>
    <row r="2871">
      <c r="A2871">
        <f>IF(DAY(D2871)=DAY($L$1+1),A2870+1,A2870)</f>
        <v/>
      </c>
      <c r="B2871" s="1">
        <f>IF(DAY(D2871)=DAY($L$1+1),1,B2870+1)</f>
        <v/>
      </c>
      <c r="C2871" s="1">
        <f>IF(DAY(D2871)=DAY($L$1+1),1,C2870+1)</f>
        <v/>
      </c>
      <c r="D2871" s="2">
        <f>D2870+1</f>
        <v/>
      </c>
      <c r="E2871" s="8">
        <f>IF(DAY(D2871)=DAY($L$1+1),TRUNC((#REF!),8),E2870)</f>
        <v/>
      </c>
      <c r="F2871" s="49">
        <f>TRUNC(((1+VLOOKUP(A2871,IPCA!$A$2:$C$140,3,0)))^(C2871/(EDATE(D2871-C2871,1)-(D2871-C2871))),8)</f>
        <v/>
      </c>
      <c r="G2871" s="44">
        <f>TRUNC((E2871*F2871),8)</f>
        <v/>
      </c>
      <c r="H2871" s="44">
        <f>ROUND(((1+$H$4)^(30/360))^(C2871/(EDATE(D2871-B2871,1)-(D2871-B2871))),9)</f>
        <v/>
      </c>
      <c r="I2871" s="44">
        <f>TRUNC((G2871*H2871-G2871),8)</f>
        <v/>
      </c>
      <c r="J2871" s="49">
        <f>G2871+I2871</f>
        <v/>
      </c>
      <c r="K2871" s="256" t="n"/>
      <c r="L2871" s="256" t="n"/>
      <c r="M2871" s="256" t="n"/>
      <c r="N2871" s="256" t="n"/>
      <c r="O2871" s="256" t="n"/>
      <c r="P2871" s="256" t="n"/>
      <c r="Q2871" s="256" t="n"/>
    </row>
    <row r="2872">
      <c r="A2872">
        <f>IF(DAY(D2872)=DAY($L$1+1),A2871+1,A2871)</f>
        <v/>
      </c>
      <c r="B2872" s="46">
        <f>IF(DAY(D2872)=DAY($L$1+1),1,B2871+1)</f>
        <v/>
      </c>
      <c r="C2872" s="46">
        <f>IF(DAY(D2872)=DAY($L$1+1),1,C2871+1)</f>
        <v/>
      </c>
      <c r="D2872" s="2">
        <f>D2871+1</f>
        <v/>
      </c>
      <c r="E2872" s="8">
        <f>IF(DAY(D2872)=DAY($L$1+1),TRUNC((#REF!),8),E2871)</f>
        <v/>
      </c>
      <c r="F2872" s="49">
        <f>TRUNC(((1+VLOOKUP(A2872,IPCA!$A$2:$C$140,3,0)))^(C2872/(EDATE(D2872-C2872,1)-(D2872-C2872))),8)</f>
        <v/>
      </c>
      <c r="G2872" s="44">
        <f>TRUNC((E2872*F2872),8)</f>
        <v/>
      </c>
      <c r="H2872" s="44">
        <f>ROUND(((1+$H$4)^(30/360))^(C2872/(EDATE(D2872-B2872,1)-(D2872-B2872))),9)</f>
        <v/>
      </c>
      <c r="I2872" s="44">
        <f>TRUNC((G2872*H2872-G2872),8)</f>
        <v/>
      </c>
      <c r="J2872" s="49">
        <f>G2872+I2872</f>
        <v/>
      </c>
      <c r="K2872" s="256" t="n"/>
      <c r="L2872" s="256" t="n"/>
      <c r="M2872" s="256" t="n"/>
      <c r="N2872" s="256" t="n"/>
      <c r="O2872" s="256" t="n"/>
      <c r="P2872" s="256" t="n"/>
      <c r="Q2872" s="256" t="n"/>
    </row>
    <row r="2873">
      <c r="A2873">
        <f>IF(DAY(D2873)=DAY($L$1+1),A2872+1,A2872)</f>
        <v/>
      </c>
      <c r="B2873" s="1">
        <f>IF(DAY(D2873)=DAY($L$1+1),1,B2872+1)</f>
        <v/>
      </c>
      <c r="C2873" s="1">
        <f>IF(DAY(D2873)=DAY($L$1+1),1,C2872+1)</f>
        <v/>
      </c>
      <c r="D2873" s="2">
        <f>D2872+1</f>
        <v/>
      </c>
      <c r="E2873" s="8">
        <f>IF(DAY(D2873)=DAY($L$1+1),TRUNC((N2872),8),E2872)</f>
        <v/>
      </c>
      <c r="F2873" s="49">
        <f>TRUNC(((1+VLOOKUP(A2873,IPCA!$A$2:$C$140,3,0)))^(C2873/(EDATE(D2873-C2873,1)-(D2873-C2873))),8)</f>
        <v/>
      </c>
      <c r="G2873" s="44">
        <f>TRUNC((E2873*F2873),8)</f>
        <v/>
      </c>
      <c r="H2873" s="44">
        <f>ROUND(((1+$H$4)^(30/360))^(C2873/(EDATE(D2873-B2873,1)-(D2873-B2873))),9)</f>
        <v/>
      </c>
      <c r="I2873" s="44">
        <f>TRUNC((G2873*H2873-G2873),8)</f>
        <v/>
      </c>
      <c r="J2873" s="49">
        <f>G2873+I2873</f>
        <v/>
      </c>
      <c r="K2873" s="256" t="n"/>
      <c r="L2873" s="256" t="n"/>
      <c r="M2873" s="256" t="n"/>
      <c r="N2873" s="256" t="n"/>
      <c r="O2873" s="256" t="n"/>
      <c r="P2873" s="256" t="n"/>
      <c r="Q2873" s="256" t="n"/>
    </row>
    <row r="2874">
      <c r="A2874">
        <f>IF(DAY(D2874)=DAY($L$1+1),A2873+1,A2873)</f>
        <v/>
      </c>
      <c r="B2874" s="46">
        <f>IF(DAY(D2874)=DAY($L$1+1),1,B2873+1)</f>
        <v/>
      </c>
      <c r="C2874" s="46">
        <f>IF(DAY(D2874)=DAY($L$1+1),1,C2873+1)</f>
        <v/>
      </c>
      <c r="D2874" s="2">
        <f>D2873+1</f>
        <v/>
      </c>
      <c r="E2874" s="8">
        <f>IF(DAY(D2874)=DAY($L$1+1),TRUNC((N2873),8),E2873)</f>
        <v/>
      </c>
      <c r="F2874" s="49">
        <f>TRUNC(((1+VLOOKUP(A2874,IPCA!$A$2:$C$140,3,0)))^(C2874/(EDATE(D2874-C2874,1)-(D2874-C2874))),8)</f>
        <v/>
      </c>
      <c r="G2874" s="44">
        <f>TRUNC((E2874*F2874),8)</f>
        <v/>
      </c>
      <c r="H2874" s="44">
        <f>ROUND(((1+$H$4)^(30/360))^(C2874/(EDATE(D2874-B2874,1)-(D2874-B2874))),9)</f>
        <v/>
      </c>
      <c r="I2874" s="44">
        <f>TRUNC((G2874*H2874-G2874),8)</f>
        <v/>
      </c>
      <c r="J2874" s="49">
        <f>G2874+I2874</f>
        <v/>
      </c>
      <c r="K2874" s="256" t="n"/>
      <c r="L2874" s="256" t="n"/>
      <c r="M2874" s="256" t="n"/>
      <c r="N2874" s="256" t="n"/>
      <c r="O2874" s="256" t="n"/>
      <c r="P2874" s="256" t="n"/>
      <c r="Q2874" s="256" t="n"/>
    </row>
    <row r="2875">
      <c r="A2875">
        <f>IF(DAY(D2875)=DAY($L$1+1),A2874+1,A2874)</f>
        <v/>
      </c>
      <c r="B2875" s="1">
        <f>IF(DAY(D2875)=DAY($L$1+1),1,B2874+1)</f>
        <v/>
      </c>
      <c r="C2875" s="1">
        <f>IF(DAY(D2875)=DAY($L$1+1),1,C2874+1)</f>
        <v/>
      </c>
      <c r="D2875" s="2">
        <f>D2874+1</f>
        <v/>
      </c>
      <c r="E2875" s="8">
        <f>IF(DAY(D2875)=DAY($L$1+1),TRUNC((N2874),8),E2874)</f>
        <v/>
      </c>
      <c r="F2875" s="49">
        <f>TRUNC(((1+VLOOKUP(A2875,IPCA!$A$2:$C$140,3,0)))^(C2875/(EDATE(D2875-C2875,1)-(D2875-C2875))),8)</f>
        <v/>
      </c>
      <c r="G2875" s="44">
        <f>TRUNC((E2875*F2875),8)</f>
        <v/>
      </c>
      <c r="H2875" s="44">
        <f>ROUND(((1+$H$4)^(30/360))^(C2875/(EDATE(D2875-B2875,1)-(D2875-B2875))),9)</f>
        <v/>
      </c>
      <c r="I2875" s="44">
        <f>TRUNC((G2875*H2875-G2875),8)</f>
        <v/>
      </c>
      <c r="J2875" s="49">
        <f>G2875+I2875</f>
        <v/>
      </c>
      <c r="K2875" s="256" t="n"/>
      <c r="L2875" s="256" t="n"/>
      <c r="M2875" s="256" t="n"/>
      <c r="N2875" s="256" t="n"/>
      <c r="O2875" s="256" t="n"/>
      <c r="P2875" s="256" t="n"/>
      <c r="Q2875" s="256" t="n"/>
    </row>
    <row r="2876">
      <c r="A2876">
        <f>IF(DAY(D2876)=DAY($L$1+1),A2875+1,A2875)</f>
        <v/>
      </c>
      <c r="B2876" s="46">
        <f>IF(DAY(D2876)=DAY($L$1+1),1,B2875+1)</f>
        <v/>
      </c>
      <c r="C2876" s="46">
        <f>IF(DAY(D2876)=DAY($L$1+1),1,C2875+1)</f>
        <v/>
      </c>
      <c r="D2876" s="2">
        <f>D2875+1</f>
        <v/>
      </c>
      <c r="E2876" s="8">
        <f>IF(DAY(D2876)=DAY($L$1+1),TRUNC((N2875),8),E2875)</f>
        <v/>
      </c>
      <c r="F2876" s="49">
        <f>TRUNC(((1+VLOOKUP(A2876,IPCA!$A$2:$C$140,3,0)))^(C2876/(EDATE(D2876-C2876,1)-(D2876-C2876))),8)</f>
        <v/>
      </c>
      <c r="G2876" s="44">
        <f>TRUNC((E2876*F2876),8)</f>
        <v/>
      </c>
      <c r="H2876" s="44">
        <f>ROUND(((1+$H$4)^(30/360))^(C2876/(EDATE(D2876-B2876,1)-(D2876-B2876))),9)</f>
        <v/>
      </c>
      <c r="I2876" s="44">
        <f>TRUNC((G2876*H2876-G2876),8)</f>
        <v/>
      </c>
      <c r="J2876" s="49">
        <f>G2876+I2876</f>
        <v/>
      </c>
      <c r="K2876" s="256" t="n"/>
      <c r="L2876" s="256" t="n"/>
      <c r="M2876" s="256" t="n"/>
      <c r="N2876" s="256" t="n"/>
      <c r="O2876" s="256" t="n"/>
      <c r="P2876" s="256" t="n"/>
      <c r="Q2876" s="256" t="n"/>
    </row>
    <row r="2877">
      <c r="A2877">
        <f>IF(DAY(D2877)=DAY($L$1+1),A2876+1,A2876)</f>
        <v/>
      </c>
      <c r="B2877" s="1">
        <f>IF(DAY(D2877)=DAY($L$1+1),1,B2876+1)</f>
        <v/>
      </c>
      <c r="C2877" s="1">
        <f>IF(DAY(D2877)=DAY($L$1+1),1,C2876+1)</f>
        <v/>
      </c>
      <c r="D2877" s="2">
        <f>D2876+1</f>
        <v/>
      </c>
      <c r="E2877" s="8">
        <f>IF(DAY(D2877)=DAY($L$1+1),TRUNC((N2876),8),E2876)</f>
        <v/>
      </c>
      <c r="F2877" s="49">
        <f>TRUNC(((1+VLOOKUP(A2877,IPCA!$A$2:$C$140,3,0)))^(C2877/(EDATE(D2877-C2877,1)-(D2877-C2877))),8)</f>
        <v/>
      </c>
      <c r="G2877" s="44">
        <f>TRUNC((E2877*F2877),8)</f>
        <v/>
      </c>
      <c r="H2877" s="44">
        <f>ROUND(((1+$H$4)^(30/360))^(C2877/(EDATE(D2877-B2877,1)-(D2877-B2877))),9)</f>
        <v/>
      </c>
      <c r="I2877" s="44">
        <f>TRUNC((G2877*H2877-G2877),8)</f>
        <v/>
      </c>
      <c r="J2877" s="49">
        <f>G2877+I2877</f>
        <v/>
      </c>
      <c r="K2877" s="256" t="n"/>
      <c r="L2877" s="256" t="n"/>
      <c r="M2877" s="256" t="n"/>
      <c r="N2877" s="256" t="n"/>
      <c r="O2877" s="256" t="n"/>
      <c r="P2877" s="256" t="n"/>
      <c r="Q2877" s="256" t="n"/>
    </row>
    <row r="2878">
      <c r="A2878">
        <f>IF(DAY(D2878)=DAY($L$1+1),A2877+1,A2877)</f>
        <v/>
      </c>
      <c r="B2878" s="46">
        <f>IF(DAY(D2878)=DAY($L$1+1),1,B2877+1)</f>
        <v/>
      </c>
      <c r="C2878" s="46">
        <f>IF(DAY(D2878)=DAY($L$1+1),1,C2877+1)</f>
        <v/>
      </c>
      <c r="D2878" s="2">
        <f>D2877+1</f>
        <v/>
      </c>
      <c r="E2878" s="8">
        <f>IF(DAY(D2878)=DAY($L$1+1),TRUNC((N2877),8),E2877)</f>
        <v/>
      </c>
      <c r="F2878" s="49">
        <f>TRUNC(((1+VLOOKUP(A2878,IPCA!$A$2:$C$140,3,0)))^(C2878/(EDATE(D2878-C2878,1)-(D2878-C2878))),8)</f>
        <v/>
      </c>
      <c r="G2878" s="49">
        <f>TRUNC((E2878*F2878),8)</f>
        <v/>
      </c>
      <c r="H2878" s="49">
        <f>ROUND(((1+$H$4)^(30/360))^(C2878/(EDATE(D2878-B2878,1)-(D2878-B2878))),9)</f>
        <v/>
      </c>
      <c r="I2878" s="49">
        <f>TRUNC((G2878*H2878-G2878),8)</f>
        <v/>
      </c>
      <c r="J2878" s="49">
        <f>G2878+I2878</f>
        <v/>
      </c>
      <c r="K2878" s="256" t="inlineStr">
        <is>
          <t>Cri Integralizado</t>
        </is>
      </c>
      <c r="L2878" s="270">
        <f>L2848</f>
        <v/>
      </c>
      <c r="M2878" s="256" t="n"/>
      <c r="N2878" s="256" t="n"/>
      <c r="O2878" s="256" t="n"/>
      <c r="P2878" s="256" t="n"/>
      <c r="Q2878" s="256" t="n"/>
    </row>
    <row r="2879">
      <c r="A2879">
        <f>IF(DAY(D2879)=DAY($L$1+1),A2878+1,A2878)</f>
        <v/>
      </c>
      <c r="B2879" s="46">
        <f>IF(DAY(D2879)=DAY($L$1+1),1,B2878+1)</f>
        <v/>
      </c>
      <c r="C2879" s="46">
        <f>IF(DAY(D2879)=DAY($L$1+1),1,C2878+1)</f>
        <v/>
      </c>
      <c r="D2879" s="47">
        <f>D2878+1</f>
        <v/>
      </c>
      <c r="E2879" s="8">
        <f>IF(DAY(D2879)=DAY($L$1+1),TRUNC((N2878),8),E2878)</f>
        <v/>
      </c>
      <c r="F2879" s="49">
        <f>TRUNC(((1+VLOOKUP(A2879,IPCA!$A$2:$C$140,3,0)))^(C2879/(EDATE(D2879-C2879,1)-(D2879-C2879))),8)</f>
        <v/>
      </c>
      <c r="G2879" s="49">
        <f>TRUNC((E2879*F2879),8)</f>
        <v/>
      </c>
      <c r="H2879" s="49">
        <f>ROUND(((1+$H$4)^(30/360))^(C2879/(EDATE(D2879-B2879,1)-(D2879-B2879))),9)</f>
        <v/>
      </c>
      <c r="I2879" s="49">
        <f>TRUNC((G2879*H2879-G2879),8)</f>
        <v/>
      </c>
      <c r="J2879" s="49">
        <f>G2879+I2879</f>
        <v/>
      </c>
      <c r="K2879" s="137" t="inlineStr">
        <is>
          <t>JUROS</t>
        </is>
      </c>
      <c r="L2879" s="118" t="inlineStr">
        <is>
          <t>AMORTIZAÇÃO</t>
        </is>
      </c>
      <c r="M2879" s="118" t="inlineStr">
        <is>
          <t>AMEX</t>
        </is>
      </c>
      <c r="N2879" s="118" t="inlineStr">
        <is>
          <t>RESIDUAL</t>
        </is>
      </c>
      <c r="O2879" s="256" t="n"/>
      <c r="P2879" s="256" t="n"/>
      <c r="Q2879" s="256" t="n"/>
    </row>
    <row r="2880">
      <c r="A2880">
        <f>IF(DAY(D2880)=DAY($L$1+1),A2879+1,A2879)</f>
        <v/>
      </c>
      <c r="B2880" s="111">
        <f>IF(DAY(D2880)=DAY($L$1+1),1,B2879+1)</f>
        <v/>
      </c>
      <c r="C2880" s="111">
        <f>IF(DAY(D2880)=DAY($L$1+1),1,C2879+1)</f>
        <v/>
      </c>
      <c r="D2880" s="112">
        <f>D2879+1</f>
        <v/>
      </c>
      <c r="E2880" s="113">
        <f>IF(DAY(D2880)=DAY($L$1+1),TRUNC((N2879),8),E2879)</f>
        <v/>
      </c>
      <c r="F2880" s="114">
        <f>TRUNC(((1+VLOOKUP(A2880,IPCA!$A$2:$C$140,3,0)))^(C2880/(EDATE(D2880-C2880,1)-(D2880-C2880))),8)</f>
        <v/>
      </c>
      <c r="G2880" s="114">
        <f>TRUNC((E2880*F2880),8)</f>
        <v/>
      </c>
      <c r="H2880" s="114">
        <f>ROUND(((1+$H$4)^(30/360))^(C2880/(EDATE(D2880-B2880,1)-(D2880-B2880))),9)</f>
        <v/>
      </c>
      <c r="I2880" s="114">
        <f>TRUNC((G2880*H2880-G2880),8)</f>
        <v/>
      </c>
      <c r="J2880" s="114">
        <f>G2880+I2880</f>
        <v/>
      </c>
      <c r="K2880" s="119">
        <f>I2880</f>
        <v/>
      </c>
      <c r="L2880" s="120">
        <f>TRUNC(G2880*VLOOKUP(D2880,'Amort TS'!$G$3:$H$140,2,0),8)</f>
        <v/>
      </c>
      <c r="M2880" s="120" t="n">
        <v>0</v>
      </c>
      <c r="N2880" s="120">
        <f>J2880-K2880-L2880-M2880</f>
        <v/>
      </c>
      <c r="O2880" s="256" t="n"/>
      <c r="P2880" s="256" t="n"/>
      <c r="Q2880" s="256" t="n"/>
    </row>
    <row r="2881">
      <c r="A2881">
        <f>IF(DAY(D2881)=DAY($L$1+1),A2880+1,A2880)</f>
        <v/>
      </c>
      <c r="B2881" s="46">
        <f>IF(DAY(D2881)=DAY($L$1+1),1,B2880+1)</f>
        <v/>
      </c>
      <c r="C2881" s="46">
        <f>IF(DAY(D2881)=DAY($L$1+1),1,C2880+1)</f>
        <v/>
      </c>
      <c r="D2881" s="2">
        <f>D2880+1</f>
        <v/>
      </c>
      <c r="E2881" s="8">
        <f>IF(DAY(D2881)=DAY($L$1+1),TRUNC((N2880),8),E2880)</f>
        <v/>
      </c>
      <c r="F2881" s="49">
        <f>TRUNC(((1+VLOOKUP(A2881,IPCA!$A$2:$C$140,3,0)))^(C2881/(EDATE(D2881-C2881,1)-(D2881-C2881))),8)</f>
        <v/>
      </c>
      <c r="G2881" s="49">
        <f>TRUNC((E2881*F2881),8)</f>
        <v/>
      </c>
      <c r="H2881" s="49">
        <f>ROUND(((1+$H$4)^(30/360))^(C2881/(EDATE(D2881-B2881,1)-(D2881-B2881))),9)</f>
        <v/>
      </c>
      <c r="I2881" s="49">
        <f>TRUNC((G2881*H2881-G2881),8)</f>
        <v/>
      </c>
      <c r="J2881" s="49">
        <f>G2881+I2881</f>
        <v/>
      </c>
      <c r="K2881" s="121">
        <f>K2880*L2878</f>
        <v/>
      </c>
      <c r="L2881" s="121">
        <f>L2880*L2878</f>
        <v/>
      </c>
      <c r="M2881" s="121">
        <f>M2880*L2878</f>
        <v/>
      </c>
      <c r="N2881" s="121">
        <f>N2880*L2878</f>
        <v/>
      </c>
      <c r="O2881" s="256" t="n"/>
      <c r="P2881" s="256" t="n"/>
      <c r="Q2881" s="256" t="n"/>
    </row>
    <row r="2882">
      <c r="A2882">
        <f>IF(DAY(D2882)=DAY($L$1+1),A2881+1,A2881)</f>
        <v/>
      </c>
      <c r="B2882" s="46">
        <f>IF(DAY(D2882)=DAY($L$1+1),1,B2881+1)</f>
        <v/>
      </c>
      <c r="C2882" s="46">
        <f>IF(DAY(D2882)=DAY($L$1+1),1,C2881+1)</f>
        <v/>
      </c>
      <c r="D2882" s="47">
        <f>D2881+1</f>
        <v/>
      </c>
      <c r="E2882" s="8">
        <f>IF(DAY(D2882)=DAY($L$1+1),TRUNC((N2881),8),E2881)</f>
        <v/>
      </c>
      <c r="F2882" s="49">
        <f>TRUNC(((1+VLOOKUP(A2882,IPCA!$A$2:$C$140,3,0)))^(C2882/(EDATE(D2882-C2882,1)-(D2882-C2882))),8)</f>
        <v/>
      </c>
      <c r="G2882" s="49">
        <f>TRUNC((E2882*F2882),8)</f>
        <v/>
      </c>
      <c r="H2882" s="49">
        <f>ROUND(((1+$H$4)^(30/360))^(C2882/(EDATE(D2882-B2882,1)-(D2882-B2882))),9)</f>
        <v/>
      </c>
      <c r="I2882" s="49">
        <f>TRUNC((G2882*H2882-G2882),8)</f>
        <v/>
      </c>
      <c r="J2882" s="49">
        <f>G2882+I2882</f>
        <v/>
      </c>
      <c r="K2882" s="256" t="n"/>
      <c r="L2882" s="256" t="n"/>
      <c r="M2882" s="256" t="n"/>
      <c r="N2882" s="256" t="n"/>
      <c r="O2882" s="256" t="n"/>
      <c r="P2882" s="256" t="n"/>
      <c r="Q2882" s="256" t="n"/>
    </row>
    <row r="2883">
      <c r="A2883">
        <f>IF(DAY(D2883)=DAY($L$1+1),A2882+1,A2882)</f>
        <v/>
      </c>
      <c r="B2883" s="1">
        <f>IF(DAY(D2883)=DAY($L$1+1),1,B2882+1)</f>
        <v/>
      </c>
      <c r="C2883" s="1">
        <f>IF(DAY(D2883)=DAY($L$1+1),1,C2882+1)</f>
        <v/>
      </c>
      <c r="D2883" s="2">
        <f>D2882+1</f>
        <v/>
      </c>
      <c r="E2883" s="8">
        <f>IF(DAY(D2883)=DAY($L$1+1),TRUNC((#REF!),8),E2882)</f>
        <v/>
      </c>
      <c r="F2883" s="49">
        <f>TRUNC(((1+VLOOKUP(A2883,IPCA!$A$2:$C$140,3,0)))^(C2883/(EDATE(D2883-C2883,1)-(D2883-C2883))),8)</f>
        <v/>
      </c>
      <c r="G2883" s="44">
        <f>TRUNC((E2883*F2883),8)</f>
        <v/>
      </c>
      <c r="H2883" s="44">
        <f>ROUND(((1+$H$4)^(30/360))^(C2883/(EDATE(D2883-B2883,1)-(D2883-B2883))),9)</f>
        <v/>
      </c>
      <c r="I2883" s="44">
        <f>TRUNC((G2883*H2883-G2883),8)</f>
        <v/>
      </c>
      <c r="J2883" s="49">
        <f>G2883+I2883</f>
        <v/>
      </c>
      <c r="K2883" s="256" t="n"/>
      <c r="L2883" s="256" t="n"/>
      <c r="M2883" s="256" t="n"/>
      <c r="N2883" s="256" t="n"/>
      <c r="O2883" s="256" t="n"/>
      <c r="P2883" s="256" t="n"/>
      <c r="Q2883" s="256" t="n"/>
    </row>
    <row r="2884">
      <c r="A2884">
        <f>IF(DAY(D2884)=DAY($L$1+1),A2883+1,A2883)</f>
        <v/>
      </c>
      <c r="B2884" s="46">
        <f>IF(DAY(D2884)=DAY($L$1+1),1,B2883+1)</f>
        <v/>
      </c>
      <c r="C2884" s="46">
        <f>IF(DAY(D2884)=DAY($L$1+1),1,C2883+1)</f>
        <v/>
      </c>
      <c r="D2884" s="2">
        <f>D2883+1</f>
        <v/>
      </c>
      <c r="E2884" s="8">
        <f>IF(DAY(D2884)=DAY($L$1+1),TRUNC((#REF!),8),E2883)</f>
        <v/>
      </c>
      <c r="F2884" s="49">
        <f>TRUNC(((1+VLOOKUP(A2884,IPCA!$A$2:$C$140,3,0)))^(C2884/(EDATE(D2884-C2884,1)-(D2884-C2884))),8)</f>
        <v/>
      </c>
      <c r="G2884" s="44">
        <f>TRUNC((E2884*F2884),8)</f>
        <v/>
      </c>
      <c r="H2884" s="44">
        <f>ROUND(((1+$H$4)^(30/360))^(C2884/(EDATE(D2884-B2884,1)-(D2884-B2884))),9)</f>
        <v/>
      </c>
      <c r="I2884" s="44">
        <f>TRUNC((G2884*H2884-G2884),8)</f>
        <v/>
      </c>
      <c r="J2884" s="49">
        <f>G2884+I2884</f>
        <v/>
      </c>
      <c r="K2884" s="256" t="n"/>
      <c r="L2884" s="256" t="n"/>
      <c r="M2884" s="256" t="n"/>
      <c r="N2884" s="256" t="n"/>
      <c r="O2884" s="256" t="n"/>
      <c r="P2884" s="256" t="n"/>
      <c r="Q2884" s="256" t="n"/>
    </row>
    <row r="2885">
      <c r="A2885">
        <f>IF(DAY(D2885)=DAY($L$1+1),A2884+1,A2884)</f>
        <v/>
      </c>
      <c r="B2885" s="1">
        <f>IF(DAY(D2885)=DAY($L$1+1),1,B2884+1)</f>
        <v/>
      </c>
      <c r="C2885" s="1">
        <f>IF(DAY(D2885)=DAY($L$1+1),1,C2884+1)</f>
        <v/>
      </c>
      <c r="D2885" s="2">
        <f>D2884+1</f>
        <v/>
      </c>
      <c r="E2885" s="8">
        <f>IF(DAY(D2885)=DAY($L$1+1),TRUNC((#REF!),8),E2884)</f>
        <v/>
      </c>
      <c r="F2885" s="49">
        <f>TRUNC(((1+VLOOKUP(A2885,IPCA!$A$2:$C$140,3,0)))^(C2885/(EDATE(D2885-C2885,1)-(D2885-C2885))),8)</f>
        <v/>
      </c>
      <c r="G2885" s="44">
        <f>TRUNC((E2885*F2885),8)</f>
        <v/>
      </c>
      <c r="H2885" s="44">
        <f>ROUND(((1+$H$4)^(30/360))^(C2885/(EDATE(D2885-B2885,1)-(D2885-B2885))),9)</f>
        <v/>
      </c>
      <c r="I2885" s="44">
        <f>TRUNC((G2885*H2885-G2885),8)</f>
        <v/>
      </c>
      <c r="J2885" s="49">
        <f>G2885+I2885</f>
        <v/>
      </c>
      <c r="K2885" s="256" t="n"/>
      <c r="L2885" s="256" t="n"/>
      <c r="M2885" s="256" t="n"/>
      <c r="N2885" s="256" t="n"/>
      <c r="O2885" s="256" t="n"/>
      <c r="P2885" s="256" t="n"/>
      <c r="Q2885" s="256" t="n"/>
    </row>
    <row r="2886">
      <c r="A2886">
        <f>IF(DAY(D2886)=DAY($L$1+1),A2885+1,A2885)</f>
        <v/>
      </c>
      <c r="B2886" s="46">
        <f>IF(DAY(D2886)=DAY($L$1+1),1,B2885+1)</f>
        <v/>
      </c>
      <c r="C2886" s="46">
        <f>IF(DAY(D2886)=DAY($L$1+1),1,C2885+1)</f>
        <v/>
      </c>
      <c r="D2886" s="2">
        <f>D2885+1</f>
        <v/>
      </c>
      <c r="E2886" s="8">
        <f>IF(DAY(D2886)=DAY($L$1+1),TRUNC((#REF!),8),E2885)</f>
        <v/>
      </c>
      <c r="F2886" s="49">
        <f>TRUNC(((1+VLOOKUP(A2886,IPCA!$A$2:$C$140,3,0)))^(C2886/(EDATE(D2886-C2886,1)-(D2886-C2886))),8)</f>
        <v/>
      </c>
      <c r="G2886" s="44">
        <f>TRUNC((E2886*F2886),8)</f>
        <v/>
      </c>
      <c r="H2886" s="44">
        <f>ROUND(((1+$H$4)^(30/360))^(C2886/(EDATE(D2886-B2886,1)-(D2886-B2886))),9)</f>
        <v/>
      </c>
      <c r="I2886" s="44">
        <f>TRUNC((G2886*H2886-G2886),8)</f>
        <v/>
      </c>
      <c r="J2886" s="49">
        <f>G2886+I2886</f>
        <v/>
      </c>
      <c r="K2886" s="256" t="n"/>
      <c r="L2886" s="256" t="n"/>
      <c r="M2886" s="256" t="n"/>
      <c r="N2886" s="256" t="n"/>
      <c r="O2886" s="256" t="n"/>
      <c r="P2886" s="256" t="n"/>
      <c r="Q2886" s="256" t="n"/>
    </row>
    <row r="2887">
      <c r="A2887">
        <f>IF(DAY(D2887)=DAY($L$1+1),A2886+1,A2886)</f>
        <v/>
      </c>
      <c r="B2887" s="1">
        <f>IF(DAY(D2887)=DAY($L$1+1),1,B2886+1)</f>
        <v/>
      </c>
      <c r="C2887" s="1">
        <f>IF(DAY(D2887)=DAY($L$1+1),1,C2886+1)</f>
        <v/>
      </c>
      <c r="D2887" s="2">
        <f>D2886+1</f>
        <v/>
      </c>
      <c r="E2887" s="8">
        <f>IF(DAY(D2887)=DAY($L$1+1),TRUNC((#REF!),8),E2886)</f>
        <v/>
      </c>
      <c r="F2887" s="49">
        <f>TRUNC(((1+VLOOKUP(A2887,IPCA!$A$2:$C$140,3,0)))^(C2887/(EDATE(D2887-C2887,1)-(D2887-C2887))),8)</f>
        <v/>
      </c>
      <c r="G2887" s="44">
        <f>TRUNC((E2887*F2887),8)</f>
        <v/>
      </c>
      <c r="H2887" s="44">
        <f>ROUND(((1+$H$4)^(30/360))^(C2887/(EDATE(D2887-B2887,1)-(D2887-B2887))),9)</f>
        <v/>
      </c>
      <c r="I2887" s="44">
        <f>TRUNC((G2887*H2887-G2887),8)</f>
        <v/>
      </c>
      <c r="J2887" s="49">
        <f>G2887+I2887</f>
        <v/>
      </c>
      <c r="K2887" s="256" t="n"/>
      <c r="L2887" s="256" t="n"/>
      <c r="M2887" s="256" t="n"/>
      <c r="N2887" s="256" t="n"/>
      <c r="O2887" s="256" t="n"/>
      <c r="P2887" s="256" t="n"/>
      <c r="Q2887" s="256" t="n"/>
    </row>
    <row r="2888">
      <c r="A2888">
        <f>IF(DAY(D2888)=DAY($L$1+1),A2887+1,A2887)</f>
        <v/>
      </c>
      <c r="B2888" s="46">
        <f>IF(DAY(D2888)=DAY($L$1+1),1,B2887+1)</f>
        <v/>
      </c>
      <c r="C2888" s="46">
        <f>IF(DAY(D2888)=DAY($L$1+1),1,C2887+1)</f>
        <v/>
      </c>
      <c r="D2888" s="2">
        <f>D2887+1</f>
        <v/>
      </c>
      <c r="E2888" s="8">
        <f>IF(DAY(D2888)=DAY($L$1+1),TRUNC((#REF!),8),E2887)</f>
        <v/>
      </c>
      <c r="F2888" s="49">
        <f>TRUNC(((1+VLOOKUP(A2888,IPCA!$A$2:$C$140,3,0)))^(C2888/(EDATE(D2888-C2888,1)-(D2888-C2888))),8)</f>
        <v/>
      </c>
      <c r="G2888" s="44">
        <f>TRUNC((E2888*F2888),8)</f>
        <v/>
      </c>
      <c r="H2888" s="44">
        <f>ROUND(((1+$H$4)^(30/360))^(C2888/(EDATE(D2888-B2888,1)-(D2888-B2888))),9)</f>
        <v/>
      </c>
      <c r="I2888" s="44">
        <f>TRUNC((G2888*H2888-G2888),8)</f>
        <v/>
      </c>
      <c r="J2888" s="49">
        <f>G2888+I2888</f>
        <v/>
      </c>
      <c r="K2888" s="256" t="n"/>
      <c r="L2888" s="256" t="n"/>
      <c r="M2888" s="256" t="n"/>
      <c r="N2888" s="256" t="n"/>
      <c r="O2888" s="256" t="n"/>
      <c r="P2888" s="256" t="n"/>
      <c r="Q2888" s="256" t="n"/>
    </row>
    <row r="2889">
      <c r="A2889">
        <f>IF(DAY(D2889)=DAY($L$1+1),A2888+1,A2888)</f>
        <v/>
      </c>
      <c r="B2889" s="1">
        <f>IF(DAY(D2889)=DAY($L$1+1),1,B2888+1)</f>
        <v/>
      </c>
      <c r="C2889" s="1">
        <f>IF(DAY(D2889)=DAY($L$1+1),1,C2888+1)</f>
        <v/>
      </c>
      <c r="D2889" s="2">
        <f>D2888+1</f>
        <v/>
      </c>
      <c r="E2889" s="8">
        <f>IF(DAY(D2889)=DAY($L$1+1),TRUNC((#REF!),8),E2888)</f>
        <v/>
      </c>
      <c r="F2889" s="49">
        <f>TRUNC(((1+VLOOKUP(A2889,IPCA!$A$2:$C$140,3,0)))^(C2889/(EDATE(D2889-C2889,1)-(D2889-C2889))),8)</f>
        <v/>
      </c>
      <c r="G2889" s="44">
        <f>TRUNC((E2889*F2889),8)</f>
        <v/>
      </c>
      <c r="H2889" s="44">
        <f>ROUND(((1+$H$4)^(30/360))^(C2889/(EDATE(D2889-B2889,1)-(D2889-B2889))),9)</f>
        <v/>
      </c>
      <c r="I2889" s="44">
        <f>TRUNC((G2889*H2889-G2889),8)</f>
        <v/>
      </c>
      <c r="J2889" s="49">
        <f>G2889+I2889</f>
        <v/>
      </c>
      <c r="K2889" s="256" t="n"/>
      <c r="L2889" s="256" t="n"/>
      <c r="M2889" s="256" t="n"/>
      <c r="N2889" s="256" t="n"/>
      <c r="O2889" s="256" t="n"/>
      <c r="P2889" s="256" t="n"/>
      <c r="Q2889" s="256" t="n"/>
    </row>
    <row r="2890">
      <c r="A2890">
        <f>IF(DAY(D2890)=DAY($L$1+1),A2889+1,A2889)</f>
        <v/>
      </c>
      <c r="B2890" s="46">
        <f>IF(DAY(D2890)=DAY($L$1+1),1,B2889+1)</f>
        <v/>
      </c>
      <c r="C2890" s="46">
        <f>IF(DAY(D2890)=DAY($L$1+1),1,C2889+1)</f>
        <v/>
      </c>
      <c r="D2890" s="2">
        <f>D2889+1</f>
        <v/>
      </c>
      <c r="E2890" s="8">
        <f>IF(DAY(D2890)=DAY($L$1+1),TRUNC((#REF!),8),E2889)</f>
        <v/>
      </c>
      <c r="F2890" s="49">
        <f>TRUNC(((1+VLOOKUP(A2890,IPCA!$A$2:$C$140,3,0)))^(C2890/(EDATE(D2890-C2890,1)-(D2890-C2890))),8)</f>
        <v/>
      </c>
      <c r="G2890" s="44">
        <f>TRUNC((E2890*F2890),8)</f>
        <v/>
      </c>
      <c r="H2890" s="44">
        <f>ROUND(((1+$H$4)^(30/360))^(C2890/(EDATE(D2890-B2890,1)-(D2890-B2890))),9)</f>
        <v/>
      </c>
      <c r="I2890" s="44">
        <f>TRUNC((G2890*H2890-G2890),8)</f>
        <v/>
      </c>
      <c r="J2890" s="49">
        <f>G2890+I2890</f>
        <v/>
      </c>
      <c r="K2890" s="256" t="n"/>
      <c r="L2890" s="256" t="n"/>
      <c r="M2890" s="256" t="n"/>
      <c r="N2890" s="256" t="n"/>
      <c r="O2890" s="256" t="n"/>
      <c r="P2890" s="256" t="n"/>
      <c r="Q2890" s="256" t="n"/>
    </row>
    <row r="2891">
      <c r="A2891">
        <f>IF(DAY(D2891)=DAY($L$1+1),A2890+1,A2890)</f>
        <v/>
      </c>
      <c r="B2891" s="1">
        <f>IF(DAY(D2891)=DAY($L$1+1),1,B2890+1)</f>
        <v/>
      </c>
      <c r="C2891" s="1">
        <f>IF(DAY(D2891)=DAY($L$1+1),1,C2890+1)</f>
        <v/>
      </c>
      <c r="D2891" s="2">
        <f>D2890+1</f>
        <v/>
      </c>
      <c r="E2891" s="8">
        <f>IF(DAY(D2891)=DAY($L$1+1),TRUNC((#REF!),8),E2890)</f>
        <v/>
      </c>
      <c r="F2891" s="49">
        <f>TRUNC(((1+VLOOKUP(A2891,IPCA!$A$2:$C$140,3,0)))^(C2891/(EDATE(D2891-C2891,1)-(D2891-C2891))),8)</f>
        <v/>
      </c>
      <c r="G2891" s="44">
        <f>TRUNC((E2891*F2891),8)</f>
        <v/>
      </c>
      <c r="H2891" s="44">
        <f>ROUND(((1+$H$4)^(30/360))^(C2891/(EDATE(D2891-B2891,1)-(D2891-B2891))),9)</f>
        <v/>
      </c>
      <c r="I2891" s="44">
        <f>TRUNC((G2891*H2891-G2891),8)</f>
        <v/>
      </c>
      <c r="J2891" s="49">
        <f>G2891+I2891</f>
        <v/>
      </c>
      <c r="K2891" s="256" t="n"/>
      <c r="L2891" s="256" t="n"/>
      <c r="M2891" s="256" t="n"/>
      <c r="N2891" s="256" t="n"/>
      <c r="O2891" s="256" t="n"/>
      <c r="P2891" s="256" t="n"/>
      <c r="Q2891" s="256" t="n"/>
    </row>
    <row r="2892">
      <c r="A2892">
        <f>IF(DAY(D2892)=DAY($L$1+1),A2891+1,A2891)</f>
        <v/>
      </c>
      <c r="B2892" s="46">
        <f>IF(DAY(D2892)=DAY($L$1+1),1,B2891+1)</f>
        <v/>
      </c>
      <c r="C2892" s="46">
        <f>IF(DAY(D2892)=DAY($L$1+1),1,C2891+1)</f>
        <v/>
      </c>
      <c r="D2892" s="2">
        <f>D2891+1</f>
        <v/>
      </c>
      <c r="E2892" s="8">
        <f>IF(DAY(D2892)=DAY($L$1+1),TRUNC((#REF!),8),E2891)</f>
        <v/>
      </c>
      <c r="F2892" s="49">
        <f>TRUNC(((1+VLOOKUP(A2892,IPCA!$A$2:$C$140,3,0)))^(C2892/(EDATE(D2892-C2892,1)-(D2892-C2892))),8)</f>
        <v/>
      </c>
      <c r="G2892" s="44">
        <f>TRUNC((E2892*F2892),8)</f>
        <v/>
      </c>
      <c r="H2892" s="44">
        <f>ROUND(((1+$H$4)^(30/360))^(C2892/(EDATE(D2892-B2892,1)-(D2892-B2892))),9)</f>
        <v/>
      </c>
      <c r="I2892" s="44">
        <f>TRUNC((G2892*H2892-G2892),8)</f>
        <v/>
      </c>
      <c r="J2892" s="49">
        <f>G2892+I2892</f>
        <v/>
      </c>
      <c r="K2892" s="256" t="n"/>
      <c r="L2892" s="256" t="n"/>
      <c r="M2892" s="256" t="n"/>
      <c r="N2892" s="256" t="n"/>
      <c r="O2892" s="256" t="n"/>
      <c r="P2892" s="256" t="n"/>
      <c r="Q2892" s="256" t="n"/>
    </row>
    <row r="2893">
      <c r="A2893">
        <f>IF(DAY(D2893)=DAY($L$1+1),A2892+1,A2892)</f>
        <v/>
      </c>
      <c r="B2893" s="1">
        <f>IF(DAY(D2893)=DAY($L$1+1),1,B2892+1)</f>
        <v/>
      </c>
      <c r="C2893" s="1">
        <f>IF(DAY(D2893)=DAY($L$1+1),1,C2892+1)</f>
        <v/>
      </c>
      <c r="D2893" s="2">
        <f>D2892+1</f>
        <v/>
      </c>
      <c r="E2893" s="8">
        <f>IF(DAY(D2893)=DAY($L$1+1),TRUNC((#REF!),8),E2892)</f>
        <v/>
      </c>
      <c r="F2893" s="49">
        <f>TRUNC(((1+VLOOKUP(A2893,IPCA!$A$2:$C$140,3,0)))^(C2893/(EDATE(D2893-C2893,1)-(D2893-C2893))),8)</f>
        <v/>
      </c>
      <c r="G2893" s="44">
        <f>TRUNC((E2893*F2893),8)</f>
        <v/>
      </c>
      <c r="H2893" s="44">
        <f>ROUND(((1+$H$4)^(30/360))^(C2893/(EDATE(D2893-B2893,1)-(D2893-B2893))),9)</f>
        <v/>
      </c>
      <c r="I2893" s="44">
        <f>TRUNC((G2893*H2893-G2893),8)</f>
        <v/>
      </c>
      <c r="J2893" s="49">
        <f>G2893+I2893</f>
        <v/>
      </c>
      <c r="K2893" s="256" t="n"/>
      <c r="L2893" s="256" t="n"/>
      <c r="M2893" s="256" t="n"/>
      <c r="N2893" s="256" t="n"/>
      <c r="O2893" s="256" t="n"/>
      <c r="P2893" s="256" t="n"/>
      <c r="Q2893" s="256" t="n"/>
    </row>
    <row r="2894">
      <c r="A2894">
        <f>IF(DAY(D2894)=DAY($L$1+1),A2893+1,A2893)</f>
        <v/>
      </c>
      <c r="B2894" s="46">
        <f>IF(DAY(D2894)=DAY($L$1+1),1,B2893+1)</f>
        <v/>
      </c>
      <c r="C2894" s="46">
        <f>IF(DAY(D2894)=DAY($L$1+1),1,C2893+1)</f>
        <v/>
      </c>
      <c r="D2894" s="2">
        <f>D2893+1</f>
        <v/>
      </c>
      <c r="E2894" s="8">
        <f>IF(DAY(D2894)=DAY($L$1+1),TRUNC((#REF!),8),E2893)</f>
        <v/>
      </c>
      <c r="F2894" s="49">
        <f>TRUNC(((1+VLOOKUP(A2894,IPCA!$A$2:$C$140,3,0)))^(C2894/(EDATE(D2894-C2894,1)-(D2894-C2894))),8)</f>
        <v/>
      </c>
      <c r="G2894" s="44">
        <f>TRUNC((E2894*F2894),8)</f>
        <v/>
      </c>
      <c r="H2894" s="44">
        <f>ROUND(((1+$H$4)^(30/360))^(C2894/(EDATE(D2894-B2894,1)-(D2894-B2894))),9)</f>
        <v/>
      </c>
      <c r="I2894" s="44">
        <f>TRUNC((G2894*H2894-G2894),8)</f>
        <v/>
      </c>
      <c r="J2894" s="49">
        <f>G2894+I2894</f>
        <v/>
      </c>
      <c r="K2894" s="256" t="n"/>
      <c r="L2894" s="256" t="n"/>
      <c r="M2894" s="256" t="n"/>
      <c r="N2894" s="256" t="n"/>
      <c r="O2894" s="256" t="n"/>
      <c r="P2894" s="256" t="n"/>
      <c r="Q2894" s="256" t="n"/>
    </row>
    <row r="2895">
      <c r="A2895">
        <f>IF(DAY(D2895)=DAY($L$1+1),A2894+1,A2894)</f>
        <v/>
      </c>
      <c r="B2895" s="1">
        <f>IF(DAY(D2895)=DAY($L$1+1),1,B2894+1)</f>
        <v/>
      </c>
      <c r="C2895" s="1">
        <f>IF(DAY(D2895)=DAY($L$1+1),1,C2894+1)</f>
        <v/>
      </c>
      <c r="D2895" s="2">
        <f>D2894+1</f>
        <v/>
      </c>
      <c r="E2895" s="8">
        <f>IF(DAY(D2895)=DAY($L$1+1),TRUNC((#REF!),8),E2894)</f>
        <v/>
      </c>
      <c r="F2895" s="49">
        <f>TRUNC(((1+VLOOKUP(A2895,IPCA!$A$2:$C$140,3,0)))^(C2895/(EDATE(D2895-C2895,1)-(D2895-C2895))),8)</f>
        <v/>
      </c>
      <c r="G2895" s="44">
        <f>TRUNC((E2895*F2895),8)</f>
        <v/>
      </c>
      <c r="H2895" s="44">
        <f>ROUND(((1+$H$4)^(30/360))^(C2895/(EDATE(D2895-B2895,1)-(D2895-B2895))),9)</f>
        <v/>
      </c>
      <c r="I2895" s="44">
        <f>TRUNC((G2895*H2895-G2895),8)</f>
        <v/>
      </c>
      <c r="J2895" s="49">
        <f>G2895+I2895</f>
        <v/>
      </c>
      <c r="K2895" s="256" t="n"/>
      <c r="L2895" s="256" t="n"/>
      <c r="M2895" s="256" t="n"/>
      <c r="N2895" s="256" t="n"/>
      <c r="O2895" s="256" t="n"/>
      <c r="P2895" s="256" t="n"/>
      <c r="Q2895" s="256" t="n"/>
    </row>
    <row r="2896">
      <c r="A2896">
        <f>IF(DAY(D2896)=DAY($L$1+1),A2895+1,A2895)</f>
        <v/>
      </c>
      <c r="B2896" s="46">
        <f>IF(DAY(D2896)=DAY($L$1+1),1,B2895+1)</f>
        <v/>
      </c>
      <c r="C2896" s="46">
        <f>IF(DAY(D2896)=DAY($L$1+1),1,C2895+1)</f>
        <v/>
      </c>
      <c r="D2896" s="2">
        <f>D2895+1</f>
        <v/>
      </c>
      <c r="E2896" s="8">
        <f>IF(DAY(D2896)=DAY($L$1+1),TRUNC((#REF!),8),E2895)</f>
        <v/>
      </c>
      <c r="F2896" s="49">
        <f>TRUNC(((1+VLOOKUP(A2896,IPCA!$A$2:$C$140,3,0)))^(C2896/(EDATE(D2896-C2896,1)-(D2896-C2896))),8)</f>
        <v/>
      </c>
      <c r="G2896" s="44">
        <f>TRUNC((E2896*F2896),8)</f>
        <v/>
      </c>
      <c r="H2896" s="44">
        <f>ROUND(((1+$H$4)^(30/360))^(C2896/(EDATE(D2896-B2896,1)-(D2896-B2896))),9)</f>
        <v/>
      </c>
      <c r="I2896" s="44">
        <f>TRUNC((G2896*H2896-G2896),8)</f>
        <v/>
      </c>
      <c r="J2896" s="49">
        <f>G2896+I2896</f>
        <v/>
      </c>
      <c r="K2896" s="256" t="n"/>
      <c r="L2896" s="256" t="n"/>
      <c r="M2896" s="256" t="n"/>
      <c r="N2896" s="256" t="n"/>
      <c r="O2896" s="256" t="n"/>
      <c r="P2896" s="256" t="n"/>
      <c r="Q2896" s="256" t="n"/>
    </row>
    <row r="2897">
      <c r="A2897">
        <f>IF(DAY(D2897)=DAY($L$1+1),A2896+1,A2896)</f>
        <v/>
      </c>
      <c r="B2897" s="1">
        <f>IF(DAY(D2897)=DAY($L$1+1),1,B2896+1)</f>
        <v/>
      </c>
      <c r="C2897" s="1">
        <f>IF(DAY(D2897)=DAY($L$1+1),1,C2896+1)</f>
        <v/>
      </c>
      <c r="D2897" s="2">
        <f>D2896+1</f>
        <v/>
      </c>
      <c r="E2897" s="8">
        <f>IF(DAY(D2897)=DAY($L$1+1),TRUNC((#REF!),8),E2896)</f>
        <v/>
      </c>
      <c r="F2897" s="49">
        <f>TRUNC(((1+VLOOKUP(A2897,IPCA!$A$2:$C$140,3,0)))^(C2897/(EDATE(D2897-C2897,1)-(D2897-C2897))),8)</f>
        <v/>
      </c>
      <c r="G2897" s="44">
        <f>TRUNC((E2897*F2897),8)</f>
        <v/>
      </c>
      <c r="H2897" s="44">
        <f>ROUND(((1+$H$4)^(30/360))^(C2897/(EDATE(D2897-B2897,1)-(D2897-B2897))),9)</f>
        <v/>
      </c>
      <c r="I2897" s="44">
        <f>TRUNC((G2897*H2897-G2897),8)</f>
        <v/>
      </c>
      <c r="J2897" s="49">
        <f>G2897+I2897</f>
        <v/>
      </c>
      <c r="K2897" s="256" t="n"/>
      <c r="L2897" s="256" t="n"/>
      <c r="M2897" s="256" t="n"/>
      <c r="N2897" s="256" t="n"/>
      <c r="O2897" s="256" t="n"/>
      <c r="P2897" s="256" t="n"/>
      <c r="Q2897" s="256" t="n"/>
    </row>
    <row r="2898">
      <c r="A2898">
        <f>IF(DAY(D2898)=DAY($L$1+1),A2897+1,A2897)</f>
        <v/>
      </c>
      <c r="B2898" s="46">
        <f>IF(DAY(D2898)=DAY($L$1+1),1,B2897+1)</f>
        <v/>
      </c>
      <c r="C2898" s="46">
        <f>IF(DAY(D2898)=DAY($L$1+1),1,C2897+1)</f>
        <v/>
      </c>
      <c r="D2898" s="2">
        <f>D2897+1</f>
        <v/>
      </c>
      <c r="E2898" s="8">
        <f>IF(DAY(D2898)=DAY($L$1+1),TRUNC((#REF!),8),E2897)</f>
        <v/>
      </c>
      <c r="F2898" s="49">
        <f>TRUNC(((1+VLOOKUP(A2898,IPCA!$A$2:$C$140,3,0)))^(C2898/(EDATE(D2898-C2898,1)-(D2898-C2898))),8)</f>
        <v/>
      </c>
      <c r="G2898" s="44">
        <f>TRUNC((E2898*F2898),8)</f>
        <v/>
      </c>
      <c r="H2898" s="44">
        <f>ROUND(((1+$H$4)^(30/360))^(C2898/(EDATE(D2898-B2898,1)-(D2898-B2898))),9)</f>
        <v/>
      </c>
      <c r="I2898" s="44">
        <f>TRUNC((G2898*H2898-G2898),8)</f>
        <v/>
      </c>
      <c r="J2898" s="49">
        <f>G2898+I2898</f>
        <v/>
      </c>
      <c r="K2898" s="256" t="n"/>
      <c r="L2898" s="256" t="n"/>
      <c r="M2898" s="256" t="n"/>
      <c r="N2898" s="256" t="n"/>
      <c r="O2898" s="256" t="n"/>
      <c r="P2898" s="256" t="n"/>
      <c r="Q2898" s="256" t="n"/>
    </row>
    <row r="2899">
      <c r="A2899">
        <f>IF(DAY(D2899)=DAY($L$1+1),A2898+1,A2898)</f>
        <v/>
      </c>
      <c r="B2899" s="1">
        <f>IF(DAY(D2899)=DAY($L$1+1),1,B2898+1)</f>
        <v/>
      </c>
      <c r="C2899" s="1">
        <f>IF(DAY(D2899)=DAY($L$1+1),1,C2898+1)</f>
        <v/>
      </c>
      <c r="D2899" s="2">
        <f>D2898+1</f>
        <v/>
      </c>
      <c r="E2899" s="8">
        <f>IF(DAY(D2899)=DAY($L$1+1),TRUNC((#REF!),8),E2898)</f>
        <v/>
      </c>
      <c r="F2899" s="49">
        <f>TRUNC(((1+VLOOKUP(A2899,IPCA!$A$2:$C$140,3,0)))^(C2899/(EDATE(D2899-C2899,1)-(D2899-C2899))),8)</f>
        <v/>
      </c>
      <c r="G2899" s="44">
        <f>TRUNC((E2899*F2899),8)</f>
        <v/>
      </c>
      <c r="H2899" s="44">
        <f>ROUND(((1+$H$4)^(30/360))^(C2899/(EDATE(D2899-B2899,1)-(D2899-B2899))),9)</f>
        <v/>
      </c>
      <c r="I2899" s="44">
        <f>TRUNC((G2899*H2899-G2899),8)</f>
        <v/>
      </c>
      <c r="J2899" s="49">
        <f>G2899+I2899</f>
        <v/>
      </c>
      <c r="K2899" s="256" t="n"/>
      <c r="L2899" s="256" t="n"/>
      <c r="M2899" s="256" t="n"/>
      <c r="N2899" s="256" t="n"/>
      <c r="O2899" s="256" t="n"/>
      <c r="P2899" s="256" t="n"/>
      <c r="Q2899" s="256" t="n"/>
    </row>
    <row r="2900">
      <c r="A2900">
        <f>IF(DAY(D2900)=DAY($L$1+1),A2899+1,A2899)</f>
        <v/>
      </c>
      <c r="B2900" s="46">
        <f>IF(DAY(D2900)=DAY($L$1+1),1,B2899+1)</f>
        <v/>
      </c>
      <c r="C2900" s="46">
        <f>IF(DAY(D2900)=DAY($L$1+1),1,C2899+1)</f>
        <v/>
      </c>
      <c r="D2900" s="2">
        <f>D2899+1</f>
        <v/>
      </c>
      <c r="E2900" s="8">
        <f>IF(DAY(D2900)=DAY($L$1+1),TRUNC((#REF!),8),E2899)</f>
        <v/>
      </c>
      <c r="F2900" s="49">
        <f>TRUNC(((1+VLOOKUP(A2900,IPCA!$A$2:$C$140,3,0)))^(C2900/(EDATE(D2900-C2900,1)-(D2900-C2900))),8)</f>
        <v/>
      </c>
      <c r="G2900" s="44">
        <f>TRUNC((E2900*F2900),8)</f>
        <v/>
      </c>
      <c r="H2900" s="44">
        <f>ROUND(((1+$H$4)^(30/360))^(C2900/(EDATE(D2900-B2900,1)-(D2900-B2900))),9)</f>
        <v/>
      </c>
      <c r="I2900" s="44">
        <f>TRUNC((G2900*H2900-G2900),8)</f>
        <v/>
      </c>
      <c r="J2900" s="49">
        <f>G2900+I2900</f>
        <v/>
      </c>
      <c r="K2900" s="256" t="n"/>
      <c r="L2900" s="256" t="n"/>
      <c r="M2900" s="256" t="n"/>
      <c r="N2900" s="256" t="n"/>
      <c r="O2900" s="256" t="n"/>
      <c r="P2900" s="256" t="n"/>
      <c r="Q2900" s="256" t="n"/>
    </row>
    <row r="2901">
      <c r="A2901">
        <f>IF(DAY(D2901)=DAY($L$1+1),A2900+1,A2900)</f>
        <v/>
      </c>
      <c r="B2901" s="1">
        <f>IF(DAY(D2901)=DAY($L$1+1),1,B2900+1)</f>
        <v/>
      </c>
      <c r="C2901" s="1">
        <f>IF(DAY(D2901)=DAY($L$1+1),1,C2900+1)</f>
        <v/>
      </c>
      <c r="D2901" s="2">
        <f>D2900+1</f>
        <v/>
      </c>
      <c r="E2901" s="8">
        <f>IF(DAY(D2901)=DAY($L$1+1),TRUNC((#REF!),8),E2900)</f>
        <v/>
      </c>
      <c r="F2901" s="49">
        <f>TRUNC(((1+VLOOKUP(A2901,IPCA!$A$2:$C$140,3,0)))^(C2901/(EDATE(D2901-C2901,1)-(D2901-C2901))),8)</f>
        <v/>
      </c>
      <c r="G2901" s="44">
        <f>TRUNC((E2901*F2901),8)</f>
        <v/>
      </c>
      <c r="H2901" s="44">
        <f>ROUND(((1+$H$4)^(30/360))^(C2901/(EDATE(D2901-B2901,1)-(D2901-B2901))),9)</f>
        <v/>
      </c>
      <c r="I2901" s="44">
        <f>TRUNC((G2901*H2901-G2901),8)</f>
        <v/>
      </c>
      <c r="J2901" s="49">
        <f>G2901+I2901</f>
        <v/>
      </c>
      <c r="K2901" s="256" t="n"/>
      <c r="L2901" s="256" t="n"/>
      <c r="M2901" s="256" t="n"/>
      <c r="N2901" s="256" t="n"/>
      <c r="O2901" s="256" t="n"/>
      <c r="P2901" s="256" t="n"/>
      <c r="Q2901" s="256" t="n"/>
    </row>
    <row r="2902">
      <c r="A2902">
        <f>IF(DAY(D2902)=DAY($L$1+1),A2901+1,A2901)</f>
        <v/>
      </c>
      <c r="B2902" s="46">
        <f>IF(DAY(D2902)=DAY($L$1+1),1,B2901+1)</f>
        <v/>
      </c>
      <c r="C2902" s="46">
        <f>IF(DAY(D2902)=DAY($L$1+1),1,C2901+1)</f>
        <v/>
      </c>
      <c r="D2902" s="2">
        <f>D2901+1</f>
        <v/>
      </c>
      <c r="E2902" s="8">
        <f>IF(DAY(D2902)=DAY($L$1+1),TRUNC((#REF!),8),E2901)</f>
        <v/>
      </c>
      <c r="F2902" s="49">
        <f>TRUNC(((1+VLOOKUP(A2902,IPCA!$A$2:$C$140,3,0)))^(C2902/(EDATE(D2902-C2902,1)-(D2902-C2902))),8)</f>
        <v/>
      </c>
      <c r="G2902" s="44">
        <f>TRUNC((E2902*F2902),8)</f>
        <v/>
      </c>
      <c r="H2902" s="44">
        <f>ROUND(((1+$H$4)^(30/360))^(C2902/(EDATE(D2902-B2902,1)-(D2902-B2902))),9)</f>
        <v/>
      </c>
      <c r="I2902" s="44">
        <f>TRUNC((G2902*H2902-G2902),8)</f>
        <v/>
      </c>
      <c r="J2902" s="49">
        <f>G2902+I2902</f>
        <v/>
      </c>
      <c r="K2902" s="256" t="n"/>
      <c r="L2902" s="256" t="n"/>
      <c r="M2902" s="256" t="n"/>
      <c r="N2902" s="256" t="n"/>
      <c r="O2902" s="256" t="n"/>
      <c r="P2902" s="256" t="n"/>
      <c r="Q2902" s="256" t="n"/>
    </row>
    <row r="2903">
      <c r="A2903">
        <f>IF(DAY(D2903)=DAY($L$1+1),A2902+1,A2902)</f>
        <v/>
      </c>
      <c r="B2903" s="1">
        <f>IF(DAY(D2903)=DAY($L$1+1),1,B2902+1)</f>
        <v/>
      </c>
      <c r="C2903" s="1">
        <f>IF(DAY(D2903)=DAY($L$1+1),1,C2902+1)</f>
        <v/>
      </c>
      <c r="D2903" s="2">
        <f>D2902+1</f>
        <v/>
      </c>
      <c r="E2903" s="8">
        <f>IF(DAY(D2903)=DAY($L$1+1),TRUNC((#REF!),8),E2902)</f>
        <v/>
      </c>
      <c r="F2903" s="49">
        <f>TRUNC(((1+VLOOKUP(A2903,IPCA!$A$2:$C$140,3,0)))^(C2903/(EDATE(D2903-C2903,1)-(D2903-C2903))),8)</f>
        <v/>
      </c>
      <c r="G2903" s="44">
        <f>TRUNC((E2903*F2903),8)</f>
        <v/>
      </c>
      <c r="H2903" s="44">
        <f>ROUND(((1+$H$4)^(30/360))^(C2903/(EDATE(D2903-B2903,1)-(D2903-B2903))),9)</f>
        <v/>
      </c>
      <c r="I2903" s="44">
        <f>TRUNC((G2903*H2903-G2903),8)</f>
        <v/>
      </c>
      <c r="J2903" s="49">
        <f>G2903+I2903</f>
        <v/>
      </c>
      <c r="K2903" s="256" t="n"/>
      <c r="L2903" s="256" t="n"/>
      <c r="M2903" s="256" t="n"/>
      <c r="N2903" s="256" t="n"/>
      <c r="O2903" s="256" t="n"/>
      <c r="P2903" s="256" t="n"/>
      <c r="Q2903" s="256" t="n"/>
    </row>
    <row r="2904">
      <c r="A2904">
        <f>IF(DAY(D2904)=DAY($L$1+1),A2903+1,A2903)</f>
        <v/>
      </c>
      <c r="B2904" s="46">
        <f>IF(DAY(D2904)=DAY($L$1+1),1,B2903+1)</f>
        <v/>
      </c>
      <c r="C2904" s="46">
        <f>IF(DAY(D2904)=DAY($L$1+1),1,C2903+1)</f>
        <v/>
      </c>
      <c r="D2904" s="2">
        <f>D2903+1</f>
        <v/>
      </c>
      <c r="E2904" s="8">
        <f>IF(DAY(D2904)=DAY($L$1+1),TRUNC((#REF!),8),E2903)</f>
        <v/>
      </c>
      <c r="F2904" s="49">
        <f>TRUNC(((1+VLOOKUP(A2904,IPCA!$A$2:$C$140,3,0)))^(C2904/(EDATE(D2904-C2904,1)-(D2904-C2904))),8)</f>
        <v/>
      </c>
      <c r="G2904" s="44">
        <f>TRUNC((E2904*F2904),8)</f>
        <v/>
      </c>
      <c r="H2904" s="44">
        <f>ROUND(((1+$H$4)^(30/360))^(C2904/(EDATE(D2904-B2904,1)-(D2904-B2904))),9)</f>
        <v/>
      </c>
      <c r="I2904" s="44">
        <f>TRUNC((G2904*H2904-G2904),8)</f>
        <v/>
      </c>
      <c r="J2904" s="49">
        <f>G2904+I2904</f>
        <v/>
      </c>
      <c r="K2904" s="256" t="n"/>
      <c r="L2904" s="256" t="n"/>
      <c r="M2904" s="256" t="n"/>
      <c r="N2904" s="256" t="n"/>
      <c r="O2904" s="256" t="n"/>
      <c r="P2904" s="256" t="n"/>
      <c r="Q2904" s="256" t="n"/>
    </row>
    <row r="2905">
      <c r="A2905">
        <f>IF(DAY(D2905)=DAY($L$1+1),A2904+1,A2904)</f>
        <v/>
      </c>
      <c r="B2905" s="1">
        <f>IF(DAY(D2905)=DAY($L$1+1),1,B2904+1)</f>
        <v/>
      </c>
      <c r="C2905" s="1">
        <f>IF(DAY(D2905)=DAY($L$1+1),1,C2904+1)</f>
        <v/>
      </c>
      <c r="D2905" s="2">
        <f>D2904+1</f>
        <v/>
      </c>
      <c r="E2905" s="8">
        <f>IF(DAY(D2905)=DAY($L$1+1),TRUNC((#REF!),8),E2904)</f>
        <v/>
      </c>
      <c r="F2905" s="49">
        <f>TRUNC(((1+VLOOKUP(A2905,IPCA!$A$2:$C$140,3,0)))^(C2905/(EDATE(D2905-C2905,1)-(D2905-C2905))),8)</f>
        <v/>
      </c>
      <c r="G2905" s="44">
        <f>TRUNC((E2905*F2905),8)</f>
        <v/>
      </c>
      <c r="H2905" s="44">
        <f>ROUND(((1+$H$4)^(30/360))^(C2905/(EDATE(D2905-B2905,1)-(D2905-B2905))),9)</f>
        <v/>
      </c>
      <c r="I2905" s="44">
        <f>TRUNC((G2905*H2905-G2905),8)</f>
        <v/>
      </c>
      <c r="J2905" s="49">
        <f>G2905+I2905</f>
        <v/>
      </c>
      <c r="K2905" s="256" t="n"/>
      <c r="L2905" s="256" t="n"/>
      <c r="M2905" s="256" t="n"/>
      <c r="N2905" s="256" t="n"/>
      <c r="O2905" s="256" t="n"/>
      <c r="P2905" s="256" t="n"/>
      <c r="Q2905" s="256" t="n"/>
    </row>
    <row r="2906">
      <c r="A2906">
        <f>IF(DAY(D2906)=DAY($L$1+1),A2905+1,A2905)</f>
        <v/>
      </c>
      <c r="B2906" s="46">
        <f>IF(DAY(D2906)=DAY($L$1+1),1,B2905+1)</f>
        <v/>
      </c>
      <c r="C2906" s="46">
        <f>IF(DAY(D2906)=DAY($L$1+1),1,C2905+1)</f>
        <v/>
      </c>
      <c r="D2906" s="2">
        <f>D2905+1</f>
        <v/>
      </c>
      <c r="E2906" s="8">
        <f>IF(DAY(D2906)=DAY($L$1+1),TRUNC((#REF!),8),E2905)</f>
        <v/>
      </c>
      <c r="F2906" s="49">
        <f>TRUNC(((1+VLOOKUP(A2906,IPCA!$A$2:$C$140,3,0)))^(C2906/(EDATE(D2906-C2906,1)-(D2906-C2906))),8)</f>
        <v/>
      </c>
      <c r="G2906" s="44">
        <f>TRUNC((E2906*F2906),8)</f>
        <v/>
      </c>
      <c r="H2906" s="44">
        <f>ROUND(((1+$H$4)^(30/360))^(C2906/(EDATE(D2906-B2906,1)-(D2906-B2906))),9)</f>
        <v/>
      </c>
      <c r="I2906" s="44">
        <f>TRUNC((G2906*H2906-G2906),8)</f>
        <v/>
      </c>
      <c r="J2906" s="49">
        <f>G2906+I2906</f>
        <v/>
      </c>
      <c r="K2906" s="256" t="n"/>
      <c r="L2906" s="256" t="n"/>
      <c r="M2906" s="256" t="n"/>
      <c r="N2906" s="256" t="n"/>
      <c r="O2906" s="256" t="n"/>
      <c r="P2906" s="256" t="n"/>
      <c r="Q2906" s="256" t="n"/>
    </row>
    <row r="2907">
      <c r="A2907">
        <f>IF(DAY(D2907)=DAY($L$1+1),A2906+1,A2906)</f>
        <v/>
      </c>
      <c r="B2907" s="1">
        <f>IF(DAY(D2907)=DAY($L$1+1),1,B2906+1)</f>
        <v/>
      </c>
      <c r="C2907" s="1">
        <f>IF(DAY(D2907)=DAY($L$1+1),1,C2906+1)</f>
        <v/>
      </c>
      <c r="D2907" s="2">
        <f>D2906+1</f>
        <v/>
      </c>
      <c r="E2907" s="8">
        <f>IF(DAY(D2907)=DAY($L$1+1),TRUNC((N2906),8),E2906)</f>
        <v/>
      </c>
      <c r="F2907" s="49">
        <f>TRUNC(((1+VLOOKUP(A2907,IPCA!$A$2:$C$140,3,0)))^(C2907/(EDATE(D2907-C2907,1)-(D2907-C2907))),8)</f>
        <v/>
      </c>
      <c r="G2907" s="44">
        <f>TRUNC((E2907*F2907),8)</f>
        <v/>
      </c>
      <c r="H2907" s="44">
        <f>ROUND(((1+$H$4)^(30/360))^(C2907/(EDATE(D2907-B2907,1)-(D2907-B2907))),9)</f>
        <v/>
      </c>
      <c r="I2907" s="44">
        <f>TRUNC((G2907*H2907-G2907),8)</f>
        <v/>
      </c>
      <c r="J2907" s="49">
        <f>G2907+I2907</f>
        <v/>
      </c>
      <c r="K2907" s="256" t="n"/>
      <c r="L2907" s="256" t="n"/>
      <c r="M2907" s="256" t="n"/>
      <c r="N2907" s="256" t="n"/>
      <c r="O2907" s="256" t="n"/>
      <c r="P2907" s="256" t="n"/>
      <c r="Q2907" s="256" t="n"/>
    </row>
    <row r="2908">
      <c r="A2908">
        <f>IF(DAY(D2908)=DAY($L$1+1),A2907+1,A2907)</f>
        <v/>
      </c>
      <c r="B2908" s="46">
        <f>IF(DAY(D2908)=DAY($L$1+1),1,B2907+1)</f>
        <v/>
      </c>
      <c r="C2908" s="46">
        <f>IF(DAY(D2908)=DAY($L$1+1),1,C2907+1)</f>
        <v/>
      </c>
      <c r="D2908" s="2">
        <f>D2907+1</f>
        <v/>
      </c>
      <c r="E2908" s="8">
        <f>IF(DAY(D2908)=DAY($L$1+1),TRUNC((N2907),8),E2907)</f>
        <v/>
      </c>
      <c r="F2908" s="49">
        <f>TRUNC(((1+VLOOKUP(A2908,IPCA!$A$2:$C$140,3,0)))^(C2908/(EDATE(D2908-C2908,1)-(D2908-C2908))),8)</f>
        <v/>
      </c>
      <c r="G2908" s="44">
        <f>TRUNC((E2908*F2908),8)</f>
        <v/>
      </c>
      <c r="H2908" s="44">
        <f>ROUND(((1+$H$4)^(30/360))^(C2908/(EDATE(D2908-B2908,1)-(D2908-B2908))),9)</f>
        <v/>
      </c>
      <c r="I2908" s="44">
        <f>TRUNC((G2908*H2908-G2908),8)</f>
        <v/>
      </c>
      <c r="J2908" s="49">
        <f>G2908+I2908</f>
        <v/>
      </c>
      <c r="K2908" s="256" t="n"/>
      <c r="L2908" s="256" t="n"/>
      <c r="M2908" s="256" t="n"/>
      <c r="N2908" s="256" t="n"/>
      <c r="O2908" s="256" t="n"/>
      <c r="P2908" s="256" t="n"/>
      <c r="Q2908" s="256" t="n"/>
    </row>
    <row r="2909">
      <c r="A2909">
        <f>IF(DAY(D2909)=DAY($L$1+1),A2908+1,A2908)</f>
        <v/>
      </c>
      <c r="B2909" s="46">
        <f>IF(DAY(D2909)=DAY($L$1+1),1,B2908+1)</f>
        <v/>
      </c>
      <c r="C2909" s="46">
        <f>IF(DAY(D2909)=DAY($L$1+1),1,C2908+1)</f>
        <v/>
      </c>
      <c r="D2909" s="2">
        <f>D2908+1</f>
        <v/>
      </c>
      <c r="E2909" s="8">
        <f>IF(DAY(D2909)=DAY($L$1+1),TRUNC((N2908),8),E2908)</f>
        <v/>
      </c>
      <c r="F2909" s="49">
        <f>TRUNC(((1+VLOOKUP(A2909,IPCA!$A$2:$C$140,3,0)))^(C2909/(EDATE(D2909-C2909,1)-(D2909-C2909))),8)</f>
        <v/>
      </c>
      <c r="G2909" s="49">
        <f>TRUNC((E2909*F2909),8)</f>
        <v/>
      </c>
      <c r="H2909" s="49">
        <f>ROUND(((1+$H$4)^(30/360))^(C2909/(EDATE(D2909-B2909,1)-(D2909-B2909))),9)</f>
        <v/>
      </c>
      <c r="I2909" s="49">
        <f>TRUNC((G2909*H2909-G2909),8)</f>
        <v/>
      </c>
      <c r="J2909" s="49">
        <f>G2909+I2909</f>
        <v/>
      </c>
      <c r="K2909" s="256" t="inlineStr">
        <is>
          <t>Cri Integralizado</t>
        </is>
      </c>
      <c r="L2909" s="270">
        <f>L2878</f>
        <v/>
      </c>
      <c r="M2909" s="256" t="n"/>
      <c r="N2909" s="256" t="n"/>
      <c r="O2909" s="256" t="n"/>
      <c r="P2909" s="256" t="n"/>
      <c r="Q2909" s="256" t="n"/>
    </row>
    <row r="2910">
      <c r="A2910">
        <f>IF(DAY(D2910)=DAY($L$1+1),A2909+1,A2909)</f>
        <v/>
      </c>
      <c r="B2910" s="46">
        <f>IF(DAY(D2910)=DAY($L$1+1),1,B2909+1)</f>
        <v/>
      </c>
      <c r="C2910" s="46">
        <f>IF(DAY(D2910)=DAY($L$1+1),1,C2909+1)</f>
        <v/>
      </c>
      <c r="D2910" s="47">
        <f>D2909+1</f>
        <v/>
      </c>
      <c r="E2910" s="8">
        <f>IF(DAY(D2910)=DAY($L$1+1),TRUNC((N2909),8),E2909)</f>
        <v/>
      </c>
      <c r="F2910" s="49">
        <f>TRUNC(((1+VLOOKUP(A2910,IPCA!$A$2:$C$140,3,0)))^(C2910/(EDATE(D2910-C2910,1)-(D2910-C2910))),8)</f>
        <v/>
      </c>
      <c r="G2910" s="49">
        <f>TRUNC((E2910*F2910),8)</f>
        <v/>
      </c>
      <c r="H2910" s="49">
        <f>ROUND(((1+$H$4)^(30/360))^(C2910/(EDATE(D2910-B2910,1)-(D2910-B2910))),9)</f>
        <v/>
      </c>
      <c r="I2910" s="49">
        <f>TRUNC((G2910*H2910-G2910),8)</f>
        <v/>
      </c>
      <c r="J2910" s="49">
        <f>G2910+I2910</f>
        <v/>
      </c>
      <c r="K2910" s="137" t="inlineStr">
        <is>
          <t>JUROS</t>
        </is>
      </c>
      <c r="L2910" s="118" t="inlineStr">
        <is>
          <t>AMORTIZAÇÃO</t>
        </is>
      </c>
      <c r="M2910" s="118" t="inlineStr">
        <is>
          <t>AMEX</t>
        </is>
      </c>
      <c r="N2910" s="118" t="inlineStr">
        <is>
          <t>RESIDUAL</t>
        </is>
      </c>
      <c r="O2910" s="256" t="n"/>
      <c r="P2910" s="256" t="n"/>
      <c r="Q2910" s="256" t="n"/>
    </row>
    <row r="2911">
      <c r="A2911">
        <f>IF(DAY(D2911)=DAY($L$1+1),A2910+1,A2910)</f>
        <v/>
      </c>
      <c r="B2911" s="111">
        <f>IF(DAY(D2911)=DAY($L$1+1),1,B2910+1)</f>
        <v/>
      </c>
      <c r="C2911" s="111">
        <f>IF(DAY(D2911)=DAY($L$1+1),1,C2910+1)</f>
        <v/>
      </c>
      <c r="D2911" s="112">
        <f>D2910+1</f>
        <v/>
      </c>
      <c r="E2911" s="113">
        <f>IF(DAY(D2911)=DAY($L$1+1),TRUNC((N2910),8),E2910)</f>
        <v/>
      </c>
      <c r="F2911" s="114">
        <f>TRUNC(((1+VLOOKUP(A2911,IPCA!$A$2:$C$140,3,0)))^(C2911/(EDATE(D2911-C2911,1)-(D2911-C2911))),8)</f>
        <v/>
      </c>
      <c r="G2911" s="114">
        <f>TRUNC((E2911*F2911),8)</f>
        <v/>
      </c>
      <c r="H2911" s="114">
        <f>ROUND(((1+$H$4)^(30/360))^(C2911/(EDATE(D2911-B2911,1)-(D2911-B2911))),9)</f>
        <v/>
      </c>
      <c r="I2911" s="114">
        <f>TRUNC((G2911*H2911-G2911),8)</f>
        <v/>
      </c>
      <c r="J2911" s="114">
        <f>G2911+I2911</f>
        <v/>
      </c>
      <c r="K2911" s="119">
        <f>I2911</f>
        <v/>
      </c>
      <c r="L2911" s="120">
        <f>TRUNC(G2911*VLOOKUP(D2911,'Amort TS'!$G$3:$H$140,2,0),8)</f>
        <v/>
      </c>
      <c r="M2911" s="120" t="n">
        <v>0</v>
      </c>
      <c r="N2911" s="120">
        <f>J2911-K2911-L2911-M2911</f>
        <v/>
      </c>
      <c r="O2911" s="256" t="n"/>
      <c r="P2911" s="256" t="n"/>
      <c r="Q2911" s="256" t="n"/>
    </row>
    <row r="2912">
      <c r="A2912">
        <f>IF(DAY(D2912)=DAY($L$1+1),A2911+1,A2911)</f>
        <v/>
      </c>
      <c r="B2912" s="46">
        <f>IF(DAY(D2912)=DAY($L$1+1),1,B2911+1)</f>
        <v/>
      </c>
      <c r="C2912" s="46">
        <f>IF(DAY(D2912)=DAY($L$1+1),1,C2911+1)</f>
        <v/>
      </c>
      <c r="D2912" s="2">
        <f>D2911+1</f>
        <v/>
      </c>
      <c r="E2912" s="8">
        <f>IF(DAY(D2912)=DAY($L$1+1),TRUNC((N2911),8),E2911)</f>
        <v/>
      </c>
      <c r="F2912" s="49">
        <f>TRUNC(((1+VLOOKUP(A2912,IPCA!$A$2:$C$140,3,0)))^(C2912/(EDATE(D2912-C2912,1)-(D2912-C2912))),8)</f>
        <v/>
      </c>
      <c r="G2912" s="49">
        <f>TRUNC((E2912*F2912),8)</f>
        <v/>
      </c>
      <c r="H2912" s="49">
        <f>ROUND(((1+$H$4)^(30/360))^(C2912/(EDATE(D2912-B2912,1)-(D2912-B2912))),9)</f>
        <v/>
      </c>
      <c r="I2912" s="49">
        <f>TRUNC((G2912*H2912-G2912),8)</f>
        <v/>
      </c>
      <c r="J2912" s="49">
        <f>G2912+I2912</f>
        <v/>
      </c>
      <c r="K2912" s="121">
        <f>K2911*L2909</f>
        <v/>
      </c>
      <c r="L2912" s="121">
        <f>L2911*L2909</f>
        <v/>
      </c>
      <c r="M2912" s="121">
        <f>M2911*L2909</f>
        <v/>
      </c>
      <c r="N2912" s="121">
        <f>N2911*L2909</f>
        <v/>
      </c>
      <c r="O2912" s="256" t="n"/>
      <c r="P2912" s="256" t="n"/>
      <c r="Q2912" s="256" t="n"/>
    </row>
    <row r="2913">
      <c r="A2913">
        <f>IF(DAY(D2913)=DAY($L$1+1),A2912+1,A2912)</f>
        <v/>
      </c>
      <c r="B2913" s="46">
        <f>IF(DAY(D2913)=DAY($L$1+1),1,B2912+1)</f>
        <v/>
      </c>
      <c r="C2913" s="46">
        <f>IF(DAY(D2913)=DAY($L$1+1),1,C2912+1)</f>
        <v/>
      </c>
      <c r="D2913" s="47">
        <f>D2912+1</f>
        <v/>
      </c>
      <c r="E2913" s="8">
        <f>IF(DAY(D2913)=DAY($L$1+1),TRUNC((N2912),8),E2912)</f>
        <v/>
      </c>
      <c r="F2913" s="49">
        <f>TRUNC(((1+VLOOKUP(A2913,IPCA!$A$2:$C$140,3,0)))^(C2913/(EDATE(D2913-C2913,1)-(D2913-C2913))),8)</f>
        <v/>
      </c>
      <c r="G2913" s="49">
        <f>TRUNC((E2913*F2913),8)</f>
        <v/>
      </c>
      <c r="H2913" s="49">
        <f>ROUND(((1+$H$4)^(30/360))^(C2913/(EDATE(D2913-B2913,1)-(D2913-B2913))),9)</f>
        <v/>
      </c>
      <c r="I2913" s="49">
        <f>TRUNC((G2913*H2913-G2913),8)</f>
        <v/>
      </c>
      <c r="J2913" s="49">
        <f>G2913+I2913</f>
        <v/>
      </c>
      <c r="K2913" s="256" t="n"/>
      <c r="L2913" s="256" t="n"/>
      <c r="M2913" s="256" t="n"/>
      <c r="N2913" s="256" t="n"/>
      <c r="O2913" s="256" t="n"/>
      <c r="P2913" s="256" t="n"/>
      <c r="Q2913" s="256" t="n"/>
    </row>
    <row r="2914">
      <c r="A2914">
        <f>IF(DAY(D2914)=DAY($L$1+1),A2913+1,A2913)</f>
        <v/>
      </c>
      <c r="B2914" s="46">
        <f>IF(DAY(D2914)=DAY($L$1+1),1,B2913+1)</f>
        <v/>
      </c>
      <c r="C2914" s="46">
        <f>IF(DAY(D2914)=DAY($L$1+1),1,C2913+1)</f>
        <v/>
      </c>
      <c r="D2914" s="2">
        <f>D2913+1</f>
        <v/>
      </c>
      <c r="E2914" s="8">
        <f>IF(DAY(D2914)=DAY($L$1+1),TRUNC((#REF!),8),E2913)</f>
        <v/>
      </c>
      <c r="F2914" s="49">
        <f>TRUNC(((1+VLOOKUP(A2914,IPCA!$A$2:$C$140,3,0)))^(C2914/(EDATE(D2914-C2914,1)-(D2914-C2914))),8)</f>
        <v/>
      </c>
      <c r="G2914" s="44">
        <f>TRUNC((E2914*F2914),8)</f>
        <v/>
      </c>
      <c r="H2914" s="44">
        <f>ROUND(((1+$H$4)^(30/360))^(C2914/(EDATE(D2914-B2914,1)-(D2914-B2914))),9)</f>
        <v/>
      </c>
      <c r="I2914" s="44">
        <f>TRUNC((G2914*H2914-G2914),8)</f>
        <v/>
      </c>
      <c r="J2914" s="49">
        <f>G2914+I2914</f>
        <v/>
      </c>
      <c r="K2914" s="256" t="n"/>
      <c r="L2914" s="256" t="n"/>
      <c r="M2914" s="256" t="n"/>
      <c r="N2914" s="256" t="n"/>
      <c r="O2914" s="256" t="n"/>
      <c r="P2914" s="256" t="n"/>
      <c r="Q2914" s="256" t="n"/>
    </row>
    <row r="2915">
      <c r="A2915">
        <f>IF(DAY(D2915)=DAY($L$1+1),A2914+1,A2914)</f>
        <v/>
      </c>
      <c r="B2915" s="1">
        <f>IF(DAY(D2915)=DAY($L$1+1),1,B2914+1)</f>
        <v/>
      </c>
      <c r="C2915" s="1">
        <f>IF(DAY(D2915)=DAY($L$1+1),1,C2914+1)</f>
        <v/>
      </c>
      <c r="D2915" s="2">
        <f>D2914+1</f>
        <v/>
      </c>
      <c r="E2915" s="8">
        <f>IF(DAY(D2915)=DAY($L$1+1),TRUNC((#REF!),8),E2914)</f>
        <v/>
      </c>
      <c r="F2915" s="49">
        <f>TRUNC(((1+VLOOKUP(A2915,IPCA!$A$2:$C$140,3,0)))^(C2915/(EDATE(D2915-C2915,1)-(D2915-C2915))),8)</f>
        <v/>
      </c>
      <c r="G2915" s="44">
        <f>TRUNC((E2915*F2915),8)</f>
        <v/>
      </c>
      <c r="H2915" s="44">
        <f>ROUND(((1+$H$4)^(30/360))^(C2915/(EDATE(D2915-B2915,1)-(D2915-B2915))),9)</f>
        <v/>
      </c>
      <c r="I2915" s="44">
        <f>TRUNC((G2915*H2915-G2915),8)</f>
        <v/>
      </c>
      <c r="J2915" s="49">
        <f>G2915+I2915</f>
        <v/>
      </c>
      <c r="K2915" s="256" t="n"/>
      <c r="L2915" s="256" t="n"/>
      <c r="M2915" s="256" t="n"/>
      <c r="N2915" s="256" t="n"/>
      <c r="O2915" s="256" t="n"/>
      <c r="P2915" s="256" t="n"/>
      <c r="Q2915" s="256" t="n"/>
    </row>
    <row r="2916">
      <c r="A2916">
        <f>IF(DAY(D2916)=DAY($L$1+1),A2915+1,A2915)</f>
        <v/>
      </c>
      <c r="B2916" s="46">
        <f>IF(DAY(D2916)=DAY($L$1+1),1,B2915+1)</f>
        <v/>
      </c>
      <c r="C2916" s="46">
        <f>IF(DAY(D2916)=DAY($L$1+1),1,C2915+1)</f>
        <v/>
      </c>
      <c r="D2916" s="2">
        <f>D2915+1</f>
        <v/>
      </c>
      <c r="E2916" s="8">
        <f>IF(DAY(D2916)=DAY($L$1+1),TRUNC((#REF!),8),E2915)</f>
        <v/>
      </c>
      <c r="F2916" s="49">
        <f>TRUNC(((1+VLOOKUP(A2916,IPCA!$A$2:$C$140,3,0)))^(C2916/(EDATE(D2916-C2916,1)-(D2916-C2916))),8)</f>
        <v/>
      </c>
      <c r="G2916" s="44">
        <f>TRUNC((E2916*F2916),8)</f>
        <v/>
      </c>
      <c r="H2916" s="44">
        <f>ROUND(((1+$H$4)^(30/360))^(C2916/(EDATE(D2916-B2916,1)-(D2916-B2916))),9)</f>
        <v/>
      </c>
      <c r="I2916" s="44">
        <f>TRUNC((G2916*H2916-G2916),8)</f>
        <v/>
      </c>
      <c r="J2916" s="49">
        <f>G2916+I2916</f>
        <v/>
      </c>
      <c r="K2916" s="256" t="n"/>
      <c r="L2916" s="256" t="n"/>
      <c r="M2916" s="256" t="n"/>
      <c r="N2916" s="256" t="n"/>
      <c r="O2916" s="256" t="n"/>
      <c r="P2916" s="256" t="n"/>
      <c r="Q2916" s="256" t="n"/>
    </row>
    <row r="2917">
      <c r="A2917">
        <f>IF(DAY(D2917)=DAY($L$1+1),A2916+1,A2916)</f>
        <v/>
      </c>
      <c r="B2917" s="1">
        <f>IF(DAY(D2917)=DAY($L$1+1),1,B2916+1)</f>
        <v/>
      </c>
      <c r="C2917" s="1">
        <f>IF(DAY(D2917)=DAY($L$1+1),1,C2916+1)</f>
        <v/>
      </c>
      <c r="D2917" s="2">
        <f>D2916+1</f>
        <v/>
      </c>
      <c r="E2917" s="8">
        <f>IF(DAY(D2917)=DAY($L$1+1),TRUNC((#REF!),8),E2916)</f>
        <v/>
      </c>
      <c r="F2917" s="49">
        <f>TRUNC(((1+VLOOKUP(A2917,IPCA!$A$2:$C$140,3,0)))^(C2917/(EDATE(D2917-C2917,1)-(D2917-C2917))),8)</f>
        <v/>
      </c>
      <c r="G2917" s="44">
        <f>TRUNC((E2917*F2917),8)</f>
        <v/>
      </c>
      <c r="H2917" s="44">
        <f>ROUND(((1+$H$4)^(30/360))^(C2917/(EDATE(D2917-B2917,1)-(D2917-B2917))),9)</f>
        <v/>
      </c>
      <c r="I2917" s="44">
        <f>TRUNC((G2917*H2917-G2917),8)</f>
        <v/>
      </c>
      <c r="J2917" s="49">
        <f>G2917+I2917</f>
        <v/>
      </c>
      <c r="K2917" s="256" t="n"/>
      <c r="L2917" s="256" t="n"/>
      <c r="M2917" s="256" t="n"/>
      <c r="N2917" s="256" t="n"/>
      <c r="O2917" s="256" t="n"/>
      <c r="P2917" s="256" t="n"/>
      <c r="Q2917" s="256" t="n"/>
    </row>
    <row r="2918">
      <c r="A2918">
        <f>IF(DAY(D2918)=DAY($L$1+1),A2917+1,A2917)</f>
        <v/>
      </c>
      <c r="B2918" s="46">
        <f>IF(DAY(D2918)=DAY($L$1+1),1,B2917+1)</f>
        <v/>
      </c>
      <c r="C2918" s="46">
        <f>IF(DAY(D2918)=DAY($L$1+1),1,C2917+1)</f>
        <v/>
      </c>
      <c r="D2918" s="2">
        <f>D2917+1</f>
        <v/>
      </c>
      <c r="E2918" s="8">
        <f>IF(DAY(D2918)=DAY($L$1+1),TRUNC((#REF!),8),E2917)</f>
        <v/>
      </c>
      <c r="F2918" s="49">
        <f>TRUNC(((1+VLOOKUP(A2918,IPCA!$A$2:$C$140,3,0)))^(C2918/(EDATE(D2918-C2918,1)-(D2918-C2918))),8)</f>
        <v/>
      </c>
      <c r="G2918" s="44">
        <f>TRUNC((E2918*F2918),8)</f>
        <v/>
      </c>
      <c r="H2918" s="44">
        <f>ROUND(((1+$H$4)^(30/360))^(C2918/(EDATE(D2918-B2918,1)-(D2918-B2918))),9)</f>
        <v/>
      </c>
      <c r="I2918" s="44">
        <f>TRUNC((G2918*H2918-G2918),8)</f>
        <v/>
      </c>
      <c r="J2918" s="49">
        <f>G2918+I2918</f>
        <v/>
      </c>
      <c r="K2918" s="256" t="n"/>
      <c r="L2918" s="256" t="n"/>
      <c r="M2918" s="256" t="n"/>
      <c r="N2918" s="256" t="n"/>
      <c r="O2918" s="256" t="n"/>
      <c r="P2918" s="256" t="n"/>
      <c r="Q2918" s="256" t="n"/>
    </row>
    <row r="2919">
      <c r="A2919">
        <f>IF(DAY(D2919)=DAY($L$1+1),A2918+1,A2918)</f>
        <v/>
      </c>
      <c r="B2919" s="1">
        <f>IF(DAY(D2919)=DAY($L$1+1),1,B2918+1)</f>
        <v/>
      </c>
      <c r="C2919" s="1">
        <f>IF(DAY(D2919)=DAY($L$1+1),1,C2918+1)</f>
        <v/>
      </c>
      <c r="D2919" s="2">
        <f>D2918+1</f>
        <v/>
      </c>
      <c r="E2919" s="8">
        <f>IF(DAY(D2919)=DAY($L$1+1),TRUNC((#REF!),8),E2918)</f>
        <v/>
      </c>
      <c r="F2919" s="49">
        <f>TRUNC(((1+VLOOKUP(A2919,IPCA!$A$2:$C$140,3,0)))^(C2919/(EDATE(D2919-C2919,1)-(D2919-C2919))),8)</f>
        <v/>
      </c>
      <c r="G2919" s="44">
        <f>TRUNC((E2919*F2919),8)</f>
        <v/>
      </c>
      <c r="H2919" s="44">
        <f>ROUND(((1+$H$4)^(30/360))^(C2919/(EDATE(D2919-B2919,1)-(D2919-B2919))),9)</f>
        <v/>
      </c>
      <c r="I2919" s="44">
        <f>TRUNC((G2919*H2919-G2919),8)</f>
        <v/>
      </c>
      <c r="J2919" s="49">
        <f>G2919+I2919</f>
        <v/>
      </c>
      <c r="K2919" s="256" t="n"/>
      <c r="L2919" s="256" t="n"/>
      <c r="M2919" s="256" t="n"/>
      <c r="N2919" s="256" t="n"/>
      <c r="O2919" s="256" t="n"/>
      <c r="P2919" s="256" t="n"/>
      <c r="Q2919" s="256" t="n"/>
    </row>
    <row r="2920">
      <c r="A2920">
        <f>IF(DAY(D2920)=DAY($L$1+1),A2919+1,A2919)</f>
        <v/>
      </c>
      <c r="B2920" s="46">
        <f>IF(DAY(D2920)=DAY($L$1+1),1,B2919+1)</f>
        <v/>
      </c>
      <c r="C2920" s="46">
        <f>IF(DAY(D2920)=DAY($L$1+1),1,C2919+1)</f>
        <v/>
      </c>
      <c r="D2920" s="2">
        <f>D2919+1</f>
        <v/>
      </c>
      <c r="E2920" s="8">
        <f>IF(DAY(D2920)=DAY($L$1+1),TRUNC((#REF!),8),E2919)</f>
        <v/>
      </c>
      <c r="F2920" s="49">
        <f>TRUNC(((1+VLOOKUP(A2920,IPCA!$A$2:$C$140,3,0)))^(C2920/(EDATE(D2920-C2920,1)-(D2920-C2920))),8)</f>
        <v/>
      </c>
      <c r="G2920" s="44">
        <f>TRUNC((E2920*F2920),8)</f>
        <v/>
      </c>
      <c r="H2920" s="44">
        <f>ROUND(((1+$H$4)^(30/360))^(C2920/(EDATE(D2920-B2920,1)-(D2920-B2920))),9)</f>
        <v/>
      </c>
      <c r="I2920" s="44">
        <f>TRUNC((G2920*H2920-G2920),8)</f>
        <v/>
      </c>
      <c r="J2920" s="49">
        <f>G2920+I2920</f>
        <v/>
      </c>
      <c r="K2920" s="256" t="n"/>
      <c r="L2920" s="256" t="n"/>
      <c r="M2920" s="256" t="n"/>
      <c r="N2920" s="256" t="n"/>
      <c r="O2920" s="256" t="n"/>
      <c r="P2920" s="256" t="n"/>
      <c r="Q2920" s="256" t="n"/>
    </row>
    <row r="2921">
      <c r="A2921">
        <f>IF(DAY(D2921)=DAY($L$1+1),A2920+1,A2920)</f>
        <v/>
      </c>
      <c r="B2921" s="1">
        <f>IF(DAY(D2921)=DAY($L$1+1),1,B2920+1)</f>
        <v/>
      </c>
      <c r="C2921" s="1">
        <f>IF(DAY(D2921)=DAY($L$1+1),1,C2920+1)</f>
        <v/>
      </c>
      <c r="D2921" s="2">
        <f>D2920+1</f>
        <v/>
      </c>
      <c r="E2921" s="8">
        <f>IF(DAY(D2921)=DAY($L$1+1),TRUNC((#REF!),8),E2920)</f>
        <v/>
      </c>
      <c r="F2921" s="49">
        <f>TRUNC(((1+VLOOKUP(A2921,IPCA!$A$2:$C$140,3,0)))^(C2921/(EDATE(D2921-C2921,1)-(D2921-C2921))),8)</f>
        <v/>
      </c>
      <c r="G2921" s="44">
        <f>TRUNC((E2921*F2921),8)</f>
        <v/>
      </c>
      <c r="H2921" s="44">
        <f>ROUND(((1+$H$4)^(30/360))^(C2921/(EDATE(D2921-B2921,1)-(D2921-B2921))),9)</f>
        <v/>
      </c>
      <c r="I2921" s="44">
        <f>TRUNC((G2921*H2921-G2921),8)</f>
        <v/>
      </c>
      <c r="J2921" s="49">
        <f>G2921+I2921</f>
        <v/>
      </c>
      <c r="K2921" s="256" t="n"/>
      <c r="L2921" s="256" t="n"/>
      <c r="M2921" s="256" t="n"/>
      <c r="N2921" s="256" t="n"/>
      <c r="O2921" s="256" t="n"/>
      <c r="P2921" s="256" t="n"/>
      <c r="Q2921" s="256" t="n"/>
    </row>
    <row r="2922">
      <c r="A2922">
        <f>IF(DAY(D2922)=DAY($L$1+1),A2921+1,A2921)</f>
        <v/>
      </c>
      <c r="B2922" s="46">
        <f>IF(DAY(D2922)=DAY($L$1+1),1,B2921+1)</f>
        <v/>
      </c>
      <c r="C2922" s="46">
        <f>IF(DAY(D2922)=DAY($L$1+1),1,C2921+1)</f>
        <v/>
      </c>
      <c r="D2922" s="2">
        <f>D2921+1</f>
        <v/>
      </c>
      <c r="E2922" s="8">
        <f>IF(DAY(D2922)=DAY($L$1+1),TRUNC((#REF!),8),E2921)</f>
        <v/>
      </c>
      <c r="F2922" s="49">
        <f>TRUNC(((1+VLOOKUP(A2922,IPCA!$A$2:$C$140,3,0)))^(C2922/(EDATE(D2922-C2922,1)-(D2922-C2922))),8)</f>
        <v/>
      </c>
      <c r="G2922" s="44">
        <f>TRUNC((E2922*F2922),8)</f>
        <v/>
      </c>
      <c r="H2922" s="44">
        <f>ROUND(((1+$H$4)^(30/360))^(C2922/(EDATE(D2922-B2922,1)-(D2922-B2922))),9)</f>
        <v/>
      </c>
      <c r="I2922" s="44">
        <f>TRUNC((G2922*H2922-G2922),8)</f>
        <v/>
      </c>
      <c r="J2922" s="49">
        <f>G2922+I2922</f>
        <v/>
      </c>
      <c r="K2922" s="256" t="n"/>
      <c r="L2922" s="256" t="n"/>
      <c r="M2922" s="256" t="n"/>
      <c r="N2922" s="256" t="n"/>
      <c r="O2922" s="256" t="n"/>
      <c r="P2922" s="256" t="n"/>
      <c r="Q2922" s="256" t="n"/>
    </row>
    <row r="2923">
      <c r="A2923">
        <f>IF(DAY(D2923)=DAY($L$1+1),A2922+1,A2922)</f>
        <v/>
      </c>
      <c r="B2923" s="1">
        <f>IF(DAY(D2923)=DAY($L$1+1),1,B2922+1)</f>
        <v/>
      </c>
      <c r="C2923" s="1">
        <f>IF(DAY(D2923)=DAY($L$1+1),1,C2922+1)</f>
        <v/>
      </c>
      <c r="D2923" s="2">
        <f>D2922+1</f>
        <v/>
      </c>
      <c r="E2923" s="8">
        <f>IF(DAY(D2923)=DAY($L$1+1),TRUNC((#REF!),8),E2922)</f>
        <v/>
      </c>
      <c r="F2923" s="49">
        <f>TRUNC(((1+VLOOKUP(A2923,IPCA!$A$2:$C$140,3,0)))^(C2923/(EDATE(D2923-C2923,1)-(D2923-C2923))),8)</f>
        <v/>
      </c>
      <c r="G2923" s="44">
        <f>TRUNC((E2923*F2923),8)</f>
        <v/>
      </c>
      <c r="H2923" s="44">
        <f>ROUND(((1+$H$4)^(30/360))^(C2923/(EDATE(D2923-B2923,1)-(D2923-B2923))),9)</f>
        <v/>
      </c>
      <c r="I2923" s="44">
        <f>TRUNC((G2923*H2923-G2923),8)</f>
        <v/>
      </c>
      <c r="J2923" s="49">
        <f>G2923+I2923</f>
        <v/>
      </c>
      <c r="K2923" s="256" t="n"/>
      <c r="L2923" s="256" t="n"/>
      <c r="M2923" s="256" t="n"/>
      <c r="N2923" s="256" t="n"/>
      <c r="O2923" s="256" t="n"/>
      <c r="P2923" s="256" t="n"/>
      <c r="Q2923" s="256" t="n"/>
    </row>
    <row r="2924">
      <c r="A2924">
        <f>IF(DAY(D2924)=DAY($L$1+1),A2923+1,A2923)</f>
        <v/>
      </c>
      <c r="B2924" s="46">
        <f>IF(DAY(D2924)=DAY($L$1+1),1,B2923+1)</f>
        <v/>
      </c>
      <c r="C2924" s="46">
        <f>IF(DAY(D2924)=DAY($L$1+1),1,C2923+1)</f>
        <v/>
      </c>
      <c r="D2924" s="2">
        <f>D2923+1</f>
        <v/>
      </c>
      <c r="E2924" s="8">
        <f>IF(DAY(D2924)=DAY($L$1+1),TRUNC((#REF!),8),E2923)</f>
        <v/>
      </c>
      <c r="F2924" s="49">
        <f>TRUNC(((1+VLOOKUP(A2924,IPCA!$A$2:$C$140,3,0)))^(C2924/(EDATE(D2924-C2924,1)-(D2924-C2924))),8)</f>
        <v/>
      </c>
      <c r="G2924" s="44">
        <f>TRUNC((E2924*F2924),8)</f>
        <v/>
      </c>
      <c r="H2924" s="44">
        <f>ROUND(((1+$H$4)^(30/360))^(C2924/(EDATE(D2924-B2924,1)-(D2924-B2924))),9)</f>
        <v/>
      </c>
      <c r="I2924" s="44">
        <f>TRUNC((G2924*H2924-G2924),8)</f>
        <v/>
      </c>
      <c r="J2924" s="49">
        <f>G2924+I2924</f>
        <v/>
      </c>
      <c r="K2924" s="256" t="n"/>
      <c r="L2924" s="256" t="n"/>
      <c r="M2924" s="256" t="n"/>
      <c r="N2924" s="256" t="n"/>
      <c r="O2924" s="256" t="n"/>
      <c r="P2924" s="256" t="n"/>
      <c r="Q2924" s="256" t="n"/>
    </row>
    <row r="2925">
      <c r="A2925">
        <f>IF(DAY(D2925)=DAY($L$1+1),A2924+1,A2924)</f>
        <v/>
      </c>
      <c r="B2925" s="1">
        <f>IF(DAY(D2925)=DAY($L$1+1),1,B2924+1)</f>
        <v/>
      </c>
      <c r="C2925" s="1">
        <f>IF(DAY(D2925)=DAY($L$1+1),1,C2924+1)</f>
        <v/>
      </c>
      <c r="D2925" s="2">
        <f>D2924+1</f>
        <v/>
      </c>
      <c r="E2925" s="8">
        <f>IF(DAY(D2925)=DAY($L$1+1),TRUNC((#REF!),8),E2924)</f>
        <v/>
      </c>
      <c r="F2925" s="49">
        <f>TRUNC(((1+VLOOKUP(A2925,IPCA!$A$2:$C$140,3,0)))^(C2925/(EDATE(D2925-C2925,1)-(D2925-C2925))),8)</f>
        <v/>
      </c>
      <c r="G2925" s="44">
        <f>TRUNC((E2925*F2925),8)</f>
        <v/>
      </c>
      <c r="H2925" s="44">
        <f>ROUND(((1+$H$4)^(30/360))^(C2925/(EDATE(D2925-B2925,1)-(D2925-B2925))),9)</f>
        <v/>
      </c>
      <c r="I2925" s="44">
        <f>TRUNC((G2925*H2925-G2925),8)</f>
        <v/>
      </c>
      <c r="J2925" s="49">
        <f>G2925+I2925</f>
        <v/>
      </c>
      <c r="K2925" s="256" t="n"/>
      <c r="L2925" s="256" t="n"/>
      <c r="M2925" s="256" t="n"/>
      <c r="N2925" s="256" t="n"/>
      <c r="O2925" s="256" t="n"/>
      <c r="P2925" s="256" t="n"/>
      <c r="Q2925" s="256" t="n"/>
    </row>
    <row r="2926">
      <c r="A2926">
        <f>IF(DAY(D2926)=DAY($L$1+1),A2925+1,A2925)</f>
        <v/>
      </c>
      <c r="B2926" s="46">
        <f>IF(DAY(D2926)=DAY($L$1+1),1,B2925+1)</f>
        <v/>
      </c>
      <c r="C2926" s="46">
        <f>IF(DAY(D2926)=DAY($L$1+1),1,C2925+1)</f>
        <v/>
      </c>
      <c r="D2926" s="2">
        <f>D2925+1</f>
        <v/>
      </c>
      <c r="E2926" s="8">
        <f>IF(DAY(D2926)=DAY($L$1+1),TRUNC((#REF!),8),E2925)</f>
        <v/>
      </c>
      <c r="F2926" s="49">
        <f>TRUNC(((1+VLOOKUP(A2926,IPCA!$A$2:$C$140,3,0)))^(C2926/(EDATE(D2926-C2926,1)-(D2926-C2926))),8)</f>
        <v/>
      </c>
      <c r="G2926" s="44">
        <f>TRUNC((E2926*F2926),8)</f>
        <v/>
      </c>
      <c r="H2926" s="44">
        <f>ROUND(((1+$H$4)^(30/360))^(C2926/(EDATE(D2926-B2926,1)-(D2926-B2926))),9)</f>
        <v/>
      </c>
      <c r="I2926" s="44">
        <f>TRUNC((G2926*H2926-G2926),8)</f>
        <v/>
      </c>
      <c r="J2926" s="49">
        <f>G2926+I2926</f>
        <v/>
      </c>
      <c r="K2926" s="256" t="n"/>
      <c r="L2926" s="256" t="n"/>
      <c r="M2926" s="256" t="n"/>
      <c r="N2926" s="256" t="n"/>
      <c r="O2926" s="256" t="n"/>
      <c r="P2926" s="256" t="n"/>
      <c r="Q2926" s="256" t="n"/>
    </row>
    <row r="2927">
      <c r="A2927">
        <f>IF(DAY(D2927)=DAY($L$1+1),A2926+1,A2926)</f>
        <v/>
      </c>
      <c r="B2927" s="1">
        <f>IF(DAY(D2927)=DAY($L$1+1),1,B2926+1)</f>
        <v/>
      </c>
      <c r="C2927" s="1">
        <f>IF(DAY(D2927)=DAY($L$1+1),1,C2926+1)</f>
        <v/>
      </c>
      <c r="D2927" s="2">
        <f>D2926+1</f>
        <v/>
      </c>
      <c r="E2927" s="8">
        <f>IF(DAY(D2927)=DAY($L$1+1),TRUNC((#REF!),8),E2926)</f>
        <v/>
      </c>
      <c r="F2927" s="49">
        <f>TRUNC(((1+VLOOKUP(A2927,IPCA!$A$2:$C$140,3,0)))^(C2927/(EDATE(D2927-C2927,1)-(D2927-C2927))),8)</f>
        <v/>
      </c>
      <c r="G2927" s="44">
        <f>TRUNC((E2927*F2927),8)</f>
        <v/>
      </c>
      <c r="H2927" s="44">
        <f>ROUND(((1+$H$4)^(30/360))^(C2927/(EDATE(D2927-B2927,1)-(D2927-B2927))),9)</f>
        <v/>
      </c>
      <c r="I2927" s="44">
        <f>TRUNC((G2927*H2927-G2927),8)</f>
        <v/>
      </c>
      <c r="J2927" s="49">
        <f>G2927+I2927</f>
        <v/>
      </c>
      <c r="K2927" s="256" t="n"/>
      <c r="L2927" s="256" t="n"/>
      <c r="M2927" s="256" t="n"/>
      <c r="N2927" s="256" t="n"/>
      <c r="O2927" s="256" t="n"/>
      <c r="P2927" s="256" t="n"/>
      <c r="Q2927" s="256" t="n"/>
    </row>
    <row r="2928">
      <c r="A2928">
        <f>IF(DAY(D2928)=DAY($L$1+1),A2927+1,A2927)</f>
        <v/>
      </c>
      <c r="B2928" s="46">
        <f>IF(DAY(D2928)=DAY($L$1+1),1,B2927+1)</f>
        <v/>
      </c>
      <c r="C2928" s="46">
        <f>IF(DAY(D2928)=DAY($L$1+1),1,C2927+1)</f>
        <v/>
      </c>
      <c r="D2928" s="2">
        <f>D2927+1</f>
        <v/>
      </c>
      <c r="E2928" s="8">
        <f>IF(DAY(D2928)=DAY($L$1+1),TRUNC((#REF!),8),E2927)</f>
        <v/>
      </c>
      <c r="F2928" s="49">
        <f>TRUNC(((1+VLOOKUP(A2928,IPCA!$A$2:$C$140,3,0)))^(C2928/(EDATE(D2928-C2928,1)-(D2928-C2928))),8)</f>
        <v/>
      </c>
      <c r="G2928" s="44">
        <f>TRUNC((E2928*F2928),8)</f>
        <v/>
      </c>
      <c r="H2928" s="44">
        <f>ROUND(((1+$H$4)^(30/360))^(C2928/(EDATE(D2928-B2928,1)-(D2928-B2928))),9)</f>
        <v/>
      </c>
      <c r="I2928" s="44">
        <f>TRUNC((G2928*H2928-G2928),8)</f>
        <v/>
      </c>
      <c r="J2928" s="49">
        <f>G2928+I2928</f>
        <v/>
      </c>
      <c r="K2928" s="256" t="n"/>
      <c r="L2928" s="256" t="n"/>
      <c r="M2928" s="256" t="n"/>
      <c r="N2928" s="256" t="n"/>
      <c r="O2928" s="256" t="n"/>
      <c r="P2928" s="256" t="n"/>
      <c r="Q2928" s="256" t="n"/>
    </row>
    <row r="2929">
      <c r="A2929">
        <f>IF(DAY(D2929)=DAY($L$1+1),A2928+1,A2928)</f>
        <v/>
      </c>
      <c r="B2929" s="1">
        <f>IF(DAY(D2929)=DAY($L$1+1),1,B2928+1)</f>
        <v/>
      </c>
      <c r="C2929" s="1">
        <f>IF(DAY(D2929)=DAY($L$1+1),1,C2928+1)</f>
        <v/>
      </c>
      <c r="D2929" s="2">
        <f>D2928+1</f>
        <v/>
      </c>
      <c r="E2929" s="8">
        <f>IF(DAY(D2929)=DAY($L$1+1),TRUNC((#REF!),8),E2928)</f>
        <v/>
      </c>
      <c r="F2929" s="49">
        <f>TRUNC(((1+VLOOKUP(A2929,IPCA!$A$2:$C$140,3,0)))^(C2929/(EDATE(D2929-C2929,1)-(D2929-C2929))),8)</f>
        <v/>
      </c>
      <c r="G2929" s="44">
        <f>TRUNC((E2929*F2929),8)</f>
        <v/>
      </c>
      <c r="H2929" s="44">
        <f>ROUND(((1+$H$4)^(30/360))^(C2929/(EDATE(D2929-B2929,1)-(D2929-B2929))),9)</f>
        <v/>
      </c>
      <c r="I2929" s="44">
        <f>TRUNC((G2929*H2929-G2929),8)</f>
        <v/>
      </c>
      <c r="J2929" s="49">
        <f>G2929+I2929</f>
        <v/>
      </c>
      <c r="K2929" s="256" t="n"/>
      <c r="L2929" s="256" t="n"/>
      <c r="M2929" s="256" t="n"/>
      <c r="N2929" s="256" t="n"/>
      <c r="O2929" s="256" t="n"/>
      <c r="P2929" s="256" t="n"/>
      <c r="Q2929" s="256" t="n"/>
    </row>
    <row r="2930">
      <c r="A2930">
        <f>IF(DAY(D2930)=DAY($L$1+1),A2929+1,A2929)</f>
        <v/>
      </c>
      <c r="B2930" s="46">
        <f>IF(DAY(D2930)=DAY($L$1+1),1,B2929+1)</f>
        <v/>
      </c>
      <c r="C2930" s="46">
        <f>IF(DAY(D2930)=DAY($L$1+1),1,C2929+1)</f>
        <v/>
      </c>
      <c r="D2930" s="2">
        <f>D2929+1</f>
        <v/>
      </c>
      <c r="E2930" s="8">
        <f>IF(DAY(D2930)=DAY($L$1+1),TRUNC((N2929),8),E2929)</f>
        <v/>
      </c>
      <c r="F2930" s="49">
        <f>TRUNC(((1+VLOOKUP(A2930,IPCA!$A$2:$C$140,3,0)))^(C2930/(EDATE(D2930-C2930,1)-(D2930-C2930))),8)</f>
        <v/>
      </c>
      <c r="G2930" s="44">
        <f>TRUNC((E2930*F2930),8)</f>
        <v/>
      </c>
      <c r="H2930" s="44">
        <f>ROUND(((1+$H$4)^(30/360))^(C2930/(EDATE(D2930-B2930,1)-(D2930-B2930))),9)</f>
        <v/>
      </c>
      <c r="I2930" s="44">
        <f>TRUNC((G2930*H2930-G2930),8)</f>
        <v/>
      </c>
      <c r="J2930" s="49">
        <f>G2930+I2930</f>
        <v/>
      </c>
      <c r="K2930" s="256" t="n"/>
      <c r="L2930" s="256" t="n"/>
      <c r="M2930" s="256" t="n"/>
      <c r="N2930" s="256" t="n"/>
      <c r="O2930" s="256" t="n"/>
      <c r="P2930" s="256" t="n"/>
      <c r="Q2930" s="256" t="n"/>
    </row>
    <row r="2931">
      <c r="A2931">
        <f>IF(DAY(D2931)=DAY($L$1+1),A2930+1,A2930)</f>
        <v/>
      </c>
      <c r="B2931" s="1">
        <f>IF(DAY(D2931)=DAY($L$1+1),1,B2930+1)</f>
        <v/>
      </c>
      <c r="C2931" s="1">
        <f>IF(DAY(D2931)=DAY($L$1+1),1,C2930+1)</f>
        <v/>
      </c>
      <c r="D2931" s="2">
        <f>D2930+1</f>
        <v/>
      </c>
      <c r="E2931" s="8">
        <f>IF(DAY(D2931)=DAY($L$1+1),TRUNC((N2930),8),E2930)</f>
        <v/>
      </c>
      <c r="F2931" s="49">
        <f>TRUNC(((1+VLOOKUP(A2931,IPCA!$A$2:$C$140,3,0)))^(C2931/(EDATE(D2931-C2931,1)-(D2931-C2931))),8)</f>
        <v/>
      </c>
      <c r="G2931" s="44">
        <f>TRUNC((E2931*F2931),8)</f>
        <v/>
      </c>
      <c r="H2931" s="44">
        <f>ROUND(((1+$H$4)^(30/360))^(C2931/(EDATE(D2931-B2931,1)-(D2931-B2931))),9)</f>
        <v/>
      </c>
      <c r="I2931" s="44">
        <f>TRUNC((G2931*H2931-G2931),8)</f>
        <v/>
      </c>
      <c r="J2931" s="49">
        <f>G2931+I2931</f>
        <v/>
      </c>
      <c r="K2931" s="256" t="n"/>
      <c r="L2931" s="256" t="n"/>
      <c r="M2931" s="256" t="n"/>
      <c r="N2931" s="256" t="n"/>
      <c r="O2931" s="256" t="n"/>
      <c r="P2931" s="256" t="n"/>
      <c r="Q2931" s="256" t="n"/>
    </row>
    <row r="2932">
      <c r="A2932">
        <f>IF(DAY(D2932)=DAY($L$1+1),A2931+1,A2931)</f>
        <v/>
      </c>
      <c r="B2932" s="46">
        <f>IF(DAY(D2932)=DAY($L$1+1),1,B2931+1)</f>
        <v/>
      </c>
      <c r="C2932" s="46">
        <f>IF(DAY(D2932)=DAY($L$1+1),1,C2931+1)</f>
        <v/>
      </c>
      <c r="D2932" s="2">
        <f>D2931+1</f>
        <v/>
      </c>
      <c r="E2932" s="8">
        <f>IF(DAY(D2932)=DAY($L$1+1),TRUNC((N2931),8),E2931)</f>
        <v/>
      </c>
      <c r="F2932" s="49">
        <f>TRUNC(((1+VLOOKUP(A2932,IPCA!$A$2:$C$140,3,0)))^(C2932/(EDATE(D2932-C2932,1)-(D2932-C2932))),8)</f>
        <v/>
      </c>
      <c r="G2932" s="44">
        <f>TRUNC((E2932*F2932),8)</f>
        <v/>
      </c>
      <c r="H2932" s="44">
        <f>ROUND(((1+$H$4)^(30/360))^(C2932/(EDATE(D2932-B2932,1)-(D2932-B2932))),9)</f>
        <v/>
      </c>
      <c r="I2932" s="44">
        <f>TRUNC((G2932*H2932-G2932),8)</f>
        <v/>
      </c>
      <c r="J2932" s="49">
        <f>G2932+I2932</f>
        <v/>
      </c>
      <c r="K2932" s="256" t="n"/>
      <c r="L2932" s="256" t="n"/>
      <c r="M2932" s="256" t="n"/>
      <c r="N2932" s="256" t="n"/>
      <c r="O2932" s="256" t="n"/>
      <c r="P2932" s="256" t="n"/>
      <c r="Q2932" s="256" t="n"/>
    </row>
    <row r="2933">
      <c r="A2933">
        <f>IF(DAY(D2933)=DAY($L$1+1),A2932+1,A2932)</f>
        <v/>
      </c>
      <c r="B2933" s="1">
        <f>IF(DAY(D2933)=DAY($L$1+1),1,B2932+1)</f>
        <v/>
      </c>
      <c r="C2933" s="1">
        <f>IF(DAY(D2933)=DAY($L$1+1),1,C2932+1)</f>
        <v/>
      </c>
      <c r="D2933" s="2">
        <f>D2932+1</f>
        <v/>
      </c>
      <c r="E2933" s="8">
        <f>IF(DAY(D2933)=DAY($L$1+1),TRUNC((N2932),8),E2932)</f>
        <v/>
      </c>
      <c r="F2933" s="49">
        <f>TRUNC(((1+VLOOKUP(A2933,IPCA!$A$2:$C$140,3,0)))^(C2933/(EDATE(D2933-C2933,1)-(D2933-C2933))),8)</f>
        <v/>
      </c>
      <c r="G2933" s="44">
        <f>TRUNC((E2933*F2933),8)</f>
        <v/>
      </c>
      <c r="H2933" s="44">
        <f>ROUND(((1+$H$4)^(30/360))^(C2933/(EDATE(D2933-B2933,1)-(D2933-B2933))),9)</f>
        <v/>
      </c>
      <c r="I2933" s="44">
        <f>TRUNC((G2933*H2933-G2933),8)</f>
        <v/>
      </c>
      <c r="J2933" s="49">
        <f>G2933+I2933</f>
        <v/>
      </c>
      <c r="K2933" s="256" t="n"/>
      <c r="L2933" s="256" t="n"/>
      <c r="M2933" s="256" t="n"/>
      <c r="N2933" s="256" t="n"/>
      <c r="O2933" s="256" t="n"/>
      <c r="P2933" s="256" t="n"/>
      <c r="Q2933" s="256" t="n"/>
    </row>
    <row r="2934">
      <c r="A2934">
        <f>IF(DAY(D2934)=DAY($L$1+1),A2933+1,A2933)</f>
        <v/>
      </c>
      <c r="B2934" s="46">
        <f>IF(DAY(D2934)=DAY($L$1+1),1,B2933+1)</f>
        <v/>
      </c>
      <c r="C2934" s="46">
        <f>IF(DAY(D2934)=DAY($L$1+1),1,C2933+1)</f>
        <v/>
      </c>
      <c r="D2934" s="2">
        <f>D2933+1</f>
        <v/>
      </c>
      <c r="E2934" s="8">
        <f>IF(DAY(D2934)=DAY($L$1+1),TRUNC((N2933),8),E2933)</f>
        <v/>
      </c>
      <c r="F2934" s="49">
        <f>TRUNC(((1+VLOOKUP(A2934,IPCA!$A$2:$C$140,3,0)))^(C2934/(EDATE(D2934-C2934,1)-(D2934-C2934))),8)</f>
        <v/>
      </c>
      <c r="G2934" s="44">
        <f>TRUNC((E2934*F2934),8)</f>
        <v/>
      </c>
      <c r="H2934" s="44">
        <f>ROUND(((1+$H$4)^(30/360))^(C2934/(EDATE(D2934-B2934,1)-(D2934-B2934))),9)</f>
        <v/>
      </c>
      <c r="I2934" s="44">
        <f>TRUNC((G2934*H2934-G2934),8)</f>
        <v/>
      </c>
      <c r="J2934" s="49">
        <f>G2934+I2934</f>
        <v/>
      </c>
      <c r="K2934" s="256" t="n"/>
      <c r="L2934" s="256" t="n"/>
      <c r="M2934" s="256" t="n"/>
      <c r="N2934" s="256" t="n"/>
      <c r="O2934" s="256" t="n"/>
      <c r="P2934" s="256" t="n"/>
      <c r="Q2934" s="256" t="n"/>
    </row>
    <row r="2935">
      <c r="A2935">
        <f>IF(DAY(D2935)=DAY($L$1+1),A2934+1,A2934)</f>
        <v/>
      </c>
      <c r="B2935" s="1">
        <f>IF(DAY(D2935)=DAY($L$1+1),1,B2934+1)</f>
        <v/>
      </c>
      <c r="C2935" s="1">
        <f>IF(DAY(D2935)=DAY($L$1+1),1,C2934+1)</f>
        <v/>
      </c>
      <c r="D2935" s="2">
        <f>D2934+1</f>
        <v/>
      </c>
      <c r="E2935" s="8">
        <f>IF(DAY(D2935)=DAY($L$1+1),TRUNC((N2934),8),E2934)</f>
        <v/>
      </c>
      <c r="F2935" s="49">
        <f>TRUNC(((1+VLOOKUP(A2935,IPCA!$A$2:$C$140,3,0)))^(C2935/(EDATE(D2935-C2935,1)-(D2935-C2935))),8)</f>
        <v/>
      </c>
      <c r="G2935" s="44">
        <f>TRUNC((E2935*F2935),8)</f>
        <v/>
      </c>
      <c r="H2935" s="44">
        <f>ROUND(((1+$H$4)^(30/360))^(C2935/(EDATE(D2935-B2935,1)-(D2935-B2935))),9)</f>
        <v/>
      </c>
      <c r="I2935" s="44">
        <f>TRUNC((G2935*H2935-G2935),8)</f>
        <v/>
      </c>
      <c r="J2935" s="49">
        <f>G2935+I2935</f>
        <v/>
      </c>
      <c r="K2935" s="256" t="n"/>
      <c r="L2935" s="256" t="n"/>
      <c r="M2935" s="256" t="n"/>
      <c r="N2935" s="256" t="n"/>
      <c r="O2935" s="256" t="n"/>
      <c r="P2935" s="256" t="n"/>
      <c r="Q2935" s="256" t="n"/>
    </row>
    <row r="2936">
      <c r="A2936">
        <f>IF(DAY(D2936)=DAY($L$1+1),A2935+1,A2935)</f>
        <v/>
      </c>
      <c r="B2936" s="46">
        <f>IF(DAY(D2936)=DAY($L$1+1),1,B2935+1)</f>
        <v/>
      </c>
      <c r="C2936" s="46">
        <f>IF(DAY(D2936)=DAY($L$1+1),1,C2935+1)</f>
        <v/>
      </c>
      <c r="D2936" s="2">
        <f>D2935+1</f>
        <v/>
      </c>
      <c r="E2936" s="8">
        <f>IF(DAY(D2936)=DAY($L$1+1),TRUNC((N2935),8),E2935)</f>
        <v/>
      </c>
      <c r="F2936" s="49">
        <f>TRUNC(((1+VLOOKUP(A2936,IPCA!$A$2:$C$140,3,0)))^(C2936/(EDATE(D2936-C2936,1)-(D2936-C2936))),8)</f>
        <v/>
      </c>
      <c r="G2936" s="44">
        <f>TRUNC((E2936*F2936),8)</f>
        <v/>
      </c>
      <c r="H2936" s="44">
        <f>ROUND(((1+$H$4)^(30/360))^(C2936/(EDATE(D2936-B2936,1)-(D2936-B2936))),9)</f>
        <v/>
      </c>
      <c r="I2936" s="44">
        <f>TRUNC((G2936*H2936-G2936),8)</f>
        <v/>
      </c>
      <c r="J2936" s="49">
        <f>G2936+I2936</f>
        <v/>
      </c>
      <c r="K2936" s="256" t="n"/>
      <c r="L2936" s="256" t="n"/>
      <c r="M2936" s="256" t="n"/>
      <c r="N2936" s="256" t="n"/>
      <c r="O2936" s="256" t="n"/>
      <c r="P2936" s="256" t="n"/>
      <c r="Q2936" s="256" t="n"/>
    </row>
    <row r="2937">
      <c r="A2937">
        <f>IF(DAY(D2937)=DAY($L$1+1),A2936+1,A2936)</f>
        <v/>
      </c>
      <c r="B2937" s="1">
        <f>IF(DAY(D2937)=DAY($L$1+1),1,B2936+1)</f>
        <v/>
      </c>
      <c r="C2937" s="1">
        <f>IF(DAY(D2937)=DAY($L$1+1),1,C2936+1)</f>
        <v/>
      </c>
      <c r="D2937" s="2">
        <f>D2936+1</f>
        <v/>
      </c>
      <c r="E2937" s="8">
        <f>IF(DAY(D2937)=DAY($L$1+1),TRUNC((N2936),8),E2936)</f>
        <v/>
      </c>
      <c r="F2937" s="49">
        <f>TRUNC(((1+VLOOKUP(A2937,IPCA!$A$2:$C$140,3,0)))^(C2937/(EDATE(D2937-C2937,1)-(D2937-C2937))),8)</f>
        <v/>
      </c>
      <c r="G2937" s="44">
        <f>TRUNC((E2937*F2937),8)</f>
        <v/>
      </c>
      <c r="H2937" s="44">
        <f>ROUND(((1+$H$4)^(30/360))^(C2937/(EDATE(D2937-B2937,1)-(D2937-B2937))),9)</f>
        <v/>
      </c>
      <c r="I2937" s="44">
        <f>TRUNC((G2937*H2937-G2937),8)</f>
        <v/>
      </c>
      <c r="J2937" s="49">
        <f>G2937+I2937</f>
        <v/>
      </c>
      <c r="K2937" s="256" t="n"/>
      <c r="L2937" s="256" t="n"/>
      <c r="M2937" s="256" t="n"/>
      <c r="N2937" s="256" t="n"/>
      <c r="O2937" s="256" t="n"/>
      <c r="P2937" s="256" t="n"/>
      <c r="Q2937" s="256" t="n"/>
    </row>
    <row r="2938">
      <c r="A2938">
        <f>IF(DAY(D2938)=DAY($L$1+1),A2937+1,A2937)</f>
        <v/>
      </c>
      <c r="B2938" s="46">
        <f>IF(DAY(D2938)=DAY($L$1+1),1,B2937+1)</f>
        <v/>
      </c>
      <c r="C2938" s="46">
        <f>IF(DAY(D2938)=DAY($L$1+1),1,C2937+1)</f>
        <v/>
      </c>
      <c r="D2938" s="2">
        <f>D2937+1</f>
        <v/>
      </c>
      <c r="E2938" s="8">
        <f>IF(DAY(D2938)=DAY($L$1+1),TRUNC((N2937),8),E2937)</f>
        <v/>
      </c>
      <c r="F2938" s="49">
        <f>TRUNC(((1+VLOOKUP(A2938,IPCA!$A$2:$C$140,3,0)))^(C2938/(EDATE(D2938-C2938,1)-(D2938-C2938))),8)</f>
        <v/>
      </c>
      <c r="G2938" s="44">
        <f>TRUNC((E2938*F2938),8)</f>
        <v/>
      </c>
      <c r="H2938" s="44">
        <f>ROUND(((1+$H$4)^(30/360))^(C2938/(EDATE(D2938-B2938,1)-(D2938-B2938))),9)</f>
        <v/>
      </c>
      <c r="I2938" s="44">
        <f>TRUNC((G2938*H2938-G2938),8)</f>
        <v/>
      </c>
      <c r="J2938" s="49">
        <f>G2938+I2938</f>
        <v/>
      </c>
      <c r="K2938" s="256" t="n"/>
      <c r="L2938" s="256" t="n"/>
      <c r="M2938" s="256" t="n"/>
      <c r="N2938" s="256" t="n"/>
      <c r="O2938" s="256" t="n"/>
      <c r="P2938" s="256" t="n"/>
      <c r="Q2938" s="256" t="n"/>
    </row>
    <row r="2939">
      <c r="A2939">
        <f>IF(DAY(D2939)=DAY($L$1+1),A2938+1,A2938)</f>
        <v/>
      </c>
      <c r="B2939" s="46">
        <f>IF(DAY(D2939)=DAY($L$1+1),1,B2938+1)</f>
        <v/>
      </c>
      <c r="C2939" s="46">
        <f>IF(DAY(D2939)=DAY($L$1+1),1,C2938+1)</f>
        <v/>
      </c>
      <c r="D2939" s="2">
        <f>D2938+1</f>
        <v/>
      </c>
      <c r="E2939" s="8">
        <f>IF(DAY(D2939)=DAY($L$1+1),TRUNC((N2938),8),E2938)</f>
        <v/>
      </c>
      <c r="F2939" s="49">
        <f>TRUNC(((1+VLOOKUP(A2939,IPCA!$A$2:$C$140,3,0)))^(C2939/(EDATE(D2939-C2939,1)-(D2939-C2939))),8)</f>
        <v/>
      </c>
      <c r="G2939" s="49">
        <f>TRUNC((E2939*F2939),8)</f>
        <v/>
      </c>
      <c r="H2939" s="49">
        <f>ROUND(((1+$H$4)^(30/360))^(C2939/(EDATE(D2939-B2939,1)-(D2939-B2939))),9)</f>
        <v/>
      </c>
      <c r="I2939" s="49">
        <f>TRUNC((G2939*H2939-G2939),8)</f>
        <v/>
      </c>
      <c r="J2939" s="49">
        <f>G2939+I2939</f>
        <v/>
      </c>
      <c r="K2939" s="256" t="inlineStr">
        <is>
          <t>Cri Integralizado</t>
        </is>
      </c>
      <c r="L2939" s="270">
        <f>L2909</f>
        <v/>
      </c>
      <c r="M2939" s="256" t="n"/>
      <c r="N2939" s="256" t="n"/>
      <c r="O2939" s="256" t="n"/>
      <c r="P2939" s="256" t="n"/>
      <c r="Q2939" s="256" t="n"/>
    </row>
    <row r="2940">
      <c r="A2940">
        <f>IF(DAY(D2940)=DAY($L$1+1),A2939+1,A2939)</f>
        <v/>
      </c>
      <c r="B2940" s="46">
        <f>IF(DAY(D2940)=DAY($L$1+1),1,B2939+1)</f>
        <v/>
      </c>
      <c r="C2940" s="46">
        <f>IF(DAY(D2940)=DAY($L$1+1),1,C2939+1)</f>
        <v/>
      </c>
      <c r="D2940" s="47">
        <f>D2939+1</f>
        <v/>
      </c>
      <c r="E2940" s="8">
        <f>IF(DAY(D2940)=DAY($L$1+1),TRUNC((N2939),8),E2939)</f>
        <v/>
      </c>
      <c r="F2940" s="49">
        <f>TRUNC(((1+VLOOKUP(A2940,IPCA!$A$2:$C$140,3,0)))^(C2940/(EDATE(D2940-C2940,1)-(D2940-C2940))),8)</f>
        <v/>
      </c>
      <c r="G2940" s="49">
        <f>TRUNC((E2940*F2940),8)</f>
        <v/>
      </c>
      <c r="H2940" s="49">
        <f>ROUND(((1+$H$4)^(30/360))^(C2940/(EDATE(D2940-B2940,1)-(D2940-B2940))),9)</f>
        <v/>
      </c>
      <c r="I2940" s="49">
        <f>TRUNC((G2940*H2940-G2940),8)</f>
        <v/>
      </c>
      <c r="J2940" s="49">
        <f>G2940+I2940</f>
        <v/>
      </c>
      <c r="K2940" s="137" t="inlineStr">
        <is>
          <t>JUROS</t>
        </is>
      </c>
      <c r="L2940" s="118" t="inlineStr">
        <is>
          <t>AMORTIZAÇÃO</t>
        </is>
      </c>
      <c r="M2940" s="118" t="inlineStr">
        <is>
          <t>AMEX</t>
        </is>
      </c>
      <c r="N2940" s="118" t="inlineStr">
        <is>
          <t>RESIDUAL</t>
        </is>
      </c>
      <c r="O2940" s="256" t="n"/>
      <c r="P2940" s="256" t="n"/>
      <c r="Q2940" s="256" t="n"/>
    </row>
    <row r="2941">
      <c r="A2941">
        <f>IF(DAY(D2941)=DAY($L$1+1),A2940+1,A2940)</f>
        <v/>
      </c>
      <c r="B2941" s="111">
        <f>IF(DAY(D2941)=DAY($L$1+1),1,B2940+1)</f>
        <v/>
      </c>
      <c r="C2941" s="111">
        <f>IF(DAY(D2941)=DAY($L$1+1),1,C2940+1)</f>
        <v/>
      </c>
      <c r="D2941" s="112">
        <f>D2940+1</f>
        <v/>
      </c>
      <c r="E2941" s="113">
        <f>IF(DAY(D2941)=DAY($L$1+1),TRUNC((N2940),8),E2940)</f>
        <v/>
      </c>
      <c r="F2941" s="114">
        <f>TRUNC(((1+VLOOKUP(A2941,IPCA!$A$2:$C$140,3,0)))^(C2941/(EDATE(D2941-C2941,1)-(D2941-C2941))),8)</f>
        <v/>
      </c>
      <c r="G2941" s="114">
        <f>TRUNC((E2941*F2941),8)</f>
        <v/>
      </c>
      <c r="H2941" s="114">
        <f>ROUND(((1+$H$4)^(30/360))^(C2941/(EDATE(D2941-B2941,1)-(D2941-B2941))),9)</f>
        <v/>
      </c>
      <c r="I2941" s="114">
        <f>TRUNC((G2941*H2941-G2941),8)</f>
        <v/>
      </c>
      <c r="J2941" s="114">
        <f>G2941+I2941</f>
        <v/>
      </c>
      <c r="K2941" s="119">
        <f>I2941</f>
        <v/>
      </c>
      <c r="L2941" s="120">
        <f>TRUNC(G2941*VLOOKUP(D2941,'Amort TS'!$G$3:$H$140,2,0),8)</f>
        <v/>
      </c>
      <c r="M2941" s="120" t="n">
        <v>0</v>
      </c>
      <c r="N2941" s="120">
        <f>J2941-K2941-L2941-M2941</f>
        <v/>
      </c>
      <c r="O2941" s="256" t="n"/>
      <c r="P2941" s="256" t="n"/>
      <c r="Q2941" s="256" t="n"/>
    </row>
    <row r="2942">
      <c r="A2942">
        <f>IF(DAY(D2942)=DAY($L$1+1),A2941+1,A2941)</f>
        <v/>
      </c>
      <c r="B2942" s="46">
        <f>IF(DAY(D2942)=DAY($L$1+1),1,B2941+1)</f>
        <v/>
      </c>
      <c r="C2942" s="46">
        <f>IF(DAY(D2942)=DAY($L$1+1),1,C2941+1)</f>
        <v/>
      </c>
      <c r="D2942" s="2">
        <f>D2941+1</f>
        <v/>
      </c>
      <c r="E2942" s="8">
        <f>IF(DAY(D2942)=DAY($L$1+1),TRUNC((N2941),8),E2941)</f>
        <v/>
      </c>
      <c r="F2942" s="49">
        <f>TRUNC(((1+VLOOKUP(A2942,IPCA!$A$2:$C$140,3,0)))^(C2942/(EDATE(D2942-C2942,1)-(D2942-C2942))),8)</f>
        <v/>
      </c>
      <c r="G2942" s="49">
        <f>TRUNC((E2942*F2942),8)</f>
        <v/>
      </c>
      <c r="H2942" s="49">
        <f>ROUND(((1+$H$4)^(30/360))^(C2942/(EDATE(D2942-B2942,1)-(D2942-B2942))),9)</f>
        <v/>
      </c>
      <c r="I2942" s="49">
        <f>TRUNC((G2942*H2942-G2942),8)</f>
        <v/>
      </c>
      <c r="J2942" s="49">
        <f>G2942+I2942</f>
        <v/>
      </c>
      <c r="K2942" s="121">
        <f>K2941*L2939</f>
        <v/>
      </c>
      <c r="L2942" s="121">
        <f>L2941*L2939</f>
        <v/>
      </c>
      <c r="M2942" s="121">
        <f>M2941*L2939</f>
        <v/>
      </c>
      <c r="N2942" s="121">
        <f>N2941*L2939</f>
        <v/>
      </c>
      <c r="O2942" s="256" t="n"/>
      <c r="P2942" s="256" t="n"/>
      <c r="Q2942" s="256" t="n"/>
    </row>
    <row r="2943">
      <c r="A2943">
        <f>IF(DAY(D2943)=DAY($L$1+1),A2942+1,A2942)</f>
        <v/>
      </c>
      <c r="B2943" s="46">
        <f>IF(DAY(D2943)=DAY($L$1+1),1,B2942+1)</f>
        <v/>
      </c>
      <c r="C2943" s="46">
        <f>IF(DAY(D2943)=DAY($L$1+1),1,C2942+1)</f>
        <v/>
      </c>
      <c r="D2943" s="47">
        <f>D2942+1</f>
        <v/>
      </c>
      <c r="E2943" s="8">
        <f>IF(DAY(D2943)=DAY($L$1+1),TRUNC((N2942),8),E2942)</f>
        <v/>
      </c>
      <c r="F2943" s="49">
        <f>TRUNC(((1+VLOOKUP(A2943,IPCA!$A$2:$C$140,3,0)))^(C2943/(EDATE(D2943-C2943,1)-(D2943-C2943))),8)</f>
        <v/>
      </c>
      <c r="G2943" s="49">
        <f>TRUNC((E2943*F2943),8)</f>
        <v/>
      </c>
      <c r="H2943" s="49">
        <f>ROUND(((1+$H$4)^(30/360))^(C2943/(EDATE(D2943-B2943,1)-(D2943-B2943))),9)</f>
        <v/>
      </c>
      <c r="I2943" s="49">
        <f>TRUNC((G2943*H2943-G2943),8)</f>
        <v/>
      </c>
      <c r="J2943" s="49">
        <f>G2943+I2943</f>
        <v/>
      </c>
      <c r="K2943" s="256" t="n"/>
      <c r="L2943" s="256" t="n"/>
      <c r="M2943" s="256" t="n"/>
      <c r="N2943" s="256" t="n"/>
      <c r="O2943" s="256" t="n"/>
      <c r="P2943" s="256" t="n"/>
      <c r="Q2943" s="256" t="n"/>
    </row>
    <row r="2944">
      <c r="A2944">
        <f>IF(DAY(D2944)=DAY($L$1+1),A2943+1,A2943)</f>
        <v/>
      </c>
      <c r="B2944" s="46">
        <f>IF(DAY(D2944)=DAY($L$1+1),1,B2943+1)</f>
        <v/>
      </c>
      <c r="C2944" s="46">
        <f>IF(DAY(D2944)=DAY($L$1+1),1,C2943+1)</f>
        <v/>
      </c>
      <c r="D2944" s="2">
        <f>D2943+1</f>
        <v/>
      </c>
      <c r="E2944" s="8">
        <f>IF(DAY(D2944)=DAY($L$1+1),TRUNC((#REF!),8),E2943)</f>
        <v/>
      </c>
      <c r="F2944" s="49">
        <f>TRUNC(((1+VLOOKUP(A2944,IPCA!$A$2:$C$140,3,0)))^(C2944/(EDATE(D2944-C2944,1)-(D2944-C2944))),8)</f>
        <v/>
      </c>
      <c r="G2944" s="44">
        <f>TRUNC((E2944*F2944),8)</f>
        <v/>
      </c>
      <c r="H2944" s="44">
        <f>ROUND(((1+$H$4)^(30/360))^(C2944/(EDATE(D2944-B2944,1)-(D2944-B2944))),9)</f>
        <v/>
      </c>
      <c r="I2944" s="44">
        <f>TRUNC((G2944*H2944-G2944),8)</f>
        <v/>
      </c>
      <c r="J2944" s="49">
        <f>G2944+I2944</f>
        <v/>
      </c>
      <c r="K2944" s="256" t="n"/>
      <c r="L2944" s="256" t="n"/>
      <c r="M2944" s="256" t="n"/>
      <c r="N2944" s="256" t="n"/>
      <c r="O2944" s="256" t="n"/>
      <c r="P2944" s="256" t="n"/>
      <c r="Q2944" s="256" t="n"/>
    </row>
    <row r="2945">
      <c r="A2945">
        <f>IF(DAY(D2945)=DAY($L$1+1),A2944+1,A2944)</f>
        <v/>
      </c>
      <c r="B2945" s="1">
        <f>IF(DAY(D2945)=DAY($L$1+1),1,B2944+1)</f>
        <v/>
      </c>
      <c r="C2945" s="1">
        <f>IF(DAY(D2945)=DAY($L$1+1),1,C2944+1)</f>
        <v/>
      </c>
      <c r="D2945" s="2">
        <f>D2944+1</f>
        <v/>
      </c>
      <c r="E2945" s="8">
        <f>IF(DAY(D2945)=DAY($L$1+1),TRUNC((#REF!),8),E2944)</f>
        <v/>
      </c>
      <c r="F2945" s="49">
        <f>TRUNC(((1+VLOOKUP(A2945,IPCA!$A$2:$C$140,3,0)))^(C2945/(EDATE(D2945-C2945,1)-(D2945-C2945))),8)</f>
        <v/>
      </c>
      <c r="G2945" s="44">
        <f>TRUNC((E2945*F2945),8)</f>
        <v/>
      </c>
      <c r="H2945" s="44">
        <f>ROUND(((1+$H$4)^(30/360))^(C2945/(EDATE(D2945-B2945,1)-(D2945-B2945))),9)</f>
        <v/>
      </c>
      <c r="I2945" s="44">
        <f>TRUNC((G2945*H2945-G2945),8)</f>
        <v/>
      </c>
      <c r="J2945" s="49">
        <f>G2945+I2945</f>
        <v/>
      </c>
      <c r="K2945" s="256" t="n"/>
      <c r="L2945" s="256" t="n"/>
      <c r="M2945" s="256" t="n"/>
      <c r="N2945" s="256" t="n"/>
      <c r="O2945" s="256" t="n"/>
      <c r="P2945" s="256" t="n"/>
      <c r="Q2945" s="256" t="n"/>
    </row>
    <row r="2946">
      <c r="A2946">
        <f>IF(DAY(D2946)=DAY($L$1+1),A2945+1,A2945)</f>
        <v/>
      </c>
      <c r="B2946" s="46">
        <f>IF(DAY(D2946)=DAY($L$1+1),1,B2945+1)</f>
        <v/>
      </c>
      <c r="C2946" s="46">
        <f>IF(DAY(D2946)=DAY($L$1+1),1,C2945+1)</f>
        <v/>
      </c>
      <c r="D2946" s="2">
        <f>D2945+1</f>
        <v/>
      </c>
      <c r="E2946" s="8">
        <f>IF(DAY(D2946)=DAY($L$1+1),TRUNC((#REF!),8),E2945)</f>
        <v/>
      </c>
      <c r="F2946" s="49">
        <f>TRUNC(((1+VLOOKUP(A2946,IPCA!$A$2:$C$140,3,0)))^(C2946/(EDATE(D2946-C2946,1)-(D2946-C2946))),8)</f>
        <v/>
      </c>
      <c r="G2946" s="44">
        <f>TRUNC((E2946*F2946),8)</f>
        <v/>
      </c>
      <c r="H2946" s="44">
        <f>ROUND(((1+$H$4)^(30/360))^(C2946/(EDATE(D2946-B2946,1)-(D2946-B2946))),9)</f>
        <v/>
      </c>
      <c r="I2946" s="44">
        <f>TRUNC((G2946*H2946-G2946),8)</f>
        <v/>
      </c>
      <c r="J2946" s="49">
        <f>G2946+I2946</f>
        <v/>
      </c>
      <c r="K2946" s="256" t="n"/>
      <c r="L2946" s="256" t="n"/>
      <c r="M2946" s="256" t="n"/>
      <c r="N2946" s="256" t="n"/>
      <c r="O2946" s="256" t="n"/>
      <c r="P2946" s="256" t="n"/>
      <c r="Q2946" s="256" t="n"/>
    </row>
    <row r="2947">
      <c r="A2947">
        <f>IF(DAY(D2947)=DAY($L$1+1),A2946+1,A2946)</f>
        <v/>
      </c>
      <c r="B2947" s="1">
        <f>IF(DAY(D2947)=DAY($L$1+1),1,B2946+1)</f>
        <v/>
      </c>
      <c r="C2947" s="1">
        <f>IF(DAY(D2947)=DAY($L$1+1),1,C2946+1)</f>
        <v/>
      </c>
      <c r="D2947" s="2">
        <f>D2946+1</f>
        <v/>
      </c>
      <c r="E2947" s="8">
        <f>IF(DAY(D2947)=DAY($L$1+1),TRUNC((#REF!),8),E2946)</f>
        <v/>
      </c>
      <c r="F2947" s="49">
        <f>TRUNC(((1+VLOOKUP(A2947,IPCA!$A$2:$C$140,3,0)))^(C2947/(EDATE(D2947-C2947,1)-(D2947-C2947))),8)</f>
        <v/>
      </c>
      <c r="G2947" s="44">
        <f>TRUNC((E2947*F2947),8)</f>
        <v/>
      </c>
      <c r="H2947" s="44">
        <f>ROUND(((1+$H$4)^(30/360))^(C2947/(EDATE(D2947-B2947,1)-(D2947-B2947))),9)</f>
        <v/>
      </c>
      <c r="I2947" s="44">
        <f>TRUNC((G2947*H2947-G2947),8)</f>
        <v/>
      </c>
      <c r="J2947" s="49">
        <f>G2947+I2947</f>
        <v/>
      </c>
      <c r="K2947" s="256" t="n"/>
      <c r="L2947" s="256" t="n"/>
      <c r="M2947" s="256" t="n"/>
      <c r="N2947" s="256" t="n"/>
      <c r="O2947" s="256" t="n"/>
      <c r="P2947" s="256" t="n"/>
      <c r="Q2947" s="256" t="n"/>
    </row>
    <row r="2948">
      <c r="A2948">
        <f>IF(DAY(D2948)=DAY($L$1+1),A2947+1,A2947)</f>
        <v/>
      </c>
      <c r="B2948" s="46">
        <f>IF(DAY(D2948)=DAY($L$1+1),1,B2947+1)</f>
        <v/>
      </c>
      <c r="C2948" s="46">
        <f>IF(DAY(D2948)=DAY($L$1+1),1,C2947+1)</f>
        <v/>
      </c>
      <c r="D2948" s="2">
        <f>D2947+1</f>
        <v/>
      </c>
      <c r="E2948" s="8">
        <f>IF(DAY(D2948)=DAY($L$1+1),TRUNC((#REF!),8),E2947)</f>
        <v/>
      </c>
      <c r="F2948" s="49">
        <f>TRUNC(((1+VLOOKUP(A2948,IPCA!$A$2:$C$140,3,0)))^(C2948/(EDATE(D2948-C2948,1)-(D2948-C2948))),8)</f>
        <v/>
      </c>
      <c r="G2948" s="44">
        <f>TRUNC((E2948*F2948),8)</f>
        <v/>
      </c>
      <c r="H2948" s="44">
        <f>ROUND(((1+$H$4)^(30/360))^(C2948/(EDATE(D2948-B2948,1)-(D2948-B2948))),9)</f>
        <v/>
      </c>
      <c r="I2948" s="44">
        <f>TRUNC((G2948*H2948-G2948),8)</f>
        <v/>
      </c>
      <c r="J2948" s="49">
        <f>G2948+I2948</f>
        <v/>
      </c>
      <c r="K2948" s="256" t="n"/>
      <c r="L2948" s="256" t="n"/>
      <c r="M2948" s="256" t="n"/>
      <c r="N2948" s="256" t="n"/>
      <c r="O2948" s="256" t="n"/>
      <c r="P2948" s="256" t="n"/>
      <c r="Q2948" s="256" t="n"/>
    </row>
    <row r="2949">
      <c r="A2949">
        <f>IF(DAY(D2949)=DAY($L$1+1),A2948+1,A2948)</f>
        <v/>
      </c>
      <c r="B2949" s="1">
        <f>IF(DAY(D2949)=DAY($L$1+1),1,B2948+1)</f>
        <v/>
      </c>
      <c r="C2949" s="1">
        <f>IF(DAY(D2949)=DAY($L$1+1),1,C2948+1)</f>
        <v/>
      </c>
      <c r="D2949" s="2">
        <f>D2948+1</f>
        <v/>
      </c>
      <c r="E2949" s="8">
        <f>IF(DAY(D2949)=DAY($L$1+1),TRUNC((#REF!),8),E2948)</f>
        <v/>
      </c>
      <c r="F2949" s="49">
        <f>TRUNC(((1+VLOOKUP(A2949,IPCA!$A$2:$C$140,3,0)))^(C2949/(EDATE(D2949-C2949,1)-(D2949-C2949))),8)</f>
        <v/>
      </c>
      <c r="G2949" s="44">
        <f>TRUNC((E2949*F2949),8)</f>
        <v/>
      </c>
      <c r="H2949" s="44">
        <f>ROUND(((1+$H$4)^(30/360))^(C2949/(EDATE(D2949-B2949,1)-(D2949-B2949))),9)</f>
        <v/>
      </c>
      <c r="I2949" s="44">
        <f>TRUNC((G2949*H2949-G2949),8)</f>
        <v/>
      </c>
      <c r="J2949" s="49">
        <f>G2949+I2949</f>
        <v/>
      </c>
      <c r="K2949" s="256" t="n"/>
      <c r="L2949" s="256" t="n"/>
      <c r="M2949" s="256" t="n"/>
      <c r="N2949" s="256" t="n"/>
      <c r="O2949" s="256" t="n"/>
      <c r="P2949" s="256" t="n"/>
      <c r="Q2949" s="256" t="n"/>
    </row>
    <row r="2950">
      <c r="A2950">
        <f>IF(DAY(D2950)=DAY($L$1+1),A2949+1,A2949)</f>
        <v/>
      </c>
      <c r="B2950" s="46">
        <f>IF(DAY(D2950)=DAY($L$1+1),1,B2949+1)</f>
        <v/>
      </c>
      <c r="C2950" s="46">
        <f>IF(DAY(D2950)=DAY($L$1+1),1,C2949+1)</f>
        <v/>
      </c>
      <c r="D2950" s="2">
        <f>D2949+1</f>
        <v/>
      </c>
      <c r="E2950" s="8">
        <f>IF(DAY(D2950)=DAY($L$1+1),TRUNC((#REF!),8),E2949)</f>
        <v/>
      </c>
      <c r="F2950" s="49">
        <f>TRUNC(((1+VLOOKUP(A2950,IPCA!$A$2:$C$140,3,0)))^(C2950/(EDATE(D2950-C2950,1)-(D2950-C2950))),8)</f>
        <v/>
      </c>
      <c r="G2950" s="44">
        <f>TRUNC((E2950*F2950),8)</f>
        <v/>
      </c>
      <c r="H2950" s="44">
        <f>ROUND(((1+$H$4)^(30/360))^(C2950/(EDATE(D2950-B2950,1)-(D2950-B2950))),9)</f>
        <v/>
      </c>
      <c r="I2950" s="44">
        <f>TRUNC((G2950*H2950-G2950),8)</f>
        <v/>
      </c>
      <c r="J2950" s="49">
        <f>G2950+I2950</f>
        <v/>
      </c>
      <c r="K2950" s="256" t="n"/>
      <c r="L2950" s="256" t="n"/>
      <c r="M2950" s="256" t="n"/>
      <c r="N2950" s="256" t="n"/>
      <c r="O2950" s="256" t="n"/>
      <c r="P2950" s="256" t="n"/>
      <c r="Q2950" s="256" t="n"/>
    </row>
    <row r="2951">
      <c r="A2951">
        <f>IF(DAY(D2951)=DAY($L$1+1),A2950+1,A2950)</f>
        <v/>
      </c>
      <c r="B2951" s="1">
        <f>IF(DAY(D2951)=DAY($L$1+1),1,B2950+1)</f>
        <v/>
      </c>
      <c r="C2951" s="1">
        <f>IF(DAY(D2951)=DAY($L$1+1),1,C2950+1)</f>
        <v/>
      </c>
      <c r="D2951" s="2">
        <f>D2950+1</f>
        <v/>
      </c>
      <c r="E2951" s="8">
        <f>IF(DAY(D2951)=DAY($L$1+1),TRUNC((#REF!),8),E2950)</f>
        <v/>
      </c>
      <c r="F2951" s="49">
        <f>TRUNC(((1+VLOOKUP(A2951,IPCA!$A$2:$C$140,3,0)))^(C2951/(EDATE(D2951-C2951,1)-(D2951-C2951))),8)</f>
        <v/>
      </c>
      <c r="G2951" s="44">
        <f>TRUNC((E2951*F2951),8)</f>
        <v/>
      </c>
      <c r="H2951" s="44">
        <f>ROUND(((1+$H$4)^(30/360))^(C2951/(EDATE(D2951-B2951,1)-(D2951-B2951))),9)</f>
        <v/>
      </c>
      <c r="I2951" s="44">
        <f>TRUNC((G2951*H2951-G2951),8)</f>
        <v/>
      </c>
      <c r="J2951" s="49">
        <f>G2951+I2951</f>
        <v/>
      </c>
      <c r="K2951" s="256" t="n"/>
      <c r="L2951" s="256" t="n"/>
      <c r="M2951" s="256" t="n"/>
      <c r="N2951" s="256" t="n"/>
      <c r="O2951" s="256" t="n"/>
      <c r="P2951" s="256" t="n"/>
      <c r="Q2951" s="256" t="n"/>
    </row>
    <row r="2952">
      <c r="A2952">
        <f>IF(DAY(D2952)=DAY($L$1+1),A2951+1,A2951)</f>
        <v/>
      </c>
      <c r="B2952" s="46">
        <f>IF(DAY(D2952)=DAY($L$1+1),1,B2951+1)</f>
        <v/>
      </c>
      <c r="C2952" s="46">
        <f>IF(DAY(D2952)=DAY($L$1+1),1,C2951+1)</f>
        <v/>
      </c>
      <c r="D2952" s="2">
        <f>D2951+1</f>
        <v/>
      </c>
      <c r="E2952" s="8">
        <f>IF(DAY(D2952)=DAY($L$1+1),TRUNC((#REF!),8),E2951)</f>
        <v/>
      </c>
      <c r="F2952" s="49">
        <f>TRUNC(((1+VLOOKUP(A2952,IPCA!$A$2:$C$140,3,0)))^(C2952/(EDATE(D2952-C2952,1)-(D2952-C2952))),8)</f>
        <v/>
      </c>
      <c r="G2952" s="44">
        <f>TRUNC((E2952*F2952),8)</f>
        <v/>
      </c>
      <c r="H2952" s="44">
        <f>ROUND(((1+$H$4)^(30/360))^(C2952/(EDATE(D2952-B2952,1)-(D2952-B2952))),9)</f>
        <v/>
      </c>
      <c r="I2952" s="44">
        <f>TRUNC((G2952*H2952-G2952),8)</f>
        <v/>
      </c>
      <c r="J2952" s="49">
        <f>G2952+I2952</f>
        <v/>
      </c>
      <c r="K2952" s="256" t="n"/>
      <c r="L2952" s="256" t="n"/>
      <c r="M2952" s="256" t="n"/>
      <c r="N2952" s="256" t="n"/>
      <c r="O2952" s="256" t="n"/>
      <c r="P2952" s="256" t="n"/>
      <c r="Q2952" s="256" t="n"/>
    </row>
    <row r="2953">
      <c r="A2953">
        <f>IF(DAY(D2953)=DAY($L$1+1),A2952+1,A2952)</f>
        <v/>
      </c>
      <c r="B2953" s="1">
        <f>IF(DAY(D2953)=DAY($L$1+1),1,B2952+1)</f>
        <v/>
      </c>
      <c r="C2953" s="1">
        <f>IF(DAY(D2953)=DAY($L$1+1),1,C2952+1)</f>
        <v/>
      </c>
      <c r="D2953" s="2">
        <f>D2952+1</f>
        <v/>
      </c>
      <c r="E2953" s="8">
        <f>IF(DAY(D2953)=DAY($L$1+1),TRUNC((#REF!),8),E2952)</f>
        <v/>
      </c>
      <c r="F2953" s="49">
        <f>TRUNC(((1+VLOOKUP(A2953,IPCA!$A$2:$C$140,3,0)))^(C2953/(EDATE(D2953-C2953,1)-(D2953-C2953))),8)</f>
        <v/>
      </c>
      <c r="G2953" s="44">
        <f>TRUNC((E2953*F2953),8)</f>
        <v/>
      </c>
      <c r="H2953" s="44">
        <f>ROUND(((1+$H$4)^(30/360))^(C2953/(EDATE(D2953-B2953,1)-(D2953-B2953))),9)</f>
        <v/>
      </c>
      <c r="I2953" s="44">
        <f>TRUNC((G2953*H2953-G2953),8)</f>
        <v/>
      </c>
      <c r="J2953" s="49">
        <f>G2953+I2953</f>
        <v/>
      </c>
      <c r="K2953" s="256" t="n"/>
      <c r="L2953" s="256" t="n"/>
      <c r="M2953" s="256" t="n"/>
      <c r="N2953" s="256" t="n"/>
      <c r="O2953" s="256" t="n"/>
      <c r="P2953" s="256" t="n"/>
      <c r="Q2953" s="256" t="n"/>
    </row>
    <row r="2954">
      <c r="A2954">
        <f>IF(DAY(D2954)=DAY($L$1+1),A2953+1,A2953)</f>
        <v/>
      </c>
      <c r="B2954" s="46">
        <f>IF(DAY(D2954)=DAY($L$1+1),1,B2953+1)</f>
        <v/>
      </c>
      <c r="C2954" s="46">
        <f>IF(DAY(D2954)=DAY($L$1+1),1,C2953+1)</f>
        <v/>
      </c>
      <c r="D2954" s="2">
        <f>D2953+1</f>
        <v/>
      </c>
      <c r="E2954" s="8">
        <f>IF(DAY(D2954)=DAY($L$1+1),TRUNC((#REF!),8),E2953)</f>
        <v/>
      </c>
      <c r="F2954" s="49">
        <f>TRUNC(((1+VLOOKUP(A2954,IPCA!$A$2:$C$140,3,0)))^(C2954/(EDATE(D2954-C2954,1)-(D2954-C2954))),8)</f>
        <v/>
      </c>
      <c r="G2954" s="44">
        <f>TRUNC((E2954*F2954),8)</f>
        <v/>
      </c>
      <c r="H2954" s="44">
        <f>ROUND(((1+$H$4)^(30/360))^(C2954/(EDATE(D2954-B2954,1)-(D2954-B2954))),9)</f>
        <v/>
      </c>
      <c r="I2954" s="44">
        <f>TRUNC((G2954*H2954-G2954),8)</f>
        <v/>
      </c>
      <c r="J2954" s="49">
        <f>G2954+I2954</f>
        <v/>
      </c>
      <c r="K2954" s="256" t="n"/>
      <c r="L2954" s="256" t="n"/>
      <c r="M2954" s="256" t="n"/>
      <c r="N2954" s="256" t="n"/>
      <c r="O2954" s="256" t="n"/>
      <c r="P2954" s="256" t="n"/>
      <c r="Q2954" s="256" t="n"/>
    </row>
    <row r="2955">
      <c r="A2955">
        <f>IF(DAY(D2955)=DAY($L$1+1),A2954+1,A2954)</f>
        <v/>
      </c>
      <c r="B2955" s="1">
        <f>IF(DAY(D2955)=DAY($L$1+1),1,B2954+1)</f>
        <v/>
      </c>
      <c r="C2955" s="1">
        <f>IF(DAY(D2955)=DAY($L$1+1),1,C2954+1)</f>
        <v/>
      </c>
      <c r="D2955" s="2">
        <f>D2954+1</f>
        <v/>
      </c>
      <c r="E2955" s="8">
        <f>IF(DAY(D2955)=DAY($L$1+1),TRUNC((#REF!),8),E2954)</f>
        <v/>
      </c>
      <c r="F2955" s="49">
        <f>TRUNC(((1+VLOOKUP(A2955,IPCA!$A$2:$C$140,3,0)))^(C2955/(EDATE(D2955-C2955,1)-(D2955-C2955))),8)</f>
        <v/>
      </c>
      <c r="G2955" s="44">
        <f>TRUNC((E2955*F2955),8)</f>
        <v/>
      </c>
      <c r="H2955" s="44">
        <f>ROUND(((1+$H$4)^(30/360))^(C2955/(EDATE(D2955-B2955,1)-(D2955-B2955))),9)</f>
        <v/>
      </c>
      <c r="I2955" s="44">
        <f>TRUNC((G2955*H2955-G2955),8)</f>
        <v/>
      </c>
      <c r="J2955" s="49">
        <f>G2955+I2955</f>
        <v/>
      </c>
      <c r="K2955" s="256" t="n"/>
      <c r="L2955" s="256" t="n"/>
      <c r="M2955" s="256" t="n"/>
      <c r="N2955" s="256" t="n"/>
      <c r="O2955" s="256" t="n"/>
      <c r="P2955" s="256" t="n"/>
      <c r="Q2955" s="256" t="n"/>
    </row>
    <row r="2956">
      <c r="A2956">
        <f>IF(DAY(D2956)=DAY($L$1+1),A2955+1,A2955)</f>
        <v/>
      </c>
      <c r="B2956" s="46">
        <f>IF(DAY(D2956)=DAY($L$1+1),1,B2955+1)</f>
        <v/>
      </c>
      <c r="C2956" s="46">
        <f>IF(DAY(D2956)=DAY($L$1+1),1,C2955+1)</f>
        <v/>
      </c>
      <c r="D2956" s="2">
        <f>D2955+1</f>
        <v/>
      </c>
      <c r="E2956" s="8">
        <f>IF(DAY(D2956)=DAY($L$1+1),TRUNC((#REF!),8),E2955)</f>
        <v/>
      </c>
      <c r="F2956" s="49">
        <f>TRUNC(((1+VLOOKUP(A2956,IPCA!$A$2:$C$140,3,0)))^(C2956/(EDATE(D2956-C2956,1)-(D2956-C2956))),8)</f>
        <v/>
      </c>
      <c r="G2956" s="44">
        <f>TRUNC((E2956*F2956),8)</f>
        <v/>
      </c>
      <c r="H2956" s="44">
        <f>ROUND(((1+$H$4)^(30/360))^(C2956/(EDATE(D2956-B2956,1)-(D2956-B2956))),9)</f>
        <v/>
      </c>
      <c r="I2956" s="44">
        <f>TRUNC((G2956*H2956-G2956),8)</f>
        <v/>
      </c>
      <c r="J2956" s="49">
        <f>G2956+I2956</f>
        <v/>
      </c>
      <c r="K2956" s="256" t="n"/>
      <c r="L2956" s="256" t="n"/>
      <c r="M2956" s="256" t="n"/>
      <c r="N2956" s="256" t="n"/>
      <c r="O2956" s="256" t="n"/>
      <c r="P2956" s="256" t="n"/>
      <c r="Q2956" s="256" t="n"/>
    </row>
    <row r="2957">
      <c r="A2957">
        <f>IF(DAY(D2957)=DAY($L$1+1),A2956+1,A2956)</f>
        <v/>
      </c>
      <c r="B2957" s="1">
        <f>IF(DAY(D2957)=DAY($L$1+1),1,B2956+1)</f>
        <v/>
      </c>
      <c r="C2957" s="1">
        <f>IF(DAY(D2957)=DAY($L$1+1),1,C2956+1)</f>
        <v/>
      </c>
      <c r="D2957" s="2">
        <f>D2956+1</f>
        <v/>
      </c>
      <c r="E2957" s="8">
        <f>IF(DAY(D2957)=DAY($L$1+1),TRUNC((#REF!),8),E2956)</f>
        <v/>
      </c>
      <c r="F2957" s="49">
        <f>TRUNC(((1+VLOOKUP(A2957,IPCA!$A$2:$C$140,3,0)))^(C2957/(EDATE(D2957-C2957,1)-(D2957-C2957))),8)</f>
        <v/>
      </c>
      <c r="G2957" s="44">
        <f>TRUNC((E2957*F2957),8)</f>
        <v/>
      </c>
      <c r="H2957" s="44">
        <f>ROUND(((1+$H$4)^(30/360))^(C2957/(EDATE(D2957-B2957,1)-(D2957-B2957))),9)</f>
        <v/>
      </c>
      <c r="I2957" s="44">
        <f>TRUNC((G2957*H2957-G2957),8)</f>
        <v/>
      </c>
      <c r="J2957" s="49">
        <f>G2957+I2957</f>
        <v/>
      </c>
      <c r="K2957" s="256" t="n"/>
      <c r="L2957" s="256" t="n"/>
      <c r="M2957" s="256" t="n"/>
      <c r="N2957" s="256" t="n"/>
      <c r="O2957" s="256" t="n"/>
      <c r="P2957" s="256" t="n"/>
      <c r="Q2957" s="256" t="n"/>
    </row>
    <row r="2958">
      <c r="A2958">
        <f>IF(DAY(D2958)=DAY($L$1+1),A2957+1,A2957)</f>
        <v/>
      </c>
      <c r="B2958" s="46">
        <f>IF(DAY(D2958)=DAY($L$1+1),1,B2957+1)</f>
        <v/>
      </c>
      <c r="C2958" s="46">
        <f>IF(DAY(D2958)=DAY($L$1+1),1,C2957+1)</f>
        <v/>
      </c>
      <c r="D2958" s="2">
        <f>D2957+1</f>
        <v/>
      </c>
      <c r="E2958" s="8">
        <f>IF(DAY(D2958)=DAY($L$1+1),TRUNC((#REF!),8),E2957)</f>
        <v/>
      </c>
      <c r="F2958" s="49">
        <f>TRUNC(((1+VLOOKUP(A2958,IPCA!$A$2:$C$140,3,0)))^(C2958/(EDATE(D2958-C2958,1)-(D2958-C2958))),8)</f>
        <v/>
      </c>
      <c r="G2958" s="44">
        <f>TRUNC((E2958*F2958),8)</f>
        <v/>
      </c>
      <c r="H2958" s="44">
        <f>ROUND(((1+$H$4)^(30/360))^(C2958/(EDATE(D2958-B2958,1)-(D2958-B2958))),9)</f>
        <v/>
      </c>
      <c r="I2958" s="44">
        <f>TRUNC((G2958*H2958-G2958),8)</f>
        <v/>
      </c>
      <c r="J2958" s="49">
        <f>G2958+I2958</f>
        <v/>
      </c>
      <c r="K2958" s="256" t="n"/>
      <c r="L2958" s="256" t="n"/>
      <c r="M2958" s="256" t="n"/>
      <c r="N2958" s="256" t="n"/>
      <c r="O2958" s="256" t="n"/>
      <c r="P2958" s="256" t="n"/>
      <c r="Q2958" s="256" t="n"/>
    </row>
    <row r="2959">
      <c r="A2959">
        <f>IF(DAY(D2959)=DAY($L$1+1),A2958+1,A2958)</f>
        <v/>
      </c>
      <c r="B2959" s="1">
        <f>IF(DAY(D2959)=DAY($L$1+1),1,B2958+1)</f>
        <v/>
      </c>
      <c r="C2959" s="1">
        <f>IF(DAY(D2959)=DAY($L$1+1),1,C2958+1)</f>
        <v/>
      </c>
      <c r="D2959" s="2">
        <f>D2958+1</f>
        <v/>
      </c>
      <c r="E2959" s="8">
        <f>IF(DAY(D2959)=DAY($L$1+1),TRUNC((#REF!),8),E2958)</f>
        <v/>
      </c>
      <c r="F2959" s="49">
        <f>TRUNC(((1+VLOOKUP(A2959,IPCA!$A$2:$C$140,3,0)))^(C2959/(EDATE(D2959-C2959,1)-(D2959-C2959))),8)</f>
        <v/>
      </c>
      <c r="G2959" s="44">
        <f>TRUNC((E2959*F2959),8)</f>
        <v/>
      </c>
      <c r="H2959" s="44">
        <f>ROUND(((1+$H$4)^(30/360))^(C2959/(EDATE(D2959-B2959,1)-(D2959-B2959))),9)</f>
        <v/>
      </c>
      <c r="I2959" s="44">
        <f>TRUNC((G2959*H2959-G2959),8)</f>
        <v/>
      </c>
      <c r="J2959" s="49">
        <f>G2959+I2959</f>
        <v/>
      </c>
      <c r="K2959" s="256" t="n"/>
      <c r="L2959" s="256" t="n"/>
      <c r="M2959" s="256" t="n"/>
      <c r="N2959" s="256" t="n"/>
      <c r="O2959" s="256" t="n"/>
      <c r="P2959" s="256" t="n"/>
      <c r="Q2959" s="256" t="n"/>
    </row>
    <row r="2960">
      <c r="A2960">
        <f>IF(DAY(D2960)=DAY($L$1+1),A2959+1,A2959)</f>
        <v/>
      </c>
      <c r="B2960" s="46">
        <f>IF(DAY(D2960)=DAY($L$1+1),1,B2959+1)</f>
        <v/>
      </c>
      <c r="C2960" s="46">
        <f>IF(DAY(D2960)=DAY($L$1+1),1,C2959+1)</f>
        <v/>
      </c>
      <c r="D2960" s="2">
        <f>D2959+1</f>
        <v/>
      </c>
      <c r="E2960" s="8">
        <f>IF(DAY(D2960)=DAY($L$1+1),TRUNC((#REF!),8),E2959)</f>
        <v/>
      </c>
      <c r="F2960" s="49">
        <f>TRUNC(((1+VLOOKUP(A2960,IPCA!$A$2:$C$140,3,0)))^(C2960/(EDATE(D2960-C2960,1)-(D2960-C2960))),8)</f>
        <v/>
      </c>
      <c r="G2960" s="44">
        <f>TRUNC((E2960*F2960),8)</f>
        <v/>
      </c>
      <c r="H2960" s="44">
        <f>ROUND(((1+$H$4)^(30/360))^(C2960/(EDATE(D2960-B2960,1)-(D2960-B2960))),9)</f>
        <v/>
      </c>
      <c r="I2960" s="44">
        <f>TRUNC((G2960*H2960-G2960),8)</f>
        <v/>
      </c>
      <c r="J2960" s="49">
        <f>G2960+I2960</f>
        <v/>
      </c>
      <c r="K2960" s="256" t="n"/>
      <c r="L2960" s="256" t="n"/>
      <c r="M2960" s="256" t="n"/>
      <c r="N2960" s="256" t="n"/>
      <c r="O2960" s="256" t="n"/>
      <c r="P2960" s="256" t="n"/>
      <c r="Q2960" s="256" t="n"/>
    </row>
    <row r="2961">
      <c r="A2961">
        <f>IF(DAY(D2961)=DAY($L$1+1),A2960+1,A2960)</f>
        <v/>
      </c>
      <c r="B2961" s="1">
        <f>IF(DAY(D2961)=DAY($L$1+1),1,B2960+1)</f>
        <v/>
      </c>
      <c r="C2961" s="1">
        <f>IF(DAY(D2961)=DAY($L$1+1),1,C2960+1)</f>
        <v/>
      </c>
      <c r="D2961" s="2">
        <f>D2960+1</f>
        <v/>
      </c>
      <c r="E2961" s="8">
        <f>IF(DAY(D2961)=DAY($L$1+1),TRUNC((#REF!),8),E2960)</f>
        <v/>
      </c>
      <c r="F2961" s="49">
        <f>TRUNC(((1+VLOOKUP(A2961,IPCA!$A$2:$C$140,3,0)))^(C2961/(EDATE(D2961-C2961,1)-(D2961-C2961))),8)</f>
        <v/>
      </c>
      <c r="G2961" s="44">
        <f>TRUNC((E2961*F2961),8)</f>
        <v/>
      </c>
      <c r="H2961" s="44">
        <f>ROUND(((1+$H$4)^(30/360))^(C2961/(EDATE(D2961-B2961,1)-(D2961-B2961))),9)</f>
        <v/>
      </c>
      <c r="I2961" s="44">
        <f>TRUNC((G2961*H2961-G2961),8)</f>
        <v/>
      </c>
      <c r="J2961" s="49">
        <f>G2961+I2961</f>
        <v/>
      </c>
      <c r="K2961" s="256" t="n"/>
      <c r="L2961" s="256" t="n"/>
      <c r="M2961" s="256" t="n"/>
      <c r="N2961" s="256" t="n"/>
      <c r="O2961" s="256" t="n"/>
      <c r="P2961" s="256" t="n"/>
      <c r="Q2961" s="256" t="n"/>
    </row>
    <row r="2962">
      <c r="A2962">
        <f>IF(DAY(D2962)=DAY($L$1+1),A2961+1,A2961)</f>
        <v/>
      </c>
      <c r="B2962" s="46">
        <f>IF(DAY(D2962)=DAY($L$1+1),1,B2961+1)</f>
        <v/>
      </c>
      <c r="C2962" s="46">
        <f>IF(DAY(D2962)=DAY($L$1+1),1,C2961+1)</f>
        <v/>
      </c>
      <c r="D2962" s="2">
        <f>D2961+1</f>
        <v/>
      </c>
      <c r="E2962" s="8">
        <f>IF(DAY(D2962)=DAY($L$1+1),TRUNC((#REF!),8),E2961)</f>
        <v/>
      </c>
      <c r="F2962" s="49">
        <f>TRUNC(((1+VLOOKUP(A2962,IPCA!$A$2:$C$140,3,0)))^(C2962/(EDATE(D2962-C2962,1)-(D2962-C2962))),8)</f>
        <v/>
      </c>
      <c r="G2962" s="44">
        <f>TRUNC((E2962*F2962),8)</f>
        <v/>
      </c>
      <c r="H2962" s="44">
        <f>ROUND(((1+$H$4)^(30/360))^(C2962/(EDATE(D2962-B2962,1)-(D2962-B2962))),9)</f>
        <v/>
      </c>
      <c r="I2962" s="44">
        <f>TRUNC((G2962*H2962-G2962),8)</f>
        <v/>
      </c>
      <c r="J2962" s="49">
        <f>G2962+I2962</f>
        <v/>
      </c>
      <c r="K2962" s="256" t="n"/>
      <c r="L2962" s="256" t="n"/>
      <c r="M2962" s="256" t="n"/>
      <c r="N2962" s="256" t="n"/>
      <c r="O2962" s="256" t="n"/>
      <c r="P2962" s="256" t="n"/>
      <c r="Q2962" s="256" t="n"/>
    </row>
    <row r="2963">
      <c r="A2963">
        <f>IF(DAY(D2963)=DAY($L$1+1),A2962+1,A2962)</f>
        <v/>
      </c>
      <c r="B2963" s="1">
        <f>IF(DAY(D2963)=DAY($L$1+1),1,B2962+1)</f>
        <v/>
      </c>
      <c r="C2963" s="1">
        <f>IF(DAY(D2963)=DAY($L$1+1),1,C2962+1)</f>
        <v/>
      </c>
      <c r="D2963" s="2">
        <f>D2962+1</f>
        <v/>
      </c>
      <c r="E2963" s="8">
        <f>IF(DAY(D2963)=DAY($L$1+1),TRUNC((N2962),8),E2962)</f>
        <v/>
      </c>
      <c r="F2963" s="49">
        <f>TRUNC(((1+VLOOKUP(A2963,IPCA!$A$2:$C$140,3,0)))^(C2963/(EDATE(D2963-C2963,1)-(D2963-C2963))),8)</f>
        <v/>
      </c>
      <c r="G2963" s="44">
        <f>TRUNC((E2963*F2963),8)</f>
        <v/>
      </c>
      <c r="H2963" s="44">
        <f>ROUND(((1+$H$4)^(30/360))^(C2963/(EDATE(D2963-B2963,1)-(D2963-B2963))),9)</f>
        <v/>
      </c>
      <c r="I2963" s="44">
        <f>TRUNC((G2963*H2963-G2963),8)</f>
        <v/>
      </c>
      <c r="J2963" s="49">
        <f>G2963+I2963</f>
        <v/>
      </c>
      <c r="K2963" s="256" t="n"/>
      <c r="L2963" s="256" t="n"/>
      <c r="M2963" s="256" t="n"/>
      <c r="N2963" s="256" t="n"/>
      <c r="O2963" s="256" t="n"/>
      <c r="P2963" s="256" t="n"/>
      <c r="Q2963" s="256" t="n"/>
    </row>
    <row r="2964">
      <c r="A2964">
        <f>IF(DAY(D2964)=DAY($L$1+1),A2963+1,A2963)</f>
        <v/>
      </c>
      <c r="B2964" s="46">
        <f>IF(DAY(D2964)=DAY($L$1+1),1,B2963+1)</f>
        <v/>
      </c>
      <c r="C2964" s="46">
        <f>IF(DAY(D2964)=DAY($L$1+1),1,C2963+1)</f>
        <v/>
      </c>
      <c r="D2964" s="2">
        <f>D2963+1</f>
        <v/>
      </c>
      <c r="E2964" s="8">
        <f>IF(DAY(D2964)=DAY($L$1+1),TRUNC((N2963),8),E2963)</f>
        <v/>
      </c>
      <c r="F2964" s="49">
        <f>TRUNC(((1+VLOOKUP(A2964,IPCA!$A$2:$C$140,3,0)))^(C2964/(EDATE(D2964-C2964,1)-(D2964-C2964))),8)</f>
        <v/>
      </c>
      <c r="G2964" s="44">
        <f>TRUNC((E2964*F2964),8)</f>
        <v/>
      </c>
      <c r="H2964" s="44">
        <f>ROUND(((1+$H$4)^(30/360))^(C2964/(EDATE(D2964-B2964,1)-(D2964-B2964))),9)</f>
        <v/>
      </c>
      <c r="I2964" s="44">
        <f>TRUNC((G2964*H2964-G2964),8)</f>
        <v/>
      </c>
      <c r="J2964" s="49">
        <f>G2964+I2964</f>
        <v/>
      </c>
      <c r="K2964" s="256" t="n"/>
      <c r="L2964" s="256" t="n"/>
      <c r="M2964" s="256" t="n"/>
      <c r="N2964" s="256" t="n"/>
      <c r="O2964" s="256" t="n"/>
      <c r="P2964" s="256" t="n"/>
      <c r="Q2964" s="256" t="n"/>
    </row>
    <row r="2965">
      <c r="A2965">
        <f>IF(DAY(D2965)=DAY($L$1+1),A2964+1,A2964)</f>
        <v/>
      </c>
      <c r="B2965" s="1">
        <f>IF(DAY(D2965)=DAY($L$1+1),1,B2964+1)</f>
        <v/>
      </c>
      <c r="C2965" s="1">
        <f>IF(DAY(D2965)=DAY($L$1+1),1,C2964+1)</f>
        <v/>
      </c>
      <c r="D2965" s="2">
        <f>D2964+1</f>
        <v/>
      </c>
      <c r="E2965" s="8">
        <f>IF(DAY(D2965)=DAY($L$1+1),TRUNC((N2964),8),E2964)</f>
        <v/>
      </c>
      <c r="F2965" s="49">
        <f>TRUNC(((1+VLOOKUP(A2965,IPCA!$A$2:$C$140,3,0)))^(C2965/(EDATE(D2965-C2965,1)-(D2965-C2965))),8)</f>
        <v/>
      </c>
      <c r="G2965" s="44">
        <f>TRUNC((E2965*F2965),8)</f>
        <v/>
      </c>
      <c r="H2965" s="44">
        <f>ROUND(((1+$H$4)^(30/360))^(C2965/(EDATE(D2965-B2965,1)-(D2965-B2965))),9)</f>
        <v/>
      </c>
      <c r="I2965" s="44">
        <f>TRUNC((G2965*H2965-G2965),8)</f>
        <v/>
      </c>
      <c r="J2965" s="49">
        <f>G2965+I2965</f>
        <v/>
      </c>
      <c r="K2965" s="256" t="n"/>
      <c r="L2965" s="256" t="n"/>
      <c r="M2965" s="256" t="n"/>
      <c r="N2965" s="256" t="n"/>
      <c r="O2965" s="256" t="n"/>
      <c r="P2965" s="256" t="n"/>
      <c r="Q2965" s="256" t="n"/>
    </row>
    <row r="2966">
      <c r="A2966">
        <f>IF(DAY(D2966)=DAY($L$1+1),A2965+1,A2965)</f>
        <v/>
      </c>
      <c r="B2966" s="46">
        <f>IF(DAY(D2966)=DAY($L$1+1),1,B2965+1)</f>
        <v/>
      </c>
      <c r="C2966" s="46">
        <f>IF(DAY(D2966)=DAY($L$1+1),1,C2965+1)</f>
        <v/>
      </c>
      <c r="D2966" s="2">
        <f>D2965+1</f>
        <v/>
      </c>
      <c r="E2966" s="8">
        <f>IF(DAY(D2966)=DAY($L$1+1),TRUNC((N2965),8),E2965)</f>
        <v/>
      </c>
      <c r="F2966" s="49">
        <f>TRUNC(((1+VLOOKUP(A2966,IPCA!$A$2:$C$140,3,0)))^(C2966/(EDATE(D2966-C2966,1)-(D2966-C2966))),8)</f>
        <v/>
      </c>
      <c r="G2966" s="44">
        <f>TRUNC((E2966*F2966),8)</f>
        <v/>
      </c>
      <c r="H2966" s="44">
        <f>ROUND(((1+$H$4)^(30/360))^(C2966/(EDATE(D2966-B2966,1)-(D2966-B2966))),9)</f>
        <v/>
      </c>
      <c r="I2966" s="44">
        <f>TRUNC((G2966*H2966-G2966),8)</f>
        <v/>
      </c>
      <c r="J2966" s="49">
        <f>G2966+I2966</f>
        <v/>
      </c>
      <c r="K2966" s="256" t="n"/>
      <c r="L2966" s="256" t="n"/>
      <c r="M2966" s="256" t="n"/>
      <c r="N2966" s="256" t="n"/>
      <c r="O2966" s="256" t="n"/>
      <c r="P2966" s="256" t="n"/>
      <c r="Q2966" s="256" t="n"/>
    </row>
    <row r="2967">
      <c r="A2967">
        <f>IF(DAY(D2967)=DAY($L$1+1),A2966+1,A2966)</f>
        <v/>
      </c>
      <c r="B2967" s="1">
        <f>IF(DAY(D2967)=DAY($L$1+1),1,B2966+1)</f>
        <v/>
      </c>
      <c r="C2967" s="1">
        <f>IF(DAY(D2967)=DAY($L$1+1),1,C2966+1)</f>
        <v/>
      </c>
      <c r="D2967" s="2">
        <f>D2966+1</f>
        <v/>
      </c>
      <c r="E2967" s="8">
        <f>IF(DAY(D2967)=DAY($L$1+1),TRUNC((N2966),8),E2966)</f>
        <v/>
      </c>
      <c r="F2967" s="49">
        <f>TRUNC(((1+VLOOKUP(A2967,IPCA!$A$2:$C$140,3,0)))^(C2967/(EDATE(D2967-C2967,1)-(D2967-C2967))),8)</f>
        <v/>
      </c>
      <c r="G2967" s="44">
        <f>TRUNC((E2967*F2967),8)</f>
        <v/>
      </c>
      <c r="H2967" s="44">
        <f>ROUND(((1+$H$4)^(30/360))^(C2967/(EDATE(D2967-B2967,1)-(D2967-B2967))),9)</f>
        <v/>
      </c>
      <c r="I2967" s="44">
        <f>TRUNC((G2967*H2967-G2967),8)</f>
        <v/>
      </c>
      <c r="J2967" s="49">
        <f>G2967+I2967</f>
        <v/>
      </c>
      <c r="K2967" s="256" t="n"/>
      <c r="L2967" s="256" t="n"/>
      <c r="M2967" s="256" t="n"/>
      <c r="N2967" s="256" t="n"/>
      <c r="O2967" s="256" t="n"/>
      <c r="P2967" s="256" t="n"/>
      <c r="Q2967" s="256" t="n"/>
    </row>
    <row r="2968">
      <c r="A2968">
        <f>IF(DAY(D2968)=DAY($L$1+1),A2967+1,A2967)</f>
        <v/>
      </c>
      <c r="B2968" s="46">
        <f>IF(DAY(D2968)=DAY($L$1+1),1,B2967+1)</f>
        <v/>
      </c>
      <c r="C2968" s="46">
        <f>IF(DAY(D2968)=DAY($L$1+1),1,C2967+1)</f>
        <v/>
      </c>
      <c r="D2968" s="2">
        <f>D2967+1</f>
        <v/>
      </c>
      <c r="E2968" s="8">
        <f>IF(DAY(D2968)=DAY($L$1+1),TRUNC((N2967),8),E2967)</f>
        <v/>
      </c>
      <c r="F2968" s="49">
        <f>TRUNC(((1+VLOOKUP(A2968,IPCA!$A$2:$C$140,3,0)))^(C2968/(EDATE(D2968-C2968,1)-(D2968-C2968))),8)</f>
        <v/>
      </c>
      <c r="G2968" s="44">
        <f>TRUNC((E2968*F2968),8)</f>
        <v/>
      </c>
      <c r="H2968" s="44">
        <f>ROUND(((1+$H$4)^(30/360))^(C2968/(EDATE(D2968-B2968,1)-(D2968-B2968))),9)</f>
        <v/>
      </c>
      <c r="I2968" s="44">
        <f>TRUNC((G2968*H2968-G2968),8)</f>
        <v/>
      </c>
      <c r="J2968" s="49">
        <f>G2968+I2968</f>
        <v/>
      </c>
      <c r="K2968" s="256" t="n"/>
      <c r="L2968" s="256" t="n"/>
      <c r="M2968" s="256" t="n"/>
      <c r="N2968" s="256" t="n"/>
      <c r="O2968" s="256" t="n"/>
      <c r="P2968" s="256" t="n"/>
      <c r="Q2968" s="256" t="n"/>
    </row>
    <row r="2969">
      <c r="A2969">
        <f>IF(DAY(D2969)=DAY($L$1+1),A2968+1,A2968)</f>
        <v/>
      </c>
      <c r="B2969" s="1">
        <f>IF(DAY(D2969)=DAY($L$1+1),1,B2968+1)</f>
        <v/>
      </c>
      <c r="C2969" s="1">
        <f>IF(DAY(D2969)=DAY($L$1+1),1,C2968+1)</f>
        <v/>
      </c>
      <c r="D2969" s="2">
        <f>D2968+1</f>
        <v/>
      </c>
      <c r="E2969" s="8">
        <f>IF(DAY(D2969)=DAY($L$1+1),TRUNC((N2968),8),E2968)</f>
        <v/>
      </c>
      <c r="F2969" s="49">
        <f>TRUNC(((1+VLOOKUP(A2969,IPCA!$A$2:$C$140,3,0)))^(C2969/(EDATE(D2969-C2969,1)-(D2969-C2969))),8)</f>
        <v/>
      </c>
      <c r="G2969" s="44">
        <f>TRUNC((E2969*F2969),8)</f>
        <v/>
      </c>
      <c r="H2969" s="44">
        <f>ROUND(((1+$H$4)^(30/360))^(C2969/(EDATE(D2969-B2969,1)-(D2969-B2969))),9)</f>
        <v/>
      </c>
      <c r="I2969" s="44">
        <f>TRUNC((G2969*H2969-G2969),8)</f>
        <v/>
      </c>
      <c r="J2969" s="49">
        <f>G2969+I2969</f>
        <v/>
      </c>
      <c r="K2969" s="256" t="n"/>
      <c r="L2969" s="256" t="n"/>
      <c r="M2969" s="256" t="n"/>
      <c r="N2969" s="256" t="n"/>
      <c r="O2969" s="256" t="n"/>
      <c r="P2969" s="256" t="n"/>
      <c r="Q2969" s="256" t="n"/>
    </row>
    <row r="2970">
      <c r="A2970">
        <f>IF(DAY(D2970)=DAY($L$1+1),A2969+1,A2969)</f>
        <v/>
      </c>
      <c r="B2970" s="46">
        <f>IF(DAY(D2970)=DAY($L$1+1),1,B2969+1)</f>
        <v/>
      </c>
      <c r="C2970" s="46">
        <f>IF(DAY(D2970)=DAY($L$1+1),1,C2969+1)</f>
        <v/>
      </c>
      <c r="D2970" s="2">
        <f>D2969+1</f>
        <v/>
      </c>
      <c r="E2970" s="8">
        <f>IF(DAY(D2970)=DAY($L$1+1),TRUNC((N2969),8),E2969)</f>
        <v/>
      </c>
      <c r="F2970" s="49">
        <f>TRUNC(((1+VLOOKUP(A2970,IPCA!$A$2:$C$140,3,0)))^(C2970/(EDATE(D2970-C2970,1)-(D2970-C2970))),8)</f>
        <v/>
      </c>
      <c r="G2970" s="49">
        <f>TRUNC((E2970*F2970),8)</f>
        <v/>
      </c>
      <c r="H2970" s="49">
        <f>ROUND(((1+$H$4)^(30/360))^(C2970/(EDATE(D2970-B2970,1)-(D2970-B2970))),9)</f>
        <v/>
      </c>
      <c r="I2970" s="49">
        <f>TRUNC((G2970*H2970-G2970),8)</f>
        <v/>
      </c>
      <c r="J2970" s="49">
        <f>G2970+I2970</f>
        <v/>
      </c>
      <c r="K2970" s="256" t="inlineStr">
        <is>
          <t>Cri Integralizado</t>
        </is>
      </c>
      <c r="L2970" s="270">
        <f>L2939</f>
        <v/>
      </c>
      <c r="M2970" s="256" t="n"/>
      <c r="N2970" s="256" t="n"/>
      <c r="O2970" s="256" t="n"/>
      <c r="P2970" s="256" t="n"/>
      <c r="Q2970" s="256" t="n"/>
    </row>
    <row r="2971">
      <c r="A2971">
        <f>IF(DAY(D2971)=DAY($L$1+1),A2970+1,A2970)</f>
        <v/>
      </c>
      <c r="B2971" s="46">
        <f>IF(DAY(D2971)=DAY($L$1+1),1,B2970+1)</f>
        <v/>
      </c>
      <c r="C2971" s="46">
        <f>IF(DAY(D2971)=DAY($L$1+1),1,C2970+1)</f>
        <v/>
      </c>
      <c r="D2971" s="47">
        <f>D2970+1</f>
        <v/>
      </c>
      <c r="E2971" s="8">
        <f>IF(DAY(D2971)=DAY($L$1+1),TRUNC((N2970),8),E2970)</f>
        <v/>
      </c>
      <c r="F2971" s="49">
        <f>TRUNC(((1+VLOOKUP(A2971,IPCA!$A$2:$C$140,3,0)))^(C2971/(EDATE(D2971-C2971,1)-(D2971-C2971))),8)</f>
        <v/>
      </c>
      <c r="G2971" s="49">
        <f>TRUNC((E2971*F2971),8)</f>
        <v/>
      </c>
      <c r="H2971" s="49">
        <f>ROUND(((1+$H$4)^(30/360))^(C2971/(EDATE(D2971-B2971,1)-(D2971-B2971))),9)</f>
        <v/>
      </c>
      <c r="I2971" s="49">
        <f>TRUNC((G2971*H2971-G2971),8)</f>
        <v/>
      </c>
      <c r="J2971" s="49">
        <f>G2971+I2971</f>
        <v/>
      </c>
      <c r="K2971" s="137" t="inlineStr">
        <is>
          <t>JUROS</t>
        </is>
      </c>
      <c r="L2971" s="118" t="inlineStr">
        <is>
          <t>AMORTIZAÇÃO</t>
        </is>
      </c>
      <c r="M2971" s="118" t="inlineStr">
        <is>
          <t>AMEX</t>
        </is>
      </c>
      <c r="N2971" s="118" t="inlineStr">
        <is>
          <t>RESIDUAL</t>
        </is>
      </c>
      <c r="O2971" s="256" t="n"/>
      <c r="P2971" s="256" t="n"/>
      <c r="Q2971" s="256" t="n"/>
    </row>
    <row r="2972">
      <c r="A2972">
        <f>IF(DAY(D2972)=DAY($L$1+1),A2971+1,A2971)</f>
        <v/>
      </c>
      <c r="B2972" s="111">
        <f>IF(DAY(D2972)=DAY($L$1+1),1,B2971+1)</f>
        <v/>
      </c>
      <c r="C2972" s="111">
        <f>IF(DAY(D2972)=DAY($L$1+1),1,C2971+1)</f>
        <v/>
      </c>
      <c r="D2972" s="112">
        <f>D2971+1</f>
        <v/>
      </c>
      <c r="E2972" s="113">
        <f>IF(DAY(D2972)=DAY($L$1+1),TRUNC((N2971),8),E2971)</f>
        <v/>
      </c>
      <c r="F2972" s="114">
        <f>TRUNC(((1+VLOOKUP(A2972,IPCA!$A$2:$C$140,3,0)))^(C2972/(EDATE(D2972-C2972,1)-(D2972-C2972))),8)</f>
        <v/>
      </c>
      <c r="G2972" s="114">
        <f>TRUNC((E2972*F2972),8)</f>
        <v/>
      </c>
      <c r="H2972" s="114">
        <f>ROUND(((1+$H$4)^(30/360))^(C2972/(EDATE(D2972-B2972,1)-(D2972-B2972))),9)</f>
        <v/>
      </c>
      <c r="I2972" s="114">
        <f>TRUNC((G2972*H2972-G2972),8)</f>
        <v/>
      </c>
      <c r="J2972" s="114">
        <f>G2972+I2972</f>
        <v/>
      </c>
      <c r="K2972" s="119">
        <f>I2972</f>
        <v/>
      </c>
      <c r="L2972" s="120">
        <f>TRUNC(G2972*VLOOKUP(D2972,'Amort TS'!$G$3:$H$140,2,0),8)</f>
        <v/>
      </c>
      <c r="M2972" s="120" t="n">
        <v>0</v>
      </c>
      <c r="N2972" s="120">
        <f>J2972-K2972-L2972-M2972</f>
        <v/>
      </c>
      <c r="O2972" s="256" t="n"/>
      <c r="P2972" s="256" t="n"/>
      <c r="Q2972" s="256" t="n"/>
    </row>
    <row r="2973">
      <c r="A2973">
        <f>IF(DAY(D2973)=DAY($L$1+1),A2972+1,A2972)</f>
        <v/>
      </c>
      <c r="B2973" s="46">
        <f>IF(DAY(D2973)=DAY($L$1+1),1,B2972+1)</f>
        <v/>
      </c>
      <c r="C2973" s="46">
        <f>IF(DAY(D2973)=DAY($L$1+1),1,C2972+1)</f>
        <v/>
      </c>
      <c r="D2973" s="2">
        <f>D2972+1</f>
        <v/>
      </c>
      <c r="E2973" s="8">
        <f>IF(DAY(D2973)=DAY($L$1+1),TRUNC((N2972),8),E2972)</f>
        <v/>
      </c>
      <c r="F2973" s="49">
        <f>TRUNC(((1+VLOOKUP(A2973,IPCA!$A$2:$C$140,3,0)))^(C2973/(EDATE(D2973-C2973,1)-(D2973-C2973))),8)</f>
        <v/>
      </c>
      <c r="G2973" s="49">
        <f>TRUNC((E2973*F2973),8)</f>
        <v/>
      </c>
      <c r="H2973" s="49">
        <f>ROUND(((1+$H$4)^(30/360))^(C2973/(EDATE(D2973-B2973,1)-(D2973-B2973))),9)</f>
        <v/>
      </c>
      <c r="I2973" s="49">
        <f>TRUNC((G2973*H2973-G2973),8)</f>
        <v/>
      </c>
      <c r="J2973" s="49">
        <f>G2973+I2973</f>
        <v/>
      </c>
      <c r="K2973" s="121">
        <f>K2972*L2970</f>
        <v/>
      </c>
      <c r="L2973" s="121">
        <f>L2972*L2970</f>
        <v/>
      </c>
      <c r="M2973" s="121">
        <f>M2972*L2970</f>
        <v/>
      </c>
      <c r="N2973" s="121">
        <f>N2972*L2970</f>
        <v/>
      </c>
      <c r="O2973" s="256" t="n"/>
      <c r="P2973" s="256" t="n"/>
      <c r="Q2973" s="256" t="n"/>
    </row>
    <row r="2974">
      <c r="A2974">
        <f>IF(DAY(D2974)=DAY($L$1+1),A2973+1,A2973)</f>
        <v/>
      </c>
      <c r="B2974" s="46">
        <f>IF(DAY(D2974)=DAY($L$1+1),1,B2973+1)</f>
        <v/>
      </c>
      <c r="C2974" s="46">
        <f>IF(DAY(D2974)=DAY($L$1+1),1,C2973+1)</f>
        <v/>
      </c>
      <c r="D2974" s="47">
        <f>D2973+1</f>
        <v/>
      </c>
      <c r="E2974" s="8">
        <f>IF(DAY(D2974)=DAY($L$1+1),TRUNC((N2973),8),E2973)</f>
        <v/>
      </c>
      <c r="F2974" s="49">
        <f>TRUNC(((1+VLOOKUP(A2974,IPCA!$A$2:$C$140,3,0)))^(C2974/(EDATE(D2974-C2974,1)-(D2974-C2974))),8)</f>
        <v/>
      </c>
      <c r="G2974" s="49">
        <f>TRUNC((E2974*F2974),8)</f>
        <v/>
      </c>
      <c r="H2974" s="49">
        <f>ROUND(((1+$H$4)^(30/360))^(C2974/(EDATE(D2974-B2974,1)-(D2974-B2974))),9)</f>
        <v/>
      </c>
      <c r="I2974" s="49">
        <f>TRUNC((G2974*H2974-G2974),8)</f>
        <v/>
      </c>
      <c r="J2974" s="49">
        <f>G2974+I2974</f>
        <v/>
      </c>
      <c r="K2974" s="256" t="n"/>
      <c r="L2974" s="256" t="n"/>
      <c r="M2974" s="256" t="n"/>
      <c r="N2974" s="256" t="n"/>
      <c r="O2974" s="256" t="n"/>
      <c r="P2974" s="256" t="n"/>
      <c r="Q2974" s="256" t="n"/>
    </row>
    <row r="2975">
      <c r="A2975">
        <f>IF(DAY(D2975)=DAY($L$1+1),A2974+1,A2974)</f>
        <v/>
      </c>
      <c r="B2975" s="1">
        <f>IF(DAY(D2975)=DAY($L$1+1),1,B2974+1)</f>
        <v/>
      </c>
      <c r="C2975" s="1">
        <f>IF(DAY(D2975)=DAY($L$1+1),1,C2974+1)</f>
        <v/>
      </c>
      <c r="D2975" s="2">
        <f>D2974+1</f>
        <v/>
      </c>
      <c r="E2975" s="8">
        <f>IF(DAY(D2975)=DAY($L$1+1),TRUNC((#REF!),8),E2974)</f>
        <v/>
      </c>
      <c r="F2975" s="49">
        <f>TRUNC(((1+VLOOKUP(A2975,IPCA!$A$2:$C$140,3,0)))^(C2975/(EDATE(D2975-C2975,1)-(D2975-C2975))),8)</f>
        <v/>
      </c>
      <c r="G2975" s="44">
        <f>TRUNC((E2975*F2975),8)</f>
        <v/>
      </c>
      <c r="H2975" s="44">
        <f>ROUND(((1+$H$4)^(30/360))^(C2975/(EDATE(D2975-B2975,1)-(D2975-B2975))),9)</f>
        <v/>
      </c>
      <c r="I2975" s="44">
        <f>TRUNC((G2975*H2975-G2975),8)</f>
        <v/>
      </c>
      <c r="J2975" s="49">
        <f>G2975+I2975</f>
        <v/>
      </c>
      <c r="K2975" s="256" t="n"/>
      <c r="L2975" s="256" t="n"/>
      <c r="M2975" s="256" t="n"/>
      <c r="N2975" s="256" t="n"/>
      <c r="O2975" s="256" t="n"/>
      <c r="P2975" s="256" t="n"/>
      <c r="Q2975" s="256" t="n"/>
    </row>
    <row r="2976">
      <c r="A2976">
        <f>IF(DAY(D2976)=DAY($L$1+1),A2975+1,A2975)</f>
        <v/>
      </c>
      <c r="B2976" s="46">
        <f>IF(DAY(D2976)=DAY($L$1+1),1,B2975+1)</f>
        <v/>
      </c>
      <c r="C2976" s="46">
        <f>IF(DAY(D2976)=DAY($L$1+1),1,C2975+1)</f>
        <v/>
      </c>
      <c r="D2976" s="2">
        <f>D2975+1</f>
        <v/>
      </c>
      <c r="E2976" s="8">
        <f>IF(DAY(D2976)=DAY($L$1+1),TRUNC((#REF!),8),E2975)</f>
        <v/>
      </c>
      <c r="F2976" s="49">
        <f>TRUNC(((1+VLOOKUP(A2976,IPCA!$A$2:$C$140,3,0)))^(C2976/(EDATE(D2976-C2976,1)-(D2976-C2976))),8)</f>
        <v/>
      </c>
      <c r="G2976" s="44">
        <f>TRUNC((E2976*F2976),8)</f>
        <v/>
      </c>
      <c r="H2976" s="44">
        <f>ROUND(((1+$H$4)^(30/360))^(C2976/(EDATE(D2976-B2976,1)-(D2976-B2976))),9)</f>
        <v/>
      </c>
      <c r="I2976" s="44">
        <f>TRUNC((G2976*H2976-G2976),8)</f>
        <v/>
      </c>
      <c r="J2976" s="49">
        <f>G2976+I2976</f>
        <v/>
      </c>
      <c r="K2976" s="256" t="n"/>
      <c r="L2976" s="256" t="n"/>
      <c r="M2976" s="256" t="n"/>
      <c r="N2976" s="256" t="n"/>
      <c r="O2976" s="256" t="n"/>
      <c r="P2976" s="256" t="n"/>
      <c r="Q2976" s="256" t="n"/>
    </row>
    <row r="2977">
      <c r="A2977">
        <f>IF(DAY(D2977)=DAY($L$1+1),A2976+1,A2976)</f>
        <v/>
      </c>
      <c r="B2977" s="1">
        <f>IF(DAY(D2977)=DAY($L$1+1),1,B2976+1)</f>
        <v/>
      </c>
      <c r="C2977" s="1">
        <f>IF(DAY(D2977)=DAY($L$1+1),1,C2976+1)</f>
        <v/>
      </c>
      <c r="D2977" s="2">
        <f>D2976+1</f>
        <v/>
      </c>
      <c r="E2977" s="8">
        <f>IF(DAY(D2977)=DAY($L$1+1),TRUNC((#REF!),8),E2976)</f>
        <v/>
      </c>
      <c r="F2977" s="49">
        <f>TRUNC(((1+VLOOKUP(A2977,IPCA!$A$2:$C$140,3,0)))^(C2977/(EDATE(D2977-C2977,1)-(D2977-C2977))),8)</f>
        <v/>
      </c>
      <c r="G2977" s="44">
        <f>TRUNC((E2977*F2977),8)</f>
        <v/>
      </c>
      <c r="H2977" s="44">
        <f>ROUND(((1+$H$4)^(30/360))^(C2977/(EDATE(D2977-B2977,1)-(D2977-B2977))),9)</f>
        <v/>
      </c>
      <c r="I2977" s="44">
        <f>TRUNC((G2977*H2977-G2977),8)</f>
        <v/>
      </c>
      <c r="J2977" s="49">
        <f>G2977+I2977</f>
        <v/>
      </c>
      <c r="K2977" s="256" t="n"/>
      <c r="L2977" s="256" t="n"/>
      <c r="M2977" s="256" t="n"/>
      <c r="N2977" s="256" t="n"/>
      <c r="O2977" s="256" t="n"/>
      <c r="P2977" s="256" t="n"/>
      <c r="Q2977" s="256" t="n"/>
    </row>
    <row r="2978">
      <c r="A2978">
        <f>IF(DAY(D2978)=DAY($L$1+1),A2977+1,A2977)</f>
        <v/>
      </c>
      <c r="B2978" s="46">
        <f>IF(DAY(D2978)=DAY($L$1+1),1,B2977+1)</f>
        <v/>
      </c>
      <c r="C2978" s="46">
        <f>IF(DAY(D2978)=DAY($L$1+1),1,C2977+1)</f>
        <v/>
      </c>
      <c r="D2978" s="2">
        <f>D2977+1</f>
        <v/>
      </c>
      <c r="E2978" s="8">
        <f>IF(DAY(D2978)=DAY($L$1+1),TRUNC((#REF!),8),E2977)</f>
        <v/>
      </c>
      <c r="F2978" s="49">
        <f>TRUNC(((1+VLOOKUP(A2978,IPCA!$A$2:$C$140,3,0)))^(C2978/(EDATE(D2978-C2978,1)-(D2978-C2978))),8)</f>
        <v/>
      </c>
      <c r="G2978" s="44">
        <f>TRUNC((E2978*F2978),8)</f>
        <v/>
      </c>
      <c r="H2978" s="44">
        <f>ROUND(((1+$H$4)^(30/360))^(C2978/(EDATE(D2978-B2978,1)-(D2978-B2978))),9)</f>
        <v/>
      </c>
      <c r="I2978" s="44">
        <f>TRUNC((G2978*H2978-G2978),8)</f>
        <v/>
      </c>
      <c r="J2978" s="49">
        <f>G2978+I2978</f>
        <v/>
      </c>
      <c r="K2978" s="256" t="n"/>
      <c r="L2978" s="256" t="n"/>
      <c r="M2978" s="256" t="n"/>
      <c r="N2978" s="256" t="n"/>
      <c r="O2978" s="256" t="n"/>
      <c r="P2978" s="256" t="n"/>
      <c r="Q2978" s="256" t="n"/>
    </row>
    <row r="2979">
      <c r="A2979">
        <f>IF(DAY(D2979)=DAY($L$1+1),A2978+1,A2978)</f>
        <v/>
      </c>
      <c r="B2979" s="1">
        <f>IF(DAY(D2979)=DAY($L$1+1),1,B2978+1)</f>
        <v/>
      </c>
      <c r="C2979" s="1">
        <f>IF(DAY(D2979)=DAY($L$1+1),1,C2978+1)</f>
        <v/>
      </c>
      <c r="D2979" s="2">
        <f>D2978+1</f>
        <v/>
      </c>
      <c r="E2979" s="8">
        <f>IF(DAY(D2979)=DAY($L$1+1),TRUNC((#REF!),8),E2978)</f>
        <v/>
      </c>
      <c r="F2979" s="49">
        <f>TRUNC(((1+VLOOKUP(A2979,IPCA!$A$2:$C$140,3,0)))^(C2979/(EDATE(D2979-C2979,1)-(D2979-C2979))),8)</f>
        <v/>
      </c>
      <c r="G2979" s="44">
        <f>TRUNC((E2979*F2979),8)</f>
        <v/>
      </c>
      <c r="H2979" s="44">
        <f>ROUND(((1+$H$4)^(30/360))^(C2979/(EDATE(D2979-B2979,1)-(D2979-B2979))),9)</f>
        <v/>
      </c>
      <c r="I2979" s="44">
        <f>TRUNC((G2979*H2979-G2979),8)</f>
        <v/>
      </c>
      <c r="J2979" s="49">
        <f>G2979+I2979</f>
        <v/>
      </c>
      <c r="K2979" s="256" t="n"/>
      <c r="L2979" s="256" t="n"/>
      <c r="M2979" s="256" t="n"/>
      <c r="N2979" s="256" t="n"/>
      <c r="O2979" s="256" t="n"/>
      <c r="P2979" s="256" t="n"/>
      <c r="Q2979" s="256" t="n"/>
    </row>
    <row r="2980">
      <c r="A2980">
        <f>IF(DAY(D2980)=DAY($L$1+1),A2979+1,A2979)</f>
        <v/>
      </c>
      <c r="B2980" s="46">
        <f>IF(DAY(D2980)=DAY($L$1+1),1,B2979+1)</f>
        <v/>
      </c>
      <c r="C2980" s="46">
        <f>IF(DAY(D2980)=DAY($L$1+1),1,C2979+1)</f>
        <v/>
      </c>
      <c r="D2980" s="2">
        <f>D2979+1</f>
        <v/>
      </c>
      <c r="E2980" s="8">
        <f>IF(DAY(D2980)=DAY($L$1+1),TRUNC((#REF!),8),E2979)</f>
        <v/>
      </c>
      <c r="F2980" s="49">
        <f>TRUNC(((1+VLOOKUP(A2980,IPCA!$A$2:$C$140,3,0)))^(C2980/(EDATE(D2980-C2980,1)-(D2980-C2980))),8)</f>
        <v/>
      </c>
      <c r="G2980" s="44">
        <f>TRUNC((E2980*F2980),8)</f>
        <v/>
      </c>
      <c r="H2980" s="44">
        <f>ROUND(((1+$H$4)^(30/360))^(C2980/(EDATE(D2980-B2980,1)-(D2980-B2980))),9)</f>
        <v/>
      </c>
      <c r="I2980" s="44">
        <f>TRUNC((G2980*H2980-G2980),8)</f>
        <v/>
      </c>
      <c r="J2980" s="49">
        <f>G2980+I2980</f>
        <v/>
      </c>
      <c r="K2980" s="256" t="n"/>
      <c r="L2980" s="256" t="n"/>
      <c r="M2980" s="256" t="n"/>
      <c r="N2980" s="256" t="n"/>
      <c r="O2980" s="256" t="n"/>
      <c r="P2980" s="256" t="n"/>
      <c r="Q2980" s="256" t="n"/>
    </row>
    <row r="2981">
      <c r="A2981">
        <f>IF(DAY(D2981)=DAY($L$1+1),A2980+1,A2980)</f>
        <v/>
      </c>
      <c r="B2981" s="1">
        <f>IF(DAY(D2981)=DAY($L$1+1),1,B2980+1)</f>
        <v/>
      </c>
      <c r="C2981" s="1">
        <f>IF(DAY(D2981)=DAY($L$1+1),1,C2980+1)</f>
        <v/>
      </c>
      <c r="D2981" s="2">
        <f>D2980+1</f>
        <v/>
      </c>
      <c r="E2981" s="8">
        <f>IF(DAY(D2981)=DAY($L$1+1),TRUNC((#REF!),8),E2980)</f>
        <v/>
      </c>
      <c r="F2981" s="49">
        <f>TRUNC(((1+VLOOKUP(A2981,IPCA!$A$2:$C$140,3,0)))^(C2981/(EDATE(D2981-C2981,1)-(D2981-C2981))),8)</f>
        <v/>
      </c>
      <c r="G2981" s="44">
        <f>TRUNC((E2981*F2981),8)</f>
        <v/>
      </c>
      <c r="H2981" s="44">
        <f>ROUND(((1+$H$4)^(30/360))^(C2981/(EDATE(D2981-B2981,1)-(D2981-B2981))),9)</f>
        <v/>
      </c>
      <c r="I2981" s="44">
        <f>TRUNC((G2981*H2981-G2981),8)</f>
        <v/>
      </c>
      <c r="J2981" s="49">
        <f>G2981+I2981</f>
        <v/>
      </c>
      <c r="K2981" s="256" t="n"/>
      <c r="L2981" s="256" t="n"/>
      <c r="M2981" s="256" t="n"/>
      <c r="N2981" s="256" t="n"/>
      <c r="O2981" s="256" t="n"/>
      <c r="P2981" s="256" t="n"/>
      <c r="Q2981" s="256" t="n"/>
    </row>
    <row r="2982">
      <c r="A2982">
        <f>IF(DAY(D2982)=DAY($L$1+1),A2981+1,A2981)</f>
        <v/>
      </c>
      <c r="B2982" s="46">
        <f>IF(DAY(D2982)=DAY($L$1+1),1,B2981+1)</f>
        <v/>
      </c>
      <c r="C2982" s="46">
        <f>IF(DAY(D2982)=DAY($L$1+1),1,C2981+1)</f>
        <v/>
      </c>
      <c r="D2982" s="2">
        <f>D2981+1</f>
        <v/>
      </c>
      <c r="E2982" s="8">
        <f>IF(DAY(D2982)=DAY($L$1+1),TRUNC((#REF!),8),E2981)</f>
        <v/>
      </c>
      <c r="F2982" s="49">
        <f>TRUNC(((1+VLOOKUP(A2982,IPCA!$A$2:$C$140,3,0)))^(C2982/(EDATE(D2982-C2982,1)-(D2982-C2982))),8)</f>
        <v/>
      </c>
      <c r="G2982" s="44">
        <f>TRUNC((E2982*F2982),8)</f>
        <v/>
      </c>
      <c r="H2982" s="44">
        <f>ROUND(((1+$H$4)^(30/360))^(C2982/(EDATE(D2982-B2982,1)-(D2982-B2982))),9)</f>
        <v/>
      </c>
      <c r="I2982" s="44">
        <f>TRUNC((G2982*H2982-G2982),8)</f>
        <v/>
      </c>
      <c r="J2982" s="49">
        <f>G2982+I2982</f>
        <v/>
      </c>
      <c r="K2982" s="256" t="n"/>
      <c r="L2982" s="256" t="n"/>
      <c r="M2982" s="256" t="n"/>
      <c r="N2982" s="256" t="n"/>
      <c r="O2982" s="256" t="n"/>
      <c r="P2982" s="256" t="n"/>
      <c r="Q2982" s="256" t="n"/>
    </row>
    <row r="2983">
      <c r="A2983">
        <f>IF(DAY(D2983)=DAY($L$1+1),A2982+1,A2982)</f>
        <v/>
      </c>
      <c r="B2983" s="1">
        <f>IF(DAY(D2983)=DAY($L$1+1),1,B2982+1)</f>
        <v/>
      </c>
      <c r="C2983" s="1">
        <f>IF(DAY(D2983)=DAY($L$1+1),1,C2982+1)</f>
        <v/>
      </c>
      <c r="D2983" s="2">
        <f>D2982+1</f>
        <v/>
      </c>
      <c r="E2983" s="8">
        <f>IF(DAY(D2983)=DAY($L$1+1),TRUNC((#REF!),8),E2982)</f>
        <v/>
      </c>
      <c r="F2983" s="49">
        <f>TRUNC(((1+VLOOKUP(A2983,IPCA!$A$2:$C$140,3,0)))^(C2983/(EDATE(D2983-C2983,1)-(D2983-C2983))),8)</f>
        <v/>
      </c>
      <c r="G2983" s="44">
        <f>TRUNC((E2983*F2983),8)</f>
        <v/>
      </c>
      <c r="H2983" s="44">
        <f>ROUND(((1+$H$4)^(30/360))^(C2983/(EDATE(D2983-B2983,1)-(D2983-B2983))),9)</f>
        <v/>
      </c>
      <c r="I2983" s="44">
        <f>TRUNC((G2983*H2983-G2983),8)</f>
        <v/>
      </c>
      <c r="J2983" s="49">
        <f>G2983+I2983</f>
        <v/>
      </c>
      <c r="K2983" s="256" t="n"/>
      <c r="L2983" s="256" t="n"/>
      <c r="M2983" s="256" t="n"/>
      <c r="N2983" s="256" t="n"/>
      <c r="O2983" s="256" t="n"/>
      <c r="P2983" s="256" t="n"/>
      <c r="Q2983" s="256" t="n"/>
    </row>
    <row r="2984">
      <c r="A2984">
        <f>IF(DAY(D2984)=DAY($L$1+1),A2983+1,A2983)</f>
        <v/>
      </c>
      <c r="B2984" s="46">
        <f>IF(DAY(D2984)=DAY($L$1+1),1,B2983+1)</f>
        <v/>
      </c>
      <c r="C2984" s="46">
        <f>IF(DAY(D2984)=DAY($L$1+1),1,C2983+1)</f>
        <v/>
      </c>
      <c r="D2984" s="2">
        <f>D2983+1</f>
        <v/>
      </c>
      <c r="E2984" s="8">
        <f>IF(DAY(D2984)=DAY($L$1+1),TRUNC((#REF!),8),E2983)</f>
        <v/>
      </c>
      <c r="F2984" s="49">
        <f>TRUNC(((1+VLOOKUP(A2984,IPCA!$A$2:$C$140,3,0)))^(C2984/(EDATE(D2984-C2984,1)-(D2984-C2984))),8)</f>
        <v/>
      </c>
      <c r="G2984" s="44">
        <f>TRUNC((E2984*F2984),8)</f>
        <v/>
      </c>
      <c r="H2984" s="44">
        <f>ROUND(((1+$H$4)^(30/360))^(C2984/(EDATE(D2984-B2984,1)-(D2984-B2984))),9)</f>
        <v/>
      </c>
      <c r="I2984" s="44">
        <f>TRUNC((G2984*H2984-G2984),8)</f>
        <v/>
      </c>
      <c r="J2984" s="49">
        <f>G2984+I2984</f>
        <v/>
      </c>
      <c r="K2984" s="256" t="n"/>
      <c r="L2984" s="256" t="n"/>
      <c r="M2984" s="256" t="n"/>
      <c r="N2984" s="256" t="n"/>
      <c r="O2984" s="256" t="n"/>
      <c r="P2984" s="256" t="n"/>
      <c r="Q2984" s="256" t="n"/>
    </row>
    <row r="2985">
      <c r="A2985">
        <f>IF(DAY(D2985)=DAY($L$1+1),A2984+1,A2984)</f>
        <v/>
      </c>
      <c r="B2985" s="1">
        <f>IF(DAY(D2985)=DAY($L$1+1),1,B2984+1)</f>
        <v/>
      </c>
      <c r="C2985" s="1">
        <f>IF(DAY(D2985)=DAY($L$1+1),1,C2984+1)</f>
        <v/>
      </c>
      <c r="D2985" s="2">
        <f>D2984+1</f>
        <v/>
      </c>
      <c r="E2985" s="8">
        <f>IF(DAY(D2985)=DAY($L$1+1),TRUNC((#REF!),8),E2984)</f>
        <v/>
      </c>
      <c r="F2985" s="49">
        <f>TRUNC(((1+VLOOKUP(A2985,IPCA!$A$2:$C$140,3,0)))^(C2985/(EDATE(D2985-C2985,1)-(D2985-C2985))),8)</f>
        <v/>
      </c>
      <c r="G2985" s="44">
        <f>TRUNC((E2985*F2985),8)</f>
        <v/>
      </c>
      <c r="H2985" s="44">
        <f>ROUND(((1+$H$4)^(30/360))^(C2985/(EDATE(D2985-B2985,1)-(D2985-B2985))),9)</f>
        <v/>
      </c>
      <c r="I2985" s="44">
        <f>TRUNC((G2985*H2985-G2985),8)</f>
        <v/>
      </c>
      <c r="J2985" s="49">
        <f>G2985+I2985</f>
        <v/>
      </c>
      <c r="K2985" s="256" t="n"/>
      <c r="L2985" s="256" t="n"/>
      <c r="M2985" s="256" t="n"/>
      <c r="N2985" s="256" t="n"/>
      <c r="O2985" s="256" t="n"/>
      <c r="P2985" s="256" t="n"/>
      <c r="Q2985" s="256" t="n"/>
    </row>
    <row r="2986">
      <c r="A2986">
        <f>IF(DAY(D2986)=DAY($L$1+1),A2985+1,A2985)</f>
        <v/>
      </c>
      <c r="B2986" s="46">
        <f>IF(DAY(D2986)=DAY($L$1+1),1,B2985+1)</f>
        <v/>
      </c>
      <c r="C2986" s="46">
        <f>IF(DAY(D2986)=DAY($L$1+1),1,C2985+1)</f>
        <v/>
      </c>
      <c r="D2986" s="2">
        <f>D2985+1</f>
        <v/>
      </c>
      <c r="E2986" s="8">
        <f>IF(DAY(D2986)=DAY($L$1+1),TRUNC((#REF!),8),E2985)</f>
        <v/>
      </c>
      <c r="F2986" s="49">
        <f>TRUNC(((1+VLOOKUP(A2986,IPCA!$A$2:$C$140,3,0)))^(C2986/(EDATE(D2986-C2986,1)-(D2986-C2986))),8)</f>
        <v/>
      </c>
      <c r="G2986" s="44">
        <f>TRUNC((E2986*F2986),8)</f>
        <v/>
      </c>
      <c r="H2986" s="44">
        <f>ROUND(((1+$H$4)^(30/360))^(C2986/(EDATE(D2986-B2986,1)-(D2986-B2986))),9)</f>
        <v/>
      </c>
      <c r="I2986" s="44">
        <f>TRUNC((G2986*H2986-G2986),8)</f>
        <v/>
      </c>
      <c r="J2986" s="49">
        <f>G2986+I2986</f>
        <v/>
      </c>
      <c r="K2986" s="256" t="n"/>
      <c r="L2986" s="256" t="n"/>
      <c r="M2986" s="256" t="n"/>
      <c r="N2986" s="256" t="n"/>
      <c r="O2986" s="256" t="n"/>
      <c r="P2986" s="256" t="n"/>
      <c r="Q2986" s="256" t="n"/>
    </row>
    <row r="2987">
      <c r="A2987">
        <f>IF(DAY(D2987)=DAY($L$1+1),A2986+1,A2986)</f>
        <v/>
      </c>
      <c r="B2987" s="1">
        <f>IF(DAY(D2987)=DAY($L$1+1),1,B2986+1)</f>
        <v/>
      </c>
      <c r="C2987" s="1">
        <f>IF(DAY(D2987)=DAY($L$1+1),1,C2986+1)</f>
        <v/>
      </c>
      <c r="D2987" s="2">
        <f>D2986+1</f>
        <v/>
      </c>
      <c r="E2987" s="8">
        <f>IF(DAY(D2987)=DAY($L$1+1),TRUNC((#REF!),8),E2986)</f>
        <v/>
      </c>
      <c r="F2987" s="49">
        <f>TRUNC(((1+VLOOKUP(A2987,IPCA!$A$2:$C$140,3,0)))^(C2987/(EDATE(D2987-C2987,1)-(D2987-C2987))),8)</f>
        <v/>
      </c>
      <c r="G2987" s="44">
        <f>TRUNC((E2987*F2987),8)</f>
        <v/>
      </c>
      <c r="H2987" s="44">
        <f>ROUND(((1+$H$4)^(30/360))^(C2987/(EDATE(D2987-B2987,1)-(D2987-B2987))),9)</f>
        <v/>
      </c>
      <c r="I2987" s="44">
        <f>TRUNC((G2987*H2987-G2987),8)</f>
        <v/>
      </c>
      <c r="J2987" s="49">
        <f>G2987+I2987</f>
        <v/>
      </c>
      <c r="K2987" s="256" t="n"/>
      <c r="L2987" s="256" t="n"/>
      <c r="M2987" s="256" t="n"/>
      <c r="N2987" s="256" t="n"/>
      <c r="O2987" s="256" t="n"/>
      <c r="P2987" s="256" t="n"/>
      <c r="Q2987" s="256" t="n"/>
    </row>
    <row r="2988">
      <c r="A2988">
        <f>IF(DAY(D2988)=DAY($L$1+1),A2987+1,A2987)</f>
        <v/>
      </c>
      <c r="B2988" s="46">
        <f>IF(DAY(D2988)=DAY($L$1+1),1,B2987+1)</f>
        <v/>
      </c>
      <c r="C2988" s="46">
        <f>IF(DAY(D2988)=DAY($L$1+1),1,C2987+1)</f>
        <v/>
      </c>
      <c r="D2988" s="2">
        <f>D2987+1</f>
        <v/>
      </c>
      <c r="E2988" s="8">
        <f>IF(DAY(D2988)=DAY($L$1+1),TRUNC((#REF!),8),E2987)</f>
        <v/>
      </c>
      <c r="F2988" s="49">
        <f>TRUNC(((1+VLOOKUP(A2988,IPCA!$A$2:$C$140,3,0)))^(C2988/(EDATE(D2988-C2988,1)-(D2988-C2988))),8)</f>
        <v/>
      </c>
      <c r="G2988" s="44">
        <f>TRUNC((E2988*F2988),8)</f>
        <v/>
      </c>
      <c r="H2988" s="44">
        <f>ROUND(((1+$H$4)^(30/360))^(C2988/(EDATE(D2988-B2988,1)-(D2988-B2988))),9)</f>
        <v/>
      </c>
      <c r="I2988" s="44">
        <f>TRUNC((G2988*H2988-G2988),8)</f>
        <v/>
      </c>
      <c r="J2988" s="49">
        <f>G2988+I2988</f>
        <v/>
      </c>
      <c r="K2988" s="256" t="n"/>
      <c r="L2988" s="256" t="n"/>
      <c r="M2988" s="256" t="n"/>
      <c r="N2988" s="256" t="n"/>
      <c r="O2988" s="256" t="n"/>
      <c r="P2988" s="256" t="n"/>
      <c r="Q2988" s="256" t="n"/>
    </row>
    <row r="2989">
      <c r="A2989">
        <f>IF(DAY(D2989)=DAY($L$1+1),A2988+1,A2988)</f>
        <v/>
      </c>
      <c r="B2989" s="1">
        <f>IF(DAY(D2989)=DAY($L$1+1),1,B2988+1)</f>
        <v/>
      </c>
      <c r="C2989" s="1">
        <f>IF(DAY(D2989)=DAY($L$1+1),1,C2988+1)</f>
        <v/>
      </c>
      <c r="D2989" s="2">
        <f>D2988+1</f>
        <v/>
      </c>
      <c r="E2989" s="8">
        <f>IF(DAY(D2989)=DAY($L$1+1),TRUNC((#REF!),8),E2988)</f>
        <v/>
      </c>
      <c r="F2989" s="49">
        <f>TRUNC(((1+VLOOKUP(A2989,IPCA!$A$2:$C$140,3,0)))^(C2989/(EDATE(D2989-C2989,1)-(D2989-C2989))),8)</f>
        <v/>
      </c>
      <c r="G2989" s="44">
        <f>TRUNC((E2989*F2989),8)</f>
        <v/>
      </c>
      <c r="H2989" s="44">
        <f>ROUND(((1+$H$4)^(30/360))^(C2989/(EDATE(D2989-B2989,1)-(D2989-B2989))),9)</f>
        <v/>
      </c>
      <c r="I2989" s="44">
        <f>TRUNC((G2989*H2989-G2989),8)</f>
        <v/>
      </c>
      <c r="J2989" s="49">
        <f>G2989+I2989</f>
        <v/>
      </c>
      <c r="K2989" s="256" t="n"/>
      <c r="L2989" s="256" t="n"/>
      <c r="M2989" s="256" t="n"/>
      <c r="N2989" s="256" t="n"/>
      <c r="O2989" s="256" t="n"/>
      <c r="P2989" s="256" t="n"/>
      <c r="Q2989" s="256" t="n"/>
    </row>
    <row r="2990">
      <c r="A2990">
        <f>IF(DAY(D2990)=DAY($L$1+1),A2989+1,A2989)</f>
        <v/>
      </c>
      <c r="B2990" s="46">
        <f>IF(DAY(D2990)=DAY($L$1+1),1,B2989+1)</f>
        <v/>
      </c>
      <c r="C2990" s="46">
        <f>IF(DAY(D2990)=DAY($L$1+1),1,C2989+1)</f>
        <v/>
      </c>
      <c r="D2990" s="2">
        <f>D2989+1</f>
        <v/>
      </c>
      <c r="E2990" s="8">
        <f>IF(DAY(D2990)=DAY($L$1+1),TRUNC((#REF!),8),E2989)</f>
        <v/>
      </c>
      <c r="F2990" s="49">
        <f>TRUNC(((1+VLOOKUP(A2990,IPCA!$A$2:$C$140,3,0)))^(C2990/(EDATE(D2990-C2990,1)-(D2990-C2990))),8)</f>
        <v/>
      </c>
      <c r="G2990" s="44">
        <f>TRUNC((E2990*F2990),8)</f>
        <v/>
      </c>
      <c r="H2990" s="44">
        <f>ROUND(((1+$H$4)^(30/360))^(C2990/(EDATE(D2990-B2990,1)-(D2990-B2990))),9)</f>
        <v/>
      </c>
      <c r="I2990" s="44">
        <f>TRUNC((G2990*H2990-G2990),8)</f>
        <v/>
      </c>
      <c r="J2990" s="49">
        <f>G2990+I2990</f>
        <v/>
      </c>
      <c r="K2990" s="256" t="n"/>
      <c r="L2990" s="256" t="n"/>
      <c r="M2990" s="256" t="n"/>
      <c r="N2990" s="256" t="n"/>
      <c r="O2990" s="256" t="n"/>
      <c r="P2990" s="256" t="n"/>
      <c r="Q2990" s="256" t="n"/>
    </row>
    <row r="2991">
      <c r="A2991">
        <f>IF(DAY(D2991)=DAY($L$1+1),A2990+1,A2990)</f>
        <v/>
      </c>
      <c r="B2991" s="1">
        <f>IF(DAY(D2991)=DAY($L$1+1),1,B2990+1)</f>
        <v/>
      </c>
      <c r="C2991" s="1">
        <f>IF(DAY(D2991)=DAY($L$1+1),1,C2990+1)</f>
        <v/>
      </c>
      <c r="D2991" s="2">
        <f>D2990+1</f>
        <v/>
      </c>
      <c r="E2991" s="8">
        <f>IF(DAY(D2991)=DAY($L$1+1),TRUNC((N2990),8),E2990)</f>
        <v/>
      </c>
      <c r="F2991" s="49">
        <f>TRUNC(((1+VLOOKUP(A2991,IPCA!$A$2:$C$140,3,0)))^(C2991/(EDATE(D2991-C2991,1)-(D2991-C2991))),8)</f>
        <v/>
      </c>
      <c r="G2991" s="44">
        <f>TRUNC((E2991*F2991),8)</f>
        <v/>
      </c>
      <c r="H2991" s="44">
        <f>ROUND(((1+$H$4)^(30/360))^(C2991/(EDATE(D2991-B2991,1)-(D2991-B2991))),9)</f>
        <v/>
      </c>
      <c r="I2991" s="44">
        <f>TRUNC((G2991*H2991-G2991),8)</f>
        <v/>
      </c>
      <c r="J2991" s="49">
        <f>G2991+I2991</f>
        <v/>
      </c>
      <c r="K2991" s="256" t="n"/>
      <c r="L2991" s="256" t="n"/>
      <c r="M2991" s="256" t="n"/>
      <c r="N2991" s="256" t="n"/>
      <c r="O2991" s="256" t="n"/>
      <c r="P2991" s="256" t="n"/>
      <c r="Q2991" s="256" t="n"/>
    </row>
    <row r="2992">
      <c r="A2992">
        <f>IF(DAY(D2992)=DAY($L$1+1),A2991+1,A2991)</f>
        <v/>
      </c>
      <c r="B2992" s="46">
        <f>IF(DAY(D2992)=DAY($L$1+1),1,B2991+1)</f>
        <v/>
      </c>
      <c r="C2992" s="46">
        <f>IF(DAY(D2992)=DAY($L$1+1),1,C2991+1)</f>
        <v/>
      </c>
      <c r="D2992" s="2">
        <f>D2991+1</f>
        <v/>
      </c>
      <c r="E2992" s="8">
        <f>IF(DAY(D2992)=DAY($L$1+1),TRUNC((N2991),8),E2991)</f>
        <v/>
      </c>
      <c r="F2992" s="49">
        <f>TRUNC(((1+VLOOKUP(A2992,IPCA!$A$2:$C$140,3,0)))^(C2992/(EDATE(D2992-C2992,1)-(D2992-C2992))),8)</f>
        <v/>
      </c>
      <c r="G2992" s="44">
        <f>TRUNC((E2992*F2992),8)</f>
        <v/>
      </c>
      <c r="H2992" s="44">
        <f>ROUND(((1+$H$4)^(30/360))^(C2992/(EDATE(D2992-B2992,1)-(D2992-B2992))),9)</f>
        <v/>
      </c>
      <c r="I2992" s="44">
        <f>TRUNC((G2992*H2992-G2992),8)</f>
        <v/>
      </c>
      <c r="J2992" s="49">
        <f>G2992+I2992</f>
        <v/>
      </c>
      <c r="K2992" s="256" t="n"/>
      <c r="L2992" s="256" t="n"/>
      <c r="M2992" s="256" t="n"/>
      <c r="N2992" s="256" t="n"/>
      <c r="O2992" s="256" t="n"/>
      <c r="P2992" s="256" t="n"/>
      <c r="Q2992" s="256" t="n"/>
    </row>
    <row r="2993">
      <c r="A2993">
        <f>IF(DAY(D2993)=DAY($L$1+1),A2992+1,A2992)</f>
        <v/>
      </c>
      <c r="B2993" s="1">
        <f>IF(DAY(D2993)=DAY($L$1+1),1,B2992+1)</f>
        <v/>
      </c>
      <c r="C2993" s="1">
        <f>IF(DAY(D2993)=DAY($L$1+1),1,C2992+1)</f>
        <v/>
      </c>
      <c r="D2993" s="2">
        <f>D2992+1</f>
        <v/>
      </c>
      <c r="E2993" s="8">
        <f>IF(DAY(D2993)=DAY($L$1+1),TRUNC((N2992),8),E2992)</f>
        <v/>
      </c>
      <c r="F2993" s="49">
        <f>TRUNC(((1+VLOOKUP(A2993,IPCA!$A$2:$C$140,3,0)))^(C2993/(EDATE(D2993-C2993,1)-(D2993-C2993))),8)</f>
        <v/>
      </c>
      <c r="G2993" s="44">
        <f>TRUNC((E2993*F2993),8)</f>
        <v/>
      </c>
      <c r="H2993" s="44">
        <f>ROUND(((1+$H$4)^(30/360))^(C2993/(EDATE(D2993-B2993,1)-(D2993-B2993))),9)</f>
        <v/>
      </c>
      <c r="I2993" s="44">
        <f>TRUNC((G2993*H2993-G2993),8)</f>
        <v/>
      </c>
      <c r="J2993" s="49">
        <f>G2993+I2993</f>
        <v/>
      </c>
      <c r="K2993" s="256" t="n"/>
      <c r="L2993" s="256" t="n"/>
      <c r="M2993" s="256" t="n"/>
      <c r="N2993" s="256" t="n"/>
      <c r="O2993" s="256" t="n"/>
      <c r="P2993" s="256" t="n"/>
      <c r="Q2993" s="256" t="n"/>
    </row>
    <row r="2994">
      <c r="A2994">
        <f>IF(DAY(D2994)=DAY($L$1+1),A2993+1,A2993)</f>
        <v/>
      </c>
      <c r="B2994" s="46">
        <f>IF(DAY(D2994)=DAY($L$1+1),1,B2993+1)</f>
        <v/>
      </c>
      <c r="C2994" s="46">
        <f>IF(DAY(D2994)=DAY($L$1+1),1,C2993+1)</f>
        <v/>
      </c>
      <c r="D2994" s="2">
        <f>D2993+1</f>
        <v/>
      </c>
      <c r="E2994" s="8">
        <f>IF(DAY(D2994)=DAY($L$1+1),TRUNC((N2993),8),E2993)</f>
        <v/>
      </c>
      <c r="F2994" s="49">
        <f>TRUNC(((1+VLOOKUP(A2994,IPCA!$A$2:$C$140,3,0)))^(C2994/(EDATE(D2994-C2994,1)-(D2994-C2994))),8)</f>
        <v/>
      </c>
      <c r="G2994" s="44">
        <f>TRUNC((E2994*F2994),8)</f>
        <v/>
      </c>
      <c r="H2994" s="44">
        <f>ROUND(((1+$H$4)^(30/360))^(C2994/(EDATE(D2994-B2994,1)-(D2994-B2994))),9)</f>
        <v/>
      </c>
      <c r="I2994" s="44">
        <f>TRUNC((G2994*H2994-G2994),8)</f>
        <v/>
      </c>
      <c r="J2994" s="49">
        <f>G2994+I2994</f>
        <v/>
      </c>
      <c r="K2994" s="256" t="n"/>
      <c r="L2994" s="256" t="n"/>
      <c r="M2994" s="256" t="n"/>
      <c r="N2994" s="256" t="n"/>
      <c r="O2994" s="256" t="n"/>
      <c r="P2994" s="256" t="n"/>
      <c r="Q2994" s="256" t="n"/>
    </row>
    <row r="2995">
      <c r="A2995">
        <f>IF(DAY(D2995)=DAY($L$1+1),A2994+1,A2994)</f>
        <v/>
      </c>
      <c r="B2995" s="1">
        <f>IF(DAY(D2995)=DAY($L$1+1),1,B2994+1)</f>
        <v/>
      </c>
      <c r="C2995" s="1">
        <f>IF(DAY(D2995)=DAY($L$1+1),1,C2994+1)</f>
        <v/>
      </c>
      <c r="D2995" s="2">
        <f>D2994+1</f>
        <v/>
      </c>
      <c r="E2995" s="8">
        <f>IF(DAY(D2995)=DAY($L$1+1),TRUNC((N2994),8),E2994)</f>
        <v/>
      </c>
      <c r="F2995" s="49">
        <f>TRUNC(((1+VLOOKUP(A2995,IPCA!$A$2:$C$140,3,0)))^(C2995/(EDATE(D2995-C2995,1)-(D2995-C2995))),8)</f>
        <v/>
      </c>
      <c r="G2995" s="44">
        <f>TRUNC((E2995*F2995),8)</f>
        <v/>
      </c>
      <c r="H2995" s="44">
        <f>ROUND(((1+$H$4)^(30/360))^(C2995/(EDATE(D2995-B2995,1)-(D2995-B2995))),9)</f>
        <v/>
      </c>
      <c r="I2995" s="44">
        <f>TRUNC((G2995*H2995-G2995),8)</f>
        <v/>
      </c>
      <c r="J2995" s="49">
        <f>G2995+I2995</f>
        <v/>
      </c>
      <c r="K2995" s="256" t="n"/>
      <c r="L2995" s="256" t="n"/>
      <c r="M2995" s="256" t="n"/>
      <c r="N2995" s="256" t="n"/>
      <c r="O2995" s="256" t="n"/>
      <c r="P2995" s="256" t="n"/>
      <c r="Q2995" s="256" t="n"/>
    </row>
    <row r="2996">
      <c r="A2996">
        <f>IF(DAY(D2996)=DAY($L$1+1),A2995+1,A2995)</f>
        <v/>
      </c>
      <c r="B2996" s="46">
        <f>IF(DAY(D2996)=DAY($L$1+1),1,B2995+1)</f>
        <v/>
      </c>
      <c r="C2996" s="46">
        <f>IF(DAY(D2996)=DAY($L$1+1),1,C2995+1)</f>
        <v/>
      </c>
      <c r="D2996" s="2">
        <f>D2995+1</f>
        <v/>
      </c>
      <c r="E2996" s="8">
        <f>IF(DAY(D2996)=DAY($L$1+1),TRUNC((N2995),8),E2995)</f>
        <v/>
      </c>
      <c r="F2996" s="49">
        <f>TRUNC(((1+VLOOKUP(A2996,IPCA!$A$2:$C$140,3,0)))^(C2996/(EDATE(D2996-C2996,1)-(D2996-C2996))),8)</f>
        <v/>
      </c>
      <c r="G2996" s="44">
        <f>TRUNC((E2996*F2996),8)</f>
        <v/>
      </c>
      <c r="H2996" s="44">
        <f>ROUND(((1+$H$4)^(30/360))^(C2996/(EDATE(D2996-B2996,1)-(D2996-B2996))),9)</f>
        <v/>
      </c>
      <c r="I2996" s="44">
        <f>TRUNC((G2996*H2996-G2996),8)</f>
        <v/>
      </c>
      <c r="J2996" s="49">
        <f>G2996+I2996</f>
        <v/>
      </c>
      <c r="K2996" s="256" t="n"/>
      <c r="L2996" s="256" t="n"/>
      <c r="M2996" s="256" t="n"/>
      <c r="N2996" s="256" t="n"/>
      <c r="O2996" s="256" t="n"/>
      <c r="P2996" s="256" t="n"/>
      <c r="Q2996" s="256" t="n"/>
    </row>
    <row r="2997">
      <c r="A2997">
        <f>IF(DAY(D2997)=DAY($L$1+1),A2996+1,A2996)</f>
        <v/>
      </c>
      <c r="B2997" s="1">
        <f>IF(DAY(D2997)=DAY($L$1+1),1,B2996+1)</f>
        <v/>
      </c>
      <c r="C2997" s="1">
        <f>IF(DAY(D2997)=DAY($L$1+1),1,C2996+1)</f>
        <v/>
      </c>
      <c r="D2997" s="2">
        <f>D2996+1</f>
        <v/>
      </c>
      <c r="E2997" s="8">
        <f>IF(DAY(D2997)=DAY($L$1+1),TRUNC((N2996),8),E2996)</f>
        <v/>
      </c>
      <c r="F2997" s="49">
        <f>TRUNC(((1+VLOOKUP(A2997,IPCA!$A$2:$C$140,3,0)))^(C2997/(EDATE(D2997-C2997,1)-(D2997-C2997))),8)</f>
        <v/>
      </c>
      <c r="G2997" s="44">
        <f>TRUNC((E2997*F2997),8)</f>
        <v/>
      </c>
      <c r="H2997" s="44">
        <f>ROUND(((1+$H$4)^(30/360))^(C2997/(EDATE(D2997-B2997,1)-(D2997-B2997))),9)</f>
        <v/>
      </c>
      <c r="I2997" s="44">
        <f>TRUNC((G2997*H2997-G2997),8)</f>
        <v/>
      </c>
      <c r="J2997" s="49">
        <f>G2997+I2997</f>
        <v/>
      </c>
      <c r="K2997" s="256" t="n"/>
      <c r="L2997" s="256" t="n"/>
      <c r="M2997" s="256" t="n"/>
      <c r="N2997" s="256" t="n"/>
      <c r="O2997" s="256" t="n"/>
      <c r="P2997" s="256" t="n"/>
      <c r="Q2997" s="256" t="n"/>
    </row>
    <row r="2998">
      <c r="A2998">
        <f>IF(DAY(D2998)=DAY($L$1+1),A2997+1,A2997)</f>
        <v/>
      </c>
      <c r="B2998" s="46">
        <f>IF(DAY(D2998)=DAY($L$1+1),1,B2997+1)</f>
        <v/>
      </c>
      <c r="C2998" s="46">
        <f>IF(DAY(D2998)=DAY($L$1+1),1,C2997+1)</f>
        <v/>
      </c>
      <c r="D2998" s="2">
        <f>D2997+1</f>
        <v/>
      </c>
      <c r="E2998" s="8">
        <f>IF(DAY(D2998)=DAY($L$1+1),TRUNC((N2997),8),E2997)</f>
        <v/>
      </c>
      <c r="F2998" s="49">
        <f>TRUNC(((1+VLOOKUP(A2998,IPCA!$A$2:$C$140,3,0)))^(C2998/(EDATE(D2998-C2998,1)-(D2998-C2998))),8)</f>
        <v/>
      </c>
      <c r="G2998" s="44">
        <f>TRUNC((E2998*F2998),8)</f>
        <v/>
      </c>
      <c r="H2998" s="44">
        <f>ROUND(((1+$H$4)^(30/360))^(C2998/(EDATE(D2998-B2998,1)-(D2998-B2998))),9)</f>
        <v/>
      </c>
      <c r="I2998" s="44">
        <f>TRUNC((G2998*H2998-G2998),8)</f>
        <v/>
      </c>
      <c r="J2998" s="49">
        <f>G2998+I2998</f>
        <v/>
      </c>
      <c r="K2998" s="256" t="n"/>
      <c r="L2998" s="256" t="n"/>
      <c r="M2998" s="256" t="n"/>
      <c r="N2998" s="256" t="n"/>
      <c r="O2998" s="256" t="n"/>
      <c r="P2998" s="256" t="n"/>
      <c r="Q2998" s="256" t="n"/>
    </row>
    <row r="2999">
      <c r="A2999">
        <f>IF(DAY(D2999)=DAY($L$1+1),A2998+1,A2998)</f>
        <v/>
      </c>
      <c r="B2999" s="1">
        <f>IF(DAY(D2999)=DAY($L$1+1),1,B2998+1)</f>
        <v/>
      </c>
      <c r="C2999" s="1">
        <f>IF(DAY(D2999)=DAY($L$1+1),1,C2998+1)</f>
        <v/>
      </c>
      <c r="D2999" s="2">
        <f>D2998+1</f>
        <v/>
      </c>
      <c r="E2999" s="8">
        <f>IF(DAY(D2999)=DAY($L$1+1),TRUNC((N2998),8),E2998)</f>
        <v/>
      </c>
      <c r="F2999" s="49">
        <f>TRUNC(((1+VLOOKUP(A2999,IPCA!$A$2:$C$140,3,0)))^(C2999/(EDATE(D2999-C2999,1)-(D2999-C2999))),8)</f>
        <v/>
      </c>
      <c r="G2999" s="44">
        <f>TRUNC((E2999*F2999),8)</f>
        <v/>
      </c>
      <c r="H2999" s="44">
        <f>ROUND(((1+$H$4)^(30/360))^(C2999/(EDATE(D2999-B2999,1)-(D2999-B2999))),9)</f>
        <v/>
      </c>
      <c r="I2999" s="44">
        <f>TRUNC((G2999*H2999-G2999),8)</f>
        <v/>
      </c>
      <c r="J2999" s="49">
        <f>G2999+I2999</f>
        <v/>
      </c>
      <c r="K2999" s="256" t="n"/>
      <c r="L2999" s="256" t="n"/>
      <c r="M2999" s="256" t="n"/>
      <c r="N2999" s="256" t="n"/>
      <c r="O2999" s="256" t="n"/>
      <c r="P2999" s="256" t="n"/>
      <c r="Q2999" s="256" t="n"/>
    </row>
    <row r="3000">
      <c r="A3000">
        <f>IF(DAY(D3000)=DAY($L$1+1),A2999+1,A2999)</f>
        <v/>
      </c>
      <c r="B3000" s="46">
        <f>IF(DAY(D3000)=DAY($L$1+1),1,B2999+1)</f>
        <v/>
      </c>
      <c r="C3000" s="46">
        <f>IF(DAY(D3000)=DAY($L$1+1),1,C2999+1)</f>
        <v/>
      </c>
      <c r="D3000" s="2">
        <f>D2999+1</f>
        <v/>
      </c>
      <c r="E3000" s="8">
        <f>IF(DAY(D3000)=DAY($L$1+1),TRUNC((N2999),8),E2999)</f>
        <v/>
      </c>
      <c r="F3000" s="49">
        <f>TRUNC(((1+VLOOKUP(A3000,IPCA!$A$2:$C$140,3,0)))^(C3000/(EDATE(D3000-C3000,1)-(D3000-C3000))),8)</f>
        <v/>
      </c>
      <c r="G3000" s="44">
        <f>TRUNC((E3000*F3000),8)</f>
        <v/>
      </c>
      <c r="H3000" s="44">
        <f>ROUND(((1+$H$4)^(30/360))^(C3000/(EDATE(D3000-B3000,1)-(D3000-B3000))),9)</f>
        <v/>
      </c>
      <c r="I3000" s="44">
        <f>TRUNC((G3000*H3000-G3000),8)</f>
        <v/>
      </c>
      <c r="J3000" s="49">
        <f>G3000+I3000</f>
        <v/>
      </c>
      <c r="K3000" s="256" t="n"/>
      <c r="L3000" s="256" t="n"/>
      <c r="M3000" s="256" t="n"/>
      <c r="N3000" s="256" t="n"/>
      <c r="O3000" s="256" t="n"/>
      <c r="P3000" s="256" t="n"/>
      <c r="Q3000" s="256" t="n"/>
    </row>
    <row r="3001">
      <c r="A3001">
        <f>IF(DAY(D3001)=DAY($L$1+1),A3000+1,A3000)</f>
        <v/>
      </c>
      <c r="B3001" s="46">
        <f>IF(DAY(D3001)=DAY($L$1+1),1,B3000+1)</f>
        <v/>
      </c>
      <c r="C3001" s="46">
        <f>IF(DAY(D3001)=DAY($L$1+1),1,C3000+1)</f>
        <v/>
      </c>
      <c r="D3001" s="2">
        <f>D3000+1</f>
        <v/>
      </c>
      <c r="E3001" s="8">
        <f>IF(DAY(D3001)=DAY($L$1+1),TRUNC((N3000),8),E3000)</f>
        <v/>
      </c>
      <c r="F3001" s="49">
        <f>TRUNC(((1+VLOOKUP(A3001,IPCA!$A$2:$C$140,3,0)))^(C3001/(EDATE(D3001-C3001,1)-(D3001-C3001))),8)</f>
        <v/>
      </c>
      <c r="G3001" s="49">
        <f>TRUNC((E3001*F3001),8)</f>
        <v/>
      </c>
      <c r="H3001" s="49">
        <f>ROUND(((1+$H$4)^(30/360))^(C3001/(EDATE(D3001-B3001,1)-(D3001-B3001))),9)</f>
        <v/>
      </c>
      <c r="I3001" s="49">
        <f>TRUNC((G3001*H3001-G3001),8)</f>
        <v/>
      </c>
      <c r="J3001" s="49">
        <f>G3001+I3001</f>
        <v/>
      </c>
      <c r="K3001" s="256" t="inlineStr">
        <is>
          <t>Cri Integralizado</t>
        </is>
      </c>
      <c r="L3001" s="270">
        <f>L2970</f>
        <v/>
      </c>
      <c r="M3001" s="256" t="n"/>
      <c r="N3001" s="256" t="n"/>
      <c r="O3001" s="256" t="n"/>
      <c r="P3001" s="256" t="n"/>
      <c r="Q3001" s="256" t="n"/>
    </row>
    <row r="3002">
      <c r="A3002">
        <f>IF(DAY(D3002)=DAY($L$1+1),A3001+1,A3001)</f>
        <v/>
      </c>
      <c r="B3002" s="46">
        <f>IF(DAY(D3002)=DAY($L$1+1),1,B3001+1)</f>
        <v/>
      </c>
      <c r="C3002" s="46">
        <f>IF(DAY(D3002)=DAY($L$1+1),1,C3001+1)</f>
        <v/>
      </c>
      <c r="D3002" s="47">
        <f>D3001+1</f>
        <v/>
      </c>
      <c r="E3002" s="8">
        <f>IF(DAY(D3002)=DAY($L$1+1),TRUNC((N3001),8),E3001)</f>
        <v/>
      </c>
      <c r="F3002" s="49">
        <f>TRUNC(((1+VLOOKUP(A3002,IPCA!$A$2:$C$140,3,0)))^(C3002/(EDATE(D3002-C3002,1)-(D3002-C3002))),8)</f>
        <v/>
      </c>
      <c r="G3002" s="49">
        <f>TRUNC((E3002*F3002),8)</f>
        <v/>
      </c>
      <c r="H3002" s="49">
        <f>ROUND(((1+$H$4)^(30/360))^(C3002/(EDATE(D3002-B3002,1)-(D3002-B3002))),9)</f>
        <v/>
      </c>
      <c r="I3002" s="49">
        <f>TRUNC((G3002*H3002-G3002),8)</f>
        <v/>
      </c>
      <c r="J3002" s="49">
        <f>G3002+I3002</f>
        <v/>
      </c>
      <c r="K3002" s="137" t="inlineStr">
        <is>
          <t>JUROS</t>
        </is>
      </c>
      <c r="L3002" s="118" t="inlineStr">
        <is>
          <t>AMORTIZAÇÃO</t>
        </is>
      </c>
      <c r="M3002" s="118" t="inlineStr">
        <is>
          <t>AMEX</t>
        </is>
      </c>
      <c r="N3002" s="118" t="inlineStr">
        <is>
          <t>RESIDUAL</t>
        </is>
      </c>
      <c r="O3002" s="256" t="n"/>
      <c r="P3002" s="256" t="n"/>
      <c r="Q3002" s="256" t="n"/>
    </row>
    <row r="3003">
      <c r="A3003">
        <f>IF(DAY(D3003)=DAY($L$1+1),A3002+1,A3002)</f>
        <v/>
      </c>
      <c r="B3003" s="111">
        <f>IF(DAY(D3003)=DAY($L$1+1),1,B3002+1)</f>
        <v/>
      </c>
      <c r="C3003" s="111">
        <f>IF(DAY(D3003)=DAY($L$1+1),1,C3002+1)</f>
        <v/>
      </c>
      <c r="D3003" s="112">
        <f>D3002+1</f>
        <v/>
      </c>
      <c r="E3003" s="113">
        <f>IF(DAY(D3003)=DAY($L$1+1),TRUNC((N3002),8),E3002)</f>
        <v/>
      </c>
      <c r="F3003" s="114">
        <f>TRUNC(((1+VLOOKUP(A3003,IPCA!$A$2:$C$140,3,0)))^(C3003/(EDATE(D3003-C3003,1)-(D3003-C3003))),8)</f>
        <v/>
      </c>
      <c r="G3003" s="114">
        <f>TRUNC((E3003*F3003),8)</f>
        <v/>
      </c>
      <c r="H3003" s="114">
        <f>ROUND(((1+$H$4)^(30/360))^(C3003/(EDATE(D3003-B3003,1)-(D3003-B3003))),9)</f>
        <v/>
      </c>
      <c r="I3003" s="114">
        <f>TRUNC((G3003*H3003-G3003),8)</f>
        <v/>
      </c>
      <c r="J3003" s="114">
        <f>G3003+I3003</f>
        <v/>
      </c>
      <c r="K3003" s="119">
        <f>I3003</f>
        <v/>
      </c>
      <c r="L3003" s="120">
        <f>TRUNC(G3003*VLOOKUP(D3003,'Amort TS'!$G$3:$H$140,2,0),8)</f>
        <v/>
      </c>
      <c r="M3003" s="120" t="n">
        <v>0</v>
      </c>
      <c r="N3003" s="120">
        <f>J3003-K3003-L3003-M3003</f>
        <v/>
      </c>
      <c r="O3003" s="256" t="n"/>
      <c r="P3003" s="256" t="n"/>
      <c r="Q3003" s="256" t="n"/>
    </row>
    <row r="3004">
      <c r="A3004">
        <f>IF(DAY(D3004)=DAY($L$1+1),A3003+1,A3003)</f>
        <v/>
      </c>
      <c r="B3004" s="46">
        <f>IF(DAY(D3004)=DAY($L$1+1),1,B3003+1)</f>
        <v/>
      </c>
      <c r="C3004" s="46">
        <f>IF(DAY(D3004)=DAY($L$1+1),1,C3003+1)</f>
        <v/>
      </c>
      <c r="D3004" s="2">
        <f>D3003+1</f>
        <v/>
      </c>
      <c r="E3004" s="8">
        <f>IF(DAY(D3004)=DAY($L$1+1),TRUNC((N3003),8),E3003)</f>
        <v/>
      </c>
      <c r="F3004" s="49">
        <f>TRUNC(((1+VLOOKUP(A3004,IPCA!$A$2:$C$140,3,0)))^(C3004/(EDATE(D3004-C3004,1)-(D3004-C3004))),8)</f>
        <v/>
      </c>
      <c r="G3004" s="49">
        <f>TRUNC((E3004*F3004),8)</f>
        <v/>
      </c>
      <c r="H3004" s="49">
        <f>ROUND(((1+$H$4)^(30/360))^(C3004/(EDATE(D3004-B3004,1)-(D3004-B3004))),9)</f>
        <v/>
      </c>
      <c r="I3004" s="49">
        <f>TRUNC((G3004*H3004-G3004),8)</f>
        <v/>
      </c>
      <c r="J3004" s="49">
        <f>G3004+I3004</f>
        <v/>
      </c>
      <c r="K3004" s="121">
        <f>K3003*L3001</f>
        <v/>
      </c>
      <c r="L3004" s="121">
        <f>L3003*L3001</f>
        <v/>
      </c>
      <c r="M3004" s="121">
        <f>M3003*L3001</f>
        <v/>
      </c>
      <c r="N3004" s="121">
        <f>N3003*L3001</f>
        <v/>
      </c>
      <c r="O3004" s="256" t="n"/>
      <c r="P3004" s="256" t="n"/>
      <c r="Q3004" s="256" t="n"/>
    </row>
    <row r="3005">
      <c r="A3005">
        <f>IF(DAY(D3005)=DAY($L$1+1),A3004+1,A3004)</f>
        <v/>
      </c>
      <c r="B3005" s="46">
        <f>IF(DAY(D3005)=DAY($L$1+1),1,B3004+1)</f>
        <v/>
      </c>
      <c r="C3005" s="46">
        <f>IF(DAY(D3005)=DAY($L$1+1),1,C3004+1)</f>
        <v/>
      </c>
      <c r="D3005" s="47">
        <f>D3004+1</f>
        <v/>
      </c>
      <c r="E3005" s="8">
        <f>IF(DAY(D3005)=DAY($L$1+1),TRUNC((N3004),8),E3004)</f>
        <v/>
      </c>
      <c r="F3005" s="49">
        <f>TRUNC(((1+VLOOKUP(A3005,IPCA!$A$2:$C$140,3,0)))^(C3005/(EDATE(D3005-C3005,1)-(D3005-C3005))),8)</f>
        <v/>
      </c>
      <c r="G3005" s="49">
        <f>TRUNC((E3005*F3005),8)</f>
        <v/>
      </c>
      <c r="H3005" s="49">
        <f>ROUND(((1+$H$4)^(30/360))^(C3005/(EDATE(D3005-B3005,1)-(D3005-B3005))),9)</f>
        <v/>
      </c>
      <c r="I3005" s="49">
        <f>TRUNC((G3005*H3005-G3005),8)</f>
        <v/>
      </c>
      <c r="J3005" s="49">
        <f>G3005+I3005</f>
        <v/>
      </c>
      <c r="K3005" s="256" t="n"/>
      <c r="L3005" s="256" t="n"/>
      <c r="M3005" s="256" t="n"/>
      <c r="N3005" s="256" t="n"/>
      <c r="O3005" s="256" t="n"/>
      <c r="P3005" s="256" t="n"/>
      <c r="Q3005" s="256" t="n"/>
    </row>
    <row r="3006">
      <c r="A3006">
        <f>IF(DAY(D3006)=DAY($L$1+1),A3005+1,A3005)</f>
        <v/>
      </c>
      <c r="B3006" s="46">
        <f>IF(DAY(D3006)=DAY($L$1+1),1,B3005+1)</f>
        <v/>
      </c>
      <c r="C3006" s="46">
        <f>IF(DAY(D3006)=DAY($L$1+1),1,C3005+1)</f>
        <v/>
      </c>
      <c r="D3006" s="2">
        <f>D3005+1</f>
        <v/>
      </c>
      <c r="E3006" s="8">
        <f>IF(DAY(D3006)=DAY($L$1+1),TRUNC((#REF!),8),E3005)</f>
        <v/>
      </c>
      <c r="F3006" s="49">
        <f>TRUNC(((1+VLOOKUP(A3006,IPCA!$A$2:$C$140,3,0)))^(C3006/(EDATE(D3006-C3006,1)-(D3006-C3006))),8)</f>
        <v/>
      </c>
      <c r="G3006" s="44">
        <f>TRUNC((E3006*F3006),8)</f>
        <v/>
      </c>
      <c r="H3006" s="44">
        <f>ROUND(((1+$H$4)^(30/360))^(C3006/(EDATE(D3006-B3006,1)-(D3006-B3006))),9)</f>
        <v/>
      </c>
      <c r="I3006" s="44">
        <f>TRUNC((G3006*H3006-G3006),8)</f>
        <v/>
      </c>
      <c r="J3006" s="49">
        <f>G3006+I3006</f>
        <v/>
      </c>
      <c r="K3006" s="256" t="n"/>
      <c r="L3006" s="256" t="n"/>
      <c r="M3006" s="256" t="n"/>
      <c r="N3006" s="256" t="n"/>
      <c r="O3006" s="256" t="n"/>
      <c r="P3006" s="256" t="n"/>
      <c r="Q3006" s="256" t="n"/>
    </row>
    <row r="3007">
      <c r="A3007">
        <f>IF(DAY(D3007)=DAY($L$1+1),A3006+1,A3006)</f>
        <v/>
      </c>
      <c r="B3007" s="1">
        <f>IF(DAY(D3007)=DAY($L$1+1),1,B3006+1)</f>
        <v/>
      </c>
      <c r="C3007" s="1">
        <f>IF(DAY(D3007)=DAY($L$1+1),1,C3006+1)</f>
        <v/>
      </c>
      <c r="D3007" s="2">
        <f>D3006+1</f>
        <v/>
      </c>
      <c r="E3007" s="8">
        <f>IF(DAY(D3007)=DAY($L$1+1),TRUNC((#REF!),8),E3006)</f>
        <v/>
      </c>
      <c r="F3007" s="49">
        <f>TRUNC(((1+VLOOKUP(A3007,IPCA!$A$2:$C$140,3,0)))^(C3007/(EDATE(D3007-C3007,1)-(D3007-C3007))),8)</f>
        <v/>
      </c>
      <c r="G3007" s="44">
        <f>TRUNC((E3007*F3007),8)</f>
        <v/>
      </c>
      <c r="H3007" s="44">
        <f>ROUND(((1+$H$4)^(30/360))^(C3007/(EDATE(D3007-B3007,1)-(D3007-B3007))),9)</f>
        <v/>
      </c>
      <c r="I3007" s="44">
        <f>TRUNC((G3007*H3007-G3007),8)</f>
        <v/>
      </c>
      <c r="J3007" s="49">
        <f>G3007+I3007</f>
        <v/>
      </c>
      <c r="K3007" s="256" t="n"/>
      <c r="L3007" s="256" t="n"/>
      <c r="M3007" s="256" t="n"/>
      <c r="N3007" s="256" t="n"/>
      <c r="O3007" s="256" t="n"/>
      <c r="P3007" s="256" t="n"/>
      <c r="Q3007" s="256" t="n"/>
    </row>
    <row r="3008">
      <c r="A3008">
        <f>IF(DAY(D3008)=DAY($L$1+1),A3007+1,A3007)</f>
        <v/>
      </c>
      <c r="B3008" s="46">
        <f>IF(DAY(D3008)=DAY($L$1+1),1,B3007+1)</f>
        <v/>
      </c>
      <c r="C3008" s="46">
        <f>IF(DAY(D3008)=DAY($L$1+1),1,C3007+1)</f>
        <v/>
      </c>
      <c r="D3008" s="2">
        <f>D3007+1</f>
        <v/>
      </c>
      <c r="E3008" s="8">
        <f>IF(DAY(D3008)=DAY($L$1+1),TRUNC((#REF!),8),E3007)</f>
        <v/>
      </c>
      <c r="F3008" s="49">
        <f>TRUNC(((1+VLOOKUP(A3008,IPCA!$A$2:$C$140,3,0)))^(C3008/(EDATE(D3008-C3008,1)-(D3008-C3008))),8)</f>
        <v/>
      </c>
      <c r="G3008" s="44">
        <f>TRUNC((E3008*F3008),8)</f>
        <v/>
      </c>
      <c r="H3008" s="44">
        <f>ROUND(((1+$H$4)^(30/360))^(C3008/(EDATE(D3008-B3008,1)-(D3008-B3008))),9)</f>
        <v/>
      </c>
      <c r="I3008" s="44">
        <f>TRUNC((G3008*H3008-G3008),8)</f>
        <v/>
      </c>
      <c r="J3008" s="49">
        <f>G3008+I3008</f>
        <v/>
      </c>
      <c r="K3008" s="256" t="n"/>
      <c r="L3008" s="256" t="n"/>
      <c r="M3008" s="256" t="n"/>
      <c r="N3008" s="256" t="n"/>
      <c r="O3008" s="256" t="n"/>
      <c r="P3008" s="256" t="n"/>
      <c r="Q3008" s="256" t="n"/>
    </row>
    <row r="3009">
      <c r="A3009">
        <f>IF(DAY(D3009)=DAY($L$1+1),A3008+1,A3008)</f>
        <v/>
      </c>
      <c r="B3009" s="1">
        <f>IF(DAY(D3009)=DAY($L$1+1),1,B3008+1)</f>
        <v/>
      </c>
      <c r="C3009" s="1">
        <f>IF(DAY(D3009)=DAY($L$1+1),1,C3008+1)</f>
        <v/>
      </c>
      <c r="D3009" s="2">
        <f>D3008+1</f>
        <v/>
      </c>
      <c r="E3009" s="8">
        <f>IF(DAY(D3009)=DAY($L$1+1),TRUNC((#REF!),8),E3008)</f>
        <v/>
      </c>
      <c r="F3009" s="49">
        <f>TRUNC(((1+VLOOKUP(A3009,IPCA!$A$2:$C$140,3,0)))^(C3009/(EDATE(D3009-C3009,1)-(D3009-C3009))),8)</f>
        <v/>
      </c>
      <c r="G3009" s="44">
        <f>TRUNC((E3009*F3009),8)</f>
        <v/>
      </c>
      <c r="H3009" s="44">
        <f>ROUND(((1+$H$4)^(30/360))^(C3009/(EDATE(D3009-B3009,1)-(D3009-B3009))),9)</f>
        <v/>
      </c>
      <c r="I3009" s="44">
        <f>TRUNC((G3009*H3009-G3009),8)</f>
        <v/>
      </c>
      <c r="J3009" s="49">
        <f>G3009+I3009</f>
        <v/>
      </c>
      <c r="K3009" s="256" t="n"/>
      <c r="L3009" s="256" t="n"/>
      <c r="M3009" s="256" t="n"/>
      <c r="N3009" s="256" t="n"/>
      <c r="O3009" s="256" t="n"/>
      <c r="P3009" s="256" t="n"/>
      <c r="Q3009" s="256" t="n"/>
    </row>
    <row r="3010">
      <c r="A3010">
        <f>IF(DAY(D3010)=DAY($L$1+1),A3009+1,A3009)</f>
        <v/>
      </c>
      <c r="B3010" s="46">
        <f>IF(DAY(D3010)=DAY($L$1+1),1,B3009+1)</f>
        <v/>
      </c>
      <c r="C3010" s="46">
        <f>IF(DAY(D3010)=DAY($L$1+1),1,C3009+1)</f>
        <v/>
      </c>
      <c r="D3010" s="2">
        <f>D3009+1</f>
        <v/>
      </c>
      <c r="E3010" s="8">
        <f>IF(DAY(D3010)=DAY($L$1+1),TRUNC((#REF!),8),E3009)</f>
        <v/>
      </c>
      <c r="F3010" s="49">
        <f>TRUNC(((1+VLOOKUP(A3010,IPCA!$A$2:$C$140,3,0)))^(C3010/(EDATE(D3010-C3010,1)-(D3010-C3010))),8)</f>
        <v/>
      </c>
      <c r="G3010" s="44">
        <f>TRUNC((E3010*F3010),8)</f>
        <v/>
      </c>
      <c r="H3010" s="44">
        <f>ROUND(((1+$H$4)^(30/360))^(C3010/(EDATE(D3010-B3010,1)-(D3010-B3010))),9)</f>
        <v/>
      </c>
      <c r="I3010" s="44">
        <f>TRUNC((G3010*H3010-G3010),8)</f>
        <v/>
      </c>
      <c r="J3010" s="49">
        <f>G3010+I3010</f>
        <v/>
      </c>
      <c r="K3010" s="256" t="n"/>
      <c r="L3010" s="256" t="n"/>
      <c r="M3010" s="256" t="n"/>
      <c r="N3010" s="256" t="n"/>
      <c r="O3010" s="256" t="n"/>
      <c r="P3010" s="256" t="n"/>
      <c r="Q3010" s="256" t="n"/>
    </row>
    <row r="3011">
      <c r="A3011">
        <f>IF(DAY(D3011)=DAY($L$1+1),A3010+1,A3010)</f>
        <v/>
      </c>
      <c r="B3011" s="1">
        <f>IF(DAY(D3011)=DAY($L$1+1),1,B3010+1)</f>
        <v/>
      </c>
      <c r="C3011" s="1">
        <f>IF(DAY(D3011)=DAY($L$1+1),1,C3010+1)</f>
        <v/>
      </c>
      <c r="D3011" s="2">
        <f>D3010+1</f>
        <v/>
      </c>
      <c r="E3011" s="8">
        <f>IF(DAY(D3011)=DAY($L$1+1),TRUNC((#REF!),8),E3010)</f>
        <v/>
      </c>
      <c r="F3011" s="49">
        <f>TRUNC(((1+VLOOKUP(A3011,IPCA!$A$2:$C$140,3,0)))^(C3011/(EDATE(D3011-C3011,1)-(D3011-C3011))),8)</f>
        <v/>
      </c>
      <c r="G3011" s="44">
        <f>TRUNC((E3011*F3011),8)</f>
        <v/>
      </c>
      <c r="H3011" s="44">
        <f>ROUND(((1+$H$4)^(30/360))^(C3011/(EDATE(D3011-B3011,1)-(D3011-B3011))),9)</f>
        <v/>
      </c>
      <c r="I3011" s="44">
        <f>TRUNC((G3011*H3011-G3011),8)</f>
        <v/>
      </c>
      <c r="J3011" s="49">
        <f>G3011+I3011</f>
        <v/>
      </c>
      <c r="K3011" s="256" t="n"/>
      <c r="L3011" s="256" t="n"/>
      <c r="M3011" s="256" t="n"/>
      <c r="N3011" s="256" t="n"/>
      <c r="O3011" s="256" t="n"/>
      <c r="P3011" s="256" t="n"/>
      <c r="Q3011" s="256" t="n"/>
    </row>
    <row r="3012">
      <c r="A3012">
        <f>IF(DAY(D3012)=DAY($L$1+1),A3011+1,A3011)</f>
        <v/>
      </c>
      <c r="B3012" s="46">
        <f>IF(DAY(D3012)=DAY($L$1+1),1,B3011+1)</f>
        <v/>
      </c>
      <c r="C3012" s="46">
        <f>IF(DAY(D3012)=DAY($L$1+1),1,C3011+1)</f>
        <v/>
      </c>
      <c r="D3012" s="2">
        <f>D3011+1</f>
        <v/>
      </c>
      <c r="E3012" s="8">
        <f>IF(DAY(D3012)=DAY($L$1+1),TRUNC((#REF!),8),E3011)</f>
        <v/>
      </c>
      <c r="F3012" s="49">
        <f>TRUNC(((1+VLOOKUP(A3012,IPCA!$A$2:$C$140,3,0)))^(C3012/(EDATE(D3012-C3012,1)-(D3012-C3012))),8)</f>
        <v/>
      </c>
      <c r="G3012" s="44">
        <f>TRUNC((E3012*F3012),8)</f>
        <v/>
      </c>
      <c r="H3012" s="44">
        <f>ROUND(((1+$H$4)^(30/360))^(C3012/(EDATE(D3012-B3012,1)-(D3012-B3012))),9)</f>
        <v/>
      </c>
      <c r="I3012" s="44">
        <f>TRUNC((G3012*H3012-G3012),8)</f>
        <v/>
      </c>
      <c r="J3012" s="49">
        <f>G3012+I3012</f>
        <v/>
      </c>
      <c r="K3012" s="256" t="n"/>
      <c r="L3012" s="256" t="n"/>
      <c r="M3012" s="256" t="n"/>
      <c r="N3012" s="256" t="n"/>
      <c r="O3012" s="256" t="n"/>
      <c r="P3012" s="256" t="n"/>
      <c r="Q3012" s="256" t="n"/>
    </row>
    <row r="3013">
      <c r="A3013">
        <f>IF(DAY(D3013)=DAY($L$1+1),A3012+1,A3012)</f>
        <v/>
      </c>
      <c r="B3013" s="1">
        <f>IF(DAY(D3013)=DAY($L$1+1),1,B3012+1)</f>
        <v/>
      </c>
      <c r="C3013" s="1">
        <f>IF(DAY(D3013)=DAY($L$1+1),1,C3012+1)</f>
        <v/>
      </c>
      <c r="D3013" s="2">
        <f>D3012+1</f>
        <v/>
      </c>
      <c r="E3013" s="8">
        <f>IF(DAY(D3013)=DAY($L$1+1),TRUNC((#REF!),8),E3012)</f>
        <v/>
      </c>
      <c r="F3013" s="49">
        <f>TRUNC(((1+VLOOKUP(A3013,IPCA!$A$2:$C$140,3,0)))^(C3013/(EDATE(D3013-C3013,1)-(D3013-C3013))),8)</f>
        <v/>
      </c>
      <c r="G3013" s="44">
        <f>TRUNC((E3013*F3013),8)</f>
        <v/>
      </c>
      <c r="H3013" s="44">
        <f>ROUND(((1+$H$4)^(30/360))^(C3013/(EDATE(D3013-B3013,1)-(D3013-B3013))),9)</f>
        <v/>
      </c>
      <c r="I3013" s="44">
        <f>TRUNC((G3013*H3013-G3013),8)</f>
        <v/>
      </c>
      <c r="J3013" s="49">
        <f>G3013+I3013</f>
        <v/>
      </c>
      <c r="K3013" s="256" t="n"/>
      <c r="L3013" s="256" t="n"/>
      <c r="M3013" s="256" t="n"/>
      <c r="N3013" s="256" t="n"/>
      <c r="O3013" s="256" t="n"/>
      <c r="P3013" s="256" t="n"/>
      <c r="Q3013" s="256" t="n"/>
    </row>
    <row r="3014">
      <c r="A3014">
        <f>IF(DAY(D3014)=DAY($L$1+1),A3013+1,A3013)</f>
        <v/>
      </c>
      <c r="B3014" s="46">
        <f>IF(DAY(D3014)=DAY($L$1+1),1,B3013+1)</f>
        <v/>
      </c>
      <c r="C3014" s="46">
        <f>IF(DAY(D3014)=DAY($L$1+1),1,C3013+1)</f>
        <v/>
      </c>
      <c r="D3014" s="2">
        <f>D3013+1</f>
        <v/>
      </c>
      <c r="E3014" s="8">
        <f>IF(DAY(D3014)=DAY($L$1+1),TRUNC((#REF!),8),E3013)</f>
        <v/>
      </c>
      <c r="F3014" s="49">
        <f>TRUNC(((1+VLOOKUP(A3014,IPCA!$A$2:$C$140,3,0)))^(C3014/(EDATE(D3014-C3014,1)-(D3014-C3014))),8)</f>
        <v/>
      </c>
      <c r="G3014" s="44">
        <f>TRUNC((E3014*F3014),8)</f>
        <v/>
      </c>
      <c r="H3014" s="44">
        <f>ROUND(((1+$H$4)^(30/360))^(C3014/(EDATE(D3014-B3014,1)-(D3014-B3014))),9)</f>
        <v/>
      </c>
      <c r="I3014" s="44">
        <f>TRUNC((G3014*H3014-G3014),8)</f>
        <v/>
      </c>
      <c r="J3014" s="49">
        <f>G3014+I3014</f>
        <v/>
      </c>
      <c r="K3014" s="256" t="n"/>
      <c r="L3014" s="256" t="n"/>
      <c r="M3014" s="256" t="n"/>
      <c r="N3014" s="256" t="n"/>
      <c r="O3014" s="256" t="n"/>
      <c r="P3014" s="256" t="n"/>
      <c r="Q3014" s="256" t="n"/>
    </row>
    <row r="3015">
      <c r="A3015">
        <f>IF(DAY(D3015)=DAY($L$1+1),A3014+1,A3014)</f>
        <v/>
      </c>
      <c r="B3015" s="1">
        <f>IF(DAY(D3015)=DAY($L$1+1),1,B3014+1)</f>
        <v/>
      </c>
      <c r="C3015" s="1">
        <f>IF(DAY(D3015)=DAY($L$1+1),1,C3014+1)</f>
        <v/>
      </c>
      <c r="D3015" s="2">
        <f>D3014+1</f>
        <v/>
      </c>
      <c r="E3015" s="8">
        <f>IF(DAY(D3015)=DAY($L$1+1),TRUNC((#REF!),8),E3014)</f>
        <v/>
      </c>
      <c r="F3015" s="49">
        <f>TRUNC(((1+VLOOKUP(A3015,IPCA!$A$2:$C$140,3,0)))^(C3015/(EDATE(D3015-C3015,1)-(D3015-C3015))),8)</f>
        <v/>
      </c>
      <c r="G3015" s="44">
        <f>TRUNC((E3015*F3015),8)</f>
        <v/>
      </c>
      <c r="H3015" s="44">
        <f>ROUND(((1+$H$4)^(30/360))^(C3015/(EDATE(D3015-B3015,1)-(D3015-B3015))),9)</f>
        <v/>
      </c>
      <c r="I3015" s="44">
        <f>TRUNC((G3015*H3015-G3015),8)</f>
        <v/>
      </c>
      <c r="J3015" s="49">
        <f>G3015+I3015</f>
        <v/>
      </c>
      <c r="K3015" s="256" t="n"/>
      <c r="L3015" s="256" t="n"/>
      <c r="M3015" s="256" t="n"/>
      <c r="N3015" s="256" t="n"/>
      <c r="O3015" s="256" t="n"/>
      <c r="P3015" s="256" t="n"/>
      <c r="Q3015" s="256" t="n"/>
    </row>
    <row r="3016">
      <c r="A3016">
        <f>IF(DAY(D3016)=DAY($L$1+1),A3015+1,A3015)</f>
        <v/>
      </c>
      <c r="B3016" s="46">
        <f>IF(DAY(D3016)=DAY($L$1+1),1,B3015+1)</f>
        <v/>
      </c>
      <c r="C3016" s="46">
        <f>IF(DAY(D3016)=DAY($L$1+1),1,C3015+1)</f>
        <v/>
      </c>
      <c r="D3016" s="2">
        <f>D3015+1</f>
        <v/>
      </c>
      <c r="E3016" s="8">
        <f>IF(DAY(D3016)=DAY($L$1+1),TRUNC((#REF!),8),E3015)</f>
        <v/>
      </c>
      <c r="F3016" s="49">
        <f>TRUNC(((1+VLOOKUP(A3016,IPCA!$A$2:$C$140,3,0)))^(C3016/(EDATE(D3016-C3016,1)-(D3016-C3016))),8)</f>
        <v/>
      </c>
      <c r="G3016" s="44">
        <f>TRUNC((E3016*F3016),8)</f>
        <v/>
      </c>
      <c r="H3016" s="44">
        <f>ROUND(((1+$H$4)^(30/360))^(C3016/(EDATE(D3016-B3016,1)-(D3016-B3016))),9)</f>
        <v/>
      </c>
      <c r="I3016" s="44">
        <f>TRUNC((G3016*H3016-G3016),8)</f>
        <v/>
      </c>
      <c r="J3016" s="49">
        <f>G3016+I3016</f>
        <v/>
      </c>
      <c r="K3016" s="256" t="n"/>
      <c r="L3016" s="256" t="n"/>
      <c r="M3016" s="256" t="n"/>
      <c r="N3016" s="256" t="n"/>
      <c r="O3016" s="256" t="n"/>
      <c r="P3016" s="256" t="n"/>
      <c r="Q3016" s="256" t="n"/>
    </row>
    <row r="3017">
      <c r="A3017">
        <f>IF(DAY(D3017)=DAY($L$1+1),A3016+1,A3016)</f>
        <v/>
      </c>
      <c r="B3017" s="1">
        <f>IF(DAY(D3017)=DAY($L$1+1),1,B3016+1)</f>
        <v/>
      </c>
      <c r="C3017" s="1">
        <f>IF(DAY(D3017)=DAY($L$1+1),1,C3016+1)</f>
        <v/>
      </c>
      <c r="D3017" s="2">
        <f>D3016+1</f>
        <v/>
      </c>
      <c r="E3017" s="8">
        <f>IF(DAY(D3017)=DAY($L$1+1),TRUNC((#REF!),8),E3016)</f>
        <v/>
      </c>
      <c r="F3017" s="49">
        <f>TRUNC(((1+VLOOKUP(A3017,IPCA!$A$2:$C$140,3,0)))^(C3017/(EDATE(D3017-C3017,1)-(D3017-C3017))),8)</f>
        <v/>
      </c>
      <c r="G3017" s="44">
        <f>TRUNC((E3017*F3017),8)</f>
        <v/>
      </c>
      <c r="H3017" s="44">
        <f>ROUND(((1+$H$4)^(30/360))^(C3017/(EDATE(D3017-B3017,1)-(D3017-B3017))),9)</f>
        <v/>
      </c>
      <c r="I3017" s="44">
        <f>TRUNC((G3017*H3017-G3017),8)</f>
        <v/>
      </c>
      <c r="J3017" s="49">
        <f>G3017+I3017</f>
        <v/>
      </c>
      <c r="K3017" s="256" t="n"/>
      <c r="L3017" s="256" t="n"/>
      <c r="M3017" s="256" t="n"/>
      <c r="N3017" s="256" t="n"/>
      <c r="O3017" s="256" t="n"/>
      <c r="P3017" s="256" t="n"/>
      <c r="Q3017" s="256" t="n"/>
    </row>
    <row r="3018">
      <c r="A3018">
        <f>IF(DAY(D3018)=DAY($L$1+1),A3017+1,A3017)</f>
        <v/>
      </c>
      <c r="B3018" s="46">
        <f>IF(DAY(D3018)=DAY($L$1+1),1,B3017+1)</f>
        <v/>
      </c>
      <c r="C3018" s="46">
        <f>IF(DAY(D3018)=DAY($L$1+1),1,C3017+1)</f>
        <v/>
      </c>
      <c r="D3018" s="2">
        <f>D3017+1</f>
        <v/>
      </c>
      <c r="E3018" s="8">
        <f>IF(DAY(D3018)=DAY($L$1+1),TRUNC((#REF!),8),E3017)</f>
        <v/>
      </c>
      <c r="F3018" s="49">
        <f>TRUNC(((1+VLOOKUP(A3018,IPCA!$A$2:$C$140,3,0)))^(C3018/(EDATE(D3018-C3018,1)-(D3018-C3018))),8)</f>
        <v/>
      </c>
      <c r="G3018" s="44">
        <f>TRUNC((E3018*F3018),8)</f>
        <v/>
      </c>
      <c r="H3018" s="44">
        <f>ROUND(((1+$H$4)^(30/360))^(C3018/(EDATE(D3018-B3018,1)-(D3018-B3018))),9)</f>
        <v/>
      </c>
      <c r="I3018" s="44">
        <f>TRUNC((G3018*H3018-G3018),8)</f>
        <v/>
      </c>
      <c r="J3018" s="49">
        <f>G3018+I3018</f>
        <v/>
      </c>
      <c r="K3018" s="256" t="n"/>
      <c r="L3018" s="256" t="n"/>
      <c r="M3018" s="256" t="n"/>
      <c r="N3018" s="256" t="n"/>
      <c r="O3018" s="256" t="n"/>
      <c r="P3018" s="256" t="n"/>
      <c r="Q3018" s="256" t="n"/>
    </row>
    <row r="3019">
      <c r="A3019">
        <f>IF(DAY(D3019)=DAY($L$1+1),A3018+1,A3018)</f>
        <v/>
      </c>
      <c r="B3019" s="1">
        <f>IF(DAY(D3019)=DAY($L$1+1),1,B3018+1)</f>
        <v/>
      </c>
      <c r="C3019" s="1">
        <f>IF(DAY(D3019)=DAY($L$1+1),1,C3018+1)</f>
        <v/>
      </c>
      <c r="D3019" s="2">
        <f>D3018+1</f>
        <v/>
      </c>
      <c r="E3019" s="8">
        <f>IF(DAY(D3019)=DAY($L$1+1),TRUNC((#REF!),8),E3018)</f>
        <v/>
      </c>
      <c r="F3019" s="49">
        <f>TRUNC(((1+VLOOKUP(A3019,IPCA!$A$2:$C$140,3,0)))^(C3019/(EDATE(D3019-C3019,1)-(D3019-C3019))),8)</f>
        <v/>
      </c>
      <c r="G3019" s="44">
        <f>TRUNC((E3019*F3019),8)</f>
        <v/>
      </c>
      <c r="H3019" s="44">
        <f>ROUND(((1+$H$4)^(30/360))^(C3019/(EDATE(D3019-B3019,1)-(D3019-B3019))),9)</f>
        <v/>
      </c>
      <c r="I3019" s="44">
        <f>TRUNC((G3019*H3019-G3019),8)</f>
        <v/>
      </c>
      <c r="J3019" s="49">
        <f>G3019+I3019</f>
        <v/>
      </c>
      <c r="K3019" s="256" t="n"/>
      <c r="L3019" s="256" t="n"/>
      <c r="M3019" s="256" t="n"/>
      <c r="N3019" s="256" t="n"/>
      <c r="O3019" s="256" t="n"/>
      <c r="P3019" s="256" t="n"/>
      <c r="Q3019" s="256" t="n"/>
    </row>
    <row r="3020">
      <c r="A3020">
        <f>IF(DAY(D3020)=DAY($L$1+1),A3019+1,A3019)</f>
        <v/>
      </c>
      <c r="B3020" s="46">
        <f>IF(DAY(D3020)=DAY($L$1+1),1,B3019+1)</f>
        <v/>
      </c>
      <c r="C3020" s="46">
        <f>IF(DAY(D3020)=DAY($L$1+1),1,C3019+1)</f>
        <v/>
      </c>
      <c r="D3020" s="2">
        <f>D3019+1</f>
        <v/>
      </c>
      <c r="E3020" s="8">
        <f>IF(DAY(D3020)=DAY($L$1+1),TRUNC((#REF!),8),E3019)</f>
        <v/>
      </c>
      <c r="F3020" s="49">
        <f>TRUNC(((1+VLOOKUP(A3020,IPCA!$A$2:$C$140,3,0)))^(C3020/(EDATE(D3020-C3020,1)-(D3020-C3020))),8)</f>
        <v/>
      </c>
      <c r="G3020" s="44">
        <f>TRUNC((E3020*F3020),8)</f>
        <v/>
      </c>
      <c r="H3020" s="44">
        <f>ROUND(((1+$H$4)^(30/360))^(C3020/(EDATE(D3020-B3020,1)-(D3020-B3020))),9)</f>
        <v/>
      </c>
      <c r="I3020" s="44">
        <f>TRUNC((G3020*H3020-G3020),8)</f>
        <v/>
      </c>
      <c r="J3020" s="49">
        <f>G3020+I3020</f>
        <v/>
      </c>
      <c r="K3020" s="256" t="n"/>
      <c r="L3020" s="256" t="n"/>
      <c r="M3020" s="256" t="n"/>
      <c r="N3020" s="256" t="n"/>
      <c r="O3020" s="256" t="n"/>
      <c r="P3020" s="256" t="n"/>
      <c r="Q3020" s="256" t="n"/>
    </row>
    <row r="3021">
      <c r="A3021">
        <f>IF(DAY(D3021)=DAY($L$1+1),A3020+1,A3020)</f>
        <v/>
      </c>
      <c r="B3021" s="1">
        <f>IF(DAY(D3021)=DAY($L$1+1),1,B3020+1)</f>
        <v/>
      </c>
      <c r="C3021" s="1">
        <f>IF(DAY(D3021)=DAY($L$1+1),1,C3020+1)</f>
        <v/>
      </c>
      <c r="D3021" s="2">
        <f>D3020+1</f>
        <v/>
      </c>
      <c r="E3021" s="8">
        <f>IF(DAY(D3021)=DAY($L$1+1),TRUNC((#REF!),8),E3020)</f>
        <v/>
      </c>
      <c r="F3021" s="49">
        <f>TRUNC(((1+VLOOKUP(A3021,IPCA!$A$2:$C$140,3,0)))^(C3021/(EDATE(D3021-C3021,1)-(D3021-C3021))),8)</f>
        <v/>
      </c>
      <c r="G3021" s="44">
        <f>TRUNC((E3021*F3021),8)</f>
        <v/>
      </c>
      <c r="H3021" s="44">
        <f>ROUND(((1+$H$4)^(30/360))^(C3021/(EDATE(D3021-B3021,1)-(D3021-B3021))),9)</f>
        <v/>
      </c>
      <c r="I3021" s="44">
        <f>TRUNC((G3021*H3021-G3021),8)</f>
        <v/>
      </c>
      <c r="J3021" s="49">
        <f>G3021+I3021</f>
        <v/>
      </c>
      <c r="K3021" s="256" t="n"/>
      <c r="L3021" s="256" t="n"/>
      <c r="M3021" s="256" t="n"/>
      <c r="N3021" s="256" t="n"/>
      <c r="O3021" s="256" t="n"/>
      <c r="P3021" s="256" t="n"/>
      <c r="Q3021" s="256" t="n"/>
    </row>
    <row r="3022">
      <c r="A3022">
        <f>IF(DAY(D3022)=DAY($L$1+1),A3021+1,A3021)</f>
        <v/>
      </c>
      <c r="B3022" s="46">
        <f>IF(DAY(D3022)=DAY($L$1+1),1,B3021+1)</f>
        <v/>
      </c>
      <c r="C3022" s="46">
        <f>IF(DAY(D3022)=DAY($L$1+1),1,C3021+1)</f>
        <v/>
      </c>
      <c r="D3022" s="2">
        <f>D3021+1</f>
        <v/>
      </c>
      <c r="E3022" s="8">
        <f>IF(DAY(D3022)=DAY($L$1+1),TRUNC((#REF!),8),E3021)</f>
        <v/>
      </c>
      <c r="F3022" s="49">
        <f>TRUNC(((1+VLOOKUP(A3022,IPCA!$A$2:$C$140,3,0)))^(C3022/(EDATE(D3022-C3022,1)-(D3022-C3022))),8)</f>
        <v/>
      </c>
      <c r="G3022" s="44">
        <f>TRUNC((E3022*F3022),8)</f>
        <v/>
      </c>
      <c r="H3022" s="44">
        <f>ROUND(((1+$H$4)^(30/360))^(C3022/(EDATE(D3022-B3022,1)-(D3022-B3022))),9)</f>
        <v/>
      </c>
      <c r="I3022" s="44">
        <f>TRUNC((G3022*H3022-G3022),8)</f>
        <v/>
      </c>
      <c r="J3022" s="49">
        <f>G3022+I3022</f>
        <v/>
      </c>
      <c r="K3022" s="256" t="n"/>
      <c r="L3022" s="256" t="n"/>
      <c r="M3022" s="256" t="n"/>
      <c r="N3022" s="256" t="n"/>
      <c r="O3022" s="256" t="n"/>
      <c r="P3022" s="256" t="n"/>
      <c r="Q3022" s="256" t="n"/>
    </row>
    <row r="3023">
      <c r="A3023">
        <f>IF(DAY(D3023)=DAY($L$1+1),A3022+1,A3022)</f>
        <v/>
      </c>
      <c r="B3023" s="1">
        <f>IF(DAY(D3023)=DAY($L$1+1),1,B3022+1)</f>
        <v/>
      </c>
      <c r="C3023" s="1">
        <f>IF(DAY(D3023)=DAY($L$1+1),1,C3022+1)</f>
        <v/>
      </c>
      <c r="D3023" s="2">
        <f>D3022+1</f>
        <v/>
      </c>
      <c r="E3023" s="8">
        <f>IF(DAY(D3023)=DAY($L$1+1),TRUNC((#REF!),8),E3022)</f>
        <v/>
      </c>
      <c r="F3023" s="49">
        <f>TRUNC(((1+VLOOKUP(A3023,IPCA!$A$2:$C$140,3,0)))^(C3023/(EDATE(D3023-C3023,1)-(D3023-C3023))),8)</f>
        <v/>
      </c>
      <c r="G3023" s="44">
        <f>TRUNC((E3023*F3023),8)</f>
        <v/>
      </c>
      <c r="H3023" s="44">
        <f>ROUND(((1+$H$4)^(30/360))^(C3023/(EDATE(D3023-B3023,1)-(D3023-B3023))),9)</f>
        <v/>
      </c>
      <c r="I3023" s="44">
        <f>TRUNC((G3023*H3023-G3023),8)</f>
        <v/>
      </c>
      <c r="J3023" s="49">
        <f>G3023+I3023</f>
        <v/>
      </c>
      <c r="K3023" s="256" t="n"/>
      <c r="L3023" s="256" t="n"/>
      <c r="M3023" s="256" t="n"/>
      <c r="N3023" s="256" t="n"/>
      <c r="O3023" s="256" t="n"/>
      <c r="P3023" s="256" t="n"/>
      <c r="Q3023" s="256" t="n"/>
    </row>
    <row r="3024">
      <c r="A3024">
        <f>IF(DAY(D3024)=DAY($L$1+1),A3023+1,A3023)</f>
        <v/>
      </c>
      <c r="B3024" s="46">
        <f>IF(DAY(D3024)=DAY($L$1+1),1,B3023+1)</f>
        <v/>
      </c>
      <c r="C3024" s="46">
        <f>IF(DAY(D3024)=DAY($L$1+1),1,C3023+1)</f>
        <v/>
      </c>
      <c r="D3024" s="2">
        <f>D3023+1</f>
        <v/>
      </c>
      <c r="E3024" s="8">
        <f>IF(DAY(D3024)=DAY($L$1+1),TRUNC((N3023),8),E3023)</f>
        <v/>
      </c>
      <c r="F3024" s="49">
        <f>TRUNC(((1+VLOOKUP(A3024,IPCA!$A$2:$C$140,3,0)))^(C3024/(EDATE(D3024-C3024,1)-(D3024-C3024))),8)</f>
        <v/>
      </c>
      <c r="G3024" s="44">
        <f>TRUNC((E3024*F3024),8)</f>
        <v/>
      </c>
      <c r="H3024" s="44">
        <f>ROUND(((1+$H$4)^(30/360))^(C3024/(EDATE(D3024-B3024,1)-(D3024-B3024))),9)</f>
        <v/>
      </c>
      <c r="I3024" s="44">
        <f>TRUNC((G3024*H3024-G3024),8)</f>
        <v/>
      </c>
      <c r="J3024" s="49">
        <f>G3024+I3024</f>
        <v/>
      </c>
      <c r="K3024" s="256" t="n"/>
      <c r="L3024" s="256" t="n"/>
      <c r="M3024" s="256" t="n"/>
      <c r="N3024" s="256" t="n"/>
      <c r="O3024" s="256" t="n"/>
      <c r="P3024" s="256" t="n"/>
      <c r="Q3024" s="256" t="n"/>
    </row>
    <row r="3025">
      <c r="A3025">
        <f>IF(DAY(D3025)=DAY($L$1+1),A3024+1,A3024)</f>
        <v/>
      </c>
      <c r="B3025" s="1">
        <f>IF(DAY(D3025)=DAY($L$1+1),1,B3024+1)</f>
        <v/>
      </c>
      <c r="C3025" s="1">
        <f>IF(DAY(D3025)=DAY($L$1+1),1,C3024+1)</f>
        <v/>
      </c>
      <c r="D3025" s="2">
        <f>D3024+1</f>
        <v/>
      </c>
      <c r="E3025" s="8">
        <f>IF(DAY(D3025)=DAY($L$1+1),TRUNC((N3024),8),E3024)</f>
        <v/>
      </c>
      <c r="F3025" s="49">
        <f>TRUNC(((1+VLOOKUP(A3025,IPCA!$A$2:$C$140,3,0)))^(C3025/(EDATE(D3025-C3025,1)-(D3025-C3025))),8)</f>
        <v/>
      </c>
      <c r="G3025" s="44">
        <f>TRUNC((E3025*F3025),8)</f>
        <v/>
      </c>
      <c r="H3025" s="44">
        <f>ROUND(((1+$H$4)^(30/360))^(C3025/(EDATE(D3025-B3025,1)-(D3025-B3025))),9)</f>
        <v/>
      </c>
      <c r="I3025" s="44">
        <f>TRUNC((G3025*H3025-G3025),8)</f>
        <v/>
      </c>
      <c r="J3025" s="49">
        <f>G3025+I3025</f>
        <v/>
      </c>
      <c r="K3025" s="256" t="n"/>
      <c r="L3025" s="256" t="n"/>
      <c r="M3025" s="256" t="n"/>
      <c r="N3025" s="256" t="n"/>
      <c r="O3025" s="256" t="n"/>
      <c r="P3025" s="256" t="n"/>
      <c r="Q3025" s="256" t="n"/>
    </row>
    <row r="3026">
      <c r="A3026">
        <f>IF(DAY(D3026)=DAY($L$1+1),A3025+1,A3025)</f>
        <v/>
      </c>
      <c r="B3026" s="46">
        <f>IF(DAY(D3026)=DAY($L$1+1),1,B3025+1)</f>
        <v/>
      </c>
      <c r="C3026" s="46">
        <f>IF(DAY(D3026)=DAY($L$1+1),1,C3025+1)</f>
        <v/>
      </c>
      <c r="D3026" s="2">
        <f>D3025+1</f>
        <v/>
      </c>
      <c r="E3026" s="8">
        <f>IF(DAY(D3026)=DAY($L$1+1),TRUNC((N3025),8),E3025)</f>
        <v/>
      </c>
      <c r="F3026" s="49">
        <f>TRUNC(((1+VLOOKUP(A3026,IPCA!$A$2:$C$140,3,0)))^(C3026/(EDATE(D3026-C3026,1)-(D3026-C3026))),8)</f>
        <v/>
      </c>
      <c r="G3026" s="44">
        <f>TRUNC((E3026*F3026),8)</f>
        <v/>
      </c>
      <c r="H3026" s="44">
        <f>ROUND(((1+$H$4)^(30/360))^(C3026/(EDATE(D3026-B3026,1)-(D3026-B3026))),9)</f>
        <v/>
      </c>
      <c r="I3026" s="44">
        <f>TRUNC((G3026*H3026-G3026),8)</f>
        <v/>
      </c>
      <c r="J3026" s="49">
        <f>G3026+I3026</f>
        <v/>
      </c>
      <c r="K3026" s="256" t="n"/>
      <c r="L3026" s="256" t="n"/>
      <c r="M3026" s="256" t="n"/>
      <c r="N3026" s="256" t="n"/>
      <c r="O3026" s="256" t="n"/>
      <c r="P3026" s="256" t="n"/>
      <c r="Q3026" s="256" t="n"/>
    </row>
    <row r="3027">
      <c r="A3027">
        <f>IF(DAY(D3027)=DAY($L$1+1),A3026+1,A3026)</f>
        <v/>
      </c>
      <c r="B3027" s="1">
        <f>IF(DAY(D3027)=DAY($L$1+1),1,B3026+1)</f>
        <v/>
      </c>
      <c r="C3027" s="1">
        <f>IF(DAY(D3027)=DAY($L$1+1),1,C3026+1)</f>
        <v/>
      </c>
      <c r="D3027" s="2">
        <f>D3026+1</f>
        <v/>
      </c>
      <c r="E3027" s="8">
        <f>IF(DAY(D3027)=DAY($L$1+1),TRUNC((N3026),8),E3026)</f>
        <v/>
      </c>
      <c r="F3027" s="49">
        <f>TRUNC(((1+VLOOKUP(A3027,IPCA!$A$2:$C$140,3,0)))^(C3027/(EDATE(D3027-C3027,1)-(D3027-C3027))),8)</f>
        <v/>
      </c>
      <c r="G3027" s="44">
        <f>TRUNC((E3027*F3027),8)</f>
        <v/>
      </c>
      <c r="H3027" s="44">
        <f>ROUND(((1+$H$4)^(30/360))^(C3027/(EDATE(D3027-B3027,1)-(D3027-B3027))),9)</f>
        <v/>
      </c>
      <c r="I3027" s="44">
        <f>TRUNC((G3027*H3027-G3027),8)</f>
        <v/>
      </c>
      <c r="J3027" s="49">
        <f>G3027+I3027</f>
        <v/>
      </c>
      <c r="K3027" s="256" t="n"/>
      <c r="L3027" s="256" t="n"/>
      <c r="M3027" s="256" t="n"/>
      <c r="N3027" s="256" t="n"/>
      <c r="O3027" s="256" t="n"/>
      <c r="P3027" s="256" t="n"/>
      <c r="Q3027" s="256" t="n"/>
    </row>
    <row r="3028">
      <c r="A3028">
        <f>IF(DAY(D3028)=DAY($L$1+1),A3027+1,A3027)</f>
        <v/>
      </c>
      <c r="B3028" s="46">
        <f>IF(DAY(D3028)=DAY($L$1+1),1,B3027+1)</f>
        <v/>
      </c>
      <c r="C3028" s="46">
        <f>IF(DAY(D3028)=DAY($L$1+1),1,C3027+1)</f>
        <v/>
      </c>
      <c r="D3028" s="2">
        <f>D3027+1</f>
        <v/>
      </c>
      <c r="E3028" s="8">
        <f>IF(DAY(D3028)=DAY($L$1+1),TRUNC((N3027),8),E3027)</f>
        <v/>
      </c>
      <c r="F3028" s="49">
        <f>TRUNC(((1+VLOOKUP(A3028,IPCA!$A$2:$C$140,3,0)))^(C3028/(EDATE(D3028-C3028,1)-(D3028-C3028))),8)</f>
        <v/>
      </c>
      <c r="G3028" s="44">
        <f>TRUNC((E3028*F3028),8)</f>
        <v/>
      </c>
      <c r="H3028" s="44">
        <f>ROUND(((1+$H$4)^(30/360))^(C3028/(EDATE(D3028-B3028,1)-(D3028-B3028))),9)</f>
        <v/>
      </c>
      <c r="I3028" s="44">
        <f>TRUNC((G3028*H3028-G3028),8)</f>
        <v/>
      </c>
      <c r="J3028" s="49">
        <f>G3028+I3028</f>
        <v/>
      </c>
      <c r="K3028" s="256" t="n"/>
      <c r="L3028" s="256" t="n"/>
      <c r="M3028" s="256" t="n"/>
      <c r="N3028" s="256" t="n"/>
      <c r="O3028" s="256" t="n"/>
      <c r="P3028" s="256" t="n"/>
      <c r="Q3028" s="256" t="n"/>
    </row>
    <row r="3029">
      <c r="A3029">
        <f>IF(DAY(D3029)=DAY($L$1+1),A3028+1,A3028)</f>
        <v/>
      </c>
      <c r="B3029" s="1">
        <f>IF(DAY(D3029)=DAY($L$1+1),1,B3028+1)</f>
        <v/>
      </c>
      <c r="C3029" s="1">
        <f>IF(DAY(D3029)=DAY($L$1+1),1,C3028+1)</f>
        <v/>
      </c>
      <c r="D3029" s="2">
        <f>D3028+1</f>
        <v/>
      </c>
      <c r="E3029" s="8">
        <f>IF(DAY(D3029)=DAY($L$1+1),TRUNC((N3028),8),E3028)</f>
        <v/>
      </c>
      <c r="F3029" s="49">
        <f>TRUNC(((1+VLOOKUP(A3029,IPCA!$A$2:$C$140,3,0)))^(C3029/(EDATE(D3029-C3029,1)-(D3029-C3029))),8)</f>
        <v/>
      </c>
      <c r="G3029" s="44">
        <f>TRUNC((E3029*F3029),8)</f>
        <v/>
      </c>
      <c r="H3029" s="44">
        <f>ROUND(((1+$H$4)^(30/360))^(C3029/(EDATE(D3029-B3029,1)-(D3029-B3029))),9)</f>
        <v/>
      </c>
      <c r="I3029" s="44">
        <f>TRUNC((G3029*H3029-G3029),8)</f>
        <v/>
      </c>
      <c r="J3029" s="49">
        <f>G3029+I3029</f>
        <v/>
      </c>
      <c r="K3029" s="256" t="n"/>
      <c r="L3029" s="256" t="n"/>
      <c r="M3029" s="256" t="n"/>
      <c r="N3029" s="256" t="n"/>
      <c r="O3029" s="256" t="n"/>
      <c r="P3029" s="256" t="n"/>
      <c r="Q3029" s="256" t="n"/>
    </row>
    <row r="3030">
      <c r="A3030">
        <f>IF(DAY(D3030)=DAY($L$1+1),A3029+1,A3029)</f>
        <v/>
      </c>
      <c r="B3030" s="46">
        <f>IF(DAY(D3030)=DAY($L$1+1),1,B3029+1)</f>
        <v/>
      </c>
      <c r="C3030" s="46">
        <f>IF(DAY(D3030)=DAY($L$1+1),1,C3029+1)</f>
        <v/>
      </c>
      <c r="D3030" s="2">
        <f>D3029+1</f>
        <v/>
      </c>
      <c r="E3030" s="8">
        <f>IF(DAY(D3030)=DAY($L$1+1),TRUNC((N3029),8),E3029)</f>
        <v/>
      </c>
      <c r="F3030" s="49">
        <f>TRUNC(((1+VLOOKUP(A3030,IPCA!$A$2:$C$140,3,0)))^(C3030/(EDATE(D3030-C3030,1)-(D3030-C3030))),8)</f>
        <v/>
      </c>
      <c r="G3030" s="44">
        <f>TRUNC((E3030*F3030),8)</f>
        <v/>
      </c>
      <c r="H3030" s="44">
        <f>ROUND(((1+$H$4)^(30/360))^(C3030/(EDATE(D3030-B3030,1)-(D3030-B3030))),9)</f>
        <v/>
      </c>
      <c r="I3030" s="44">
        <f>TRUNC((G3030*H3030-G3030),8)</f>
        <v/>
      </c>
      <c r="J3030" s="49">
        <f>G3030+I3030</f>
        <v/>
      </c>
      <c r="K3030" s="256" t="n"/>
      <c r="L3030" s="256" t="n"/>
      <c r="M3030" s="256" t="n"/>
      <c r="N3030" s="256" t="n"/>
      <c r="O3030" s="256" t="n"/>
      <c r="P3030" s="256" t="n"/>
      <c r="Q3030" s="256" t="n"/>
    </row>
    <row r="3031">
      <c r="A3031">
        <f>IF(DAY(D3031)=DAY($L$1+1),A3030+1,A3030)</f>
        <v/>
      </c>
      <c r="B3031" s="46">
        <f>IF(DAY(D3031)=DAY($L$1+1),1,B3030+1)</f>
        <v/>
      </c>
      <c r="C3031" s="46">
        <f>IF(DAY(D3031)=DAY($L$1+1),1,C3030+1)</f>
        <v/>
      </c>
      <c r="D3031" s="2">
        <f>D3030+1</f>
        <v/>
      </c>
      <c r="E3031" s="8">
        <f>IF(DAY(D3031)=DAY($L$1+1),TRUNC((N3030),8),E3030)</f>
        <v/>
      </c>
      <c r="F3031" s="49">
        <f>TRUNC(((1+VLOOKUP(A3031,IPCA!$A$2:$C$140,3,0)))^(C3031/(EDATE(D3031-C3031,1)-(D3031-C3031))),8)</f>
        <v/>
      </c>
      <c r="G3031" s="49">
        <f>TRUNC((E3031*F3031),8)</f>
        <v/>
      </c>
      <c r="H3031" s="49">
        <f>ROUND(((1+$H$4)^(30/360))^(C3031/(EDATE(D3031-B3031,1)-(D3031-B3031))),9)</f>
        <v/>
      </c>
      <c r="I3031" s="49">
        <f>TRUNC((G3031*H3031-G3031),8)</f>
        <v/>
      </c>
      <c r="J3031" s="49">
        <f>G3031+I3031</f>
        <v/>
      </c>
      <c r="K3031" s="256" t="inlineStr">
        <is>
          <t>Cri Integralizado</t>
        </is>
      </c>
      <c r="L3031" s="270">
        <f>L3001</f>
        <v/>
      </c>
      <c r="M3031" s="256" t="n"/>
      <c r="N3031" s="256" t="n"/>
      <c r="O3031" s="256" t="n"/>
      <c r="P3031" s="256" t="n"/>
      <c r="Q3031" s="256" t="n"/>
    </row>
    <row r="3032">
      <c r="A3032">
        <f>IF(DAY(D3032)=DAY($L$1+1),A3031+1,A3031)</f>
        <v/>
      </c>
      <c r="B3032" s="46">
        <f>IF(DAY(D3032)=DAY($L$1+1),1,B3031+1)</f>
        <v/>
      </c>
      <c r="C3032" s="46">
        <f>IF(DAY(D3032)=DAY($L$1+1),1,C3031+1)</f>
        <v/>
      </c>
      <c r="D3032" s="47">
        <f>D3031+1</f>
        <v/>
      </c>
      <c r="E3032" s="8">
        <f>IF(DAY(D3032)=DAY($L$1+1),TRUNC((N3031),8),E3031)</f>
        <v/>
      </c>
      <c r="F3032" s="49">
        <f>TRUNC(((1+VLOOKUP(A3032,IPCA!$A$2:$C$140,3,0)))^(C3032/(EDATE(D3032-C3032,1)-(D3032-C3032))),8)</f>
        <v/>
      </c>
      <c r="G3032" s="49">
        <f>TRUNC((E3032*F3032),8)</f>
        <v/>
      </c>
      <c r="H3032" s="49">
        <f>ROUND(((1+$H$4)^(30/360))^(C3032/(EDATE(D3032-B3032,1)-(D3032-B3032))),9)</f>
        <v/>
      </c>
      <c r="I3032" s="49">
        <f>TRUNC((G3032*H3032-G3032),8)</f>
        <v/>
      </c>
      <c r="J3032" s="49">
        <f>G3032+I3032</f>
        <v/>
      </c>
      <c r="K3032" s="137" t="inlineStr">
        <is>
          <t>JUROS</t>
        </is>
      </c>
      <c r="L3032" s="118" t="inlineStr">
        <is>
          <t>AMORTIZAÇÃO</t>
        </is>
      </c>
      <c r="M3032" s="118" t="inlineStr">
        <is>
          <t>AMEX</t>
        </is>
      </c>
      <c r="N3032" s="118" t="inlineStr">
        <is>
          <t>RESIDUAL</t>
        </is>
      </c>
      <c r="O3032" s="256" t="n"/>
      <c r="P3032" s="256" t="n"/>
      <c r="Q3032" s="256" t="n"/>
    </row>
    <row r="3033">
      <c r="A3033">
        <f>IF(DAY(D3033)=DAY($L$1+1),A3032+1,A3032)</f>
        <v/>
      </c>
      <c r="B3033" s="111">
        <f>IF(DAY(D3033)=DAY($L$1+1),1,B3032+1)</f>
        <v/>
      </c>
      <c r="C3033" s="111">
        <f>IF(DAY(D3033)=DAY($L$1+1),1,C3032+1)</f>
        <v/>
      </c>
      <c r="D3033" s="112">
        <f>D3032+1</f>
        <v/>
      </c>
      <c r="E3033" s="113">
        <f>IF(DAY(D3033)=DAY($L$1+1),TRUNC((N3032),8),E3032)</f>
        <v/>
      </c>
      <c r="F3033" s="114">
        <f>TRUNC(((1+VLOOKUP(A3033,IPCA!$A$2:$C$140,3,0)))^(C3033/(EDATE(D3033-C3033,1)-(D3033-C3033))),8)</f>
        <v/>
      </c>
      <c r="G3033" s="114">
        <f>TRUNC((E3033*F3033),8)</f>
        <v/>
      </c>
      <c r="H3033" s="114">
        <f>ROUND(((1+$H$4)^(30/360))^(C3033/(EDATE(D3033-B3033,1)-(D3033-B3033))),9)</f>
        <v/>
      </c>
      <c r="I3033" s="114">
        <f>TRUNC((G3033*H3033-G3033),8)</f>
        <v/>
      </c>
      <c r="J3033" s="114">
        <f>G3033+I3033</f>
        <v/>
      </c>
      <c r="K3033" s="119">
        <f>I3033</f>
        <v/>
      </c>
      <c r="L3033" s="120">
        <f>TRUNC(G3033*VLOOKUP(D3033,'Amort TS'!$G$3:$H$140,2,0),8)</f>
        <v/>
      </c>
      <c r="M3033" s="120" t="n">
        <v>0</v>
      </c>
      <c r="N3033" s="120">
        <f>J3033-K3033-L3033-M3033</f>
        <v/>
      </c>
      <c r="O3033" s="256" t="n"/>
      <c r="P3033" s="256" t="n"/>
      <c r="Q3033" s="256" t="n"/>
    </row>
    <row r="3034">
      <c r="A3034">
        <f>IF(DAY(D3034)=DAY($L$1+1),A3033+1,A3033)</f>
        <v/>
      </c>
      <c r="B3034" s="46">
        <f>IF(DAY(D3034)=DAY($L$1+1),1,B3033+1)</f>
        <v/>
      </c>
      <c r="C3034" s="46">
        <f>IF(DAY(D3034)=DAY($L$1+1),1,C3033+1)</f>
        <v/>
      </c>
      <c r="D3034" s="2">
        <f>D3033+1</f>
        <v/>
      </c>
      <c r="E3034" s="8">
        <f>IF(DAY(D3034)=DAY($L$1+1),TRUNC((N3033),8),E3033)</f>
        <v/>
      </c>
      <c r="F3034" s="49">
        <f>TRUNC(((1+VLOOKUP(A3034,IPCA!$A$2:$C$140,3,0)))^(C3034/(EDATE(D3034-C3034,1)-(D3034-C3034))),8)</f>
        <v/>
      </c>
      <c r="G3034" s="49">
        <f>TRUNC((E3034*F3034),8)</f>
        <v/>
      </c>
      <c r="H3034" s="49">
        <f>ROUND(((1+$H$4)^(30/360))^(C3034/(EDATE(D3034-B3034,1)-(D3034-B3034))),9)</f>
        <v/>
      </c>
      <c r="I3034" s="49">
        <f>TRUNC((G3034*H3034-G3034),8)</f>
        <v/>
      </c>
      <c r="J3034" s="49">
        <f>G3034+I3034</f>
        <v/>
      </c>
      <c r="K3034" s="121">
        <f>K3033*L3031</f>
        <v/>
      </c>
      <c r="L3034" s="121">
        <f>L3033*L3031</f>
        <v/>
      </c>
      <c r="M3034" s="121">
        <f>M3033*L3031</f>
        <v/>
      </c>
      <c r="N3034" s="121">
        <f>N3033*L3031</f>
        <v/>
      </c>
      <c r="O3034" s="256" t="n"/>
      <c r="P3034" s="256" t="n"/>
      <c r="Q3034" s="256" t="n"/>
    </row>
    <row r="3035">
      <c r="A3035">
        <f>IF(DAY(D3035)=DAY($L$1+1),A3034+1,A3034)</f>
        <v/>
      </c>
      <c r="B3035" s="46">
        <f>IF(DAY(D3035)=DAY($L$1+1),1,B3034+1)</f>
        <v/>
      </c>
      <c r="C3035" s="46">
        <f>IF(DAY(D3035)=DAY($L$1+1),1,C3034+1)</f>
        <v/>
      </c>
      <c r="D3035" s="47">
        <f>D3034+1</f>
        <v/>
      </c>
      <c r="E3035" s="8">
        <f>IF(DAY(D3035)=DAY($L$1+1),TRUNC((N3034),8),E3034)</f>
        <v/>
      </c>
      <c r="F3035" s="49">
        <f>TRUNC(((1+VLOOKUP(A3035,IPCA!$A$2:$C$140,3,0)))^(C3035/(EDATE(D3035-C3035,1)-(D3035-C3035))),8)</f>
        <v/>
      </c>
      <c r="G3035" s="49">
        <f>TRUNC((E3035*F3035),8)</f>
        <v/>
      </c>
      <c r="H3035" s="49">
        <f>ROUND(((1+$H$4)^(30/360))^(C3035/(EDATE(D3035-B3035,1)-(D3035-B3035))),9)</f>
        <v/>
      </c>
      <c r="I3035" s="49">
        <f>TRUNC((G3035*H3035-G3035),8)</f>
        <v/>
      </c>
      <c r="J3035" s="49">
        <f>G3035+I3035</f>
        <v/>
      </c>
      <c r="K3035" s="256" t="n"/>
      <c r="L3035" s="256" t="n"/>
      <c r="M3035" s="256" t="n"/>
      <c r="N3035" s="256" t="n"/>
      <c r="O3035" s="256" t="n"/>
      <c r="P3035" s="256" t="n"/>
      <c r="Q3035" s="256" t="n"/>
    </row>
    <row r="3036">
      <c r="A3036">
        <f>IF(DAY(D3036)=DAY($L$1+1),A3035+1,A3035)</f>
        <v/>
      </c>
      <c r="B3036" s="46">
        <f>IF(DAY(D3036)=DAY($L$1+1),1,B3035+1)</f>
        <v/>
      </c>
      <c r="C3036" s="46">
        <f>IF(DAY(D3036)=DAY($L$1+1),1,C3035+1)</f>
        <v/>
      </c>
      <c r="D3036" s="2">
        <f>D3035+1</f>
        <v/>
      </c>
      <c r="E3036" s="8">
        <f>IF(DAY(D3036)=DAY($L$1+1),TRUNC((#REF!),8),E3035)</f>
        <v/>
      </c>
      <c r="F3036" s="49">
        <f>TRUNC(((1+VLOOKUP(A3036,IPCA!$A$2:$C$140,3,0)))^(C3036/(EDATE(D3036-C3036,1)-(D3036-C3036))),8)</f>
        <v/>
      </c>
      <c r="G3036" s="44">
        <f>TRUNC((E3036*F3036),8)</f>
        <v/>
      </c>
      <c r="H3036" s="44">
        <f>ROUND(((1+$H$4)^(30/360))^(C3036/(EDATE(D3036-B3036,1)-(D3036-B3036))),9)</f>
        <v/>
      </c>
      <c r="I3036" s="44">
        <f>TRUNC((G3036*H3036-G3036),8)</f>
        <v/>
      </c>
      <c r="J3036" s="49">
        <f>G3036+I3036</f>
        <v/>
      </c>
      <c r="K3036" s="256" t="n"/>
      <c r="L3036" s="256" t="n"/>
      <c r="M3036" s="256" t="n"/>
      <c r="N3036" s="256" t="n"/>
      <c r="O3036" s="256" t="n"/>
      <c r="P3036" s="256" t="n"/>
      <c r="Q3036" s="256" t="n"/>
    </row>
    <row r="3037">
      <c r="A3037">
        <f>IF(DAY(D3037)=DAY($L$1+1),A3036+1,A3036)</f>
        <v/>
      </c>
      <c r="B3037" s="1">
        <f>IF(DAY(D3037)=DAY($L$1+1),1,B3036+1)</f>
        <v/>
      </c>
      <c r="C3037" s="1">
        <f>IF(DAY(D3037)=DAY($L$1+1),1,C3036+1)</f>
        <v/>
      </c>
      <c r="D3037" s="2">
        <f>D3036+1</f>
        <v/>
      </c>
      <c r="E3037" s="8">
        <f>IF(DAY(D3037)=DAY($L$1+1),TRUNC((#REF!),8),E3036)</f>
        <v/>
      </c>
      <c r="F3037" s="49">
        <f>TRUNC(((1+VLOOKUP(A3037,IPCA!$A$2:$C$140,3,0)))^(C3037/(EDATE(D3037-C3037,1)-(D3037-C3037))),8)</f>
        <v/>
      </c>
      <c r="G3037" s="44">
        <f>TRUNC((E3037*F3037),8)</f>
        <v/>
      </c>
      <c r="H3037" s="44">
        <f>ROUND(((1+$H$4)^(30/360))^(C3037/(EDATE(D3037-B3037,1)-(D3037-B3037))),9)</f>
        <v/>
      </c>
      <c r="I3037" s="44">
        <f>TRUNC((G3037*H3037-G3037),8)</f>
        <v/>
      </c>
      <c r="J3037" s="49">
        <f>G3037+I3037</f>
        <v/>
      </c>
      <c r="K3037" s="256" t="n"/>
      <c r="L3037" s="256" t="n"/>
      <c r="M3037" s="256" t="n"/>
      <c r="N3037" s="256" t="n"/>
      <c r="O3037" s="256" t="n"/>
      <c r="P3037" s="256" t="n"/>
      <c r="Q3037" s="256" t="n"/>
    </row>
    <row r="3038">
      <c r="A3038">
        <f>IF(DAY(D3038)=DAY($L$1+1),A3037+1,A3037)</f>
        <v/>
      </c>
      <c r="B3038" s="46">
        <f>IF(DAY(D3038)=DAY($L$1+1),1,B3037+1)</f>
        <v/>
      </c>
      <c r="C3038" s="46">
        <f>IF(DAY(D3038)=DAY($L$1+1),1,C3037+1)</f>
        <v/>
      </c>
      <c r="D3038" s="2">
        <f>D3037+1</f>
        <v/>
      </c>
      <c r="E3038" s="8">
        <f>IF(DAY(D3038)=DAY($L$1+1),TRUNC((#REF!),8),E3037)</f>
        <v/>
      </c>
      <c r="F3038" s="49">
        <f>TRUNC(((1+VLOOKUP(A3038,IPCA!$A$2:$C$140,3,0)))^(C3038/(EDATE(D3038-C3038,1)-(D3038-C3038))),8)</f>
        <v/>
      </c>
      <c r="G3038" s="44">
        <f>TRUNC((E3038*F3038),8)</f>
        <v/>
      </c>
      <c r="H3038" s="44">
        <f>ROUND(((1+$H$4)^(30/360))^(C3038/(EDATE(D3038-B3038,1)-(D3038-B3038))),9)</f>
        <v/>
      </c>
      <c r="I3038" s="44">
        <f>TRUNC((G3038*H3038-G3038),8)</f>
        <v/>
      </c>
      <c r="J3038" s="49">
        <f>G3038+I3038</f>
        <v/>
      </c>
      <c r="K3038" s="256" t="n"/>
      <c r="L3038" s="256" t="n"/>
      <c r="M3038" s="256" t="n"/>
      <c r="N3038" s="256" t="n"/>
      <c r="O3038" s="256" t="n"/>
      <c r="P3038" s="256" t="n"/>
      <c r="Q3038" s="256" t="n"/>
    </row>
    <row r="3039">
      <c r="A3039">
        <f>IF(DAY(D3039)=DAY($L$1+1),A3038+1,A3038)</f>
        <v/>
      </c>
      <c r="B3039" s="1">
        <f>IF(DAY(D3039)=DAY($L$1+1),1,B3038+1)</f>
        <v/>
      </c>
      <c r="C3039" s="1">
        <f>IF(DAY(D3039)=DAY($L$1+1),1,C3038+1)</f>
        <v/>
      </c>
      <c r="D3039" s="2">
        <f>D3038+1</f>
        <v/>
      </c>
      <c r="E3039" s="8">
        <f>IF(DAY(D3039)=DAY($L$1+1),TRUNC((#REF!),8),E3038)</f>
        <v/>
      </c>
      <c r="F3039" s="49">
        <f>TRUNC(((1+VLOOKUP(A3039,IPCA!$A$2:$C$140,3,0)))^(C3039/(EDATE(D3039-C3039,1)-(D3039-C3039))),8)</f>
        <v/>
      </c>
      <c r="G3039" s="44">
        <f>TRUNC((E3039*F3039),8)</f>
        <v/>
      </c>
      <c r="H3039" s="44">
        <f>ROUND(((1+$H$4)^(30/360))^(C3039/(EDATE(D3039-B3039,1)-(D3039-B3039))),9)</f>
        <v/>
      </c>
      <c r="I3039" s="44">
        <f>TRUNC((G3039*H3039-G3039),8)</f>
        <v/>
      </c>
      <c r="J3039" s="49">
        <f>G3039+I3039</f>
        <v/>
      </c>
      <c r="K3039" s="256" t="n"/>
      <c r="L3039" s="256" t="n"/>
      <c r="M3039" s="256" t="n"/>
      <c r="N3039" s="256" t="n"/>
      <c r="O3039" s="256" t="n"/>
      <c r="P3039" s="256" t="n"/>
      <c r="Q3039" s="256" t="n"/>
    </row>
    <row r="3040">
      <c r="A3040">
        <f>IF(DAY(D3040)=DAY($L$1+1),A3039+1,A3039)</f>
        <v/>
      </c>
      <c r="B3040" s="46">
        <f>IF(DAY(D3040)=DAY($L$1+1),1,B3039+1)</f>
        <v/>
      </c>
      <c r="C3040" s="46">
        <f>IF(DAY(D3040)=DAY($L$1+1),1,C3039+1)</f>
        <v/>
      </c>
      <c r="D3040" s="2">
        <f>D3039+1</f>
        <v/>
      </c>
      <c r="E3040" s="8">
        <f>IF(DAY(D3040)=DAY($L$1+1),TRUNC((#REF!),8),E3039)</f>
        <v/>
      </c>
      <c r="F3040" s="49">
        <f>TRUNC(((1+VLOOKUP(A3040,IPCA!$A$2:$C$140,3,0)))^(C3040/(EDATE(D3040-C3040,1)-(D3040-C3040))),8)</f>
        <v/>
      </c>
      <c r="G3040" s="44">
        <f>TRUNC((E3040*F3040),8)</f>
        <v/>
      </c>
      <c r="H3040" s="44">
        <f>ROUND(((1+$H$4)^(30/360))^(C3040/(EDATE(D3040-B3040,1)-(D3040-B3040))),9)</f>
        <v/>
      </c>
      <c r="I3040" s="44">
        <f>TRUNC((G3040*H3040-G3040),8)</f>
        <v/>
      </c>
      <c r="J3040" s="49">
        <f>G3040+I3040</f>
        <v/>
      </c>
      <c r="K3040" s="256" t="n"/>
      <c r="L3040" s="256" t="n"/>
      <c r="M3040" s="256" t="n"/>
      <c r="N3040" s="256" t="n"/>
      <c r="O3040" s="256" t="n"/>
      <c r="P3040" s="256" t="n"/>
      <c r="Q3040" s="256" t="n"/>
    </row>
    <row r="3041">
      <c r="A3041">
        <f>IF(DAY(D3041)=DAY($L$1+1),A3040+1,A3040)</f>
        <v/>
      </c>
      <c r="B3041" s="1">
        <f>IF(DAY(D3041)=DAY($L$1+1),1,B3040+1)</f>
        <v/>
      </c>
      <c r="C3041" s="1">
        <f>IF(DAY(D3041)=DAY($L$1+1),1,C3040+1)</f>
        <v/>
      </c>
      <c r="D3041" s="2">
        <f>D3040+1</f>
        <v/>
      </c>
      <c r="E3041" s="8">
        <f>IF(DAY(D3041)=DAY($L$1+1),TRUNC((#REF!),8),E3040)</f>
        <v/>
      </c>
      <c r="F3041" s="49">
        <f>TRUNC(((1+VLOOKUP(A3041,IPCA!$A$2:$C$140,3,0)))^(C3041/(EDATE(D3041-C3041,1)-(D3041-C3041))),8)</f>
        <v/>
      </c>
      <c r="G3041" s="44">
        <f>TRUNC((E3041*F3041),8)</f>
        <v/>
      </c>
      <c r="H3041" s="44">
        <f>ROUND(((1+$H$4)^(30/360))^(C3041/(EDATE(D3041-B3041,1)-(D3041-B3041))),9)</f>
        <v/>
      </c>
      <c r="I3041" s="44">
        <f>TRUNC((G3041*H3041-G3041),8)</f>
        <v/>
      </c>
      <c r="J3041" s="49">
        <f>G3041+I3041</f>
        <v/>
      </c>
      <c r="K3041" s="256" t="n"/>
      <c r="L3041" s="256" t="n"/>
      <c r="M3041" s="256" t="n"/>
      <c r="N3041" s="256" t="n"/>
      <c r="O3041" s="256" t="n"/>
      <c r="P3041" s="256" t="n"/>
      <c r="Q3041" s="256" t="n"/>
    </row>
    <row r="3042">
      <c r="A3042">
        <f>IF(DAY(D3042)=DAY($L$1+1),A3041+1,A3041)</f>
        <v/>
      </c>
      <c r="B3042" s="46">
        <f>IF(DAY(D3042)=DAY($L$1+1),1,B3041+1)</f>
        <v/>
      </c>
      <c r="C3042" s="46">
        <f>IF(DAY(D3042)=DAY($L$1+1),1,C3041+1)</f>
        <v/>
      </c>
      <c r="D3042" s="2">
        <f>D3041+1</f>
        <v/>
      </c>
      <c r="E3042" s="8">
        <f>IF(DAY(D3042)=DAY($L$1+1),TRUNC((#REF!),8),E3041)</f>
        <v/>
      </c>
      <c r="F3042" s="49">
        <f>TRUNC(((1+VLOOKUP(A3042,IPCA!$A$2:$C$140,3,0)))^(C3042/(EDATE(D3042-C3042,1)-(D3042-C3042))),8)</f>
        <v/>
      </c>
      <c r="G3042" s="44">
        <f>TRUNC((E3042*F3042),8)</f>
        <v/>
      </c>
      <c r="H3042" s="44">
        <f>ROUND(((1+$H$4)^(30/360))^(C3042/(EDATE(D3042-B3042,1)-(D3042-B3042))),9)</f>
        <v/>
      </c>
      <c r="I3042" s="44">
        <f>TRUNC((G3042*H3042-G3042),8)</f>
        <v/>
      </c>
      <c r="J3042" s="49">
        <f>G3042+I3042</f>
        <v/>
      </c>
      <c r="K3042" s="256" t="n"/>
      <c r="L3042" s="256" t="n"/>
      <c r="M3042" s="256" t="n"/>
      <c r="N3042" s="256" t="n"/>
      <c r="O3042" s="256" t="n"/>
      <c r="P3042" s="256" t="n"/>
      <c r="Q3042" s="256" t="n"/>
    </row>
    <row r="3043">
      <c r="A3043">
        <f>IF(DAY(D3043)=DAY($L$1+1),A3042+1,A3042)</f>
        <v/>
      </c>
      <c r="B3043" s="1">
        <f>IF(DAY(D3043)=DAY($L$1+1),1,B3042+1)</f>
        <v/>
      </c>
      <c r="C3043" s="1">
        <f>IF(DAY(D3043)=DAY($L$1+1),1,C3042+1)</f>
        <v/>
      </c>
      <c r="D3043" s="2">
        <f>D3042+1</f>
        <v/>
      </c>
      <c r="E3043" s="8">
        <f>IF(DAY(D3043)=DAY($L$1+1),TRUNC((#REF!),8),E3042)</f>
        <v/>
      </c>
      <c r="F3043" s="49">
        <f>TRUNC(((1+VLOOKUP(A3043,IPCA!$A$2:$C$140,3,0)))^(C3043/(EDATE(D3043-C3043,1)-(D3043-C3043))),8)</f>
        <v/>
      </c>
      <c r="G3043" s="44">
        <f>TRUNC((E3043*F3043),8)</f>
        <v/>
      </c>
      <c r="H3043" s="44">
        <f>ROUND(((1+$H$4)^(30/360))^(C3043/(EDATE(D3043-B3043,1)-(D3043-B3043))),9)</f>
        <v/>
      </c>
      <c r="I3043" s="44">
        <f>TRUNC((G3043*H3043-G3043),8)</f>
        <v/>
      </c>
      <c r="J3043" s="49">
        <f>G3043+I3043</f>
        <v/>
      </c>
      <c r="K3043" s="256" t="n"/>
      <c r="L3043" s="256" t="n"/>
      <c r="M3043" s="256" t="n"/>
      <c r="N3043" s="256" t="n"/>
      <c r="O3043" s="256" t="n"/>
      <c r="P3043" s="256" t="n"/>
      <c r="Q3043" s="256" t="n"/>
    </row>
    <row r="3044">
      <c r="A3044">
        <f>IF(DAY(D3044)=DAY($L$1+1),A3043+1,A3043)</f>
        <v/>
      </c>
      <c r="B3044" s="46">
        <f>IF(DAY(D3044)=DAY($L$1+1),1,B3043+1)</f>
        <v/>
      </c>
      <c r="C3044" s="46">
        <f>IF(DAY(D3044)=DAY($L$1+1),1,C3043+1)</f>
        <v/>
      </c>
      <c r="D3044" s="2">
        <f>D3043+1</f>
        <v/>
      </c>
      <c r="E3044" s="8">
        <f>IF(DAY(D3044)=DAY($L$1+1),TRUNC((#REF!),8),E3043)</f>
        <v/>
      </c>
      <c r="F3044" s="49">
        <f>TRUNC(((1+VLOOKUP(A3044,IPCA!$A$2:$C$140,3,0)))^(C3044/(EDATE(D3044-C3044,1)-(D3044-C3044))),8)</f>
        <v/>
      </c>
      <c r="G3044" s="44">
        <f>TRUNC((E3044*F3044),8)</f>
        <v/>
      </c>
      <c r="H3044" s="44">
        <f>ROUND(((1+$H$4)^(30/360))^(C3044/(EDATE(D3044-B3044,1)-(D3044-B3044))),9)</f>
        <v/>
      </c>
      <c r="I3044" s="44">
        <f>TRUNC((G3044*H3044-G3044),8)</f>
        <v/>
      </c>
      <c r="J3044" s="49">
        <f>G3044+I3044</f>
        <v/>
      </c>
      <c r="K3044" s="256" t="n"/>
      <c r="L3044" s="256" t="n"/>
      <c r="M3044" s="256" t="n"/>
      <c r="N3044" s="256" t="n"/>
      <c r="O3044" s="256" t="n"/>
      <c r="P3044" s="256" t="n"/>
      <c r="Q3044" s="256" t="n"/>
    </row>
    <row r="3045">
      <c r="A3045">
        <f>IF(DAY(D3045)=DAY($L$1+1),A3044+1,A3044)</f>
        <v/>
      </c>
      <c r="B3045" s="1">
        <f>IF(DAY(D3045)=DAY($L$1+1),1,B3044+1)</f>
        <v/>
      </c>
      <c r="C3045" s="1">
        <f>IF(DAY(D3045)=DAY($L$1+1),1,C3044+1)</f>
        <v/>
      </c>
      <c r="D3045" s="2">
        <f>D3044+1</f>
        <v/>
      </c>
      <c r="E3045" s="8">
        <f>IF(DAY(D3045)=DAY($L$1+1),TRUNC((#REF!),8),E3044)</f>
        <v/>
      </c>
      <c r="F3045" s="49">
        <f>TRUNC(((1+VLOOKUP(A3045,IPCA!$A$2:$C$140,3,0)))^(C3045/(EDATE(D3045-C3045,1)-(D3045-C3045))),8)</f>
        <v/>
      </c>
      <c r="G3045" s="44">
        <f>TRUNC((E3045*F3045),8)</f>
        <v/>
      </c>
      <c r="H3045" s="44">
        <f>ROUND(((1+$H$4)^(30/360))^(C3045/(EDATE(D3045-B3045,1)-(D3045-B3045))),9)</f>
        <v/>
      </c>
      <c r="I3045" s="44">
        <f>TRUNC((G3045*H3045-G3045),8)</f>
        <v/>
      </c>
      <c r="J3045" s="49">
        <f>G3045+I3045</f>
        <v/>
      </c>
      <c r="K3045" s="256" t="n"/>
      <c r="L3045" s="256" t="n"/>
      <c r="M3045" s="256" t="n"/>
      <c r="N3045" s="256" t="n"/>
      <c r="O3045" s="256" t="n"/>
      <c r="P3045" s="256" t="n"/>
      <c r="Q3045" s="256" t="n"/>
    </row>
    <row r="3046">
      <c r="A3046">
        <f>IF(DAY(D3046)=DAY($L$1+1),A3045+1,A3045)</f>
        <v/>
      </c>
      <c r="B3046" s="46">
        <f>IF(DAY(D3046)=DAY($L$1+1),1,B3045+1)</f>
        <v/>
      </c>
      <c r="C3046" s="46">
        <f>IF(DAY(D3046)=DAY($L$1+1),1,C3045+1)</f>
        <v/>
      </c>
      <c r="D3046" s="2">
        <f>D3045+1</f>
        <v/>
      </c>
      <c r="E3046" s="8">
        <f>IF(DAY(D3046)=DAY($L$1+1),TRUNC((#REF!),8),E3045)</f>
        <v/>
      </c>
      <c r="F3046" s="49">
        <f>TRUNC(((1+VLOOKUP(A3046,IPCA!$A$2:$C$140,3,0)))^(C3046/(EDATE(D3046-C3046,1)-(D3046-C3046))),8)</f>
        <v/>
      </c>
      <c r="G3046" s="44">
        <f>TRUNC((E3046*F3046),8)</f>
        <v/>
      </c>
      <c r="H3046" s="44">
        <f>ROUND(((1+$H$4)^(30/360))^(C3046/(EDATE(D3046-B3046,1)-(D3046-B3046))),9)</f>
        <v/>
      </c>
      <c r="I3046" s="44">
        <f>TRUNC((G3046*H3046-G3046),8)</f>
        <v/>
      </c>
      <c r="J3046" s="49">
        <f>G3046+I3046</f>
        <v/>
      </c>
      <c r="K3046" s="256" t="n"/>
      <c r="L3046" s="256" t="n"/>
      <c r="M3046" s="256" t="n"/>
      <c r="N3046" s="256" t="n"/>
      <c r="O3046" s="256" t="n"/>
      <c r="P3046" s="256" t="n"/>
      <c r="Q3046" s="256" t="n"/>
    </row>
    <row r="3047">
      <c r="A3047">
        <f>IF(DAY(D3047)=DAY($L$1+1),A3046+1,A3046)</f>
        <v/>
      </c>
      <c r="B3047" s="1">
        <f>IF(DAY(D3047)=DAY($L$1+1),1,B3046+1)</f>
        <v/>
      </c>
      <c r="C3047" s="1">
        <f>IF(DAY(D3047)=DAY($L$1+1),1,C3046+1)</f>
        <v/>
      </c>
      <c r="D3047" s="2">
        <f>D3046+1</f>
        <v/>
      </c>
      <c r="E3047" s="8">
        <f>IF(DAY(D3047)=DAY($L$1+1),TRUNC((#REF!),8),E3046)</f>
        <v/>
      </c>
      <c r="F3047" s="49">
        <f>TRUNC(((1+VLOOKUP(A3047,IPCA!$A$2:$C$140,3,0)))^(C3047/(EDATE(D3047-C3047,1)-(D3047-C3047))),8)</f>
        <v/>
      </c>
      <c r="G3047" s="44">
        <f>TRUNC((E3047*F3047),8)</f>
        <v/>
      </c>
      <c r="H3047" s="44">
        <f>ROUND(((1+$H$4)^(30/360))^(C3047/(EDATE(D3047-B3047,1)-(D3047-B3047))),9)</f>
        <v/>
      </c>
      <c r="I3047" s="44">
        <f>TRUNC((G3047*H3047-G3047),8)</f>
        <v/>
      </c>
      <c r="J3047" s="49">
        <f>G3047+I3047</f>
        <v/>
      </c>
      <c r="K3047" s="256" t="n"/>
      <c r="L3047" s="256" t="n"/>
      <c r="M3047" s="256" t="n"/>
      <c r="N3047" s="256" t="n"/>
      <c r="O3047" s="256" t="n"/>
      <c r="P3047" s="256" t="n"/>
      <c r="Q3047" s="256" t="n"/>
    </row>
    <row r="3048">
      <c r="A3048">
        <f>IF(DAY(D3048)=DAY($L$1+1),A3047+1,A3047)</f>
        <v/>
      </c>
      <c r="B3048" s="46">
        <f>IF(DAY(D3048)=DAY($L$1+1),1,B3047+1)</f>
        <v/>
      </c>
      <c r="C3048" s="46">
        <f>IF(DAY(D3048)=DAY($L$1+1),1,C3047+1)</f>
        <v/>
      </c>
      <c r="D3048" s="2">
        <f>D3047+1</f>
        <v/>
      </c>
      <c r="E3048" s="8">
        <f>IF(DAY(D3048)=DAY($L$1+1),TRUNC((#REF!),8),E3047)</f>
        <v/>
      </c>
      <c r="F3048" s="49">
        <f>TRUNC(((1+VLOOKUP(A3048,IPCA!$A$2:$C$140,3,0)))^(C3048/(EDATE(D3048-C3048,1)-(D3048-C3048))),8)</f>
        <v/>
      </c>
      <c r="G3048" s="44">
        <f>TRUNC((E3048*F3048),8)</f>
        <v/>
      </c>
      <c r="H3048" s="44">
        <f>ROUND(((1+$H$4)^(30/360))^(C3048/(EDATE(D3048-B3048,1)-(D3048-B3048))),9)</f>
        <v/>
      </c>
      <c r="I3048" s="44">
        <f>TRUNC((G3048*H3048-G3048),8)</f>
        <v/>
      </c>
      <c r="J3048" s="49">
        <f>G3048+I3048</f>
        <v/>
      </c>
      <c r="K3048" s="256" t="n"/>
      <c r="L3048" s="256" t="n"/>
      <c r="M3048" s="256" t="n"/>
      <c r="N3048" s="256" t="n"/>
      <c r="O3048" s="256" t="n"/>
      <c r="P3048" s="256" t="n"/>
      <c r="Q3048" s="256" t="n"/>
    </row>
    <row r="3049">
      <c r="A3049">
        <f>IF(DAY(D3049)=DAY($L$1+1),A3048+1,A3048)</f>
        <v/>
      </c>
      <c r="B3049" s="1">
        <f>IF(DAY(D3049)=DAY($L$1+1),1,B3048+1)</f>
        <v/>
      </c>
      <c r="C3049" s="1">
        <f>IF(DAY(D3049)=DAY($L$1+1),1,C3048+1)</f>
        <v/>
      </c>
      <c r="D3049" s="2">
        <f>D3048+1</f>
        <v/>
      </c>
      <c r="E3049" s="8">
        <f>IF(DAY(D3049)=DAY($L$1+1),TRUNC((#REF!),8),E3048)</f>
        <v/>
      </c>
      <c r="F3049" s="49">
        <f>TRUNC(((1+VLOOKUP(A3049,IPCA!$A$2:$C$140,3,0)))^(C3049/(EDATE(D3049-C3049,1)-(D3049-C3049))),8)</f>
        <v/>
      </c>
      <c r="G3049" s="44">
        <f>TRUNC((E3049*F3049),8)</f>
        <v/>
      </c>
      <c r="H3049" s="44">
        <f>ROUND(((1+$H$4)^(30/360))^(C3049/(EDATE(D3049-B3049,1)-(D3049-B3049))),9)</f>
        <v/>
      </c>
      <c r="I3049" s="44">
        <f>TRUNC((G3049*H3049-G3049),8)</f>
        <v/>
      </c>
      <c r="J3049" s="49">
        <f>G3049+I3049</f>
        <v/>
      </c>
      <c r="K3049" s="256" t="n"/>
      <c r="L3049" s="256" t="n"/>
      <c r="M3049" s="256" t="n"/>
      <c r="N3049" s="256" t="n"/>
      <c r="O3049" s="256" t="n"/>
      <c r="P3049" s="256" t="n"/>
      <c r="Q3049" s="256" t="n"/>
    </row>
    <row r="3050">
      <c r="A3050">
        <f>IF(DAY(D3050)=DAY($L$1+1),A3049+1,A3049)</f>
        <v/>
      </c>
      <c r="B3050" s="46">
        <f>IF(DAY(D3050)=DAY($L$1+1),1,B3049+1)</f>
        <v/>
      </c>
      <c r="C3050" s="46">
        <f>IF(DAY(D3050)=DAY($L$1+1),1,C3049+1)</f>
        <v/>
      </c>
      <c r="D3050" s="2">
        <f>D3049+1</f>
        <v/>
      </c>
      <c r="E3050" s="8">
        <f>IF(DAY(D3050)=DAY($L$1+1),TRUNC((#REF!),8),E3049)</f>
        <v/>
      </c>
      <c r="F3050" s="49">
        <f>TRUNC(((1+VLOOKUP(A3050,IPCA!$A$2:$C$140,3,0)))^(C3050/(EDATE(D3050-C3050,1)-(D3050-C3050))),8)</f>
        <v/>
      </c>
      <c r="G3050" s="44">
        <f>TRUNC((E3050*F3050),8)</f>
        <v/>
      </c>
      <c r="H3050" s="44">
        <f>ROUND(((1+$H$4)^(30/360))^(C3050/(EDATE(D3050-B3050,1)-(D3050-B3050))),9)</f>
        <v/>
      </c>
      <c r="I3050" s="44">
        <f>TRUNC((G3050*H3050-G3050),8)</f>
        <v/>
      </c>
      <c r="J3050" s="49">
        <f>G3050+I3050</f>
        <v/>
      </c>
      <c r="K3050" s="256" t="n"/>
      <c r="L3050" s="256" t="n"/>
      <c r="M3050" s="256" t="n"/>
      <c r="N3050" s="256" t="n"/>
      <c r="O3050" s="256" t="n"/>
      <c r="P3050" s="256" t="n"/>
      <c r="Q3050" s="256" t="n"/>
    </row>
    <row r="3051">
      <c r="A3051">
        <f>IF(DAY(D3051)=DAY($L$1+1),A3050+1,A3050)</f>
        <v/>
      </c>
      <c r="B3051" s="1">
        <f>IF(DAY(D3051)=DAY($L$1+1),1,B3050+1)</f>
        <v/>
      </c>
      <c r="C3051" s="1">
        <f>IF(DAY(D3051)=DAY($L$1+1),1,C3050+1)</f>
        <v/>
      </c>
      <c r="D3051" s="2">
        <f>D3050+1</f>
        <v/>
      </c>
      <c r="E3051" s="8">
        <f>IF(DAY(D3051)=DAY($L$1+1),TRUNC((N3050),8),E3050)</f>
        <v/>
      </c>
      <c r="F3051" s="49">
        <f>TRUNC(((1+VLOOKUP(A3051,IPCA!$A$2:$C$140,3,0)))^(C3051/(EDATE(D3051-C3051,1)-(D3051-C3051))),8)</f>
        <v/>
      </c>
      <c r="G3051" s="44">
        <f>TRUNC((E3051*F3051),8)</f>
        <v/>
      </c>
      <c r="H3051" s="44">
        <f>ROUND(((1+$H$4)^(30/360))^(C3051/(EDATE(D3051-B3051,1)-(D3051-B3051))),9)</f>
        <v/>
      </c>
      <c r="I3051" s="44">
        <f>TRUNC((G3051*H3051-G3051),8)</f>
        <v/>
      </c>
      <c r="J3051" s="49">
        <f>G3051+I3051</f>
        <v/>
      </c>
      <c r="K3051" s="256" t="n"/>
      <c r="L3051" s="256" t="n"/>
      <c r="M3051" s="256" t="n"/>
      <c r="N3051" s="256" t="n"/>
      <c r="O3051" s="256" t="n"/>
      <c r="P3051" s="256" t="n"/>
      <c r="Q3051" s="256" t="n"/>
    </row>
    <row r="3052">
      <c r="A3052">
        <f>IF(DAY(D3052)=DAY($L$1+1),A3051+1,A3051)</f>
        <v/>
      </c>
      <c r="B3052" s="46">
        <f>IF(DAY(D3052)=DAY($L$1+1),1,B3051+1)</f>
        <v/>
      </c>
      <c r="C3052" s="46">
        <f>IF(DAY(D3052)=DAY($L$1+1),1,C3051+1)</f>
        <v/>
      </c>
      <c r="D3052" s="2">
        <f>D3051+1</f>
        <v/>
      </c>
      <c r="E3052" s="8">
        <f>IF(DAY(D3052)=DAY($L$1+1),TRUNC((N3051),8),E3051)</f>
        <v/>
      </c>
      <c r="F3052" s="49">
        <f>TRUNC(((1+VLOOKUP(A3052,IPCA!$A$2:$C$140,3,0)))^(C3052/(EDATE(D3052-C3052,1)-(D3052-C3052))),8)</f>
        <v/>
      </c>
      <c r="G3052" s="44">
        <f>TRUNC((E3052*F3052),8)</f>
        <v/>
      </c>
      <c r="H3052" s="44">
        <f>ROUND(((1+$H$4)^(30/360))^(C3052/(EDATE(D3052-B3052,1)-(D3052-B3052))),9)</f>
        <v/>
      </c>
      <c r="I3052" s="44">
        <f>TRUNC((G3052*H3052-G3052),8)</f>
        <v/>
      </c>
      <c r="J3052" s="49">
        <f>G3052+I3052</f>
        <v/>
      </c>
      <c r="K3052" s="256" t="n"/>
      <c r="L3052" s="256" t="n"/>
      <c r="M3052" s="256" t="n"/>
      <c r="N3052" s="256" t="n"/>
      <c r="O3052" s="256" t="n"/>
      <c r="P3052" s="256" t="n"/>
      <c r="Q3052" s="256" t="n"/>
    </row>
    <row r="3053">
      <c r="A3053">
        <f>IF(DAY(D3053)=DAY($L$1+1),A3052+1,A3052)</f>
        <v/>
      </c>
      <c r="B3053" s="1">
        <f>IF(DAY(D3053)=DAY($L$1+1),1,B3052+1)</f>
        <v/>
      </c>
      <c r="C3053" s="1">
        <f>IF(DAY(D3053)=DAY($L$1+1),1,C3052+1)</f>
        <v/>
      </c>
      <c r="D3053" s="2">
        <f>D3052+1</f>
        <v/>
      </c>
      <c r="E3053" s="8">
        <f>IF(DAY(D3053)=DAY($L$1+1),TRUNC((N3052),8),E3052)</f>
        <v/>
      </c>
      <c r="F3053" s="49">
        <f>TRUNC(((1+VLOOKUP(A3053,IPCA!$A$2:$C$140,3,0)))^(C3053/(EDATE(D3053-C3053,1)-(D3053-C3053))),8)</f>
        <v/>
      </c>
      <c r="G3053" s="44">
        <f>TRUNC((E3053*F3053),8)</f>
        <v/>
      </c>
      <c r="H3053" s="44">
        <f>ROUND(((1+$H$4)^(30/360))^(C3053/(EDATE(D3053-B3053,1)-(D3053-B3053))),9)</f>
        <v/>
      </c>
      <c r="I3053" s="44">
        <f>TRUNC((G3053*H3053-G3053),8)</f>
        <v/>
      </c>
      <c r="J3053" s="49">
        <f>G3053+I3053</f>
        <v/>
      </c>
      <c r="K3053" s="256" t="n"/>
      <c r="L3053" s="256" t="n"/>
      <c r="M3053" s="256" t="n"/>
      <c r="N3053" s="256" t="n"/>
      <c r="O3053" s="256" t="n"/>
      <c r="P3053" s="256" t="n"/>
      <c r="Q3053" s="256" t="n"/>
    </row>
    <row r="3054">
      <c r="A3054">
        <f>IF(DAY(D3054)=DAY($L$1+1),A3053+1,A3053)</f>
        <v/>
      </c>
      <c r="B3054" s="46">
        <f>IF(DAY(D3054)=DAY($L$1+1),1,B3053+1)</f>
        <v/>
      </c>
      <c r="C3054" s="46">
        <f>IF(DAY(D3054)=DAY($L$1+1),1,C3053+1)</f>
        <v/>
      </c>
      <c r="D3054" s="2">
        <f>D3053+1</f>
        <v/>
      </c>
      <c r="E3054" s="8">
        <f>IF(DAY(D3054)=DAY($L$1+1),TRUNC((N3053),8),E3053)</f>
        <v/>
      </c>
      <c r="F3054" s="49">
        <f>TRUNC(((1+VLOOKUP(A3054,IPCA!$A$2:$C$140,3,0)))^(C3054/(EDATE(D3054-C3054,1)-(D3054-C3054))),8)</f>
        <v/>
      </c>
      <c r="G3054" s="44">
        <f>TRUNC((E3054*F3054),8)</f>
        <v/>
      </c>
      <c r="H3054" s="44">
        <f>ROUND(((1+$H$4)^(30/360))^(C3054/(EDATE(D3054-B3054,1)-(D3054-B3054))),9)</f>
        <v/>
      </c>
      <c r="I3054" s="44">
        <f>TRUNC((G3054*H3054-G3054),8)</f>
        <v/>
      </c>
      <c r="J3054" s="49">
        <f>G3054+I3054</f>
        <v/>
      </c>
      <c r="K3054" s="256" t="n"/>
      <c r="L3054" s="256" t="n"/>
      <c r="M3054" s="256" t="n"/>
      <c r="N3054" s="256" t="n"/>
      <c r="O3054" s="256" t="n"/>
      <c r="P3054" s="256" t="n"/>
      <c r="Q3054" s="256" t="n"/>
    </row>
    <row r="3055">
      <c r="A3055">
        <f>IF(DAY(D3055)=DAY($L$1+1),A3054+1,A3054)</f>
        <v/>
      </c>
      <c r="B3055" s="1">
        <f>IF(DAY(D3055)=DAY($L$1+1),1,B3054+1)</f>
        <v/>
      </c>
      <c r="C3055" s="1">
        <f>IF(DAY(D3055)=DAY($L$1+1),1,C3054+1)</f>
        <v/>
      </c>
      <c r="D3055" s="2">
        <f>D3054+1</f>
        <v/>
      </c>
      <c r="E3055" s="8">
        <f>IF(DAY(D3055)=DAY($L$1+1),TRUNC((N3054),8),E3054)</f>
        <v/>
      </c>
      <c r="F3055" s="49">
        <f>TRUNC(((1+VLOOKUP(A3055,IPCA!$A$2:$C$140,3,0)))^(C3055/(EDATE(D3055-C3055,1)-(D3055-C3055))),8)</f>
        <v/>
      </c>
      <c r="G3055" s="44">
        <f>TRUNC((E3055*F3055),8)</f>
        <v/>
      </c>
      <c r="H3055" s="44">
        <f>ROUND(((1+$H$4)^(30/360))^(C3055/(EDATE(D3055-B3055,1)-(D3055-B3055))),9)</f>
        <v/>
      </c>
      <c r="I3055" s="44">
        <f>TRUNC((G3055*H3055-G3055),8)</f>
        <v/>
      </c>
      <c r="J3055" s="49">
        <f>G3055+I3055</f>
        <v/>
      </c>
      <c r="K3055" s="256" t="n"/>
      <c r="L3055" s="256" t="n"/>
      <c r="M3055" s="256" t="n"/>
      <c r="N3055" s="256" t="n"/>
      <c r="O3055" s="256" t="n"/>
      <c r="P3055" s="256" t="n"/>
      <c r="Q3055" s="256" t="n"/>
    </row>
    <row r="3056">
      <c r="A3056">
        <f>IF(DAY(D3056)=DAY($L$1+1),A3055+1,A3055)</f>
        <v/>
      </c>
      <c r="B3056" s="46">
        <f>IF(DAY(D3056)=DAY($L$1+1),1,B3055+1)</f>
        <v/>
      </c>
      <c r="C3056" s="46">
        <f>IF(DAY(D3056)=DAY($L$1+1),1,C3055+1)</f>
        <v/>
      </c>
      <c r="D3056" s="2">
        <f>D3055+1</f>
        <v/>
      </c>
      <c r="E3056" s="8">
        <f>IF(DAY(D3056)=DAY($L$1+1),TRUNC((N3055),8),E3055)</f>
        <v/>
      </c>
      <c r="F3056" s="49">
        <f>TRUNC(((1+VLOOKUP(A3056,IPCA!$A$2:$C$140,3,0)))^(C3056/(EDATE(D3056-C3056,1)-(D3056-C3056))),8)</f>
        <v/>
      </c>
      <c r="G3056" s="44">
        <f>TRUNC((E3056*F3056),8)</f>
        <v/>
      </c>
      <c r="H3056" s="44">
        <f>ROUND(((1+$H$4)^(30/360))^(C3056/(EDATE(D3056-B3056,1)-(D3056-B3056))),9)</f>
        <v/>
      </c>
      <c r="I3056" s="44">
        <f>TRUNC((G3056*H3056-G3056),8)</f>
        <v/>
      </c>
      <c r="J3056" s="49">
        <f>G3056+I3056</f>
        <v/>
      </c>
      <c r="K3056" s="256" t="n"/>
      <c r="L3056" s="256" t="n"/>
      <c r="M3056" s="256" t="n"/>
      <c r="N3056" s="256" t="n"/>
      <c r="O3056" s="256" t="n"/>
      <c r="P3056" s="256" t="n"/>
      <c r="Q3056" s="256" t="n"/>
    </row>
    <row r="3057">
      <c r="A3057">
        <f>IF(DAY(D3057)=DAY($L$1+1),A3056+1,A3056)</f>
        <v/>
      </c>
      <c r="B3057" s="1">
        <f>IF(DAY(D3057)=DAY($L$1+1),1,B3056+1)</f>
        <v/>
      </c>
      <c r="C3057" s="1">
        <f>IF(DAY(D3057)=DAY($L$1+1),1,C3056+1)</f>
        <v/>
      </c>
      <c r="D3057" s="2">
        <f>D3056+1</f>
        <v/>
      </c>
      <c r="E3057" s="8">
        <f>IF(DAY(D3057)=DAY($L$1+1),TRUNC((N3056),8),E3056)</f>
        <v/>
      </c>
      <c r="F3057" s="49">
        <f>TRUNC(((1+VLOOKUP(A3057,IPCA!$A$2:$C$140,3,0)))^(C3057/(EDATE(D3057-C3057,1)-(D3057-C3057))),8)</f>
        <v/>
      </c>
      <c r="G3057" s="44">
        <f>TRUNC((E3057*F3057),8)</f>
        <v/>
      </c>
      <c r="H3057" s="44">
        <f>ROUND(((1+$H$4)^(30/360))^(C3057/(EDATE(D3057-B3057,1)-(D3057-B3057))),9)</f>
        <v/>
      </c>
      <c r="I3057" s="44">
        <f>TRUNC((G3057*H3057-G3057),8)</f>
        <v/>
      </c>
      <c r="J3057" s="49">
        <f>G3057+I3057</f>
        <v/>
      </c>
      <c r="K3057" s="256" t="n"/>
      <c r="L3057" s="256" t="n"/>
      <c r="M3057" s="256" t="n"/>
      <c r="N3057" s="256" t="n"/>
      <c r="O3057" s="256" t="n"/>
      <c r="P3057" s="256" t="n"/>
      <c r="Q3057" s="256" t="n"/>
    </row>
    <row r="3058">
      <c r="A3058">
        <f>IF(DAY(D3058)=DAY($L$1+1),A3057+1,A3057)</f>
        <v/>
      </c>
      <c r="B3058" s="46">
        <f>IF(DAY(D3058)=DAY($L$1+1),1,B3057+1)</f>
        <v/>
      </c>
      <c r="C3058" s="46">
        <f>IF(DAY(D3058)=DAY($L$1+1),1,C3057+1)</f>
        <v/>
      </c>
      <c r="D3058" s="2">
        <f>D3057+1</f>
        <v/>
      </c>
      <c r="E3058" s="8">
        <f>IF(DAY(D3058)=DAY($L$1+1),TRUNC((N3057),8),E3057)</f>
        <v/>
      </c>
      <c r="F3058" s="49">
        <f>TRUNC(((1+VLOOKUP(A3058,IPCA!$A$2:$C$140,3,0)))^(C3058/(EDATE(D3058-C3058,1)-(D3058-C3058))),8)</f>
        <v/>
      </c>
      <c r="G3058" s="44">
        <f>TRUNC((E3058*F3058),8)</f>
        <v/>
      </c>
      <c r="H3058" s="44">
        <f>ROUND(((1+$H$4)^(30/360))^(C3058/(EDATE(D3058-B3058,1)-(D3058-B3058))),9)</f>
        <v/>
      </c>
      <c r="I3058" s="44">
        <f>TRUNC((G3058*H3058-G3058),8)</f>
        <v/>
      </c>
      <c r="J3058" s="49">
        <f>G3058+I3058</f>
        <v/>
      </c>
      <c r="K3058" s="256" t="n"/>
      <c r="L3058" s="256" t="n"/>
      <c r="M3058" s="256" t="n"/>
      <c r="N3058" s="256" t="n"/>
      <c r="O3058" s="256" t="n"/>
      <c r="P3058" s="256" t="n"/>
      <c r="Q3058" s="256" t="n"/>
    </row>
    <row r="3059">
      <c r="A3059">
        <f>IF(DAY(D3059)=DAY($L$1+1),A3058+1,A3058)</f>
        <v/>
      </c>
      <c r="B3059" s="1">
        <f>IF(DAY(D3059)=DAY($L$1+1),1,B3058+1)</f>
        <v/>
      </c>
      <c r="C3059" s="1">
        <f>IF(DAY(D3059)=DAY($L$1+1),1,C3058+1)</f>
        <v/>
      </c>
      <c r="D3059" s="2">
        <f>D3058+1</f>
        <v/>
      </c>
      <c r="E3059" s="8">
        <f>IF(DAY(D3059)=DAY($L$1+1),TRUNC((N3058),8),E3058)</f>
        <v/>
      </c>
      <c r="F3059" s="49">
        <f>TRUNC(((1+VLOOKUP(A3059,IPCA!$A$2:$C$140,3,0)))^(C3059/(EDATE(D3059-C3059,1)-(D3059-C3059))),8)</f>
        <v/>
      </c>
      <c r="G3059" s="44">
        <f>TRUNC((E3059*F3059),8)</f>
        <v/>
      </c>
      <c r="H3059" s="44">
        <f>ROUND(((1+$H$4)^(30/360))^(C3059/(EDATE(D3059-B3059,1)-(D3059-B3059))),9)</f>
        <v/>
      </c>
      <c r="I3059" s="44">
        <f>TRUNC((G3059*H3059-G3059),8)</f>
        <v/>
      </c>
      <c r="J3059" s="49">
        <f>G3059+I3059</f>
        <v/>
      </c>
      <c r="K3059" s="256" t="n"/>
      <c r="L3059" s="256" t="n"/>
      <c r="M3059" s="256" t="n"/>
      <c r="N3059" s="256" t="n"/>
      <c r="O3059" s="256" t="n"/>
      <c r="P3059" s="256" t="n"/>
      <c r="Q3059" s="256" t="n"/>
    </row>
    <row r="3060">
      <c r="A3060">
        <f>IF(DAY(D3060)=DAY($L$1+1),A3059+1,A3059)</f>
        <v/>
      </c>
      <c r="B3060" s="46">
        <f>IF(DAY(D3060)=DAY($L$1+1),1,B3059+1)</f>
        <v/>
      </c>
      <c r="C3060" s="46">
        <f>IF(DAY(D3060)=DAY($L$1+1),1,C3059+1)</f>
        <v/>
      </c>
      <c r="D3060" s="2">
        <f>D3059+1</f>
        <v/>
      </c>
      <c r="E3060" s="8">
        <f>IF(DAY(D3060)=DAY($L$1+1),TRUNC((N3059),8),E3059)</f>
        <v/>
      </c>
      <c r="F3060" s="49">
        <f>TRUNC(((1+VLOOKUP(A3060,IPCA!$A$2:$C$140,3,0)))^(C3060/(EDATE(D3060-C3060,1)-(D3060-C3060))),8)</f>
        <v/>
      </c>
      <c r="G3060" s="44">
        <f>TRUNC((E3060*F3060),8)</f>
        <v/>
      </c>
      <c r="H3060" s="44">
        <f>ROUND(((1+$H$4)^(30/360))^(C3060/(EDATE(D3060-B3060,1)-(D3060-B3060))),9)</f>
        <v/>
      </c>
      <c r="I3060" s="44">
        <f>TRUNC((G3060*H3060-G3060),8)</f>
        <v/>
      </c>
      <c r="J3060" s="49">
        <f>G3060+I3060</f>
        <v/>
      </c>
      <c r="K3060" s="256" t="n"/>
      <c r="L3060" s="256" t="n"/>
      <c r="M3060" s="256" t="n"/>
      <c r="N3060" s="256" t="n"/>
      <c r="O3060" s="256" t="n"/>
      <c r="P3060" s="256" t="n"/>
      <c r="Q3060" s="256" t="n"/>
    </row>
    <row r="3061">
      <c r="A3061">
        <f>IF(DAY(D3061)=DAY($L$1+1),A3060+1,A3060)</f>
        <v/>
      </c>
      <c r="B3061" s="1">
        <f>IF(DAY(D3061)=DAY($L$1+1),1,B3060+1)</f>
        <v/>
      </c>
      <c r="C3061" s="1">
        <f>IF(DAY(D3061)=DAY($L$1+1),1,C3060+1)</f>
        <v/>
      </c>
      <c r="D3061" s="2">
        <f>D3060+1</f>
        <v/>
      </c>
      <c r="E3061" s="8">
        <f>IF(DAY(D3061)=DAY($L$1+1),TRUNC((N3060),8),E3060)</f>
        <v/>
      </c>
      <c r="F3061" s="49">
        <f>TRUNC(((1+VLOOKUP(A3061,IPCA!$A$2:$C$140,3,0)))^(C3061/(EDATE(D3061-C3061,1)-(D3061-C3061))),8)</f>
        <v/>
      </c>
      <c r="G3061" s="44">
        <f>TRUNC((E3061*F3061),8)</f>
        <v/>
      </c>
      <c r="H3061" s="44">
        <f>ROUND(((1+$H$4)^(30/360))^(C3061/(EDATE(D3061-B3061,1)-(D3061-B3061))),9)</f>
        <v/>
      </c>
      <c r="I3061" s="44">
        <f>TRUNC((G3061*H3061-G3061),8)</f>
        <v/>
      </c>
      <c r="J3061" s="49">
        <f>G3061+I3061</f>
        <v/>
      </c>
      <c r="K3061" s="256" t="n"/>
      <c r="L3061" s="256" t="n"/>
      <c r="M3061" s="256" t="n"/>
      <c r="N3061" s="256" t="n"/>
      <c r="O3061" s="256" t="n"/>
      <c r="P3061" s="256" t="n"/>
      <c r="Q3061" s="256" t="n"/>
    </row>
    <row r="3062">
      <c r="A3062">
        <f>IF(DAY(D3062)=DAY($L$1+1),A3061+1,A3061)</f>
        <v/>
      </c>
      <c r="B3062" s="46">
        <f>IF(DAY(D3062)=DAY($L$1+1),1,B3061+1)</f>
        <v/>
      </c>
      <c r="C3062" s="46">
        <f>IF(DAY(D3062)=DAY($L$1+1),1,C3061+1)</f>
        <v/>
      </c>
      <c r="D3062" s="2">
        <f>D3061+1</f>
        <v/>
      </c>
      <c r="E3062" s="8">
        <f>IF(DAY(D3062)=DAY($L$1+1),TRUNC((N3061),8),E3061)</f>
        <v/>
      </c>
      <c r="F3062" s="49">
        <f>TRUNC(((1+VLOOKUP(A3062,IPCA!$A$2:$C$140,3,0)))^(C3062/(EDATE(D3062-C3062,1)-(D3062-C3062))),8)</f>
        <v/>
      </c>
      <c r="G3062" s="49">
        <f>TRUNC((E3062*F3062),8)</f>
        <v/>
      </c>
      <c r="H3062" s="49">
        <f>ROUND(((1+$H$4)^(30/360))^(C3062/(EDATE(D3062-B3062,1)-(D3062-B3062))),9)</f>
        <v/>
      </c>
      <c r="I3062" s="49">
        <f>TRUNC((G3062*H3062-G3062),8)</f>
        <v/>
      </c>
      <c r="J3062" s="49">
        <f>G3062+I3062</f>
        <v/>
      </c>
      <c r="K3062" s="256" t="inlineStr">
        <is>
          <t>Cri Integralizado</t>
        </is>
      </c>
      <c r="L3062" s="270">
        <f>L3031</f>
        <v/>
      </c>
      <c r="M3062" s="256" t="n"/>
      <c r="N3062" s="256" t="n"/>
      <c r="O3062" s="256" t="n"/>
      <c r="P3062" s="256" t="n"/>
      <c r="Q3062" s="256" t="n"/>
    </row>
    <row r="3063">
      <c r="A3063">
        <f>IF(DAY(D3063)=DAY($L$1+1),A3062+1,A3062)</f>
        <v/>
      </c>
      <c r="B3063" s="46">
        <f>IF(DAY(D3063)=DAY($L$1+1),1,B3062+1)</f>
        <v/>
      </c>
      <c r="C3063" s="46">
        <f>IF(DAY(D3063)=DAY($L$1+1),1,C3062+1)</f>
        <v/>
      </c>
      <c r="D3063" s="47">
        <f>D3062+1</f>
        <v/>
      </c>
      <c r="E3063" s="8">
        <f>IF(DAY(D3063)=DAY($L$1+1),TRUNC((N3062),8),E3062)</f>
        <v/>
      </c>
      <c r="F3063" s="49">
        <f>TRUNC(((1+VLOOKUP(A3063,IPCA!$A$2:$C$140,3,0)))^(C3063/(EDATE(D3063-C3063,1)-(D3063-C3063))),8)</f>
        <v/>
      </c>
      <c r="G3063" s="49">
        <f>TRUNC((E3063*F3063),8)</f>
        <v/>
      </c>
      <c r="H3063" s="49">
        <f>ROUND(((1+$H$4)^(30/360))^(C3063/(EDATE(D3063-B3063,1)-(D3063-B3063))),9)</f>
        <v/>
      </c>
      <c r="I3063" s="49">
        <f>TRUNC((G3063*H3063-G3063),8)</f>
        <v/>
      </c>
      <c r="J3063" s="49">
        <f>G3063+I3063</f>
        <v/>
      </c>
      <c r="K3063" s="137" t="inlineStr">
        <is>
          <t>JUROS</t>
        </is>
      </c>
      <c r="L3063" s="118" t="inlineStr">
        <is>
          <t>AMORTIZAÇÃO</t>
        </is>
      </c>
      <c r="M3063" s="118" t="inlineStr">
        <is>
          <t>AMEX</t>
        </is>
      </c>
      <c r="N3063" s="118" t="inlineStr">
        <is>
          <t>RESIDUAL</t>
        </is>
      </c>
      <c r="O3063" s="256" t="n"/>
      <c r="P3063" s="256" t="n"/>
      <c r="Q3063" s="256" t="n"/>
    </row>
    <row r="3064">
      <c r="A3064">
        <f>IF(DAY(D3064)=DAY($L$1+1),A3063+1,A3063)</f>
        <v/>
      </c>
      <c r="B3064" s="111">
        <f>IF(DAY(D3064)=DAY($L$1+1),1,B3063+1)</f>
        <v/>
      </c>
      <c r="C3064" s="111">
        <f>IF(DAY(D3064)=DAY($L$1+1),1,C3063+1)</f>
        <v/>
      </c>
      <c r="D3064" s="112">
        <f>D3063+1</f>
        <v/>
      </c>
      <c r="E3064" s="113">
        <f>IF(DAY(D3064)=DAY($L$1+1),TRUNC((N3063),8),E3063)</f>
        <v/>
      </c>
      <c r="F3064" s="114">
        <f>TRUNC(((1+VLOOKUP(A3064,IPCA!$A$2:$C$140,3,0)))^(C3064/(EDATE(D3064-C3064,1)-(D3064-C3064))),8)</f>
        <v/>
      </c>
      <c r="G3064" s="114">
        <f>TRUNC((E3064*F3064),8)</f>
        <v/>
      </c>
      <c r="H3064" s="114">
        <f>ROUND(((1+$H$4)^(30/360))^(C3064/(EDATE(D3064-B3064,1)-(D3064-B3064))),9)</f>
        <v/>
      </c>
      <c r="I3064" s="114">
        <f>TRUNC((G3064*H3064-G3064),8)</f>
        <v/>
      </c>
      <c r="J3064" s="114">
        <f>G3064+I3064</f>
        <v/>
      </c>
      <c r="K3064" s="119">
        <f>I3064</f>
        <v/>
      </c>
      <c r="L3064" s="120">
        <f>TRUNC(G3064*VLOOKUP(D3064,'Amort TS'!$G$3:$H$140,2,0),8)</f>
        <v/>
      </c>
      <c r="M3064" s="120" t="n">
        <v>0</v>
      </c>
      <c r="N3064" s="120">
        <f>J3064-K3064-L3064-M3064</f>
        <v/>
      </c>
      <c r="O3064" s="256" t="n"/>
      <c r="P3064" s="256" t="n"/>
      <c r="Q3064" s="256" t="n"/>
    </row>
    <row r="3065">
      <c r="A3065">
        <f>IF(DAY(D3065)=DAY($L$1+1),A3064+1,A3064)</f>
        <v/>
      </c>
      <c r="B3065" s="46">
        <f>IF(DAY(D3065)=DAY($L$1+1),1,B3064+1)</f>
        <v/>
      </c>
      <c r="C3065" s="46">
        <f>IF(DAY(D3065)=DAY($L$1+1),1,C3064+1)</f>
        <v/>
      </c>
      <c r="D3065" s="2">
        <f>D3064+1</f>
        <v/>
      </c>
      <c r="E3065" s="8">
        <f>IF(DAY(D3065)=DAY($L$1+1),TRUNC((N3064),8),E3064)</f>
        <v/>
      </c>
      <c r="F3065" s="49">
        <f>TRUNC(((1+VLOOKUP(A3065,IPCA!$A$2:$C$140,3,0)))^(C3065/(EDATE(D3065-C3065,1)-(D3065-C3065))),8)</f>
        <v/>
      </c>
      <c r="G3065" s="49">
        <f>TRUNC((E3065*F3065),8)</f>
        <v/>
      </c>
      <c r="H3065" s="49">
        <f>ROUND(((1+$H$4)^(30/360))^(C3065/(EDATE(D3065-B3065,1)-(D3065-B3065))),9)</f>
        <v/>
      </c>
      <c r="I3065" s="49">
        <f>TRUNC((G3065*H3065-G3065),8)</f>
        <v/>
      </c>
      <c r="J3065" s="49">
        <f>G3065+I3065</f>
        <v/>
      </c>
      <c r="K3065" s="121">
        <f>K3064*L3062</f>
        <v/>
      </c>
      <c r="L3065" s="121">
        <f>L3064*L3062</f>
        <v/>
      </c>
      <c r="M3065" s="121">
        <f>M3064*L3062</f>
        <v/>
      </c>
      <c r="N3065" s="121">
        <f>N3064*L3062</f>
        <v/>
      </c>
      <c r="O3065" s="256" t="n"/>
      <c r="P3065" s="256" t="n"/>
      <c r="Q3065" s="256" t="n"/>
    </row>
    <row r="3066">
      <c r="A3066">
        <f>IF(DAY(D3066)=DAY($L$1+1),A3065+1,A3065)</f>
        <v/>
      </c>
      <c r="B3066" s="46">
        <f>IF(DAY(D3066)=DAY($L$1+1),1,B3065+1)</f>
        <v/>
      </c>
      <c r="C3066" s="46">
        <f>IF(DAY(D3066)=DAY($L$1+1),1,C3065+1)</f>
        <v/>
      </c>
      <c r="D3066" s="47">
        <f>D3065+1</f>
        <v/>
      </c>
      <c r="E3066" s="8">
        <f>IF(DAY(D3066)=DAY($L$1+1),TRUNC((N3065),8),E3065)</f>
        <v/>
      </c>
      <c r="F3066" s="49">
        <f>TRUNC(((1+VLOOKUP(A3066,IPCA!$A$2:$C$140,3,0)))^(C3066/(EDATE(D3066-C3066,1)-(D3066-C3066))),8)</f>
        <v/>
      </c>
      <c r="G3066" s="49">
        <f>TRUNC((E3066*F3066),8)</f>
        <v/>
      </c>
      <c r="H3066" s="49">
        <f>ROUND(((1+$H$4)^(30/360))^(C3066/(EDATE(D3066-B3066,1)-(D3066-B3066))),9)</f>
        <v/>
      </c>
      <c r="I3066" s="49">
        <f>TRUNC((G3066*H3066-G3066),8)</f>
        <v/>
      </c>
      <c r="J3066" s="49">
        <f>G3066+I3066</f>
        <v/>
      </c>
      <c r="K3066" s="256" t="n"/>
      <c r="L3066" s="256" t="n"/>
      <c r="M3066" s="256" t="n"/>
      <c r="N3066" s="256" t="n"/>
      <c r="O3066" s="256" t="n"/>
      <c r="P3066" s="256" t="n"/>
      <c r="Q3066" s="256" t="n"/>
    </row>
    <row r="3067">
      <c r="A3067">
        <f>IF(DAY(D3067)=DAY($L$1+1),A3066+1,A3066)</f>
        <v/>
      </c>
      <c r="B3067" s="1">
        <f>IF(DAY(D3067)=DAY($L$1+1),1,B3066+1)</f>
        <v/>
      </c>
      <c r="C3067" s="1">
        <f>IF(DAY(D3067)=DAY($L$1+1),1,C3066+1)</f>
        <v/>
      </c>
      <c r="D3067" s="2">
        <f>D3066+1</f>
        <v/>
      </c>
      <c r="E3067" s="8">
        <f>IF(DAY(D3067)=DAY($L$1+1),TRUNC((#REF!),8),E3066)</f>
        <v/>
      </c>
      <c r="F3067" s="49">
        <f>TRUNC(((1+VLOOKUP(A3067,IPCA!$A$2:$C$140,3,0)))^(C3067/(EDATE(D3067-C3067,1)-(D3067-C3067))),8)</f>
        <v/>
      </c>
      <c r="G3067" s="44">
        <f>TRUNC((E3067*F3067),8)</f>
        <v/>
      </c>
      <c r="H3067" s="44">
        <f>ROUND(((1+$H$4)^(30/360))^(C3067/(EDATE(D3067-B3067,1)-(D3067-B3067))),9)</f>
        <v/>
      </c>
      <c r="I3067" s="44">
        <f>TRUNC((G3067*H3067-G3067),8)</f>
        <v/>
      </c>
      <c r="J3067" s="49">
        <f>G3067+I3067</f>
        <v/>
      </c>
      <c r="K3067" s="256" t="n"/>
      <c r="L3067" s="256" t="n"/>
      <c r="M3067" s="256" t="n"/>
      <c r="N3067" s="256" t="n"/>
      <c r="O3067" s="256" t="n"/>
      <c r="P3067" s="256" t="n"/>
      <c r="Q3067" s="256" t="n"/>
    </row>
    <row r="3068">
      <c r="A3068">
        <f>IF(DAY(D3068)=DAY($L$1+1),A3067+1,A3067)</f>
        <v/>
      </c>
      <c r="B3068" s="46">
        <f>IF(DAY(D3068)=DAY($L$1+1),1,B3067+1)</f>
        <v/>
      </c>
      <c r="C3068" s="46">
        <f>IF(DAY(D3068)=DAY($L$1+1),1,C3067+1)</f>
        <v/>
      </c>
      <c r="D3068" s="2">
        <f>D3067+1</f>
        <v/>
      </c>
      <c r="E3068" s="8">
        <f>IF(DAY(D3068)=DAY($L$1+1),TRUNC((#REF!),8),E3067)</f>
        <v/>
      </c>
      <c r="F3068" s="49">
        <f>TRUNC(((1+VLOOKUP(A3068,IPCA!$A$2:$C$140,3,0)))^(C3068/(EDATE(D3068-C3068,1)-(D3068-C3068))),8)</f>
        <v/>
      </c>
      <c r="G3068" s="44">
        <f>TRUNC((E3068*F3068),8)</f>
        <v/>
      </c>
      <c r="H3068" s="44">
        <f>ROUND(((1+$H$4)^(30/360))^(C3068/(EDATE(D3068-B3068,1)-(D3068-B3068))),9)</f>
        <v/>
      </c>
      <c r="I3068" s="44">
        <f>TRUNC((G3068*H3068-G3068),8)</f>
        <v/>
      </c>
      <c r="J3068" s="49">
        <f>G3068+I3068</f>
        <v/>
      </c>
      <c r="K3068" s="256" t="n"/>
      <c r="L3068" s="256" t="n"/>
      <c r="M3068" s="256" t="n"/>
      <c r="N3068" s="256" t="n"/>
      <c r="O3068" s="256" t="n"/>
      <c r="P3068" s="256" t="n"/>
      <c r="Q3068" s="256" t="n"/>
    </row>
    <row r="3069">
      <c r="A3069">
        <f>IF(DAY(D3069)=DAY($L$1+1),A3068+1,A3068)</f>
        <v/>
      </c>
      <c r="B3069" s="1">
        <f>IF(DAY(D3069)=DAY($L$1+1),1,B3068+1)</f>
        <v/>
      </c>
      <c r="C3069" s="1">
        <f>IF(DAY(D3069)=DAY($L$1+1),1,C3068+1)</f>
        <v/>
      </c>
      <c r="D3069" s="2">
        <f>D3068+1</f>
        <v/>
      </c>
      <c r="E3069" s="8">
        <f>IF(DAY(D3069)=DAY($L$1+1),TRUNC((#REF!),8),E3068)</f>
        <v/>
      </c>
      <c r="F3069" s="49">
        <f>TRUNC(((1+VLOOKUP(A3069,IPCA!$A$2:$C$140,3,0)))^(C3069/(EDATE(D3069-C3069,1)-(D3069-C3069))),8)</f>
        <v/>
      </c>
      <c r="G3069" s="44">
        <f>TRUNC((E3069*F3069),8)</f>
        <v/>
      </c>
      <c r="H3069" s="44">
        <f>ROUND(((1+$H$4)^(30/360))^(C3069/(EDATE(D3069-B3069,1)-(D3069-B3069))),9)</f>
        <v/>
      </c>
      <c r="I3069" s="44">
        <f>TRUNC((G3069*H3069-G3069),8)</f>
        <v/>
      </c>
      <c r="J3069" s="49">
        <f>G3069+I3069</f>
        <v/>
      </c>
      <c r="K3069" s="256" t="n"/>
      <c r="L3069" s="256" t="n"/>
      <c r="M3069" s="256" t="n"/>
      <c r="N3069" s="256" t="n"/>
      <c r="O3069" s="256" t="n"/>
      <c r="P3069" s="256" t="n"/>
      <c r="Q3069" s="256" t="n"/>
    </row>
    <row r="3070">
      <c r="A3070">
        <f>IF(DAY(D3070)=DAY($L$1+1),A3069+1,A3069)</f>
        <v/>
      </c>
      <c r="B3070" s="46">
        <f>IF(DAY(D3070)=DAY($L$1+1),1,B3069+1)</f>
        <v/>
      </c>
      <c r="C3070" s="46">
        <f>IF(DAY(D3070)=DAY($L$1+1),1,C3069+1)</f>
        <v/>
      </c>
      <c r="D3070" s="2">
        <f>D3069+1</f>
        <v/>
      </c>
      <c r="E3070" s="8">
        <f>IF(DAY(D3070)=DAY($L$1+1),TRUNC((#REF!),8),E3069)</f>
        <v/>
      </c>
      <c r="F3070" s="49">
        <f>TRUNC(((1+VLOOKUP(A3070,IPCA!$A$2:$C$140,3,0)))^(C3070/(EDATE(D3070-C3070,1)-(D3070-C3070))),8)</f>
        <v/>
      </c>
      <c r="G3070" s="44">
        <f>TRUNC((E3070*F3070),8)</f>
        <v/>
      </c>
      <c r="H3070" s="44">
        <f>ROUND(((1+$H$4)^(30/360))^(C3070/(EDATE(D3070-B3070,1)-(D3070-B3070))),9)</f>
        <v/>
      </c>
      <c r="I3070" s="44">
        <f>TRUNC((G3070*H3070-G3070),8)</f>
        <v/>
      </c>
      <c r="J3070" s="49">
        <f>G3070+I3070</f>
        <v/>
      </c>
      <c r="K3070" s="256" t="n"/>
      <c r="L3070" s="256" t="n"/>
      <c r="M3070" s="256" t="n"/>
      <c r="N3070" s="256" t="n"/>
      <c r="O3070" s="256" t="n"/>
      <c r="P3070" s="256" t="n"/>
      <c r="Q3070" s="256" t="n"/>
    </row>
    <row r="3071">
      <c r="A3071">
        <f>IF(DAY(D3071)=DAY($L$1+1),A3070+1,A3070)</f>
        <v/>
      </c>
      <c r="B3071" s="1">
        <f>IF(DAY(D3071)=DAY($L$1+1),1,B3070+1)</f>
        <v/>
      </c>
      <c r="C3071" s="1">
        <f>IF(DAY(D3071)=DAY($L$1+1),1,C3070+1)</f>
        <v/>
      </c>
      <c r="D3071" s="2">
        <f>D3070+1</f>
        <v/>
      </c>
      <c r="E3071" s="8">
        <f>IF(DAY(D3071)=DAY($L$1+1),TRUNC((#REF!),8),E3070)</f>
        <v/>
      </c>
      <c r="F3071" s="49">
        <f>TRUNC(((1+VLOOKUP(A3071,IPCA!$A$2:$C$140,3,0)))^(C3071/(EDATE(D3071-C3071,1)-(D3071-C3071))),8)</f>
        <v/>
      </c>
      <c r="G3071" s="44">
        <f>TRUNC((E3071*F3071),8)</f>
        <v/>
      </c>
      <c r="H3071" s="44">
        <f>ROUND(((1+$H$4)^(30/360))^(C3071/(EDATE(D3071-B3071,1)-(D3071-B3071))),9)</f>
        <v/>
      </c>
      <c r="I3071" s="44">
        <f>TRUNC((G3071*H3071-G3071),8)</f>
        <v/>
      </c>
      <c r="J3071" s="49">
        <f>G3071+I3071</f>
        <v/>
      </c>
      <c r="K3071" s="256" t="n"/>
      <c r="L3071" s="256" t="n"/>
      <c r="M3071" s="256" t="n"/>
      <c r="N3071" s="256" t="n"/>
      <c r="O3071" s="256" t="n"/>
      <c r="P3071" s="256" t="n"/>
      <c r="Q3071" s="256" t="n"/>
    </row>
    <row r="3072">
      <c r="A3072">
        <f>IF(DAY(D3072)=DAY($L$1+1),A3071+1,A3071)</f>
        <v/>
      </c>
      <c r="B3072" s="46">
        <f>IF(DAY(D3072)=DAY($L$1+1),1,B3071+1)</f>
        <v/>
      </c>
      <c r="C3072" s="46">
        <f>IF(DAY(D3072)=DAY($L$1+1),1,C3071+1)</f>
        <v/>
      </c>
      <c r="D3072" s="2">
        <f>D3071+1</f>
        <v/>
      </c>
      <c r="E3072" s="8">
        <f>IF(DAY(D3072)=DAY($L$1+1),TRUNC((#REF!),8),E3071)</f>
        <v/>
      </c>
      <c r="F3072" s="49">
        <f>TRUNC(((1+VLOOKUP(A3072,IPCA!$A$2:$C$140,3,0)))^(C3072/(EDATE(D3072-C3072,1)-(D3072-C3072))),8)</f>
        <v/>
      </c>
      <c r="G3072" s="44">
        <f>TRUNC((E3072*F3072),8)</f>
        <v/>
      </c>
      <c r="H3072" s="44">
        <f>ROUND(((1+$H$4)^(30/360))^(C3072/(EDATE(D3072-B3072,1)-(D3072-B3072))),9)</f>
        <v/>
      </c>
      <c r="I3072" s="44">
        <f>TRUNC((G3072*H3072-G3072),8)</f>
        <v/>
      </c>
      <c r="J3072" s="49">
        <f>G3072+I3072</f>
        <v/>
      </c>
      <c r="K3072" s="256" t="n"/>
      <c r="L3072" s="256" t="n"/>
      <c r="M3072" s="256" t="n"/>
      <c r="N3072" s="256" t="n"/>
      <c r="O3072" s="256" t="n"/>
      <c r="P3072" s="256" t="n"/>
      <c r="Q3072" s="256" t="n"/>
    </row>
    <row r="3073">
      <c r="A3073">
        <f>IF(DAY(D3073)=DAY($L$1+1),A3072+1,A3072)</f>
        <v/>
      </c>
      <c r="B3073" s="1">
        <f>IF(DAY(D3073)=DAY($L$1+1),1,B3072+1)</f>
        <v/>
      </c>
      <c r="C3073" s="1">
        <f>IF(DAY(D3073)=DAY($L$1+1),1,C3072+1)</f>
        <v/>
      </c>
      <c r="D3073" s="2">
        <f>D3072+1</f>
        <v/>
      </c>
      <c r="E3073" s="8">
        <f>IF(DAY(D3073)=DAY($L$1+1),TRUNC((#REF!),8),E3072)</f>
        <v/>
      </c>
      <c r="F3073" s="49">
        <f>TRUNC(((1+VLOOKUP(A3073,IPCA!$A$2:$C$140,3,0)))^(C3073/(EDATE(D3073-C3073,1)-(D3073-C3073))),8)</f>
        <v/>
      </c>
      <c r="G3073" s="44">
        <f>TRUNC((E3073*F3073),8)</f>
        <v/>
      </c>
      <c r="H3073" s="44">
        <f>ROUND(((1+$H$4)^(30/360))^(C3073/(EDATE(D3073-B3073,1)-(D3073-B3073))),9)</f>
        <v/>
      </c>
      <c r="I3073" s="44">
        <f>TRUNC((G3073*H3073-G3073),8)</f>
        <v/>
      </c>
      <c r="J3073" s="49">
        <f>G3073+I3073</f>
        <v/>
      </c>
      <c r="K3073" s="256" t="n"/>
      <c r="L3073" s="256" t="n"/>
      <c r="M3073" s="256" t="n"/>
      <c r="N3073" s="256" t="n"/>
      <c r="O3073" s="256" t="n"/>
      <c r="P3073" s="256" t="n"/>
      <c r="Q3073" s="256" t="n"/>
    </row>
    <row r="3074">
      <c r="A3074">
        <f>IF(DAY(D3074)=DAY($L$1+1),A3073+1,A3073)</f>
        <v/>
      </c>
      <c r="B3074" s="46">
        <f>IF(DAY(D3074)=DAY($L$1+1),1,B3073+1)</f>
        <v/>
      </c>
      <c r="C3074" s="46">
        <f>IF(DAY(D3074)=DAY($L$1+1),1,C3073+1)</f>
        <v/>
      </c>
      <c r="D3074" s="2">
        <f>D3073+1</f>
        <v/>
      </c>
      <c r="E3074" s="8">
        <f>IF(DAY(D3074)=DAY($L$1+1),TRUNC((#REF!),8),E3073)</f>
        <v/>
      </c>
      <c r="F3074" s="49">
        <f>TRUNC(((1+VLOOKUP(A3074,IPCA!$A$2:$C$140,3,0)))^(C3074/(EDATE(D3074-C3074,1)-(D3074-C3074))),8)</f>
        <v/>
      </c>
      <c r="G3074" s="44">
        <f>TRUNC((E3074*F3074),8)</f>
        <v/>
      </c>
      <c r="H3074" s="44">
        <f>ROUND(((1+$H$4)^(30/360))^(C3074/(EDATE(D3074-B3074,1)-(D3074-B3074))),9)</f>
        <v/>
      </c>
      <c r="I3074" s="44">
        <f>TRUNC((G3074*H3074-G3074),8)</f>
        <v/>
      </c>
      <c r="J3074" s="49">
        <f>G3074+I3074</f>
        <v/>
      </c>
      <c r="K3074" s="256" t="n"/>
      <c r="L3074" s="256" t="n"/>
      <c r="M3074" s="256" t="n"/>
      <c r="N3074" s="256" t="n"/>
      <c r="O3074" s="256" t="n"/>
      <c r="P3074" s="256" t="n"/>
      <c r="Q3074" s="256" t="n"/>
    </row>
    <row r="3075">
      <c r="A3075">
        <f>IF(DAY(D3075)=DAY($L$1+1),A3074+1,A3074)</f>
        <v/>
      </c>
      <c r="B3075" s="1">
        <f>IF(DAY(D3075)=DAY($L$1+1),1,B3074+1)</f>
        <v/>
      </c>
      <c r="C3075" s="1">
        <f>IF(DAY(D3075)=DAY($L$1+1),1,C3074+1)</f>
        <v/>
      </c>
      <c r="D3075" s="2">
        <f>D3074+1</f>
        <v/>
      </c>
      <c r="E3075" s="8">
        <f>IF(DAY(D3075)=DAY($L$1+1),TRUNC((#REF!),8),E3074)</f>
        <v/>
      </c>
      <c r="F3075" s="49">
        <f>TRUNC(((1+VLOOKUP(A3075,IPCA!$A$2:$C$140,3,0)))^(C3075/(EDATE(D3075-C3075,1)-(D3075-C3075))),8)</f>
        <v/>
      </c>
      <c r="G3075" s="44">
        <f>TRUNC((E3075*F3075),8)</f>
        <v/>
      </c>
      <c r="H3075" s="44">
        <f>ROUND(((1+$H$4)^(30/360))^(C3075/(EDATE(D3075-B3075,1)-(D3075-B3075))),9)</f>
        <v/>
      </c>
      <c r="I3075" s="44">
        <f>TRUNC((G3075*H3075-G3075),8)</f>
        <v/>
      </c>
      <c r="J3075" s="49">
        <f>G3075+I3075</f>
        <v/>
      </c>
      <c r="K3075" s="256" t="n"/>
      <c r="L3075" s="256" t="n"/>
      <c r="M3075" s="256" t="n"/>
      <c r="N3075" s="256" t="n"/>
      <c r="O3075" s="256" t="n"/>
      <c r="P3075" s="256" t="n"/>
      <c r="Q3075" s="256" t="n"/>
    </row>
    <row r="3076">
      <c r="A3076">
        <f>IF(DAY(D3076)=DAY($L$1+1),A3075+1,A3075)</f>
        <v/>
      </c>
      <c r="B3076" s="46">
        <f>IF(DAY(D3076)=DAY($L$1+1),1,B3075+1)</f>
        <v/>
      </c>
      <c r="C3076" s="46">
        <f>IF(DAY(D3076)=DAY($L$1+1),1,C3075+1)</f>
        <v/>
      </c>
      <c r="D3076" s="2">
        <f>D3075+1</f>
        <v/>
      </c>
      <c r="E3076" s="8">
        <f>IF(DAY(D3076)=DAY($L$1+1),TRUNC((#REF!),8),E3075)</f>
        <v/>
      </c>
      <c r="F3076" s="49">
        <f>TRUNC(((1+VLOOKUP(A3076,IPCA!$A$2:$C$140,3,0)))^(C3076/(EDATE(D3076-C3076,1)-(D3076-C3076))),8)</f>
        <v/>
      </c>
      <c r="G3076" s="44">
        <f>TRUNC((E3076*F3076),8)</f>
        <v/>
      </c>
      <c r="H3076" s="44">
        <f>ROUND(((1+$H$4)^(30/360))^(C3076/(EDATE(D3076-B3076,1)-(D3076-B3076))),9)</f>
        <v/>
      </c>
      <c r="I3076" s="44">
        <f>TRUNC((G3076*H3076-G3076),8)</f>
        <v/>
      </c>
      <c r="J3076" s="49">
        <f>G3076+I3076</f>
        <v/>
      </c>
      <c r="K3076" s="256" t="n"/>
      <c r="L3076" s="256" t="n"/>
      <c r="M3076" s="256" t="n"/>
      <c r="N3076" s="256" t="n"/>
      <c r="O3076" s="256" t="n"/>
      <c r="P3076" s="256" t="n"/>
      <c r="Q3076" s="256" t="n"/>
    </row>
    <row r="3077">
      <c r="A3077">
        <f>IF(DAY(D3077)=DAY($L$1+1),A3076+1,A3076)</f>
        <v/>
      </c>
      <c r="B3077" s="1">
        <f>IF(DAY(D3077)=DAY($L$1+1),1,B3076+1)</f>
        <v/>
      </c>
      <c r="C3077" s="1">
        <f>IF(DAY(D3077)=DAY($L$1+1),1,C3076+1)</f>
        <v/>
      </c>
      <c r="D3077" s="2">
        <f>D3076+1</f>
        <v/>
      </c>
      <c r="E3077" s="8">
        <f>IF(DAY(D3077)=DAY($L$1+1),TRUNC((#REF!),8),E3076)</f>
        <v/>
      </c>
      <c r="F3077" s="49">
        <f>TRUNC(((1+VLOOKUP(A3077,IPCA!$A$2:$C$140,3,0)))^(C3077/(EDATE(D3077-C3077,1)-(D3077-C3077))),8)</f>
        <v/>
      </c>
      <c r="G3077" s="44">
        <f>TRUNC((E3077*F3077),8)</f>
        <v/>
      </c>
      <c r="H3077" s="44">
        <f>ROUND(((1+$H$4)^(30/360))^(C3077/(EDATE(D3077-B3077,1)-(D3077-B3077))),9)</f>
        <v/>
      </c>
      <c r="I3077" s="44">
        <f>TRUNC((G3077*H3077-G3077),8)</f>
        <v/>
      </c>
      <c r="J3077" s="49">
        <f>G3077+I3077</f>
        <v/>
      </c>
      <c r="K3077" s="256" t="n"/>
      <c r="L3077" s="256" t="n"/>
      <c r="M3077" s="256" t="n"/>
      <c r="N3077" s="256" t="n"/>
      <c r="O3077" s="256" t="n"/>
      <c r="P3077" s="256" t="n"/>
      <c r="Q3077" s="256" t="n"/>
    </row>
    <row r="3078">
      <c r="A3078">
        <f>IF(DAY(D3078)=DAY($L$1+1),A3077+1,A3077)</f>
        <v/>
      </c>
      <c r="B3078" s="46">
        <f>IF(DAY(D3078)=DAY($L$1+1),1,B3077+1)</f>
        <v/>
      </c>
      <c r="C3078" s="46">
        <f>IF(DAY(D3078)=DAY($L$1+1),1,C3077+1)</f>
        <v/>
      </c>
      <c r="D3078" s="2">
        <f>D3077+1</f>
        <v/>
      </c>
      <c r="E3078" s="8">
        <f>IF(DAY(D3078)=DAY($L$1+1),TRUNC((#REF!),8),E3077)</f>
        <v/>
      </c>
      <c r="F3078" s="49">
        <f>TRUNC(((1+VLOOKUP(A3078,IPCA!$A$2:$C$140,3,0)))^(C3078/(EDATE(D3078-C3078,1)-(D3078-C3078))),8)</f>
        <v/>
      </c>
      <c r="G3078" s="44">
        <f>TRUNC((E3078*F3078),8)</f>
        <v/>
      </c>
      <c r="H3078" s="44">
        <f>ROUND(((1+$H$4)^(30/360))^(C3078/(EDATE(D3078-B3078,1)-(D3078-B3078))),9)</f>
        <v/>
      </c>
      <c r="I3078" s="44">
        <f>TRUNC((G3078*H3078-G3078),8)</f>
        <v/>
      </c>
      <c r="J3078" s="49">
        <f>G3078+I3078</f>
        <v/>
      </c>
      <c r="K3078" s="256" t="n"/>
      <c r="L3078" s="256" t="n"/>
      <c r="M3078" s="256" t="n"/>
      <c r="N3078" s="256" t="n"/>
      <c r="O3078" s="256" t="n"/>
      <c r="P3078" s="256" t="n"/>
      <c r="Q3078" s="256" t="n"/>
    </row>
    <row r="3079">
      <c r="A3079">
        <f>IF(DAY(D3079)=DAY($L$1+1),A3078+1,A3078)</f>
        <v/>
      </c>
      <c r="B3079" s="1">
        <f>IF(DAY(D3079)=DAY($L$1+1),1,B3078+1)</f>
        <v/>
      </c>
      <c r="C3079" s="1">
        <f>IF(DAY(D3079)=DAY($L$1+1),1,C3078+1)</f>
        <v/>
      </c>
      <c r="D3079" s="2">
        <f>D3078+1</f>
        <v/>
      </c>
      <c r="E3079" s="8">
        <f>IF(DAY(D3079)=DAY($L$1+1),TRUNC((#REF!),8),E3078)</f>
        <v/>
      </c>
      <c r="F3079" s="49">
        <f>TRUNC(((1+VLOOKUP(A3079,IPCA!$A$2:$C$140,3,0)))^(C3079/(EDATE(D3079-C3079,1)-(D3079-C3079))),8)</f>
        <v/>
      </c>
      <c r="G3079" s="44">
        <f>TRUNC((E3079*F3079),8)</f>
        <v/>
      </c>
      <c r="H3079" s="44">
        <f>ROUND(((1+$H$4)^(30/360))^(C3079/(EDATE(D3079-B3079,1)-(D3079-B3079))),9)</f>
        <v/>
      </c>
      <c r="I3079" s="44">
        <f>TRUNC((G3079*H3079-G3079),8)</f>
        <v/>
      </c>
      <c r="J3079" s="49">
        <f>G3079+I3079</f>
        <v/>
      </c>
      <c r="K3079" s="256" t="n"/>
      <c r="L3079" s="256" t="n"/>
      <c r="M3079" s="256" t="n"/>
      <c r="N3079" s="256" t="n"/>
      <c r="O3079" s="256" t="n"/>
      <c r="P3079" s="256" t="n"/>
      <c r="Q3079" s="256" t="n"/>
    </row>
    <row r="3080">
      <c r="A3080">
        <f>IF(DAY(D3080)=DAY($L$1+1),A3079+1,A3079)</f>
        <v/>
      </c>
      <c r="B3080" s="46">
        <f>IF(DAY(D3080)=DAY($L$1+1),1,B3079+1)</f>
        <v/>
      </c>
      <c r="C3080" s="46">
        <f>IF(DAY(D3080)=DAY($L$1+1),1,C3079+1)</f>
        <v/>
      </c>
      <c r="D3080" s="2">
        <f>D3079+1</f>
        <v/>
      </c>
      <c r="E3080" s="8">
        <f>IF(DAY(D3080)=DAY($L$1+1),TRUNC((#REF!),8),E3079)</f>
        <v/>
      </c>
      <c r="F3080" s="49">
        <f>TRUNC(((1+VLOOKUP(A3080,IPCA!$A$2:$C$140,3,0)))^(C3080/(EDATE(D3080-C3080,1)-(D3080-C3080))),8)</f>
        <v/>
      </c>
      <c r="G3080" s="44">
        <f>TRUNC((E3080*F3080),8)</f>
        <v/>
      </c>
      <c r="H3080" s="44">
        <f>ROUND(((1+$H$4)^(30/360))^(C3080/(EDATE(D3080-B3080,1)-(D3080-B3080))),9)</f>
        <v/>
      </c>
      <c r="I3080" s="44">
        <f>TRUNC((G3080*H3080-G3080),8)</f>
        <v/>
      </c>
      <c r="J3080" s="49">
        <f>G3080+I3080</f>
        <v/>
      </c>
      <c r="K3080" s="256" t="n"/>
      <c r="L3080" s="256" t="n"/>
      <c r="M3080" s="256" t="n"/>
      <c r="N3080" s="256" t="n"/>
      <c r="O3080" s="256" t="n"/>
      <c r="P3080" s="256" t="n"/>
      <c r="Q3080" s="256" t="n"/>
    </row>
    <row r="3081">
      <c r="A3081">
        <f>IF(DAY(D3081)=DAY($L$1+1),A3080+1,A3080)</f>
        <v/>
      </c>
      <c r="B3081" s="1">
        <f>IF(DAY(D3081)=DAY($L$1+1),1,B3080+1)</f>
        <v/>
      </c>
      <c r="C3081" s="1">
        <f>IF(DAY(D3081)=DAY($L$1+1),1,C3080+1)</f>
        <v/>
      </c>
      <c r="D3081" s="2">
        <f>D3080+1</f>
        <v/>
      </c>
      <c r="E3081" s="8">
        <f>IF(DAY(D3081)=DAY($L$1+1),TRUNC((N3080),8),E3080)</f>
        <v/>
      </c>
      <c r="F3081" s="49">
        <f>TRUNC(((1+VLOOKUP(A3081,IPCA!$A$2:$C$140,3,0)))^(C3081/(EDATE(D3081-C3081,1)-(D3081-C3081))),8)</f>
        <v/>
      </c>
      <c r="G3081" s="44">
        <f>TRUNC((E3081*F3081),8)</f>
        <v/>
      </c>
      <c r="H3081" s="44">
        <f>ROUND(((1+$H$4)^(30/360))^(C3081/(EDATE(D3081-B3081,1)-(D3081-B3081))),9)</f>
        <v/>
      </c>
      <c r="I3081" s="44">
        <f>TRUNC((G3081*H3081-G3081),8)</f>
        <v/>
      </c>
      <c r="J3081" s="49">
        <f>G3081+I3081</f>
        <v/>
      </c>
      <c r="K3081" s="256" t="n"/>
      <c r="L3081" s="256" t="n"/>
      <c r="M3081" s="256" t="n"/>
      <c r="N3081" s="256" t="n"/>
      <c r="O3081" s="256" t="n"/>
      <c r="P3081" s="256" t="n"/>
      <c r="Q3081" s="256" t="n"/>
    </row>
    <row r="3082">
      <c r="A3082">
        <f>IF(DAY(D3082)=DAY($L$1+1),A3081+1,A3081)</f>
        <v/>
      </c>
      <c r="B3082" s="46">
        <f>IF(DAY(D3082)=DAY($L$1+1),1,B3081+1)</f>
        <v/>
      </c>
      <c r="C3082" s="46">
        <f>IF(DAY(D3082)=DAY($L$1+1),1,C3081+1)</f>
        <v/>
      </c>
      <c r="D3082" s="2">
        <f>D3081+1</f>
        <v/>
      </c>
      <c r="E3082" s="8">
        <f>IF(DAY(D3082)=DAY($L$1+1),TRUNC((N3081),8),E3081)</f>
        <v/>
      </c>
      <c r="F3082" s="49">
        <f>TRUNC(((1+VLOOKUP(A3082,IPCA!$A$2:$C$140,3,0)))^(C3082/(EDATE(D3082-C3082,1)-(D3082-C3082))),8)</f>
        <v/>
      </c>
      <c r="G3082" s="44">
        <f>TRUNC((E3082*F3082),8)</f>
        <v/>
      </c>
      <c r="H3082" s="44">
        <f>ROUND(((1+$H$4)^(30/360))^(C3082/(EDATE(D3082-B3082,1)-(D3082-B3082))),9)</f>
        <v/>
      </c>
      <c r="I3082" s="44">
        <f>TRUNC((G3082*H3082-G3082),8)</f>
        <v/>
      </c>
      <c r="J3082" s="49">
        <f>G3082+I3082</f>
        <v/>
      </c>
      <c r="K3082" s="256" t="n"/>
      <c r="L3082" s="256" t="n"/>
      <c r="M3082" s="256" t="n"/>
      <c r="N3082" s="256" t="n"/>
      <c r="O3082" s="256" t="n"/>
      <c r="P3082" s="256" t="n"/>
      <c r="Q3082" s="256" t="n"/>
    </row>
    <row r="3083">
      <c r="A3083">
        <f>IF(DAY(D3083)=DAY($L$1+1),A3082+1,A3082)</f>
        <v/>
      </c>
      <c r="B3083" s="1">
        <f>IF(DAY(D3083)=DAY($L$1+1),1,B3082+1)</f>
        <v/>
      </c>
      <c r="C3083" s="1">
        <f>IF(DAY(D3083)=DAY($L$1+1),1,C3082+1)</f>
        <v/>
      </c>
      <c r="D3083" s="2">
        <f>D3082+1</f>
        <v/>
      </c>
      <c r="E3083" s="8">
        <f>IF(DAY(D3083)=DAY($L$1+1),TRUNC((N3082),8),E3082)</f>
        <v/>
      </c>
      <c r="F3083" s="49">
        <f>TRUNC(((1+VLOOKUP(A3083,IPCA!$A$2:$C$140,3,0)))^(C3083/(EDATE(D3083-C3083,1)-(D3083-C3083))),8)</f>
        <v/>
      </c>
      <c r="G3083" s="44">
        <f>TRUNC((E3083*F3083),8)</f>
        <v/>
      </c>
      <c r="H3083" s="44">
        <f>ROUND(((1+$H$4)^(30/360))^(C3083/(EDATE(D3083-B3083,1)-(D3083-B3083))),9)</f>
        <v/>
      </c>
      <c r="I3083" s="44">
        <f>TRUNC((G3083*H3083-G3083),8)</f>
        <v/>
      </c>
      <c r="J3083" s="49">
        <f>G3083+I3083</f>
        <v/>
      </c>
      <c r="K3083" s="256" t="n"/>
      <c r="L3083" s="256" t="n"/>
      <c r="M3083" s="256" t="n"/>
      <c r="N3083" s="256" t="n"/>
      <c r="O3083" s="256" t="n"/>
      <c r="P3083" s="256" t="n"/>
      <c r="Q3083" s="256" t="n"/>
    </row>
    <row r="3084">
      <c r="A3084">
        <f>IF(DAY(D3084)=DAY($L$1+1),A3083+1,A3083)</f>
        <v/>
      </c>
      <c r="B3084" s="46">
        <f>IF(DAY(D3084)=DAY($L$1+1),1,B3083+1)</f>
        <v/>
      </c>
      <c r="C3084" s="46">
        <f>IF(DAY(D3084)=DAY($L$1+1),1,C3083+1)</f>
        <v/>
      </c>
      <c r="D3084" s="2">
        <f>D3083+1</f>
        <v/>
      </c>
      <c r="E3084" s="8">
        <f>IF(DAY(D3084)=DAY($L$1+1),TRUNC((N3083),8),E3083)</f>
        <v/>
      </c>
      <c r="F3084" s="49">
        <f>TRUNC(((1+VLOOKUP(A3084,IPCA!$A$2:$C$140,3,0)))^(C3084/(EDATE(D3084-C3084,1)-(D3084-C3084))),8)</f>
        <v/>
      </c>
      <c r="G3084" s="44">
        <f>TRUNC((E3084*F3084),8)</f>
        <v/>
      </c>
      <c r="H3084" s="44">
        <f>ROUND(((1+$H$4)^(30/360))^(C3084/(EDATE(D3084-B3084,1)-(D3084-B3084))),9)</f>
        <v/>
      </c>
      <c r="I3084" s="44">
        <f>TRUNC((G3084*H3084-G3084),8)</f>
        <v/>
      </c>
      <c r="J3084" s="49">
        <f>G3084+I3084</f>
        <v/>
      </c>
      <c r="K3084" s="256" t="n"/>
      <c r="L3084" s="256" t="n"/>
      <c r="M3084" s="256" t="n"/>
      <c r="N3084" s="256" t="n"/>
      <c r="O3084" s="256" t="n"/>
      <c r="P3084" s="256" t="n"/>
      <c r="Q3084" s="256" t="n"/>
    </row>
    <row r="3085">
      <c r="A3085">
        <f>IF(DAY(D3085)=DAY($L$1+1),A3084+1,A3084)</f>
        <v/>
      </c>
      <c r="B3085" s="1">
        <f>IF(DAY(D3085)=DAY($L$1+1),1,B3084+1)</f>
        <v/>
      </c>
      <c r="C3085" s="1">
        <f>IF(DAY(D3085)=DAY($L$1+1),1,C3084+1)</f>
        <v/>
      </c>
      <c r="D3085" s="2">
        <f>D3084+1</f>
        <v/>
      </c>
      <c r="E3085" s="8">
        <f>IF(DAY(D3085)=DAY($L$1+1),TRUNC((N3084),8),E3084)</f>
        <v/>
      </c>
      <c r="F3085" s="49">
        <f>TRUNC(((1+VLOOKUP(A3085,IPCA!$A$2:$C$140,3,0)))^(C3085/(EDATE(D3085-C3085,1)-(D3085-C3085))),8)</f>
        <v/>
      </c>
      <c r="G3085" s="44">
        <f>TRUNC((E3085*F3085),8)</f>
        <v/>
      </c>
      <c r="H3085" s="44">
        <f>ROUND(((1+$H$4)^(30/360))^(C3085/(EDATE(D3085-B3085,1)-(D3085-B3085))),9)</f>
        <v/>
      </c>
      <c r="I3085" s="44">
        <f>TRUNC((G3085*H3085-G3085),8)</f>
        <v/>
      </c>
      <c r="J3085" s="49">
        <f>G3085+I3085</f>
        <v/>
      </c>
      <c r="K3085" s="256" t="n"/>
      <c r="L3085" s="256" t="n"/>
      <c r="M3085" s="256" t="n"/>
      <c r="N3085" s="256" t="n"/>
      <c r="O3085" s="256" t="n"/>
      <c r="P3085" s="256" t="n"/>
      <c r="Q3085" s="256" t="n"/>
    </row>
    <row r="3086">
      <c r="A3086">
        <f>IF(DAY(D3086)=DAY($L$1+1),A3085+1,A3085)</f>
        <v/>
      </c>
      <c r="B3086" s="46">
        <f>IF(DAY(D3086)=DAY($L$1+1),1,B3085+1)</f>
        <v/>
      </c>
      <c r="C3086" s="46">
        <f>IF(DAY(D3086)=DAY($L$1+1),1,C3085+1)</f>
        <v/>
      </c>
      <c r="D3086" s="2">
        <f>D3085+1</f>
        <v/>
      </c>
      <c r="E3086" s="8">
        <f>IF(DAY(D3086)=DAY($L$1+1),TRUNC((N3085),8),E3085)</f>
        <v/>
      </c>
      <c r="F3086" s="49">
        <f>TRUNC(((1+VLOOKUP(A3086,IPCA!$A$2:$C$140,3,0)))^(C3086/(EDATE(D3086-C3086,1)-(D3086-C3086))),8)</f>
        <v/>
      </c>
      <c r="G3086" s="44">
        <f>TRUNC((E3086*F3086),8)</f>
        <v/>
      </c>
      <c r="H3086" s="44">
        <f>ROUND(((1+$H$4)^(30/360))^(C3086/(EDATE(D3086-B3086,1)-(D3086-B3086))),9)</f>
        <v/>
      </c>
      <c r="I3086" s="44">
        <f>TRUNC((G3086*H3086-G3086),8)</f>
        <v/>
      </c>
      <c r="J3086" s="49">
        <f>G3086+I3086</f>
        <v/>
      </c>
      <c r="K3086" s="256" t="n"/>
      <c r="L3086" s="256" t="n"/>
      <c r="M3086" s="256" t="n"/>
      <c r="N3086" s="256" t="n"/>
      <c r="O3086" s="256" t="n"/>
      <c r="P3086" s="256" t="n"/>
      <c r="Q3086" s="256" t="n"/>
    </row>
    <row r="3087">
      <c r="A3087">
        <f>IF(DAY(D3087)=DAY($L$1+1),A3086+1,A3086)</f>
        <v/>
      </c>
      <c r="B3087" s="1">
        <f>IF(DAY(D3087)=DAY($L$1+1),1,B3086+1)</f>
        <v/>
      </c>
      <c r="C3087" s="1">
        <f>IF(DAY(D3087)=DAY($L$1+1),1,C3086+1)</f>
        <v/>
      </c>
      <c r="D3087" s="2">
        <f>D3086+1</f>
        <v/>
      </c>
      <c r="E3087" s="8">
        <f>IF(DAY(D3087)=DAY($L$1+1),TRUNC((N3086),8),E3086)</f>
        <v/>
      </c>
      <c r="F3087" s="49">
        <f>TRUNC(((1+VLOOKUP(A3087,IPCA!$A$2:$C$140,3,0)))^(C3087/(EDATE(D3087-C3087,1)-(D3087-C3087))),8)</f>
        <v/>
      </c>
      <c r="G3087" s="44">
        <f>TRUNC((E3087*F3087),8)</f>
        <v/>
      </c>
      <c r="H3087" s="44">
        <f>ROUND(((1+$H$4)^(30/360))^(C3087/(EDATE(D3087-B3087,1)-(D3087-B3087))),9)</f>
        <v/>
      </c>
      <c r="I3087" s="44">
        <f>TRUNC((G3087*H3087-G3087),8)</f>
        <v/>
      </c>
      <c r="J3087" s="49">
        <f>G3087+I3087</f>
        <v/>
      </c>
      <c r="K3087" s="256" t="n"/>
      <c r="L3087" s="256" t="n"/>
      <c r="M3087" s="256" t="n"/>
      <c r="N3087" s="256" t="n"/>
      <c r="O3087" s="256" t="n"/>
      <c r="P3087" s="256" t="n"/>
      <c r="Q3087" s="256" t="n"/>
    </row>
    <row r="3088">
      <c r="A3088">
        <f>IF(DAY(D3088)=DAY($L$1+1),A3087+1,A3087)</f>
        <v/>
      </c>
      <c r="B3088" s="46">
        <f>IF(DAY(D3088)=DAY($L$1+1),1,B3087+1)</f>
        <v/>
      </c>
      <c r="C3088" s="46">
        <f>IF(DAY(D3088)=DAY($L$1+1),1,C3087+1)</f>
        <v/>
      </c>
      <c r="D3088" s="2">
        <f>D3087+1</f>
        <v/>
      </c>
      <c r="E3088" s="8">
        <f>IF(DAY(D3088)=DAY($L$1+1),TRUNC((N3087),8),E3087)</f>
        <v/>
      </c>
      <c r="F3088" s="49">
        <f>TRUNC(((1+VLOOKUP(A3088,IPCA!$A$2:$C$140,3,0)))^(C3088/(EDATE(D3088-C3088,1)-(D3088-C3088))),8)</f>
        <v/>
      </c>
      <c r="G3088" s="44">
        <f>TRUNC((E3088*F3088),8)</f>
        <v/>
      </c>
      <c r="H3088" s="44">
        <f>ROUND(((1+$H$4)^(30/360))^(C3088/(EDATE(D3088-B3088,1)-(D3088-B3088))),9)</f>
        <v/>
      </c>
      <c r="I3088" s="44">
        <f>TRUNC((G3088*H3088-G3088),8)</f>
        <v/>
      </c>
      <c r="J3088" s="49">
        <f>G3088+I3088</f>
        <v/>
      </c>
      <c r="K3088" s="256" t="n"/>
      <c r="L3088" s="256" t="n"/>
      <c r="M3088" s="256" t="n"/>
      <c r="N3088" s="256" t="n"/>
      <c r="O3088" s="256" t="n"/>
      <c r="P3088" s="256" t="n"/>
      <c r="Q3088" s="256" t="n"/>
    </row>
    <row r="3089">
      <c r="A3089">
        <f>IF(DAY(D3089)=DAY($L$1+1),A3088+1,A3088)</f>
        <v/>
      </c>
      <c r="B3089" s="1">
        <f>IF(DAY(D3089)=DAY($L$1+1),1,B3088+1)</f>
        <v/>
      </c>
      <c r="C3089" s="1">
        <f>IF(DAY(D3089)=DAY($L$1+1),1,C3088+1)</f>
        <v/>
      </c>
      <c r="D3089" s="2">
        <f>D3088+1</f>
        <v/>
      </c>
      <c r="E3089" s="8">
        <f>IF(DAY(D3089)=DAY($L$1+1),TRUNC((N3088),8),E3088)</f>
        <v/>
      </c>
      <c r="F3089" s="49">
        <f>TRUNC(((1+VLOOKUP(A3089,IPCA!$A$2:$C$140,3,0)))^(C3089/(EDATE(D3089-C3089,1)-(D3089-C3089))),8)</f>
        <v/>
      </c>
      <c r="G3089" s="44">
        <f>TRUNC((E3089*F3089),8)</f>
        <v/>
      </c>
      <c r="H3089" s="44">
        <f>ROUND(((1+$H$4)^(30/360))^(C3089/(EDATE(D3089-B3089,1)-(D3089-B3089))),9)</f>
        <v/>
      </c>
      <c r="I3089" s="44">
        <f>TRUNC((G3089*H3089-G3089),8)</f>
        <v/>
      </c>
      <c r="J3089" s="49">
        <f>G3089+I3089</f>
        <v/>
      </c>
      <c r="K3089" s="256" t="n"/>
      <c r="L3089" s="256" t="n"/>
      <c r="M3089" s="256" t="n"/>
      <c r="N3089" s="256" t="n"/>
      <c r="O3089" s="256" t="n"/>
      <c r="P3089" s="256" t="n"/>
      <c r="Q3089" s="256" t="n"/>
    </row>
    <row r="3090">
      <c r="A3090">
        <f>IF(DAY(D3090)=DAY($L$1+1),A3089+1,A3089)</f>
        <v/>
      </c>
      <c r="B3090" s="46">
        <f>IF(DAY(D3090)=DAY($L$1+1),1,B3089+1)</f>
        <v/>
      </c>
      <c r="C3090" s="46">
        <f>IF(DAY(D3090)=DAY($L$1+1),1,C3089+1)</f>
        <v/>
      </c>
      <c r="D3090" s="2">
        <f>D3089+1</f>
        <v/>
      </c>
      <c r="E3090" s="8">
        <f>IF(DAY(D3090)=DAY($L$1+1),TRUNC((N3089),8),E3089)</f>
        <v/>
      </c>
      <c r="F3090" s="49">
        <f>TRUNC(((1+VLOOKUP(A3090,IPCA!$A$2:$C$140,3,0)))^(C3090/(EDATE(D3090-C3090,1)-(D3090-C3090))),8)</f>
        <v/>
      </c>
      <c r="G3090" s="44">
        <f>TRUNC((E3090*F3090),8)</f>
        <v/>
      </c>
      <c r="H3090" s="44">
        <f>ROUND(((1+$H$4)^(30/360))^(C3090/(EDATE(D3090-B3090,1)-(D3090-B3090))),9)</f>
        <v/>
      </c>
      <c r="I3090" s="44">
        <f>TRUNC((G3090*H3090-G3090),8)</f>
        <v/>
      </c>
      <c r="J3090" s="49">
        <f>G3090+I3090</f>
        <v/>
      </c>
      <c r="K3090" s="256" t="n"/>
      <c r="L3090" s="256" t="n"/>
      <c r="M3090" s="256" t="n"/>
      <c r="N3090" s="256" t="n"/>
      <c r="O3090" s="256" t="n"/>
      <c r="P3090" s="256" t="n"/>
      <c r="Q3090" s="256" t="n"/>
    </row>
    <row r="3091">
      <c r="A3091">
        <f>IF(DAY(D3091)=DAY($L$1+1),A3090+1,A3090)</f>
        <v/>
      </c>
      <c r="B3091" s="1">
        <f>IF(DAY(D3091)=DAY($L$1+1),1,B3090+1)</f>
        <v/>
      </c>
      <c r="C3091" s="1">
        <f>IF(DAY(D3091)=DAY($L$1+1),1,C3090+1)</f>
        <v/>
      </c>
      <c r="D3091" s="2">
        <f>D3090+1</f>
        <v/>
      </c>
      <c r="E3091" s="8">
        <f>IF(DAY(D3091)=DAY($L$1+1),TRUNC((N3090),8),E3090)</f>
        <v/>
      </c>
      <c r="F3091" s="49">
        <f>TRUNC(((1+VLOOKUP(A3091,IPCA!$A$2:$C$140,3,0)))^(C3091/(EDATE(D3091-C3091,1)-(D3091-C3091))),8)</f>
        <v/>
      </c>
      <c r="G3091" s="44">
        <f>TRUNC((E3091*F3091),8)</f>
        <v/>
      </c>
      <c r="H3091" s="44">
        <f>ROUND(((1+$H$4)^(30/360))^(C3091/(EDATE(D3091-B3091,1)-(D3091-B3091))),9)</f>
        <v/>
      </c>
      <c r="I3091" s="44">
        <f>TRUNC((G3091*H3091-G3091),8)</f>
        <v/>
      </c>
      <c r="J3091" s="49">
        <f>G3091+I3091</f>
        <v/>
      </c>
      <c r="K3091" s="256" t="n"/>
      <c r="L3091" s="256" t="n"/>
      <c r="M3091" s="256" t="n"/>
      <c r="N3091" s="256" t="n"/>
      <c r="O3091" s="256" t="n"/>
      <c r="P3091" s="256" t="n"/>
      <c r="Q3091" s="256" t="n"/>
    </row>
    <row r="3092">
      <c r="A3092">
        <f>IF(DAY(D3092)=DAY($L$1+1),A3091+1,A3091)</f>
        <v/>
      </c>
      <c r="B3092" s="46">
        <f>IF(DAY(D3092)=DAY($L$1+1),1,B3091+1)</f>
        <v/>
      </c>
      <c r="C3092" s="46">
        <f>IF(DAY(D3092)=DAY($L$1+1),1,C3091+1)</f>
        <v/>
      </c>
      <c r="D3092" s="2">
        <f>D3091+1</f>
        <v/>
      </c>
      <c r="E3092" s="8">
        <f>IF(DAY(D3092)=DAY($L$1+1),TRUNC((N3091),8),E3091)</f>
        <v/>
      </c>
      <c r="F3092" s="49">
        <f>TRUNC(((1+VLOOKUP(A3092,IPCA!$A$2:$C$140,3,0)))^(C3092/(EDATE(D3092-C3092,1)-(D3092-C3092))),8)</f>
        <v/>
      </c>
      <c r="G3092" s="49">
        <f>TRUNC((E3092*F3092),8)</f>
        <v/>
      </c>
      <c r="H3092" s="49">
        <f>ROUND(((1+$H$4)^(30/360))^(C3092/(EDATE(D3092-B3092,1)-(D3092-B3092))),9)</f>
        <v/>
      </c>
      <c r="I3092" s="49">
        <f>TRUNC((G3092*H3092-G3092),8)</f>
        <v/>
      </c>
      <c r="J3092" s="49">
        <f>G3092+I3092</f>
        <v/>
      </c>
      <c r="K3092" s="256" t="inlineStr">
        <is>
          <t>Cri Integralizado</t>
        </is>
      </c>
      <c r="L3092" s="270">
        <f>L3062</f>
        <v/>
      </c>
      <c r="M3092" s="256" t="n"/>
      <c r="N3092" s="256" t="n"/>
      <c r="O3092" s="256" t="n"/>
      <c r="P3092" s="256" t="n"/>
      <c r="Q3092" s="256" t="n"/>
    </row>
    <row r="3093">
      <c r="A3093">
        <f>IF(DAY(D3093)=DAY($L$1+1),A3092+1,A3092)</f>
        <v/>
      </c>
      <c r="B3093" s="46">
        <f>IF(DAY(D3093)=DAY($L$1+1),1,B3092+1)</f>
        <v/>
      </c>
      <c r="C3093" s="46">
        <f>IF(DAY(D3093)=DAY($L$1+1),1,C3092+1)</f>
        <v/>
      </c>
      <c r="D3093" s="47">
        <f>D3092+1</f>
        <v/>
      </c>
      <c r="E3093" s="8">
        <f>IF(DAY(D3093)=DAY($L$1+1),TRUNC((N3092),8),E3092)</f>
        <v/>
      </c>
      <c r="F3093" s="49">
        <f>TRUNC(((1+VLOOKUP(A3093,IPCA!$A$2:$C$140,3,0)))^(C3093/(EDATE(D3093-C3093,1)-(D3093-C3093))),8)</f>
        <v/>
      </c>
      <c r="G3093" s="49">
        <f>TRUNC((E3093*F3093),8)</f>
        <v/>
      </c>
      <c r="H3093" s="49">
        <f>ROUND(((1+$H$4)^(30/360))^(C3093/(EDATE(D3093-B3093,1)-(D3093-B3093))),9)</f>
        <v/>
      </c>
      <c r="I3093" s="49">
        <f>TRUNC((G3093*H3093-G3093),8)</f>
        <v/>
      </c>
      <c r="J3093" s="49">
        <f>G3093+I3093</f>
        <v/>
      </c>
      <c r="K3093" s="137" t="inlineStr">
        <is>
          <t>JUROS</t>
        </is>
      </c>
      <c r="L3093" s="118" t="inlineStr">
        <is>
          <t>AMORTIZAÇÃO</t>
        </is>
      </c>
      <c r="M3093" s="118" t="inlineStr">
        <is>
          <t>AMEX</t>
        </is>
      </c>
      <c r="N3093" s="118" t="inlineStr">
        <is>
          <t>RESIDUAL</t>
        </is>
      </c>
      <c r="O3093" s="256" t="n"/>
      <c r="P3093" s="256" t="n"/>
      <c r="Q3093" s="256" t="n"/>
    </row>
    <row r="3094">
      <c r="A3094">
        <f>IF(DAY(D3094)=DAY($L$1+1),A3093+1,A3093)</f>
        <v/>
      </c>
      <c r="B3094" s="111">
        <f>IF(DAY(D3094)=DAY($L$1+1),1,B3093+1)</f>
        <v/>
      </c>
      <c r="C3094" s="111">
        <f>IF(DAY(D3094)=DAY($L$1+1),1,C3093+1)</f>
        <v/>
      </c>
      <c r="D3094" s="112">
        <f>D3093+1</f>
        <v/>
      </c>
      <c r="E3094" s="113">
        <f>IF(DAY(D3094)=DAY($L$1+1),TRUNC((N3093),8),E3093)</f>
        <v/>
      </c>
      <c r="F3094" s="114">
        <f>TRUNC(((1+VLOOKUP(A3094,IPCA!$A$2:$C$140,3,0)))^(C3094/(EDATE(D3094-C3094,1)-(D3094-C3094))),8)</f>
        <v/>
      </c>
      <c r="G3094" s="114">
        <f>TRUNC((E3094*F3094),8)</f>
        <v/>
      </c>
      <c r="H3094" s="114">
        <f>ROUND(((1+$H$4)^(30/360))^(C3094/(EDATE(D3094-B3094,1)-(D3094-B3094))),9)</f>
        <v/>
      </c>
      <c r="I3094" s="114">
        <f>TRUNC((G3094*H3094-G3094),8)</f>
        <v/>
      </c>
      <c r="J3094" s="114">
        <f>G3094+I3094</f>
        <v/>
      </c>
      <c r="K3094" s="119">
        <f>I3094</f>
        <v/>
      </c>
      <c r="L3094" s="120">
        <f>TRUNC(G3094*VLOOKUP(D3094,'Amort TS'!$G$3:$H$140,2,0),8)</f>
        <v/>
      </c>
      <c r="M3094" s="120" t="n">
        <v>0</v>
      </c>
      <c r="N3094" s="120">
        <f>J3094-K3094-L3094-M3094</f>
        <v/>
      </c>
      <c r="O3094" s="256" t="n"/>
      <c r="P3094" s="256" t="n"/>
      <c r="Q3094" s="256" t="n"/>
    </row>
    <row r="3095">
      <c r="A3095">
        <f>IF(DAY(D3095)=DAY($L$1+1),A3094+1,A3094)</f>
        <v/>
      </c>
      <c r="B3095" s="46">
        <f>IF(DAY(D3095)=DAY($L$1+1),1,B3094+1)</f>
        <v/>
      </c>
      <c r="C3095" s="46">
        <f>IF(DAY(D3095)=DAY($L$1+1),1,C3094+1)</f>
        <v/>
      </c>
      <c r="D3095" s="2">
        <f>D3094+1</f>
        <v/>
      </c>
      <c r="E3095" s="8">
        <f>IF(DAY(D3095)=DAY($L$1+1),TRUNC((N3094),8),E3094)</f>
        <v/>
      </c>
      <c r="F3095" s="49">
        <f>TRUNC(((1+VLOOKUP(A3095,IPCA!$A$2:$C$140,3,0)))^(C3095/(EDATE(D3095-C3095,1)-(D3095-C3095))),8)</f>
        <v/>
      </c>
      <c r="G3095" s="49">
        <f>TRUNC((E3095*F3095),8)</f>
        <v/>
      </c>
      <c r="H3095" s="49">
        <f>ROUND(((1+$H$4)^(30/360))^(C3095/(EDATE(D3095-B3095,1)-(D3095-B3095))),9)</f>
        <v/>
      </c>
      <c r="I3095" s="49">
        <f>TRUNC((G3095*H3095-G3095),8)</f>
        <v/>
      </c>
      <c r="J3095" s="49">
        <f>G3095+I3095</f>
        <v/>
      </c>
      <c r="K3095" s="121">
        <f>K3094*L3092</f>
        <v/>
      </c>
      <c r="L3095" s="121">
        <f>L3094*L3092</f>
        <v/>
      </c>
      <c r="M3095" s="121">
        <f>M3094*L3092</f>
        <v/>
      </c>
      <c r="N3095" s="121">
        <f>N3094*L3092</f>
        <v/>
      </c>
      <c r="O3095" s="256" t="n"/>
      <c r="P3095" s="256" t="n"/>
      <c r="Q3095" s="256" t="n"/>
    </row>
    <row r="3096">
      <c r="A3096">
        <f>IF(DAY(D3096)=DAY($L$1+1),A3095+1,A3095)</f>
        <v/>
      </c>
      <c r="B3096" s="46">
        <f>IF(DAY(D3096)=DAY($L$1+1),1,B3095+1)</f>
        <v/>
      </c>
      <c r="C3096" s="46">
        <f>IF(DAY(D3096)=DAY($L$1+1),1,C3095+1)</f>
        <v/>
      </c>
      <c r="D3096" s="47">
        <f>D3095+1</f>
        <v/>
      </c>
      <c r="E3096" s="8">
        <f>IF(DAY(D3096)=DAY($L$1+1),TRUNC((N3095),8),E3095)</f>
        <v/>
      </c>
      <c r="F3096" s="49">
        <f>TRUNC(((1+VLOOKUP(A3096,IPCA!$A$2:$C$140,3,0)))^(C3096/(EDATE(D3096-C3096,1)-(D3096-C3096))),8)</f>
        <v/>
      </c>
      <c r="G3096" s="49">
        <f>TRUNC((E3096*F3096),8)</f>
        <v/>
      </c>
      <c r="H3096" s="49">
        <f>ROUND(((1+$H$4)^(30/360))^(C3096/(EDATE(D3096-B3096,1)-(D3096-B3096))),9)</f>
        <v/>
      </c>
      <c r="I3096" s="49">
        <f>TRUNC((G3096*H3096-G3096),8)</f>
        <v/>
      </c>
      <c r="J3096" s="49">
        <f>G3096+I3096</f>
        <v/>
      </c>
      <c r="K3096" s="256" t="n"/>
      <c r="L3096" s="256" t="n"/>
      <c r="M3096" s="256" t="n"/>
      <c r="N3096" s="256" t="n"/>
      <c r="O3096" s="256" t="n"/>
      <c r="P3096" s="256" t="n"/>
      <c r="Q3096" s="256" t="n"/>
    </row>
    <row r="3097">
      <c r="A3097">
        <f>IF(DAY(D3097)=DAY($L$1+1),A3096+1,A3096)</f>
        <v/>
      </c>
      <c r="B3097" s="1">
        <f>IF(DAY(D3097)=DAY($L$1+1),1,B3096+1)</f>
        <v/>
      </c>
      <c r="C3097" s="1">
        <f>IF(DAY(D3097)=DAY($L$1+1),1,C3096+1)</f>
        <v/>
      </c>
      <c r="D3097" s="2">
        <f>D3096+1</f>
        <v/>
      </c>
      <c r="E3097" s="8">
        <f>IF(DAY(D3097)=DAY($L$1+1),TRUNC((#REF!),8),E3096)</f>
        <v/>
      </c>
      <c r="F3097" s="49">
        <f>TRUNC(((1+VLOOKUP(A3097,IPCA!$A$2:$C$140,3,0)))^(C3097/(EDATE(D3097-C3097,1)-(D3097-C3097))),8)</f>
        <v/>
      </c>
      <c r="G3097" s="44">
        <f>TRUNC((E3097*F3097),8)</f>
        <v/>
      </c>
      <c r="H3097" s="44">
        <f>ROUND(((1+$H$4)^(30/360))^(C3097/(EDATE(D3097-B3097,1)-(D3097-B3097))),9)</f>
        <v/>
      </c>
      <c r="I3097" s="44">
        <f>TRUNC((G3097*H3097-G3097),8)</f>
        <v/>
      </c>
      <c r="J3097" s="49">
        <f>G3097+I3097</f>
        <v/>
      </c>
      <c r="K3097" s="256" t="n"/>
      <c r="L3097" s="256" t="n"/>
      <c r="M3097" s="256" t="n"/>
      <c r="N3097" s="256" t="n"/>
      <c r="O3097" s="256" t="n"/>
      <c r="P3097" s="256" t="n"/>
      <c r="Q3097" s="256" t="n"/>
    </row>
    <row r="3098">
      <c r="A3098">
        <f>IF(DAY(D3098)=DAY($L$1+1),A3097+1,A3097)</f>
        <v/>
      </c>
      <c r="B3098" s="46">
        <f>IF(DAY(D3098)=DAY($L$1+1),1,B3097+1)</f>
        <v/>
      </c>
      <c r="C3098" s="46">
        <f>IF(DAY(D3098)=DAY($L$1+1),1,C3097+1)</f>
        <v/>
      </c>
      <c r="D3098" s="2">
        <f>D3097+1</f>
        <v/>
      </c>
      <c r="E3098" s="8">
        <f>IF(DAY(D3098)=DAY($L$1+1),TRUNC((#REF!),8),E3097)</f>
        <v/>
      </c>
      <c r="F3098" s="49">
        <f>TRUNC(((1+VLOOKUP(A3098,IPCA!$A$2:$C$140,3,0)))^(C3098/(EDATE(D3098-C3098,1)-(D3098-C3098))),8)</f>
        <v/>
      </c>
      <c r="G3098" s="44">
        <f>TRUNC((E3098*F3098),8)</f>
        <v/>
      </c>
      <c r="H3098" s="44">
        <f>ROUND(((1+$H$4)^(30/360))^(C3098/(EDATE(D3098-B3098,1)-(D3098-B3098))),9)</f>
        <v/>
      </c>
      <c r="I3098" s="44">
        <f>TRUNC((G3098*H3098-G3098),8)</f>
        <v/>
      </c>
      <c r="J3098" s="49">
        <f>G3098+I3098</f>
        <v/>
      </c>
      <c r="K3098" s="256" t="n"/>
      <c r="L3098" s="256" t="n"/>
      <c r="M3098" s="256" t="n"/>
      <c r="N3098" s="256" t="n"/>
      <c r="O3098" s="256" t="n"/>
      <c r="P3098" s="256" t="n"/>
      <c r="Q3098" s="256" t="n"/>
    </row>
    <row r="3099">
      <c r="A3099">
        <f>IF(DAY(D3099)=DAY($L$1+1),A3098+1,A3098)</f>
        <v/>
      </c>
      <c r="B3099" s="1">
        <f>IF(DAY(D3099)=DAY($L$1+1),1,B3098+1)</f>
        <v/>
      </c>
      <c r="C3099" s="1">
        <f>IF(DAY(D3099)=DAY($L$1+1),1,C3098+1)</f>
        <v/>
      </c>
      <c r="D3099" s="2">
        <f>D3098+1</f>
        <v/>
      </c>
      <c r="E3099" s="8">
        <f>IF(DAY(D3099)=DAY($L$1+1),TRUNC((#REF!),8),E3098)</f>
        <v/>
      </c>
      <c r="F3099" s="49">
        <f>TRUNC(((1+VLOOKUP(A3099,IPCA!$A$2:$C$140,3,0)))^(C3099/(EDATE(D3099-C3099,1)-(D3099-C3099))),8)</f>
        <v/>
      </c>
      <c r="G3099" s="44">
        <f>TRUNC((E3099*F3099),8)</f>
        <v/>
      </c>
      <c r="H3099" s="44">
        <f>ROUND(((1+$H$4)^(30/360))^(C3099/(EDATE(D3099-B3099,1)-(D3099-B3099))),9)</f>
        <v/>
      </c>
      <c r="I3099" s="44">
        <f>TRUNC((G3099*H3099-G3099),8)</f>
        <v/>
      </c>
      <c r="J3099" s="49">
        <f>G3099+I3099</f>
        <v/>
      </c>
      <c r="K3099" s="256" t="n"/>
      <c r="L3099" s="256" t="n"/>
      <c r="M3099" s="256" t="n"/>
      <c r="N3099" s="256" t="n"/>
      <c r="O3099" s="256" t="n"/>
      <c r="P3099" s="256" t="n"/>
      <c r="Q3099" s="256" t="n"/>
    </row>
    <row r="3100">
      <c r="A3100">
        <f>IF(DAY(D3100)=DAY($L$1+1),A3099+1,A3099)</f>
        <v/>
      </c>
      <c r="B3100" s="46">
        <f>IF(DAY(D3100)=DAY($L$1+1),1,B3099+1)</f>
        <v/>
      </c>
      <c r="C3100" s="46">
        <f>IF(DAY(D3100)=DAY($L$1+1),1,C3099+1)</f>
        <v/>
      </c>
      <c r="D3100" s="2">
        <f>D3099+1</f>
        <v/>
      </c>
      <c r="E3100" s="8">
        <f>IF(DAY(D3100)=DAY($L$1+1),TRUNC((#REF!),8),E3099)</f>
        <v/>
      </c>
      <c r="F3100" s="49">
        <f>TRUNC(((1+VLOOKUP(A3100,IPCA!$A$2:$C$140,3,0)))^(C3100/(EDATE(D3100-C3100,1)-(D3100-C3100))),8)</f>
        <v/>
      </c>
      <c r="G3100" s="44">
        <f>TRUNC((E3100*F3100),8)</f>
        <v/>
      </c>
      <c r="H3100" s="44">
        <f>ROUND(((1+$H$4)^(30/360))^(C3100/(EDATE(D3100-B3100,1)-(D3100-B3100))),9)</f>
        <v/>
      </c>
      <c r="I3100" s="44">
        <f>TRUNC((G3100*H3100-G3100),8)</f>
        <v/>
      </c>
      <c r="J3100" s="49">
        <f>G3100+I3100</f>
        <v/>
      </c>
      <c r="K3100" s="256" t="n"/>
      <c r="L3100" s="256" t="n"/>
      <c r="M3100" s="256" t="n"/>
      <c r="N3100" s="256" t="n"/>
      <c r="O3100" s="256" t="n"/>
      <c r="P3100" s="256" t="n"/>
      <c r="Q3100" s="256" t="n"/>
    </row>
    <row r="3101">
      <c r="A3101">
        <f>IF(DAY(D3101)=DAY($L$1+1),A3100+1,A3100)</f>
        <v/>
      </c>
      <c r="B3101" s="1">
        <f>IF(DAY(D3101)=DAY($L$1+1),1,B3100+1)</f>
        <v/>
      </c>
      <c r="C3101" s="1">
        <f>IF(DAY(D3101)=DAY($L$1+1),1,C3100+1)</f>
        <v/>
      </c>
      <c r="D3101" s="2">
        <f>D3100+1</f>
        <v/>
      </c>
      <c r="E3101" s="8">
        <f>IF(DAY(D3101)=DAY($L$1+1),TRUNC((#REF!),8),E3100)</f>
        <v/>
      </c>
      <c r="F3101" s="49">
        <f>TRUNC(((1+VLOOKUP(A3101,IPCA!$A$2:$C$140,3,0)))^(C3101/(EDATE(D3101-C3101,1)-(D3101-C3101))),8)</f>
        <v/>
      </c>
      <c r="G3101" s="44">
        <f>TRUNC((E3101*F3101),8)</f>
        <v/>
      </c>
      <c r="H3101" s="44">
        <f>ROUND(((1+$H$4)^(30/360))^(C3101/(EDATE(D3101-B3101,1)-(D3101-B3101))),9)</f>
        <v/>
      </c>
      <c r="I3101" s="44">
        <f>TRUNC((G3101*H3101-G3101),8)</f>
        <v/>
      </c>
      <c r="J3101" s="49">
        <f>G3101+I3101</f>
        <v/>
      </c>
      <c r="K3101" s="256" t="n"/>
      <c r="L3101" s="256" t="n"/>
      <c r="M3101" s="256" t="n"/>
      <c r="N3101" s="256" t="n"/>
      <c r="O3101" s="256" t="n"/>
      <c r="P3101" s="256" t="n"/>
      <c r="Q3101" s="256" t="n"/>
    </row>
    <row r="3102">
      <c r="A3102">
        <f>IF(DAY(D3102)=DAY($L$1+1),A3101+1,A3101)</f>
        <v/>
      </c>
      <c r="B3102" s="46">
        <f>IF(DAY(D3102)=DAY($L$1+1),1,B3101+1)</f>
        <v/>
      </c>
      <c r="C3102" s="46">
        <f>IF(DAY(D3102)=DAY($L$1+1),1,C3101+1)</f>
        <v/>
      </c>
      <c r="D3102" s="2">
        <f>D3101+1</f>
        <v/>
      </c>
      <c r="E3102" s="8">
        <f>IF(DAY(D3102)=DAY($L$1+1),TRUNC((#REF!),8),E3101)</f>
        <v/>
      </c>
      <c r="F3102" s="49">
        <f>TRUNC(((1+VLOOKUP(A3102,IPCA!$A$2:$C$140,3,0)))^(C3102/(EDATE(D3102-C3102,1)-(D3102-C3102))),8)</f>
        <v/>
      </c>
      <c r="G3102" s="44">
        <f>TRUNC((E3102*F3102),8)</f>
        <v/>
      </c>
      <c r="H3102" s="44">
        <f>ROUND(((1+$H$4)^(30/360))^(C3102/(EDATE(D3102-B3102,1)-(D3102-B3102))),9)</f>
        <v/>
      </c>
      <c r="I3102" s="44">
        <f>TRUNC((G3102*H3102-G3102),8)</f>
        <v/>
      </c>
      <c r="J3102" s="49">
        <f>G3102+I3102</f>
        <v/>
      </c>
      <c r="K3102" s="256" t="n"/>
      <c r="L3102" s="256" t="n"/>
      <c r="M3102" s="256" t="n"/>
      <c r="N3102" s="256" t="n"/>
      <c r="O3102" s="256" t="n"/>
      <c r="P3102" s="256" t="n"/>
      <c r="Q3102" s="256" t="n"/>
    </row>
    <row r="3103">
      <c r="A3103">
        <f>IF(DAY(D3103)=DAY($L$1+1),A3102+1,A3102)</f>
        <v/>
      </c>
      <c r="B3103" s="1">
        <f>IF(DAY(D3103)=DAY($L$1+1),1,B3102+1)</f>
        <v/>
      </c>
      <c r="C3103" s="1">
        <f>IF(DAY(D3103)=DAY($L$1+1),1,C3102+1)</f>
        <v/>
      </c>
      <c r="D3103" s="2">
        <f>D3102+1</f>
        <v/>
      </c>
      <c r="E3103" s="8">
        <f>IF(DAY(D3103)=DAY($L$1+1),TRUNC((#REF!),8),E3102)</f>
        <v/>
      </c>
      <c r="F3103" s="49">
        <f>TRUNC(((1+VLOOKUP(A3103,IPCA!$A$2:$C$140,3,0)))^(C3103/(EDATE(D3103-C3103,1)-(D3103-C3103))),8)</f>
        <v/>
      </c>
      <c r="G3103" s="44">
        <f>TRUNC((E3103*F3103),8)</f>
        <v/>
      </c>
      <c r="H3103" s="44">
        <f>ROUND(((1+$H$4)^(30/360))^(C3103/(EDATE(D3103-B3103,1)-(D3103-B3103))),9)</f>
        <v/>
      </c>
      <c r="I3103" s="44">
        <f>TRUNC((G3103*H3103-G3103),8)</f>
        <v/>
      </c>
      <c r="J3103" s="49">
        <f>G3103+I3103</f>
        <v/>
      </c>
      <c r="K3103" s="256" t="n"/>
      <c r="L3103" s="256" t="n"/>
      <c r="M3103" s="256" t="n"/>
      <c r="N3103" s="256" t="n"/>
      <c r="O3103" s="256" t="n"/>
      <c r="P3103" s="256" t="n"/>
      <c r="Q3103" s="256" t="n"/>
    </row>
    <row r="3104">
      <c r="A3104">
        <f>IF(DAY(D3104)=DAY($L$1+1),A3103+1,A3103)</f>
        <v/>
      </c>
      <c r="B3104" s="46">
        <f>IF(DAY(D3104)=DAY($L$1+1),1,B3103+1)</f>
        <v/>
      </c>
      <c r="C3104" s="46">
        <f>IF(DAY(D3104)=DAY($L$1+1),1,C3103+1)</f>
        <v/>
      </c>
      <c r="D3104" s="2">
        <f>D3103+1</f>
        <v/>
      </c>
      <c r="E3104" s="8">
        <f>IF(DAY(D3104)=DAY($L$1+1),TRUNC((#REF!),8),E3103)</f>
        <v/>
      </c>
      <c r="F3104" s="49">
        <f>TRUNC(((1+VLOOKUP(A3104,IPCA!$A$2:$C$140,3,0)))^(C3104/(EDATE(D3104-C3104,1)-(D3104-C3104))),8)</f>
        <v/>
      </c>
      <c r="G3104" s="44">
        <f>TRUNC((E3104*F3104),8)</f>
        <v/>
      </c>
      <c r="H3104" s="44">
        <f>ROUND(((1+$H$4)^(30/360))^(C3104/(EDATE(D3104-B3104,1)-(D3104-B3104))),9)</f>
        <v/>
      </c>
      <c r="I3104" s="44">
        <f>TRUNC((G3104*H3104-G3104),8)</f>
        <v/>
      </c>
      <c r="J3104" s="49">
        <f>G3104+I3104</f>
        <v/>
      </c>
      <c r="K3104" s="256" t="n"/>
      <c r="L3104" s="256" t="n"/>
      <c r="M3104" s="256" t="n"/>
      <c r="N3104" s="256" t="n"/>
      <c r="O3104" s="256" t="n"/>
      <c r="P3104" s="256" t="n"/>
      <c r="Q3104" s="256" t="n"/>
    </row>
    <row r="3105">
      <c r="A3105">
        <f>IF(DAY(D3105)=DAY($L$1+1),A3104+1,A3104)</f>
        <v/>
      </c>
      <c r="B3105" s="1">
        <f>IF(DAY(D3105)=DAY($L$1+1),1,B3104+1)</f>
        <v/>
      </c>
      <c r="C3105" s="1">
        <f>IF(DAY(D3105)=DAY($L$1+1),1,C3104+1)</f>
        <v/>
      </c>
      <c r="D3105" s="2">
        <f>D3104+1</f>
        <v/>
      </c>
      <c r="E3105" s="8">
        <f>IF(DAY(D3105)=DAY($L$1+1),TRUNC((#REF!),8),E3104)</f>
        <v/>
      </c>
      <c r="F3105" s="49">
        <f>TRUNC(((1+VLOOKUP(A3105,IPCA!$A$2:$C$140,3,0)))^(C3105/(EDATE(D3105-C3105,1)-(D3105-C3105))),8)</f>
        <v/>
      </c>
      <c r="G3105" s="44">
        <f>TRUNC((E3105*F3105),8)</f>
        <v/>
      </c>
      <c r="H3105" s="44">
        <f>ROUND(((1+$H$4)^(30/360))^(C3105/(EDATE(D3105-B3105,1)-(D3105-B3105))),9)</f>
        <v/>
      </c>
      <c r="I3105" s="44">
        <f>TRUNC((G3105*H3105-G3105),8)</f>
        <v/>
      </c>
      <c r="J3105" s="49">
        <f>G3105+I3105</f>
        <v/>
      </c>
      <c r="K3105" s="256" t="n"/>
      <c r="L3105" s="256" t="n"/>
      <c r="M3105" s="256" t="n"/>
      <c r="N3105" s="256" t="n"/>
      <c r="O3105" s="256" t="n"/>
      <c r="P3105" s="256" t="n"/>
      <c r="Q3105" s="256" t="n"/>
    </row>
    <row r="3106">
      <c r="A3106">
        <f>IF(DAY(D3106)=DAY($L$1+1),A3105+1,A3105)</f>
        <v/>
      </c>
      <c r="B3106" s="46">
        <f>IF(DAY(D3106)=DAY($L$1+1),1,B3105+1)</f>
        <v/>
      </c>
      <c r="C3106" s="46">
        <f>IF(DAY(D3106)=DAY($L$1+1),1,C3105+1)</f>
        <v/>
      </c>
      <c r="D3106" s="2">
        <f>D3105+1</f>
        <v/>
      </c>
      <c r="E3106" s="8">
        <f>IF(DAY(D3106)=DAY($L$1+1),TRUNC((#REF!),8),E3105)</f>
        <v/>
      </c>
      <c r="F3106" s="49">
        <f>TRUNC(((1+VLOOKUP(A3106,IPCA!$A$2:$C$140,3,0)))^(C3106/(EDATE(D3106-C3106,1)-(D3106-C3106))),8)</f>
        <v/>
      </c>
      <c r="G3106" s="44">
        <f>TRUNC((E3106*F3106),8)</f>
        <v/>
      </c>
      <c r="H3106" s="44">
        <f>ROUND(((1+$H$4)^(30/360))^(C3106/(EDATE(D3106-B3106,1)-(D3106-B3106))),9)</f>
        <v/>
      </c>
      <c r="I3106" s="44">
        <f>TRUNC((G3106*H3106-G3106),8)</f>
        <v/>
      </c>
      <c r="J3106" s="49">
        <f>G3106+I3106</f>
        <v/>
      </c>
      <c r="K3106" s="256" t="n"/>
      <c r="L3106" s="256" t="n"/>
      <c r="M3106" s="256" t="n"/>
      <c r="N3106" s="256" t="n"/>
      <c r="O3106" s="256" t="n"/>
      <c r="P3106" s="256" t="n"/>
      <c r="Q3106" s="256" t="n"/>
    </row>
    <row r="3107">
      <c r="A3107">
        <f>IF(DAY(D3107)=DAY($L$1+1),A3106+1,A3106)</f>
        <v/>
      </c>
      <c r="B3107" s="1">
        <f>IF(DAY(D3107)=DAY($L$1+1),1,B3106+1)</f>
        <v/>
      </c>
      <c r="C3107" s="1">
        <f>IF(DAY(D3107)=DAY($L$1+1),1,C3106+1)</f>
        <v/>
      </c>
      <c r="D3107" s="2">
        <f>D3106+1</f>
        <v/>
      </c>
      <c r="E3107" s="8">
        <f>IF(DAY(D3107)=DAY($L$1+1),TRUNC((#REF!),8),E3106)</f>
        <v/>
      </c>
      <c r="F3107" s="49">
        <f>TRUNC(((1+VLOOKUP(A3107,IPCA!$A$2:$C$140,3,0)))^(C3107/(EDATE(D3107-C3107,1)-(D3107-C3107))),8)</f>
        <v/>
      </c>
      <c r="G3107" s="44">
        <f>TRUNC((E3107*F3107),8)</f>
        <v/>
      </c>
      <c r="H3107" s="44">
        <f>ROUND(((1+$H$4)^(30/360))^(C3107/(EDATE(D3107-B3107,1)-(D3107-B3107))),9)</f>
        <v/>
      </c>
      <c r="I3107" s="44">
        <f>TRUNC((G3107*H3107-G3107),8)</f>
        <v/>
      </c>
      <c r="J3107" s="49">
        <f>G3107+I3107</f>
        <v/>
      </c>
      <c r="K3107" s="256" t="n"/>
      <c r="L3107" s="256" t="n"/>
      <c r="M3107" s="256" t="n"/>
      <c r="N3107" s="256" t="n"/>
      <c r="O3107" s="256" t="n"/>
      <c r="P3107" s="256" t="n"/>
      <c r="Q3107" s="256" t="n"/>
    </row>
    <row r="3108">
      <c r="A3108">
        <f>IF(DAY(D3108)=DAY($L$1+1),A3107+1,A3107)</f>
        <v/>
      </c>
      <c r="B3108" s="46">
        <f>IF(DAY(D3108)=DAY($L$1+1),1,B3107+1)</f>
        <v/>
      </c>
      <c r="C3108" s="46">
        <f>IF(DAY(D3108)=DAY($L$1+1),1,C3107+1)</f>
        <v/>
      </c>
      <c r="D3108" s="2">
        <f>D3107+1</f>
        <v/>
      </c>
      <c r="E3108" s="8">
        <f>IF(DAY(D3108)=DAY($L$1+1),TRUNC((#REF!),8),E3107)</f>
        <v/>
      </c>
      <c r="F3108" s="49">
        <f>TRUNC(((1+VLOOKUP(A3108,IPCA!$A$2:$C$140,3,0)))^(C3108/(EDATE(D3108-C3108,1)-(D3108-C3108))),8)</f>
        <v/>
      </c>
      <c r="G3108" s="44">
        <f>TRUNC((E3108*F3108),8)</f>
        <v/>
      </c>
      <c r="H3108" s="44">
        <f>ROUND(((1+$H$4)^(30/360))^(C3108/(EDATE(D3108-B3108,1)-(D3108-B3108))),9)</f>
        <v/>
      </c>
      <c r="I3108" s="44">
        <f>TRUNC((G3108*H3108-G3108),8)</f>
        <v/>
      </c>
      <c r="J3108" s="49">
        <f>G3108+I3108</f>
        <v/>
      </c>
      <c r="K3108" s="256" t="n"/>
      <c r="L3108" s="256" t="n"/>
      <c r="M3108" s="256" t="n"/>
      <c r="N3108" s="256" t="n"/>
      <c r="O3108" s="256" t="n"/>
      <c r="P3108" s="256" t="n"/>
      <c r="Q3108" s="256" t="n"/>
    </row>
    <row r="3109">
      <c r="A3109">
        <f>IF(DAY(D3109)=DAY($L$1+1),A3108+1,A3108)</f>
        <v/>
      </c>
      <c r="B3109" s="1">
        <f>IF(DAY(D3109)=DAY($L$1+1),1,B3108+1)</f>
        <v/>
      </c>
      <c r="C3109" s="1">
        <f>IF(DAY(D3109)=DAY($L$1+1),1,C3108+1)</f>
        <v/>
      </c>
      <c r="D3109" s="2">
        <f>D3108+1</f>
        <v/>
      </c>
      <c r="E3109" s="8">
        <f>IF(DAY(D3109)=DAY($L$1+1),TRUNC((#REF!),8),E3108)</f>
        <v/>
      </c>
      <c r="F3109" s="49">
        <f>TRUNC(((1+VLOOKUP(A3109,IPCA!$A$2:$C$140,3,0)))^(C3109/(EDATE(D3109-C3109,1)-(D3109-C3109))),8)</f>
        <v/>
      </c>
      <c r="G3109" s="44">
        <f>TRUNC((E3109*F3109),8)</f>
        <v/>
      </c>
      <c r="H3109" s="44">
        <f>ROUND(((1+$H$4)^(30/360))^(C3109/(EDATE(D3109-B3109,1)-(D3109-B3109))),9)</f>
        <v/>
      </c>
      <c r="I3109" s="44">
        <f>TRUNC((G3109*H3109-G3109),8)</f>
        <v/>
      </c>
      <c r="J3109" s="49">
        <f>G3109+I3109</f>
        <v/>
      </c>
      <c r="K3109" s="256" t="n"/>
      <c r="L3109" s="256" t="n"/>
      <c r="M3109" s="256" t="n"/>
      <c r="N3109" s="256" t="n"/>
      <c r="O3109" s="256" t="n"/>
      <c r="P3109" s="256" t="n"/>
      <c r="Q3109" s="256" t="n"/>
    </row>
    <row r="3110">
      <c r="A3110">
        <f>IF(DAY(D3110)=DAY($L$1+1),A3109+1,A3109)</f>
        <v/>
      </c>
      <c r="B3110" s="46">
        <f>IF(DAY(D3110)=DAY($L$1+1),1,B3109+1)</f>
        <v/>
      </c>
      <c r="C3110" s="46">
        <f>IF(DAY(D3110)=DAY($L$1+1),1,C3109+1)</f>
        <v/>
      </c>
      <c r="D3110" s="2">
        <f>D3109+1</f>
        <v/>
      </c>
      <c r="E3110" s="8">
        <f>IF(DAY(D3110)=DAY($L$1+1),TRUNC((#REF!),8),E3109)</f>
        <v/>
      </c>
      <c r="F3110" s="49">
        <f>TRUNC(((1+VLOOKUP(A3110,IPCA!$A$2:$C$140,3,0)))^(C3110/(EDATE(D3110-C3110,1)-(D3110-C3110))),8)</f>
        <v/>
      </c>
      <c r="G3110" s="44">
        <f>TRUNC((E3110*F3110),8)</f>
        <v/>
      </c>
      <c r="H3110" s="44">
        <f>ROUND(((1+$H$4)^(30/360))^(C3110/(EDATE(D3110-B3110,1)-(D3110-B3110))),9)</f>
        <v/>
      </c>
      <c r="I3110" s="44">
        <f>TRUNC((G3110*H3110-G3110),8)</f>
        <v/>
      </c>
      <c r="J3110" s="49">
        <f>G3110+I3110</f>
        <v/>
      </c>
      <c r="K3110" s="256" t="n"/>
      <c r="L3110" s="256" t="n"/>
      <c r="M3110" s="256" t="n"/>
      <c r="N3110" s="256" t="n"/>
      <c r="O3110" s="256" t="n"/>
      <c r="P3110" s="256" t="n"/>
      <c r="Q3110" s="256" t="n"/>
    </row>
    <row r="3111">
      <c r="A3111">
        <f>IF(DAY(D3111)=DAY($L$1+1),A3110+1,A3110)</f>
        <v/>
      </c>
      <c r="B3111" s="1">
        <f>IF(DAY(D3111)=DAY($L$1+1),1,B3110+1)</f>
        <v/>
      </c>
      <c r="C3111" s="1">
        <f>IF(DAY(D3111)=DAY($L$1+1),1,C3110+1)</f>
        <v/>
      </c>
      <c r="D3111" s="2">
        <f>D3110+1</f>
        <v/>
      </c>
      <c r="E3111" s="8">
        <f>IF(DAY(D3111)=DAY($L$1+1),TRUNC((N3110),8),E3110)</f>
        <v/>
      </c>
      <c r="F3111" s="49">
        <f>TRUNC(((1+VLOOKUP(A3111,IPCA!$A$2:$C$140,3,0)))^(C3111/(EDATE(D3111-C3111,1)-(D3111-C3111))),8)</f>
        <v/>
      </c>
      <c r="G3111" s="44">
        <f>TRUNC((E3111*F3111),8)</f>
        <v/>
      </c>
      <c r="H3111" s="44">
        <f>ROUND(((1+$H$4)^(30/360))^(C3111/(EDATE(D3111-B3111,1)-(D3111-B3111))),9)</f>
        <v/>
      </c>
      <c r="I3111" s="44">
        <f>TRUNC((G3111*H3111-G3111),8)</f>
        <v/>
      </c>
      <c r="J3111" s="49">
        <f>G3111+I3111</f>
        <v/>
      </c>
      <c r="K3111" s="256" t="n"/>
      <c r="L3111" s="256" t="n"/>
      <c r="M3111" s="256" t="n"/>
      <c r="N3111" s="256" t="n"/>
      <c r="O3111" s="256" t="n"/>
      <c r="P3111" s="256" t="n"/>
      <c r="Q3111" s="256" t="n"/>
    </row>
    <row r="3112">
      <c r="A3112">
        <f>IF(DAY(D3112)=DAY($L$1+1),A3111+1,A3111)</f>
        <v/>
      </c>
      <c r="B3112" s="46">
        <f>IF(DAY(D3112)=DAY($L$1+1),1,B3111+1)</f>
        <v/>
      </c>
      <c r="C3112" s="46">
        <f>IF(DAY(D3112)=DAY($L$1+1),1,C3111+1)</f>
        <v/>
      </c>
      <c r="D3112" s="2">
        <f>D3111+1</f>
        <v/>
      </c>
      <c r="E3112" s="8">
        <f>IF(DAY(D3112)=DAY($L$1+1),TRUNC((N3111),8),E3111)</f>
        <v/>
      </c>
      <c r="F3112" s="49">
        <f>TRUNC(((1+VLOOKUP(A3112,IPCA!$A$2:$C$140,3,0)))^(C3112/(EDATE(D3112-C3112,1)-(D3112-C3112))),8)</f>
        <v/>
      </c>
      <c r="G3112" s="44">
        <f>TRUNC((E3112*F3112),8)</f>
        <v/>
      </c>
      <c r="H3112" s="44">
        <f>ROUND(((1+$H$4)^(30/360))^(C3112/(EDATE(D3112-B3112,1)-(D3112-B3112))),9)</f>
        <v/>
      </c>
      <c r="I3112" s="44">
        <f>TRUNC((G3112*H3112-G3112),8)</f>
        <v/>
      </c>
      <c r="J3112" s="49">
        <f>G3112+I3112</f>
        <v/>
      </c>
      <c r="K3112" s="256" t="n"/>
      <c r="L3112" s="256" t="n"/>
      <c r="M3112" s="256" t="n"/>
      <c r="N3112" s="256" t="n"/>
      <c r="O3112" s="256" t="n"/>
      <c r="P3112" s="256" t="n"/>
      <c r="Q3112" s="256" t="n"/>
    </row>
    <row r="3113">
      <c r="A3113">
        <f>IF(DAY(D3113)=DAY($L$1+1),A3112+1,A3112)</f>
        <v/>
      </c>
      <c r="B3113" s="1">
        <f>IF(DAY(D3113)=DAY($L$1+1),1,B3112+1)</f>
        <v/>
      </c>
      <c r="C3113" s="1">
        <f>IF(DAY(D3113)=DAY($L$1+1),1,C3112+1)</f>
        <v/>
      </c>
      <c r="D3113" s="2">
        <f>D3112+1</f>
        <v/>
      </c>
      <c r="E3113" s="8">
        <f>IF(DAY(D3113)=DAY($L$1+1),TRUNC((N3112),8),E3112)</f>
        <v/>
      </c>
      <c r="F3113" s="49">
        <f>TRUNC(((1+VLOOKUP(A3113,IPCA!$A$2:$C$140,3,0)))^(C3113/(EDATE(D3113-C3113,1)-(D3113-C3113))),8)</f>
        <v/>
      </c>
      <c r="G3113" s="44">
        <f>TRUNC((E3113*F3113),8)</f>
        <v/>
      </c>
      <c r="H3113" s="44">
        <f>ROUND(((1+$H$4)^(30/360))^(C3113/(EDATE(D3113-B3113,1)-(D3113-B3113))),9)</f>
        <v/>
      </c>
      <c r="I3113" s="44">
        <f>TRUNC((G3113*H3113-G3113),8)</f>
        <v/>
      </c>
      <c r="J3113" s="49">
        <f>G3113+I3113</f>
        <v/>
      </c>
      <c r="K3113" s="256" t="n"/>
      <c r="L3113" s="256" t="n"/>
      <c r="M3113" s="256" t="n"/>
      <c r="N3113" s="256" t="n"/>
      <c r="O3113" s="256" t="n"/>
      <c r="P3113" s="256" t="n"/>
      <c r="Q3113" s="256" t="n"/>
    </row>
    <row r="3114">
      <c r="A3114">
        <f>IF(DAY(D3114)=DAY($L$1+1),A3113+1,A3113)</f>
        <v/>
      </c>
      <c r="B3114" s="46">
        <f>IF(DAY(D3114)=DAY($L$1+1),1,B3113+1)</f>
        <v/>
      </c>
      <c r="C3114" s="46">
        <f>IF(DAY(D3114)=DAY($L$1+1),1,C3113+1)</f>
        <v/>
      </c>
      <c r="D3114" s="2">
        <f>D3113+1</f>
        <v/>
      </c>
      <c r="E3114" s="8">
        <f>IF(DAY(D3114)=DAY($L$1+1),TRUNC((N3113),8),E3113)</f>
        <v/>
      </c>
      <c r="F3114" s="49">
        <f>TRUNC(((1+VLOOKUP(A3114,IPCA!$A$2:$C$140,3,0)))^(C3114/(EDATE(D3114-C3114,1)-(D3114-C3114))),8)</f>
        <v/>
      </c>
      <c r="G3114" s="44">
        <f>TRUNC((E3114*F3114),8)</f>
        <v/>
      </c>
      <c r="H3114" s="44">
        <f>ROUND(((1+$H$4)^(30/360))^(C3114/(EDATE(D3114-B3114,1)-(D3114-B3114))),9)</f>
        <v/>
      </c>
      <c r="I3114" s="44">
        <f>TRUNC((G3114*H3114-G3114),8)</f>
        <v/>
      </c>
      <c r="J3114" s="49">
        <f>G3114+I3114</f>
        <v/>
      </c>
      <c r="K3114" s="256" t="n"/>
      <c r="L3114" s="256" t="n"/>
      <c r="M3114" s="256" t="n"/>
      <c r="N3114" s="256" t="n"/>
      <c r="O3114" s="256" t="n"/>
      <c r="P3114" s="256" t="n"/>
      <c r="Q3114" s="256" t="n"/>
    </row>
    <row r="3115">
      <c r="A3115">
        <f>IF(DAY(D3115)=DAY($L$1+1),A3114+1,A3114)</f>
        <v/>
      </c>
      <c r="B3115" s="1">
        <f>IF(DAY(D3115)=DAY($L$1+1),1,B3114+1)</f>
        <v/>
      </c>
      <c r="C3115" s="1">
        <f>IF(DAY(D3115)=DAY($L$1+1),1,C3114+1)</f>
        <v/>
      </c>
      <c r="D3115" s="2">
        <f>D3114+1</f>
        <v/>
      </c>
      <c r="E3115" s="8">
        <f>IF(DAY(D3115)=DAY($L$1+1),TRUNC((N3114),8),E3114)</f>
        <v/>
      </c>
      <c r="F3115" s="49">
        <f>TRUNC(((1+VLOOKUP(A3115,IPCA!$A$2:$C$140,3,0)))^(C3115/(EDATE(D3115-C3115,1)-(D3115-C3115))),8)</f>
        <v/>
      </c>
      <c r="G3115" s="44">
        <f>TRUNC((E3115*F3115),8)</f>
        <v/>
      </c>
      <c r="H3115" s="44">
        <f>ROUND(((1+$H$4)^(30/360))^(C3115/(EDATE(D3115-B3115,1)-(D3115-B3115))),9)</f>
        <v/>
      </c>
      <c r="I3115" s="44">
        <f>TRUNC((G3115*H3115-G3115),8)</f>
        <v/>
      </c>
      <c r="J3115" s="49">
        <f>G3115+I3115</f>
        <v/>
      </c>
      <c r="K3115" s="256" t="n"/>
      <c r="L3115" s="256" t="n"/>
      <c r="M3115" s="256" t="n"/>
      <c r="N3115" s="256" t="n"/>
      <c r="O3115" s="256" t="n"/>
      <c r="P3115" s="256" t="n"/>
      <c r="Q3115" s="256" t="n"/>
    </row>
    <row r="3116">
      <c r="A3116">
        <f>IF(DAY(D3116)=DAY($L$1+1),A3115+1,A3115)</f>
        <v/>
      </c>
      <c r="B3116" s="46">
        <f>IF(DAY(D3116)=DAY($L$1+1),1,B3115+1)</f>
        <v/>
      </c>
      <c r="C3116" s="46">
        <f>IF(DAY(D3116)=DAY($L$1+1),1,C3115+1)</f>
        <v/>
      </c>
      <c r="D3116" s="2">
        <f>D3115+1</f>
        <v/>
      </c>
      <c r="E3116" s="8">
        <f>IF(DAY(D3116)=DAY($L$1+1),TRUNC((N3115),8),E3115)</f>
        <v/>
      </c>
      <c r="F3116" s="49">
        <f>TRUNC(((1+VLOOKUP(A3116,IPCA!$A$2:$C$140,3,0)))^(C3116/(EDATE(D3116-C3116,1)-(D3116-C3116))),8)</f>
        <v/>
      </c>
      <c r="G3116" s="44">
        <f>TRUNC((E3116*F3116),8)</f>
        <v/>
      </c>
      <c r="H3116" s="44">
        <f>ROUND(((1+$H$4)^(30/360))^(C3116/(EDATE(D3116-B3116,1)-(D3116-B3116))),9)</f>
        <v/>
      </c>
      <c r="I3116" s="44">
        <f>TRUNC((G3116*H3116-G3116),8)</f>
        <v/>
      </c>
      <c r="J3116" s="49">
        <f>G3116+I3116</f>
        <v/>
      </c>
      <c r="K3116" s="256" t="n"/>
      <c r="L3116" s="256" t="n"/>
      <c r="M3116" s="256" t="n"/>
      <c r="N3116" s="256" t="n"/>
      <c r="O3116" s="256" t="n"/>
      <c r="P3116" s="256" t="n"/>
      <c r="Q3116" s="256" t="n"/>
    </row>
    <row r="3117">
      <c r="A3117">
        <f>IF(DAY(D3117)=DAY($L$1+1),A3116+1,A3116)</f>
        <v/>
      </c>
      <c r="B3117" s="1">
        <f>IF(DAY(D3117)=DAY($L$1+1),1,B3116+1)</f>
        <v/>
      </c>
      <c r="C3117" s="1">
        <f>IF(DAY(D3117)=DAY($L$1+1),1,C3116+1)</f>
        <v/>
      </c>
      <c r="D3117" s="2">
        <f>D3116+1</f>
        <v/>
      </c>
      <c r="E3117" s="8">
        <f>IF(DAY(D3117)=DAY($L$1+1),TRUNC((N3116),8),E3116)</f>
        <v/>
      </c>
      <c r="F3117" s="49">
        <f>TRUNC(((1+VLOOKUP(A3117,IPCA!$A$2:$C$140,3,0)))^(C3117/(EDATE(D3117-C3117,1)-(D3117-C3117))),8)</f>
        <v/>
      </c>
      <c r="G3117" s="44">
        <f>TRUNC((E3117*F3117),8)</f>
        <v/>
      </c>
      <c r="H3117" s="44">
        <f>ROUND(((1+$H$4)^(30/360))^(C3117/(EDATE(D3117-B3117,1)-(D3117-B3117))),9)</f>
        <v/>
      </c>
      <c r="I3117" s="44">
        <f>TRUNC((G3117*H3117-G3117),8)</f>
        <v/>
      </c>
      <c r="J3117" s="49">
        <f>G3117+I3117</f>
        <v/>
      </c>
      <c r="K3117" s="256" t="n"/>
      <c r="L3117" s="256" t="n"/>
      <c r="M3117" s="256" t="n"/>
      <c r="N3117" s="256" t="n"/>
      <c r="O3117" s="256" t="n"/>
      <c r="P3117" s="256" t="n"/>
      <c r="Q3117" s="256" t="n"/>
    </row>
    <row r="3118">
      <c r="A3118">
        <f>IF(DAY(D3118)=DAY($L$1+1),A3117+1,A3117)</f>
        <v/>
      </c>
      <c r="B3118" s="46">
        <f>IF(DAY(D3118)=DAY($L$1+1),1,B3117+1)</f>
        <v/>
      </c>
      <c r="C3118" s="46">
        <f>IF(DAY(D3118)=DAY($L$1+1),1,C3117+1)</f>
        <v/>
      </c>
      <c r="D3118" s="2">
        <f>D3117+1</f>
        <v/>
      </c>
      <c r="E3118" s="8">
        <f>IF(DAY(D3118)=DAY($L$1+1),TRUNC((N3117),8),E3117)</f>
        <v/>
      </c>
      <c r="F3118" s="49">
        <f>TRUNC(((1+VLOOKUP(A3118,IPCA!$A$2:$C$140,3,0)))^(C3118/(EDATE(D3118-C3118,1)-(D3118-C3118))),8)</f>
        <v/>
      </c>
      <c r="G3118" s="44">
        <f>TRUNC((E3118*F3118),8)</f>
        <v/>
      </c>
      <c r="H3118" s="44">
        <f>ROUND(((1+$H$4)^(30/360))^(C3118/(EDATE(D3118-B3118,1)-(D3118-B3118))),9)</f>
        <v/>
      </c>
      <c r="I3118" s="44">
        <f>TRUNC((G3118*H3118-G3118),8)</f>
        <v/>
      </c>
      <c r="J3118" s="49">
        <f>G3118+I3118</f>
        <v/>
      </c>
      <c r="K3118" s="256" t="n"/>
      <c r="L3118" s="256" t="n"/>
      <c r="M3118" s="256" t="n"/>
      <c r="N3118" s="256" t="n"/>
      <c r="O3118" s="256" t="n"/>
      <c r="P3118" s="256" t="n"/>
      <c r="Q3118" s="256" t="n"/>
    </row>
    <row r="3119">
      <c r="A3119">
        <f>IF(DAY(D3119)=DAY($L$1+1),A3118+1,A3118)</f>
        <v/>
      </c>
      <c r="B3119" s="1">
        <f>IF(DAY(D3119)=DAY($L$1+1),1,B3118+1)</f>
        <v/>
      </c>
      <c r="C3119" s="1">
        <f>IF(DAY(D3119)=DAY($L$1+1),1,C3118+1)</f>
        <v/>
      </c>
      <c r="D3119" s="2">
        <f>D3118+1</f>
        <v/>
      </c>
      <c r="E3119" s="8">
        <f>IF(DAY(D3119)=DAY($L$1+1),TRUNC((N3118),8),E3118)</f>
        <v/>
      </c>
      <c r="F3119" s="49">
        <f>TRUNC(((1+VLOOKUP(A3119,IPCA!$A$2:$C$140,3,0)))^(C3119/(EDATE(D3119-C3119,1)-(D3119-C3119))),8)</f>
        <v/>
      </c>
      <c r="G3119" s="44">
        <f>TRUNC((E3119*F3119),8)</f>
        <v/>
      </c>
      <c r="H3119" s="44">
        <f>ROUND(((1+$H$4)^(30/360))^(C3119/(EDATE(D3119-B3119,1)-(D3119-B3119))),9)</f>
        <v/>
      </c>
      <c r="I3119" s="44">
        <f>TRUNC((G3119*H3119-G3119),8)</f>
        <v/>
      </c>
      <c r="J3119" s="49">
        <f>G3119+I3119</f>
        <v/>
      </c>
      <c r="K3119" s="256" t="n"/>
      <c r="L3119" s="256" t="n"/>
      <c r="M3119" s="256" t="n"/>
      <c r="N3119" s="256" t="n"/>
      <c r="O3119" s="256" t="n"/>
      <c r="P3119" s="256" t="n"/>
      <c r="Q3119" s="256" t="n"/>
    </row>
    <row r="3120">
      <c r="A3120">
        <f>IF(DAY(D3120)=DAY($L$1+1),A3119+1,A3119)</f>
        <v/>
      </c>
      <c r="B3120" s="46">
        <f>IF(DAY(D3120)=DAY($L$1+1),1,B3119+1)</f>
        <v/>
      </c>
      <c r="C3120" s="46">
        <f>IF(DAY(D3120)=DAY($L$1+1),1,C3119+1)</f>
        <v/>
      </c>
      <c r="D3120" s="2">
        <f>D3119+1</f>
        <v/>
      </c>
      <c r="E3120" s="8">
        <f>IF(DAY(D3120)=DAY($L$1+1),TRUNC((N3119),8),E3119)</f>
        <v/>
      </c>
      <c r="F3120" s="49">
        <f>TRUNC(((1+VLOOKUP(A3120,IPCA!$A$2:$C$140,3,0)))^(C3120/(EDATE(D3120-C3120,1)-(D3120-C3120))),8)</f>
        <v/>
      </c>
      <c r="G3120" s="44">
        <f>TRUNC((E3120*F3120),8)</f>
        <v/>
      </c>
      <c r="H3120" s="44">
        <f>ROUND(((1+$H$4)^(30/360))^(C3120/(EDATE(D3120-B3120,1)-(D3120-B3120))),9)</f>
        <v/>
      </c>
      <c r="I3120" s="44">
        <f>TRUNC((G3120*H3120-G3120),8)</f>
        <v/>
      </c>
      <c r="J3120" s="49">
        <f>G3120+I3120</f>
        <v/>
      </c>
      <c r="K3120" s="256" t="n"/>
      <c r="L3120" s="256" t="n"/>
      <c r="M3120" s="256" t="n"/>
      <c r="N3120" s="256" t="n"/>
      <c r="O3120" s="256" t="n"/>
      <c r="P3120" s="256" t="n"/>
      <c r="Q3120" s="256" t="n"/>
    </row>
    <row r="3121">
      <c r="A3121">
        <f>IF(DAY(D3121)=DAY($L$1+1),A3120+1,A3120)</f>
        <v/>
      </c>
      <c r="B3121" s="1">
        <f>IF(DAY(D3121)=DAY($L$1+1),1,B3120+1)</f>
        <v/>
      </c>
      <c r="C3121" s="1">
        <f>IF(DAY(D3121)=DAY($L$1+1),1,C3120+1)</f>
        <v/>
      </c>
      <c r="D3121" s="2">
        <f>D3120+1</f>
        <v/>
      </c>
      <c r="E3121" s="8">
        <f>IF(DAY(D3121)=DAY($L$1+1),TRUNC((N3120),8),E3120)</f>
        <v/>
      </c>
      <c r="F3121" s="49">
        <f>TRUNC(((1+VLOOKUP(A3121,IPCA!$A$2:$C$140,3,0)))^(C3121/(EDATE(D3121-C3121,1)-(D3121-C3121))),8)</f>
        <v/>
      </c>
      <c r="G3121" s="44">
        <f>TRUNC((E3121*F3121),8)</f>
        <v/>
      </c>
      <c r="H3121" s="44">
        <f>ROUND(((1+$H$4)^(30/360))^(C3121/(EDATE(D3121-B3121,1)-(D3121-B3121))),9)</f>
        <v/>
      </c>
      <c r="I3121" s="44">
        <f>TRUNC((G3121*H3121-G3121),8)</f>
        <v/>
      </c>
      <c r="J3121" s="49">
        <f>G3121+I3121</f>
        <v/>
      </c>
      <c r="K3121" s="256" t="n"/>
      <c r="L3121" s="256" t="n"/>
      <c r="M3121" s="256" t="n"/>
      <c r="N3121" s="256" t="n"/>
      <c r="O3121" s="256" t="n"/>
      <c r="P3121" s="256" t="n"/>
      <c r="Q3121" s="256" t="n"/>
    </row>
    <row r="3122">
      <c r="A3122">
        <f>IF(DAY(D3122)=DAY($L$1+1),A3121+1,A3121)</f>
        <v/>
      </c>
      <c r="B3122" s="46">
        <f>IF(DAY(D3122)=DAY($L$1+1),1,B3121+1)</f>
        <v/>
      </c>
      <c r="C3122" s="46">
        <f>IF(DAY(D3122)=DAY($L$1+1),1,C3121+1)</f>
        <v/>
      </c>
      <c r="D3122" s="2">
        <f>D3121+1</f>
        <v/>
      </c>
      <c r="E3122" s="8">
        <f>IF(DAY(D3122)=DAY($L$1+1),TRUNC((N3121),8),E3121)</f>
        <v/>
      </c>
      <c r="F3122" s="49">
        <f>TRUNC(((1+VLOOKUP(A3122,IPCA!$A$2:$C$140,3,0)))^(C3122/(EDATE(D3122-C3122,1)-(D3122-C3122))),8)</f>
        <v/>
      </c>
      <c r="G3122" s="44">
        <f>TRUNC((E3122*F3122),8)</f>
        <v/>
      </c>
      <c r="H3122" s="44">
        <f>ROUND(((1+$H$4)^(30/360))^(C3122/(EDATE(D3122-B3122,1)-(D3122-B3122))),9)</f>
        <v/>
      </c>
      <c r="I3122" s="44">
        <f>TRUNC((G3122*H3122-G3122),8)</f>
        <v/>
      </c>
      <c r="J3122" s="49">
        <f>G3122+I3122</f>
        <v/>
      </c>
      <c r="K3122" s="256" t="n"/>
      <c r="L3122" s="256" t="n"/>
      <c r="M3122" s="256" t="n"/>
      <c r="N3122" s="256" t="n"/>
      <c r="O3122" s="256" t="n"/>
      <c r="P3122" s="256" t="n"/>
      <c r="Q3122" s="256" t="n"/>
    </row>
    <row r="3123">
      <c r="A3123">
        <f>IF(DAY(D3123)=DAY($L$1+1),A3122+1,A3122)</f>
        <v/>
      </c>
      <c r="B3123" s="46">
        <f>IF(DAY(D3123)=DAY($L$1+1),1,B3122+1)</f>
        <v/>
      </c>
      <c r="C3123" s="46">
        <f>IF(DAY(D3123)=DAY($L$1+1),1,C3122+1)</f>
        <v/>
      </c>
      <c r="D3123" s="2">
        <f>D3122+1</f>
        <v/>
      </c>
      <c r="E3123" s="8">
        <f>IF(DAY(D3123)=DAY($L$1+1),TRUNC((N3122),8),E3122)</f>
        <v/>
      </c>
      <c r="F3123" s="49">
        <f>TRUNC(((1+VLOOKUP(A3123,IPCA!$A$2:$C$140,3,0)))^(C3123/(EDATE(D3123-C3123,1)-(D3123-C3123))),8)</f>
        <v/>
      </c>
      <c r="G3123" s="49">
        <f>TRUNC((E3123*F3123),8)</f>
        <v/>
      </c>
      <c r="H3123" s="49">
        <f>ROUND(((1+$H$4)^(30/360))^(C3123/(EDATE(D3123-B3123,1)-(D3123-B3123))),9)</f>
        <v/>
      </c>
      <c r="I3123" s="49">
        <f>TRUNC((G3123*H3123-G3123),8)</f>
        <v/>
      </c>
      <c r="J3123" s="49">
        <f>G3123+I3123</f>
        <v/>
      </c>
      <c r="K3123" s="256" t="inlineStr">
        <is>
          <t>Cri Integralizado</t>
        </is>
      </c>
      <c r="L3123" s="270">
        <f>L3092</f>
        <v/>
      </c>
      <c r="M3123" s="256" t="n"/>
      <c r="N3123" s="256" t="n"/>
      <c r="O3123" s="256" t="n"/>
      <c r="P3123" s="256" t="n"/>
      <c r="Q3123" s="256" t="n"/>
    </row>
    <row r="3124">
      <c r="A3124">
        <f>IF(DAY(D3124)=DAY($L$1+1),A3123+1,A3123)</f>
        <v/>
      </c>
      <c r="B3124" s="46">
        <f>IF(DAY(D3124)=DAY($L$1+1),1,B3123+1)</f>
        <v/>
      </c>
      <c r="C3124" s="46">
        <f>IF(DAY(D3124)=DAY($L$1+1),1,C3123+1)</f>
        <v/>
      </c>
      <c r="D3124" s="47">
        <f>D3123+1</f>
        <v/>
      </c>
      <c r="E3124" s="8">
        <f>IF(DAY(D3124)=DAY($L$1+1),TRUNC((N3123),8),E3123)</f>
        <v/>
      </c>
      <c r="F3124" s="49">
        <f>TRUNC(((1+VLOOKUP(A3124,IPCA!$A$2:$C$140,3,0)))^(C3124/(EDATE(D3124-C3124,1)-(D3124-C3124))),8)</f>
        <v/>
      </c>
      <c r="G3124" s="49">
        <f>TRUNC((E3124*F3124),8)</f>
        <v/>
      </c>
      <c r="H3124" s="49">
        <f>ROUND(((1+$H$4)^(30/360))^(C3124/(EDATE(D3124-B3124,1)-(D3124-B3124))),9)</f>
        <v/>
      </c>
      <c r="I3124" s="49">
        <f>TRUNC((G3124*H3124-G3124),8)</f>
        <v/>
      </c>
      <c r="J3124" s="49">
        <f>G3124+I3124</f>
        <v/>
      </c>
      <c r="K3124" s="137" t="inlineStr">
        <is>
          <t>JUROS</t>
        </is>
      </c>
      <c r="L3124" s="118" t="inlineStr">
        <is>
          <t>AMORTIZAÇÃO</t>
        </is>
      </c>
      <c r="M3124" s="118" t="inlineStr">
        <is>
          <t>AMEX</t>
        </is>
      </c>
      <c r="N3124" s="118" t="inlineStr">
        <is>
          <t>RESIDUAL</t>
        </is>
      </c>
      <c r="O3124" s="256" t="n"/>
      <c r="P3124" s="256" t="n"/>
      <c r="Q3124" s="256" t="n"/>
    </row>
    <row r="3125">
      <c r="A3125">
        <f>IF(DAY(D3125)=DAY($L$1+1),A3124+1,A3124)</f>
        <v/>
      </c>
      <c r="B3125" s="111">
        <f>IF(DAY(D3125)=DAY($L$1+1),1,B3124+1)</f>
        <v/>
      </c>
      <c r="C3125" s="111">
        <f>IF(DAY(D3125)=DAY($L$1+1),1,C3124+1)</f>
        <v/>
      </c>
      <c r="D3125" s="112">
        <f>D3124+1</f>
        <v/>
      </c>
      <c r="E3125" s="113">
        <f>IF(DAY(D3125)=DAY($L$1+1),TRUNC((N3124),8),E3124)</f>
        <v/>
      </c>
      <c r="F3125" s="114">
        <f>TRUNC(((1+VLOOKUP(A3125,IPCA!$A$2:$C$140,3,0)))^(C3125/(EDATE(D3125-C3125,1)-(D3125-C3125))),8)</f>
        <v/>
      </c>
      <c r="G3125" s="114">
        <f>TRUNC((E3125*F3125),8)</f>
        <v/>
      </c>
      <c r="H3125" s="114">
        <f>ROUND(((1+$H$4)^(30/360))^(C3125/(EDATE(D3125-B3125,1)-(D3125-B3125))),9)</f>
        <v/>
      </c>
      <c r="I3125" s="114">
        <f>TRUNC((G3125*H3125-G3125),8)</f>
        <v/>
      </c>
      <c r="J3125" s="114">
        <f>G3125+I3125</f>
        <v/>
      </c>
      <c r="K3125" s="119">
        <f>I3125</f>
        <v/>
      </c>
      <c r="L3125" s="120">
        <f>TRUNC(G3125*VLOOKUP(D3125,'Amort TS'!$G$3:$H$140,2,0),8)</f>
        <v/>
      </c>
      <c r="M3125" s="120" t="n">
        <v>0</v>
      </c>
      <c r="N3125" s="120">
        <f>J3125-K3125-L3125-M3125</f>
        <v/>
      </c>
      <c r="O3125" s="256" t="n"/>
      <c r="P3125" s="256" t="n"/>
      <c r="Q3125" s="256" t="n"/>
    </row>
    <row r="3126">
      <c r="A3126">
        <f>IF(DAY(D3126)=DAY($L$1+1),A3125+1,A3125)</f>
        <v/>
      </c>
      <c r="B3126" s="46">
        <f>IF(DAY(D3126)=DAY($L$1+1),1,B3125+1)</f>
        <v/>
      </c>
      <c r="C3126" s="46">
        <f>IF(DAY(D3126)=DAY($L$1+1),1,C3125+1)</f>
        <v/>
      </c>
      <c r="D3126" s="2">
        <f>D3125+1</f>
        <v/>
      </c>
      <c r="E3126" s="8">
        <f>IF(DAY(D3126)=DAY($L$1+1),TRUNC((N3125),8),E3125)</f>
        <v/>
      </c>
      <c r="F3126" s="49">
        <f>TRUNC(((1+VLOOKUP(A3126,IPCA!$A$2:$C$140,3,0)))^(C3126/(EDATE(D3126-C3126,1)-(D3126-C3126))),8)</f>
        <v/>
      </c>
      <c r="G3126" s="49">
        <f>TRUNC((E3126*F3126),8)</f>
        <v/>
      </c>
      <c r="H3126" s="49">
        <f>ROUND(((1+$H$4)^(30/360))^(C3126/(EDATE(D3126-B3126,1)-(D3126-B3126))),9)</f>
        <v/>
      </c>
      <c r="I3126" s="49">
        <f>TRUNC((G3126*H3126-G3126),8)</f>
        <v/>
      </c>
      <c r="J3126" s="49">
        <f>G3126+I3126</f>
        <v/>
      </c>
      <c r="K3126" s="121">
        <f>K3125*L3123</f>
        <v/>
      </c>
      <c r="L3126" s="121">
        <f>L3125*L3123</f>
        <v/>
      </c>
      <c r="M3126" s="121">
        <f>M3125*L3123</f>
        <v/>
      </c>
      <c r="N3126" s="121">
        <f>N3125*L3123</f>
        <v/>
      </c>
      <c r="O3126" s="256" t="n"/>
      <c r="P3126" s="256" t="n"/>
      <c r="Q3126" s="256" t="n"/>
    </row>
    <row r="3127">
      <c r="A3127">
        <f>IF(DAY(D3127)=DAY($L$1+1),A3126+1,A3126)</f>
        <v/>
      </c>
      <c r="B3127" s="46">
        <f>IF(DAY(D3127)=DAY($L$1+1),1,B3126+1)</f>
        <v/>
      </c>
      <c r="C3127" s="46">
        <f>IF(DAY(D3127)=DAY($L$1+1),1,C3126+1)</f>
        <v/>
      </c>
      <c r="D3127" s="47">
        <f>D3126+1</f>
        <v/>
      </c>
      <c r="E3127" s="8">
        <f>IF(DAY(D3127)=DAY($L$1+1),TRUNC((N3126),8),E3126)</f>
        <v/>
      </c>
      <c r="F3127" s="49">
        <f>TRUNC(((1+VLOOKUP(A3127,IPCA!$A$2:$C$140,3,0)))^(C3127/(EDATE(D3127-C3127,1)-(D3127-C3127))),8)</f>
        <v/>
      </c>
      <c r="G3127" s="49">
        <f>TRUNC((E3127*F3127),8)</f>
        <v/>
      </c>
      <c r="H3127" s="49">
        <f>ROUND(((1+$H$4)^(30/360))^(C3127/(EDATE(D3127-B3127,1)-(D3127-B3127))),9)</f>
        <v/>
      </c>
      <c r="I3127" s="49">
        <f>TRUNC((G3127*H3127-G3127),8)</f>
        <v/>
      </c>
      <c r="J3127" s="49">
        <f>G3127+I3127</f>
        <v/>
      </c>
      <c r="K3127" s="256" t="n"/>
      <c r="L3127" s="256" t="n"/>
      <c r="M3127" s="256" t="n"/>
      <c r="N3127" s="256" t="n"/>
      <c r="O3127" s="256" t="n"/>
      <c r="P3127" s="256" t="n"/>
      <c r="Q3127" s="256" t="n"/>
    </row>
    <row r="3128">
      <c r="A3128">
        <f>IF(DAY(D3128)=DAY($L$1+1),A3127+1,A3127)</f>
        <v/>
      </c>
      <c r="B3128" s="46">
        <f>IF(DAY(D3128)=DAY($L$1+1),1,B3127+1)</f>
        <v/>
      </c>
      <c r="C3128" s="46">
        <f>IF(DAY(D3128)=DAY($L$1+1),1,C3127+1)</f>
        <v/>
      </c>
      <c r="D3128" s="2">
        <f>D3127+1</f>
        <v/>
      </c>
      <c r="E3128" s="8">
        <f>IF(DAY(D3128)=DAY($L$1+1),TRUNC((#REF!),8),E3127)</f>
        <v/>
      </c>
      <c r="F3128" s="49">
        <f>TRUNC(((1+VLOOKUP(A3128,IPCA!$A$2:$C$140,3,0)))^(C3128/(EDATE(D3128-C3128,1)-(D3128-C3128))),8)</f>
        <v/>
      </c>
      <c r="G3128" s="44">
        <f>TRUNC((E3128*F3128),8)</f>
        <v/>
      </c>
      <c r="H3128" s="44">
        <f>ROUND(((1+$H$4)^(30/360))^(C3128/(EDATE(D3128-B3128,1)-(D3128-B3128))),9)</f>
        <v/>
      </c>
      <c r="I3128" s="44">
        <f>TRUNC((G3128*H3128-G3128),8)</f>
        <v/>
      </c>
      <c r="J3128" s="49">
        <f>G3128+I3128</f>
        <v/>
      </c>
      <c r="K3128" s="256" t="n"/>
      <c r="L3128" s="256" t="n"/>
      <c r="M3128" s="256" t="n"/>
      <c r="N3128" s="256" t="n"/>
      <c r="O3128" s="256" t="n"/>
      <c r="P3128" s="256" t="n"/>
      <c r="Q3128" s="256" t="n"/>
    </row>
    <row r="3129">
      <c r="A3129">
        <f>IF(DAY(D3129)=DAY($L$1+1),A3128+1,A3128)</f>
        <v/>
      </c>
      <c r="B3129" s="1">
        <f>IF(DAY(D3129)=DAY($L$1+1),1,B3128+1)</f>
        <v/>
      </c>
      <c r="C3129" s="1">
        <f>IF(DAY(D3129)=DAY($L$1+1),1,C3128+1)</f>
        <v/>
      </c>
      <c r="D3129" s="2">
        <f>D3128+1</f>
        <v/>
      </c>
      <c r="E3129" s="8">
        <f>IF(DAY(D3129)=DAY($L$1+1),TRUNC((#REF!),8),E3128)</f>
        <v/>
      </c>
      <c r="F3129" s="49">
        <f>TRUNC(((1+VLOOKUP(A3129,IPCA!$A$2:$C$140,3,0)))^(C3129/(EDATE(D3129-C3129,1)-(D3129-C3129))),8)</f>
        <v/>
      </c>
      <c r="G3129" s="44">
        <f>TRUNC((E3129*F3129),8)</f>
        <v/>
      </c>
      <c r="H3129" s="44">
        <f>ROUND(((1+$H$4)^(30/360))^(C3129/(EDATE(D3129-B3129,1)-(D3129-B3129))),9)</f>
        <v/>
      </c>
      <c r="I3129" s="44">
        <f>TRUNC((G3129*H3129-G3129),8)</f>
        <v/>
      </c>
      <c r="J3129" s="49">
        <f>G3129+I3129</f>
        <v/>
      </c>
      <c r="K3129" s="256" t="n"/>
      <c r="L3129" s="256" t="n"/>
      <c r="M3129" s="256" t="n"/>
      <c r="N3129" s="256" t="n"/>
      <c r="O3129" s="256" t="n"/>
      <c r="P3129" s="256" t="n"/>
      <c r="Q3129" s="256" t="n"/>
    </row>
    <row r="3130">
      <c r="A3130">
        <f>IF(DAY(D3130)=DAY($L$1+1),A3129+1,A3129)</f>
        <v/>
      </c>
      <c r="B3130" s="46">
        <f>IF(DAY(D3130)=DAY($L$1+1),1,B3129+1)</f>
        <v/>
      </c>
      <c r="C3130" s="46">
        <f>IF(DAY(D3130)=DAY($L$1+1),1,C3129+1)</f>
        <v/>
      </c>
      <c r="D3130" s="2">
        <f>D3129+1</f>
        <v/>
      </c>
      <c r="E3130" s="8">
        <f>IF(DAY(D3130)=DAY($L$1+1),TRUNC((#REF!),8),E3129)</f>
        <v/>
      </c>
      <c r="F3130" s="49">
        <f>TRUNC(((1+VLOOKUP(A3130,IPCA!$A$2:$C$140,3,0)))^(C3130/(EDATE(D3130-C3130,1)-(D3130-C3130))),8)</f>
        <v/>
      </c>
      <c r="G3130" s="44">
        <f>TRUNC((E3130*F3130),8)</f>
        <v/>
      </c>
      <c r="H3130" s="44">
        <f>ROUND(((1+$H$4)^(30/360))^(C3130/(EDATE(D3130-B3130,1)-(D3130-B3130))),9)</f>
        <v/>
      </c>
      <c r="I3130" s="44">
        <f>TRUNC((G3130*H3130-G3130),8)</f>
        <v/>
      </c>
      <c r="J3130" s="49">
        <f>G3130+I3130</f>
        <v/>
      </c>
      <c r="K3130" s="256" t="n"/>
      <c r="L3130" s="256" t="n"/>
      <c r="M3130" s="256" t="n"/>
      <c r="N3130" s="256" t="n"/>
      <c r="O3130" s="256" t="n"/>
      <c r="P3130" s="256" t="n"/>
      <c r="Q3130" s="256" t="n"/>
    </row>
    <row r="3131">
      <c r="A3131">
        <f>IF(DAY(D3131)=DAY($L$1+1),A3130+1,A3130)</f>
        <v/>
      </c>
      <c r="B3131" s="1">
        <f>IF(DAY(D3131)=DAY($L$1+1),1,B3130+1)</f>
        <v/>
      </c>
      <c r="C3131" s="1">
        <f>IF(DAY(D3131)=DAY($L$1+1),1,C3130+1)</f>
        <v/>
      </c>
      <c r="D3131" s="2">
        <f>D3130+1</f>
        <v/>
      </c>
      <c r="E3131" s="8">
        <f>IF(DAY(D3131)=DAY($L$1+1),TRUNC((#REF!),8),E3130)</f>
        <v/>
      </c>
      <c r="F3131" s="49">
        <f>TRUNC(((1+VLOOKUP(A3131,IPCA!$A$2:$C$140,3,0)))^(C3131/(EDATE(D3131-C3131,1)-(D3131-C3131))),8)</f>
        <v/>
      </c>
      <c r="G3131" s="44">
        <f>TRUNC((E3131*F3131),8)</f>
        <v/>
      </c>
      <c r="H3131" s="44">
        <f>ROUND(((1+$H$4)^(30/360))^(C3131/(EDATE(D3131-B3131,1)-(D3131-B3131))),9)</f>
        <v/>
      </c>
      <c r="I3131" s="44">
        <f>TRUNC((G3131*H3131-G3131),8)</f>
        <v/>
      </c>
      <c r="J3131" s="49">
        <f>G3131+I3131</f>
        <v/>
      </c>
      <c r="K3131" s="256" t="n"/>
      <c r="L3131" s="256" t="n"/>
      <c r="M3131" s="256" t="n"/>
      <c r="N3131" s="256" t="n"/>
      <c r="O3131" s="256" t="n"/>
      <c r="P3131" s="256" t="n"/>
      <c r="Q3131" s="256" t="n"/>
    </row>
    <row r="3132">
      <c r="A3132">
        <f>IF(DAY(D3132)=DAY($L$1+1),A3131+1,A3131)</f>
        <v/>
      </c>
      <c r="B3132" s="46">
        <f>IF(DAY(D3132)=DAY($L$1+1),1,B3131+1)</f>
        <v/>
      </c>
      <c r="C3132" s="46">
        <f>IF(DAY(D3132)=DAY($L$1+1),1,C3131+1)</f>
        <v/>
      </c>
      <c r="D3132" s="2">
        <f>D3131+1</f>
        <v/>
      </c>
      <c r="E3132" s="8">
        <f>IF(DAY(D3132)=DAY($L$1+1),TRUNC((#REF!),8),E3131)</f>
        <v/>
      </c>
      <c r="F3132" s="49">
        <f>TRUNC(((1+VLOOKUP(A3132,IPCA!$A$2:$C$140,3,0)))^(C3132/(EDATE(D3132-C3132,1)-(D3132-C3132))),8)</f>
        <v/>
      </c>
      <c r="G3132" s="44">
        <f>TRUNC((E3132*F3132),8)</f>
        <v/>
      </c>
      <c r="H3132" s="44">
        <f>ROUND(((1+$H$4)^(30/360))^(C3132/(EDATE(D3132-B3132,1)-(D3132-B3132))),9)</f>
        <v/>
      </c>
      <c r="I3132" s="44">
        <f>TRUNC((G3132*H3132-G3132),8)</f>
        <v/>
      </c>
      <c r="J3132" s="49">
        <f>G3132+I3132</f>
        <v/>
      </c>
      <c r="K3132" s="256" t="n"/>
      <c r="L3132" s="256" t="n"/>
      <c r="M3132" s="256" t="n"/>
      <c r="N3132" s="256" t="n"/>
      <c r="O3132" s="256" t="n"/>
      <c r="P3132" s="256" t="n"/>
      <c r="Q3132" s="256" t="n"/>
    </row>
    <row r="3133">
      <c r="A3133">
        <f>IF(DAY(D3133)=DAY($L$1+1),A3132+1,A3132)</f>
        <v/>
      </c>
      <c r="B3133" s="1">
        <f>IF(DAY(D3133)=DAY($L$1+1),1,B3132+1)</f>
        <v/>
      </c>
      <c r="C3133" s="1">
        <f>IF(DAY(D3133)=DAY($L$1+1),1,C3132+1)</f>
        <v/>
      </c>
      <c r="D3133" s="2">
        <f>D3132+1</f>
        <v/>
      </c>
      <c r="E3133" s="8">
        <f>IF(DAY(D3133)=DAY($L$1+1),TRUNC((#REF!),8),E3132)</f>
        <v/>
      </c>
      <c r="F3133" s="49">
        <f>TRUNC(((1+VLOOKUP(A3133,IPCA!$A$2:$C$140,3,0)))^(C3133/(EDATE(D3133-C3133,1)-(D3133-C3133))),8)</f>
        <v/>
      </c>
      <c r="G3133" s="44">
        <f>TRUNC((E3133*F3133),8)</f>
        <v/>
      </c>
      <c r="H3133" s="44">
        <f>ROUND(((1+$H$4)^(30/360))^(C3133/(EDATE(D3133-B3133,1)-(D3133-B3133))),9)</f>
        <v/>
      </c>
      <c r="I3133" s="44">
        <f>TRUNC((G3133*H3133-G3133),8)</f>
        <v/>
      </c>
      <c r="J3133" s="49">
        <f>G3133+I3133</f>
        <v/>
      </c>
      <c r="K3133" s="256" t="n"/>
      <c r="L3133" s="256" t="n"/>
      <c r="M3133" s="256" t="n"/>
      <c r="N3133" s="256" t="n"/>
      <c r="O3133" s="256" t="n"/>
      <c r="P3133" s="256" t="n"/>
      <c r="Q3133" s="256" t="n"/>
    </row>
    <row r="3134">
      <c r="A3134">
        <f>IF(DAY(D3134)=DAY($L$1+1),A3133+1,A3133)</f>
        <v/>
      </c>
      <c r="B3134" s="46">
        <f>IF(DAY(D3134)=DAY($L$1+1),1,B3133+1)</f>
        <v/>
      </c>
      <c r="C3134" s="46">
        <f>IF(DAY(D3134)=DAY($L$1+1),1,C3133+1)</f>
        <v/>
      </c>
      <c r="D3134" s="2">
        <f>D3133+1</f>
        <v/>
      </c>
      <c r="E3134" s="8">
        <f>IF(DAY(D3134)=DAY($L$1+1),TRUNC((#REF!),8),E3133)</f>
        <v/>
      </c>
      <c r="F3134" s="49">
        <f>TRUNC(((1+VLOOKUP(A3134,IPCA!$A$2:$C$140,3,0)))^(C3134/(EDATE(D3134-C3134,1)-(D3134-C3134))),8)</f>
        <v/>
      </c>
      <c r="G3134" s="44">
        <f>TRUNC((E3134*F3134),8)</f>
        <v/>
      </c>
      <c r="H3134" s="44">
        <f>ROUND(((1+$H$4)^(30/360))^(C3134/(EDATE(D3134-B3134,1)-(D3134-B3134))),9)</f>
        <v/>
      </c>
      <c r="I3134" s="44">
        <f>TRUNC((G3134*H3134-G3134),8)</f>
        <v/>
      </c>
      <c r="J3134" s="49">
        <f>G3134+I3134</f>
        <v/>
      </c>
      <c r="K3134" s="256" t="n"/>
      <c r="L3134" s="256" t="n"/>
      <c r="M3134" s="256" t="n"/>
      <c r="N3134" s="256" t="n"/>
      <c r="O3134" s="256" t="n"/>
      <c r="P3134" s="256" t="n"/>
      <c r="Q3134" s="256" t="n"/>
    </row>
    <row r="3135">
      <c r="A3135">
        <f>IF(DAY(D3135)=DAY($L$1+1),A3134+1,A3134)</f>
        <v/>
      </c>
      <c r="B3135" s="1">
        <f>IF(DAY(D3135)=DAY($L$1+1),1,B3134+1)</f>
        <v/>
      </c>
      <c r="C3135" s="1">
        <f>IF(DAY(D3135)=DAY($L$1+1),1,C3134+1)</f>
        <v/>
      </c>
      <c r="D3135" s="2">
        <f>D3134+1</f>
        <v/>
      </c>
      <c r="E3135" s="8">
        <f>IF(DAY(D3135)=DAY($L$1+1),TRUNC((#REF!),8),E3134)</f>
        <v/>
      </c>
      <c r="F3135" s="49">
        <f>TRUNC(((1+VLOOKUP(A3135,IPCA!$A$2:$C$140,3,0)))^(C3135/(EDATE(D3135-C3135,1)-(D3135-C3135))),8)</f>
        <v/>
      </c>
      <c r="G3135" s="44">
        <f>TRUNC((E3135*F3135),8)</f>
        <v/>
      </c>
      <c r="H3135" s="44">
        <f>ROUND(((1+$H$4)^(30/360))^(C3135/(EDATE(D3135-B3135,1)-(D3135-B3135))),9)</f>
        <v/>
      </c>
      <c r="I3135" s="44">
        <f>TRUNC((G3135*H3135-G3135),8)</f>
        <v/>
      </c>
      <c r="J3135" s="49">
        <f>G3135+I3135</f>
        <v/>
      </c>
      <c r="K3135" s="256" t="n"/>
      <c r="L3135" s="256" t="n"/>
      <c r="M3135" s="256" t="n"/>
      <c r="N3135" s="256" t="n"/>
      <c r="O3135" s="256" t="n"/>
      <c r="P3135" s="256" t="n"/>
      <c r="Q3135" s="256" t="n"/>
    </row>
    <row r="3136">
      <c r="A3136">
        <f>IF(DAY(D3136)=DAY($L$1+1),A3135+1,A3135)</f>
        <v/>
      </c>
      <c r="B3136" s="46">
        <f>IF(DAY(D3136)=DAY($L$1+1),1,B3135+1)</f>
        <v/>
      </c>
      <c r="C3136" s="46">
        <f>IF(DAY(D3136)=DAY($L$1+1),1,C3135+1)</f>
        <v/>
      </c>
      <c r="D3136" s="2">
        <f>D3135+1</f>
        <v/>
      </c>
      <c r="E3136" s="8">
        <f>IF(DAY(D3136)=DAY($L$1+1),TRUNC((#REF!),8),E3135)</f>
        <v/>
      </c>
      <c r="F3136" s="49">
        <f>TRUNC(((1+VLOOKUP(A3136,IPCA!$A$2:$C$140,3,0)))^(C3136/(EDATE(D3136-C3136,1)-(D3136-C3136))),8)</f>
        <v/>
      </c>
      <c r="G3136" s="44">
        <f>TRUNC((E3136*F3136),8)</f>
        <v/>
      </c>
      <c r="H3136" s="44">
        <f>ROUND(((1+$H$4)^(30/360))^(C3136/(EDATE(D3136-B3136,1)-(D3136-B3136))),9)</f>
        <v/>
      </c>
      <c r="I3136" s="44">
        <f>TRUNC((G3136*H3136-G3136),8)</f>
        <v/>
      </c>
      <c r="J3136" s="49">
        <f>G3136+I3136</f>
        <v/>
      </c>
      <c r="K3136" s="256" t="n"/>
      <c r="L3136" s="256" t="n"/>
      <c r="M3136" s="256" t="n"/>
      <c r="N3136" s="256" t="n"/>
      <c r="O3136" s="256" t="n"/>
      <c r="P3136" s="256" t="n"/>
      <c r="Q3136" s="256" t="n"/>
    </row>
    <row r="3137">
      <c r="A3137">
        <f>IF(DAY(D3137)=DAY($L$1+1),A3136+1,A3136)</f>
        <v/>
      </c>
      <c r="B3137" s="1">
        <f>IF(DAY(D3137)=DAY($L$1+1),1,B3136+1)</f>
        <v/>
      </c>
      <c r="C3137" s="1">
        <f>IF(DAY(D3137)=DAY($L$1+1),1,C3136+1)</f>
        <v/>
      </c>
      <c r="D3137" s="2">
        <f>D3136+1</f>
        <v/>
      </c>
      <c r="E3137" s="8">
        <f>IF(DAY(D3137)=DAY($L$1+1),TRUNC((#REF!),8),E3136)</f>
        <v/>
      </c>
      <c r="F3137" s="49">
        <f>TRUNC(((1+VLOOKUP(A3137,IPCA!$A$2:$C$140,3,0)))^(C3137/(EDATE(D3137-C3137,1)-(D3137-C3137))),8)</f>
        <v/>
      </c>
      <c r="G3137" s="44">
        <f>TRUNC((E3137*F3137),8)</f>
        <v/>
      </c>
      <c r="H3137" s="44">
        <f>ROUND(((1+$H$4)^(30/360))^(C3137/(EDATE(D3137-B3137,1)-(D3137-B3137))),9)</f>
        <v/>
      </c>
      <c r="I3137" s="44">
        <f>TRUNC((G3137*H3137-G3137),8)</f>
        <v/>
      </c>
      <c r="J3137" s="49">
        <f>G3137+I3137</f>
        <v/>
      </c>
      <c r="K3137" s="256" t="n"/>
      <c r="L3137" s="256" t="n"/>
      <c r="M3137" s="256" t="n"/>
      <c r="N3137" s="256" t="n"/>
      <c r="O3137" s="256" t="n"/>
      <c r="P3137" s="256" t="n"/>
      <c r="Q3137" s="256" t="n"/>
    </row>
    <row r="3138">
      <c r="A3138">
        <f>IF(DAY(D3138)=DAY($L$1+1),A3137+1,A3137)</f>
        <v/>
      </c>
      <c r="B3138" s="46">
        <f>IF(DAY(D3138)=DAY($L$1+1),1,B3137+1)</f>
        <v/>
      </c>
      <c r="C3138" s="46">
        <f>IF(DAY(D3138)=DAY($L$1+1),1,C3137+1)</f>
        <v/>
      </c>
      <c r="D3138" s="2">
        <f>D3137+1</f>
        <v/>
      </c>
      <c r="E3138" s="8">
        <f>IF(DAY(D3138)=DAY($L$1+1),TRUNC((#REF!),8),E3137)</f>
        <v/>
      </c>
      <c r="F3138" s="49">
        <f>TRUNC(((1+VLOOKUP(A3138,IPCA!$A$2:$C$140,3,0)))^(C3138/(EDATE(D3138-C3138,1)-(D3138-C3138))),8)</f>
        <v/>
      </c>
      <c r="G3138" s="44">
        <f>TRUNC((E3138*F3138),8)</f>
        <v/>
      </c>
      <c r="H3138" s="44">
        <f>ROUND(((1+$H$4)^(30/360))^(C3138/(EDATE(D3138-B3138,1)-(D3138-B3138))),9)</f>
        <v/>
      </c>
      <c r="I3138" s="44">
        <f>TRUNC((G3138*H3138-G3138),8)</f>
        <v/>
      </c>
      <c r="J3138" s="49">
        <f>G3138+I3138</f>
        <v/>
      </c>
      <c r="K3138" s="256" t="n"/>
      <c r="L3138" s="256" t="n"/>
      <c r="M3138" s="256" t="n"/>
      <c r="N3138" s="256" t="n"/>
      <c r="O3138" s="256" t="n"/>
      <c r="P3138" s="256" t="n"/>
      <c r="Q3138" s="256" t="n"/>
    </row>
    <row r="3139">
      <c r="A3139">
        <f>IF(DAY(D3139)=DAY($L$1+1),A3138+1,A3138)</f>
        <v/>
      </c>
      <c r="B3139" s="1">
        <f>IF(DAY(D3139)=DAY($L$1+1),1,B3138+1)</f>
        <v/>
      </c>
      <c r="C3139" s="1">
        <f>IF(DAY(D3139)=DAY($L$1+1),1,C3138+1)</f>
        <v/>
      </c>
      <c r="D3139" s="2">
        <f>D3138+1</f>
        <v/>
      </c>
      <c r="E3139" s="8">
        <f>IF(DAY(D3139)=DAY($L$1+1),TRUNC((#REF!),8),E3138)</f>
        <v/>
      </c>
      <c r="F3139" s="49">
        <f>TRUNC(((1+VLOOKUP(A3139,IPCA!$A$2:$C$140,3,0)))^(C3139/(EDATE(D3139-C3139,1)-(D3139-C3139))),8)</f>
        <v/>
      </c>
      <c r="G3139" s="44">
        <f>TRUNC((E3139*F3139),8)</f>
        <v/>
      </c>
      <c r="H3139" s="44">
        <f>ROUND(((1+$H$4)^(30/360))^(C3139/(EDATE(D3139-B3139,1)-(D3139-B3139))),9)</f>
        <v/>
      </c>
      <c r="I3139" s="44">
        <f>TRUNC((G3139*H3139-G3139),8)</f>
        <v/>
      </c>
      <c r="J3139" s="49">
        <f>G3139+I3139</f>
        <v/>
      </c>
      <c r="K3139" s="256" t="n"/>
      <c r="L3139" s="256" t="n"/>
      <c r="M3139" s="256" t="n"/>
      <c r="N3139" s="256" t="n"/>
      <c r="O3139" s="256" t="n"/>
      <c r="P3139" s="256" t="n"/>
      <c r="Q3139" s="256" t="n"/>
    </row>
    <row r="3140">
      <c r="A3140">
        <f>IF(DAY(D3140)=DAY($L$1+1),A3139+1,A3139)</f>
        <v/>
      </c>
      <c r="B3140" s="46">
        <f>IF(DAY(D3140)=DAY($L$1+1),1,B3139+1)</f>
        <v/>
      </c>
      <c r="C3140" s="46">
        <f>IF(DAY(D3140)=DAY($L$1+1),1,C3139+1)</f>
        <v/>
      </c>
      <c r="D3140" s="2">
        <f>D3139+1</f>
        <v/>
      </c>
      <c r="E3140" s="8">
        <f>IF(DAY(D3140)=DAY($L$1+1),TRUNC((#REF!),8),E3139)</f>
        <v/>
      </c>
      <c r="F3140" s="49">
        <f>TRUNC(((1+VLOOKUP(A3140,IPCA!$A$2:$C$140,3,0)))^(C3140/(EDATE(D3140-C3140,1)-(D3140-C3140))),8)</f>
        <v/>
      </c>
      <c r="G3140" s="44">
        <f>TRUNC((E3140*F3140),8)</f>
        <v/>
      </c>
      <c r="H3140" s="44">
        <f>ROUND(((1+$H$4)^(30/360))^(C3140/(EDATE(D3140-B3140,1)-(D3140-B3140))),9)</f>
        <v/>
      </c>
      <c r="I3140" s="44">
        <f>TRUNC((G3140*H3140-G3140),8)</f>
        <v/>
      </c>
      <c r="J3140" s="49">
        <f>G3140+I3140</f>
        <v/>
      </c>
      <c r="K3140" s="256" t="n"/>
      <c r="L3140" s="256" t="n"/>
      <c r="M3140" s="256" t="n"/>
      <c r="N3140" s="256" t="n"/>
      <c r="O3140" s="256" t="n"/>
      <c r="P3140" s="256" t="n"/>
      <c r="Q3140" s="256" t="n"/>
    </row>
    <row r="3141">
      <c r="A3141">
        <f>IF(DAY(D3141)=DAY($L$1+1),A3140+1,A3140)</f>
        <v/>
      </c>
      <c r="B3141" s="1">
        <f>IF(DAY(D3141)=DAY($L$1+1),1,B3140+1)</f>
        <v/>
      </c>
      <c r="C3141" s="1">
        <f>IF(DAY(D3141)=DAY($L$1+1),1,C3140+1)</f>
        <v/>
      </c>
      <c r="D3141" s="2">
        <f>D3140+1</f>
        <v/>
      </c>
      <c r="E3141" s="8">
        <f>IF(DAY(D3141)=DAY($L$1+1),TRUNC((#REF!),8),E3140)</f>
        <v/>
      </c>
      <c r="F3141" s="49">
        <f>TRUNC(((1+VLOOKUP(A3141,IPCA!$A$2:$C$140,3,0)))^(C3141/(EDATE(D3141-C3141,1)-(D3141-C3141))),8)</f>
        <v/>
      </c>
      <c r="G3141" s="44">
        <f>TRUNC((E3141*F3141),8)</f>
        <v/>
      </c>
      <c r="H3141" s="44">
        <f>ROUND(((1+$H$4)^(30/360))^(C3141/(EDATE(D3141-B3141,1)-(D3141-B3141))),9)</f>
        <v/>
      </c>
      <c r="I3141" s="44">
        <f>TRUNC((G3141*H3141-G3141),8)</f>
        <v/>
      </c>
      <c r="J3141" s="49">
        <f>G3141+I3141</f>
        <v/>
      </c>
      <c r="K3141" s="256" t="n"/>
      <c r="L3141" s="256" t="n"/>
      <c r="M3141" s="256" t="n"/>
      <c r="N3141" s="256" t="n"/>
      <c r="O3141" s="256" t="n"/>
      <c r="P3141" s="256" t="n"/>
      <c r="Q3141" s="256" t="n"/>
    </row>
    <row r="3142">
      <c r="A3142">
        <f>IF(DAY(D3142)=DAY($L$1+1),A3141+1,A3141)</f>
        <v/>
      </c>
      <c r="B3142" s="46">
        <f>IF(DAY(D3142)=DAY($L$1+1),1,B3141+1)</f>
        <v/>
      </c>
      <c r="C3142" s="46">
        <f>IF(DAY(D3142)=DAY($L$1+1),1,C3141+1)</f>
        <v/>
      </c>
      <c r="D3142" s="2">
        <f>D3141+1</f>
        <v/>
      </c>
      <c r="E3142" s="8">
        <f>IF(DAY(D3142)=DAY($L$1+1),TRUNC((#REF!),8),E3141)</f>
        <v/>
      </c>
      <c r="F3142" s="49">
        <f>TRUNC(((1+VLOOKUP(A3142,IPCA!$A$2:$C$140,3,0)))^(C3142/(EDATE(D3142-C3142,1)-(D3142-C3142))),8)</f>
        <v/>
      </c>
      <c r="G3142" s="44">
        <f>TRUNC((E3142*F3142),8)</f>
        <v/>
      </c>
      <c r="H3142" s="44">
        <f>ROUND(((1+$H$4)^(30/360))^(C3142/(EDATE(D3142-B3142,1)-(D3142-B3142))),9)</f>
        <v/>
      </c>
      <c r="I3142" s="44">
        <f>TRUNC((G3142*H3142-G3142),8)</f>
        <v/>
      </c>
      <c r="J3142" s="49">
        <f>G3142+I3142</f>
        <v/>
      </c>
      <c r="K3142" s="256" t="n"/>
      <c r="L3142" s="256" t="n"/>
      <c r="M3142" s="256" t="n"/>
      <c r="N3142" s="256" t="n"/>
      <c r="O3142" s="256" t="n"/>
      <c r="P3142" s="256" t="n"/>
      <c r="Q3142" s="256" t="n"/>
    </row>
    <row r="3143">
      <c r="A3143">
        <f>IF(DAY(D3143)=DAY($L$1+1),A3142+1,A3142)</f>
        <v/>
      </c>
      <c r="B3143" s="1">
        <f>IF(DAY(D3143)=DAY($L$1+1),1,B3142+1)</f>
        <v/>
      </c>
      <c r="C3143" s="1">
        <f>IF(DAY(D3143)=DAY($L$1+1),1,C3142+1)</f>
        <v/>
      </c>
      <c r="D3143" s="2">
        <f>D3142+1</f>
        <v/>
      </c>
      <c r="E3143" s="8">
        <f>IF(DAY(D3143)=DAY($L$1+1),TRUNC((#REF!),8),E3142)</f>
        <v/>
      </c>
      <c r="F3143" s="49">
        <f>TRUNC(((1+VLOOKUP(A3143,IPCA!$A$2:$C$140,3,0)))^(C3143/(EDATE(D3143-C3143,1)-(D3143-C3143))),8)</f>
        <v/>
      </c>
      <c r="G3143" s="44">
        <f>TRUNC((E3143*F3143),8)</f>
        <v/>
      </c>
      <c r="H3143" s="44">
        <f>ROUND(((1+$H$4)^(30/360))^(C3143/(EDATE(D3143-B3143,1)-(D3143-B3143))),9)</f>
        <v/>
      </c>
      <c r="I3143" s="44">
        <f>TRUNC((G3143*H3143-G3143),8)</f>
        <v/>
      </c>
      <c r="J3143" s="49">
        <f>G3143+I3143</f>
        <v/>
      </c>
      <c r="K3143" s="256" t="n"/>
      <c r="L3143" s="256" t="n"/>
      <c r="M3143" s="256" t="n"/>
      <c r="N3143" s="256" t="n"/>
      <c r="O3143" s="256" t="n"/>
      <c r="P3143" s="256" t="n"/>
      <c r="Q3143" s="256" t="n"/>
    </row>
    <row r="3144">
      <c r="A3144">
        <f>IF(DAY(D3144)=DAY($L$1+1),A3143+1,A3143)</f>
        <v/>
      </c>
      <c r="B3144" s="46">
        <f>IF(DAY(D3144)=DAY($L$1+1),1,B3143+1)</f>
        <v/>
      </c>
      <c r="C3144" s="46">
        <f>IF(DAY(D3144)=DAY($L$1+1),1,C3143+1)</f>
        <v/>
      </c>
      <c r="D3144" s="2">
        <f>D3143+1</f>
        <v/>
      </c>
      <c r="E3144" s="8">
        <f>IF(DAY(D3144)=DAY($L$1+1),TRUNC((#REF!),8),E3143)</f>
        <v/>
      </c>
      <c r="F3144" s="49">
        <f>TRUNC(((1+VLOOKUP(A3144,IPCA!$A$2:$C$140,3,0)))^(C3144/(EDATE(D3144-C3144,1)-(D3144-C3144))),8)</f>
        <v/>
      </c>
      <c r="G3144" s="44">
        <f>TRUNC((E3144*F3144),8)</f>
        <v/>
      </c>
      <c r="H3144" s="44">
        <f>ROUND(((1+$H$4)^(30/360))^(C3144/(EDATE(D3144-B3144,1)-(D3144-B3144))),9)</f>
        <v/>
      </c>
      <c r="I3144" s="44">
        <f>TRUNC((G3144*H3144-G3144),8)</f>
        <v/>
      </c>
      <c r="J3144" s="49">
        <f>G3144+I3144</f>
        <v/>
      </c>
      <c r="K3144" s="256" t="n"/>
      <c r="L3144" s="256" t="n"/>
      <c r="M3144" s="256" t="n"/>
      <c r="N3144" s="256" t="n"/>
      <c r="O3144" s="256" t="n"/>
      <c r="P3144" s="256" t="n"/>
      <c r="Q3144" s="256" t="n"/>
    </row>
    <row r="3145">
      <c r="A3145">
        <f>IF(DAY(D3145)=DAY($L$1+1),A3144+1,A3144)</f>
        <v/>
      </c>
      <c r="B3145" s="1">
        <f>IF(DAY(D3145)=DAY($L$1+1),1,B3144+1)</f>
        <v/>
      </c>
      <c r="C3145" s="1">
        <f>IF(DAY(D3145)=DAY($L$1+1),1,C3144+1)</f>
        <v/>
      </c>
      <c r="D3145" s="2">
        <f>D3144+1</f>
        <v/>
      </c>
      <c r="E3145" s="8">
        <f>IF(DAY(D3145)=DAY($L$1+1),TRUNC((N3144),8),E3144)</f>
        <v/>
      </c>
      <c r="F3145" s="49">
        <f>TRUNC(((1+VLOOKUP(A3145,IPCA!$A$2:$C$140,3,0)))^(C3145/(EDATE(D3145-C3145,1)-(D3145-C3145))),8)</f>
        <v/>
      </c>
      <c r="G3145" s="44">
        <f>TRUNC((E3145*F3145),8)</f>
        <v/>
      </c>
      <c r="H3145" s="44">
        <f>ROUND(((1+$H$4)^(30/360))^(C3145/(EDATE(D3145-B3145,1)-(D3145-B3145))),9)</f>
        <v/>
      </c>
      <c r="I3145" s="44">
        <f>TRUNC((G3145*H3145-G3145),8)</f>
        <v/>
      </c>
      <c r="J3145" s="49">
        <f>G3145+I3145</f>
        <v/>
      </c>
      <c r="K3145" s="256" t="n"/>
      <c r="L3145" s="256" t="n"/>
      <c r="M3145" s="256" t="n"/>
      <c r="N3145" s="256" t="n"/>
      <c r="O3145" s="256" t="n"/>
      <c r="P3145" s="256" t="n"/>
      <c r="Q3145" s="256" t="n"/>
    </row>
    <row r="3146">
      <c r="A3146">
        <f>IF(DAY(D3146)=DAY($L$1+1),A3145+1,A3145)</f>
        <v/>
      </c>
      <c r="B3146" s="46">
        <f>IF(DAY(D3146)=DAY($L$1+1),1,B3145+1)</f>
        <v/>
      </c>
      <c r="C3146" s="46">
        <f>IF(DAY(D3146)=DAY($L$1+1),1,C3145+1)</f>
        <v/>
      </c>
      <c r="D3146" s="2">
        <f>D3145+1</f>
        <v/>
      </c>
      <c r="E3146" s="8">
        <f>IF(DAY(D3146)=DAY($L$1+1),TRUNC((N3145),8),E3145)</f>
        <v/>
      </c>
      <c r="F3146" s="49">
        <f>TRUNC(((1+VLOOKUP(A3146,IPCA!$A$2:$C$140,3,0)))^(C3146/(EDATE(D3146-C3146,1)-(D3146-C3146))),8)</f>
        <v/>
      </c>
      <c r="G3146" s="44">
        <f>TRUNC((E3146*F3146),8)</f>
        <v/>
      </c>
      <c r="H3146" s="44">
        <f>ROUND(((1+$H$4)^(30/360))^(C3146/(EDATE(D3146-B3146,1)-(D3146-B3146))),9)</f>
        <v/>
      </c>
      <c r="I3146" s="44">
        <f>TRUNC((G3146*H3146-G3146),8)</f>
        <v/>
      </c>
      <c r="J3146" s="49">
        <f>G3146+I3146</f>
        <v/>
      </c>
      <c r="K3146" s="256" t="n"/>
      <c r="L3146" s="256" t="n"/>
      <c r="M3146" s="256" t="n"/>
      <c r="N3146" s="256" t="n"/>
      <c r="O3146" s="256" t="n"/>
      <c r="P3146" s="256" t="n"/>
      <c r="Q3146" s="256" t="n"/>
    </row>
    <row r="3147">
      <c r="A3147">
        <f>IF(DAY(D3147)=DAY($L$1+1),A3146+1,A3146)</f>
        <v/>
      </c>
      <c r="B3147" s="1">
        <f>IF(DAY(D3147)=DAY($L$1+1),1,B3146+1)</f>
        <v/>
      </c>
      <c r="C3147" s="1">
        <f>IF(DAY(D3147)=DAY($L$1+1),1,C3146+1)</f>
        <v/>
      </c>
      <c r="D3147" s="2">
        <f>D3146+1</f>
        <v/>
      </c>
      <c r="E3147" s="8">
        <f>IF(DAY(D3147)=DAY($L$1+1),TRUNC((N3146),8),E3146)</f>
        <v/>
      </c>
      <c r="F3147" s="49">
        <f>TRUNC(((1+VLOOKUP(A3147,IPCA!$A$2:$C$140,3,0)))^(C3147/(EDATE(D3147-C3147,1)-(D3147-C3147))),8)</f>
        <v/>
      </c>
      <c r="G3147" s="44">
        <f>TRUNC((E3147*F3147),8)</f>
        <v/>
      </c>
      <c r="H3147" s="44">
        <f>ROUND(((1+$H$4)^(30/360))^(C3147/(EDATE(D3147-B3147,1)-(D3147-B3147))),9)</f>
        <v/>
      </c>
      <c r="I3147" s="44">
        <f>TRUNC((G3147*H3147-G3147),8)</f>
        <v/>
      </c>
      <c r="J3147" s="49">
        <f>G3147+I3147</f>
        <v/>
      </c>
      <c r="K3147" s="256" t="n"/>
      <c r="L3147" s="256" t="n"/>
      <c r="M3147" s="256" t="n"/>
      <c r="N3147" s="256" t="n"/>
      <c r="O3147" s="256" t="n"/>
      <c r="P3147" s="256" t="n"/>
      <c r="Q3147" s="256" t="n"/>
    </row>
    <row r="3148">
      <c r="A3148">
        <f>IF(DAY(D3148)=DAY($L$1+1),A3147+1,A3147)</f>
        <v/>
      </c>
      <c r="B3148" s="46">
        <f>IF(DAY(D3148)=DAY($L$1+1),1,B3147+1)</f>
        <v/>
      </c>
      <c r="C3148" s="46">
        <f>IF(DAY(D3148)=DAY($L$1+1),1,C3147+1)</f>
        <v/>
      </c>
      <c r="D3148" s="2">
        <f>D3147+1</f>
        <v/>
      </c>
      <c r="E3148" s="8">
        <f>IF(DAY(D3148)=DAY($L$1+1),TRUNC((N3147),8),E3147)</f>
        <v/>
      </c>
      <c r="F3148" s="49">
        <f>TRUNC(((1+VLOOKUP(A3148,IPCA!$A$2:$C$140,3,0)))^(C3148/(EDATE(D3148-C3148,1)-(D3148-C3148))),8)</f>
        <v/>
      </c>
      <c r="G3148" s="44">
        <f>TRUNC((E3148*F3148),8)</f>
        <v/>
      </c>
      <c r="H3148" s="44">
        <f>ROUND(((1+$H$4)^(30/360))^(C3148/(EDATE(D3148-B3148,1)-(D3148-B3148))),9)</f>
        <v/>
      </c>
      <c r="I3148" s="44">
        <f>TRUNC((G3148*H3148-G3148),8)</f>
        <v/>
      </c>
      <c r="J3148" s="49">
        <f>G3148+I3148</f>
        <v/>
      </c>
      <c r="K3148" s="256" t="n"/>
      <c r="L3148" s="256" t="n"/>
      <c r="M3148" s="256" t="n"/>
      <c r="N3148" s="256" t="n"/>
      <c r="O3148" s="256" t="n"/>
      <c r="P3148" s="256" t="n"/>
      <c r="Q3148" s="256" t="n"/>
    </row>
    <row r="3149">
      <c r="A3149">
        <f>IF(DAY(D3149)=DAY($L$1+1),A3148+1,A3148)</f>
        <v/>
      </c>
      <c r="B3149" s="1">
        <f>IF(DAY(D3149)=DAY($L$1+1),1,B3148+1)</f>
        <v/>
      </c>
      <c r="C3149" s="1">
        <f>IF(DAY(D3149)=DAY($L$1+1),1,C3148+1)</f>
        <v/>
      </c>
      <c r="D3149" s="2">
        <f>D3148+1</f>
        <v/>
      </c>
      <c r="E3149" s="8">
        <f>IF(DAY(D3149)=DAY($L$1+1),TRUNC((N3148),8),E3148)</f>
        <v/>
      </c>
      <c r="F3149" s="49">
        <f>TRUNC(((1+VLOOKUP(A3149,IPCA!$A$2:$C$140,3,0)))^(C3149/(EDATE(D3149-C3149,1)-(D3149-C3149))),8)</f>
        <v/>
      </c>
      <c r="G3149" s="44">
        <f>TRUNC((E3149*F3149),8)</f>
        <v/>
      </c>
      <c r="H3149" s="44">
        <f>ROUND(((1+$H$4)^(30/360))^(C3149/(EDATE(D3149-B3149,1)-(D3149-B3149))),9)</f>
        <v/>
      </c>
      <c r="I3149" s="44">
        <f>TRUNC((G3149*H3149-G3149),8)</f>
        <v/>
      </c>
      <c r="J3149" s="49">
        <f>G3149+I3149</f>
        <v/>
      </c>
      <c r="K3149" s="256" t="n"/>
      <c r="L3149" s="256" t="n"/>
      <c r="M3149" s="256" t="n"/>
      <c r="N3149" s="256" t="n"/>
      <c r="O3149" s="256" t="n"/>
      <c r="P3149" s="256" t="n"/>
      <c r="Q3149" s="256" t="n"/>
    </row>
    <row r="3150">
      <c r="A3150">
        <f>IF(DAY(D3150)=DAY($L$1+1),A3149+1,A3149)</f>
        <v/>
      </c>
      <c r="B3150" s="46">
        <f>IF(DAY(D3150)=DAY($L$1+1),1,B3149+1)</f>
        <v/>
      </c>
      <c r="C3150" s="46">
        <f>IF(DAY(D3150)=DAY($L$1+1),1,C3149+1)</f>
        <v/>
      </c>
      <c r="D3150" s="2">
        <f>D3149+1</f>
        <v/>
      </c>
      <c r="E3150" s="8">
        <f>IF(DAY(D3150)=DAY($L$1+1),TRUNC((N3149),8),E3149)</f>
        <v/>
      </c>
      <c r="F3150" s="49">
        <f>TRUNC(((1+VLOOKUP(A3150,IPCA!$A$2:$C$140,3,0)))^(C3150/(EDATE(D3150-C3150,1)-(D3150-C3150))),8)</f>
        <v/>
      </c>
      <c r="G3150" s="44">
        <f>TRUNC((E3150*F3150),8)</f>
        <v/>
      </c>
      <c r="H3150" s="44">
        <f>ROUND(((1+$H$4)^(30/360))^(C3150/(EDATE(D3150-B3150,1)-(D3150-B3150))),9)</f>
        <v/>
      </c>
      <c r="I3150" s="44">
        <f>TRUNC((G3150*H3150-G3150),8)</f>
        <v/>
      </c>
      <c r="J3150" s="49">
        <f>G3150+I3150</f>
        <v/>
      </c>
      <c r="K3150" s="256" t="n"/>
      <c r="L3150" s="256" t="n"/>
      <c r="M3150" s="256" t="n"/>
      <c r="N3150" s="256" t="n"/>
      <c r="O3150" s="256" t="n"/>
      <c r="P3150" s="256" t="n"/>
      <c r="Q3150" s="256" t="n"/>
    </row>
    <row r="3151">
      <c r="A3151">
        <f>IF(DAY(D3151)=DAY($L$1+1),A3150+1,A3150)</f>
        <v/>
      </c>
      <c r="B3151" s="1">
        <f>IF(DAY(D3151)=DAY($L$1+1),1,B3150+1)</f>
        <v/>
      </c>
      <c r="C3151" s="1">
        <f>IF(DAY(D3151)=DAY($L$1+1),1,C3150+1)</f>
        <v/>
      </c>
      <c r="D3151" s="2">
        <f>D3150+1</f>
        <v/>
      </c>
      <c r="E3151" s="8">
        <f>IF(DAY(D3151)=DAY($L$1+1),TRUNC((N3150),8),E3150)</f>
        <v/>
      </c>
      <c r="F3151" s="49">
        <f>TRUNC(((1+VLOOKUP(A3151,IPCA!$A$2:$C$140,3,0)))^(C3151/(EDATE(D3151-C3151,1)-(D3151-C3151))),8)</f>
        <v/>
      </c>
      <c r="G3151" s="44">
        <f>TRUNC((E3151*F3151),8)</f>
        <v/>
      </c>
      <c r="H3151" s="44">
        <f>ROUND(((1+$H$4)^(30/360))^(C3151/(EDATE(D3151-B3151,1)-(D3151-B3151))),9)</f>
        <v/>
      </c>
      <c r="I3151" s="44">
        <f>TRUNC((G3151*H3151-G3151),8)</f>
        <v/>
      </c>
      <c r="J3151" s="49">
        <f>G3151+I3151</f>
        <v/>
      </c>
      <c r="K3151" s="256" t="n"/>
      <c r="L3151" s="256" t="n"/>
      <c r="M3151" s="256" t="n"/>
      <c r="N3151" s="256" t="n"/>
      <c r="O3151" s="256" t="n"/>
      <c r="P3151" s="256" t="n"/>
      <c r="Q3151" s="256" t="n"/>
    </row>
    <row r="3152">
      <c r="A3152">
        <f>IF(DAY(D3152)=DAY($L$1+1),A3151+1,A3151)</f>
        <v/>
      </c>
      <c r="B3152" s="46">
        <f>IF(DAY(D3152)=DAY($L$1+1),1,B3151+1)</f>
        <v/>
      </c>
      <c r="C3152" s="46">
        <f>IF(DAY(D3152)=DAY($L$1+1),1,C3151+1)</f>
        <v/>
      </c>
      <c r="D3152" s="2">
        <f>D3151+1</f>
        <v/>
      </c>
      <c r="E3152" s="8">
        <f>IF(DAY(D3152)=DAY($L$1+1),TRUNC((N3151),8),E3151)</f>
        <v/>
      </c>
      <c r="F3152" s="49">
        <f>TRUNC(((1+VLOOKUP(A3152,IPCA!$A$2:$C$140,3,0)))^(C3152/(EDATE(D3152-C3152,1)-(D3152-C3152))),8)</f>
        <v/>
      </c>
      <c r="G3152" s="44">
        <f>TRUNC((E3152*F3152),8)</f>
        <v/>
      </c>
      <c r="H3152" s="44">
        <f>ROUND(((1+$H$4)^(30/360))^(C3152/(EDATE(D3152-B3152,1)-(D3152-B3152))),9)</f>
        <v/>
      </c>
      <c r="I3152" s="44">
        <f>TRUNC((G3152*H3152-G3152),8)</f>
        <v/>
      </c>
      <c r="J3152" s="49">
        <f>G3152+I3152</f>
        <v/>
      </c>
      <c r="K3152" s="256" t="n"/>
      <c r="L3152" s="256" t="n"/>
      <c r="M3152" s="256" t="n"/>
      <c r="N3152" s="256" t="n"/>
      <c r="O3152" s="256" t="n"/>
      <c r="P3152" s="256" t="n"/>
      <c r="Q3152" s="256" t="n"/>
    </row>
    <row r="3153">
      <c r="A3153">
        <f>IF(DAY(D3153)=DAY($L$1+1),A3152+1,A3152)</f>
        <v/>
      </c>
      <c r="B3153" s="1">
        <f>IF(DAY(D3153)=DAY($L$1+1),1,B3152+1)</f>
        <v/>
      </c>
      <c r="C3153" s="1">
        <f>IF(DAY(D3153)=DAY($L$1+1),1,C3152+1)</f>
        <v/>
      </c>
      <c r="D3153" s="2">
        <f>D3152+1</f>
        <v/>
      </c>
      <c r="E3153" s="8">
        <f>IF(DAY(D3153)=DAY($L$1+1),TRUNC((N3152),8),E3152)</f>
        <v/>
      </c>
      <c r="F3153" s="49">
        <f>TRUNC(((1+VLOOKUP(A3153,IPCA!$A$2:$C$140,3,0)))^(C3153/(EDATE(D3153-C3153,1)-(D3153-C3153))),8)</f>
        <v/>
      </c>
      <c r="G3153" s="44">
        <f>TRUNC((E3153*F3153),8)</f>
        <v/>
      </c>
      <c r="H3153" s="44">
        <f>ROUND(((1+$H$4)^(30/360))^(C3153/(EDATE(D3153-B3153,1)-(D3153-B3153))),9)</f>
        <v/>
      </c>
      <c r="I3153" s="44">
        <f>TRUNC((G3153*H3153-G3153),8)</f>
        <v/>
      </c>
      <c r="J3153" s="49">
        <f>G3153+I3153</f>
        <v/>
      </c>
      <c r="K3153" s="256" t="n"/>
      <c r="L3153" s="256" t="n"/>
      <c r="M3153" s="256" t="n"/>
      <c r="N3153" s="256" t="n"/>
      <c r="O3153" s="256" t="n"/>
      <c r="P3153" s="256" t="n"/>
      <c r="Q3153" s="256" t="n"/>
    </row>
    <row r="3154">
      <c r="A3154">
        <f>IF(DAY(D3154)=DAY($L$1+1),A3153+1,A3153)</f>
        <v/>
      </c>
      <c r="B3154" s="46">
        <f>IF(DAY(D3154)=DAY($L$1+1),1,B3153+1)</f>
        <v/>
      </c>
      <c r="C3154" s="46">
        <f>IF(DAY(D3154)=DAY($L$1+1),1,C3153+1)</f>
        <v/>
      </c>
      <c r="D3154" s="2">
        <f>D3153+1</f>
        <v/>
      </c>
      <c r="E3154" s="8">
        <f>IF(DAY(D3154)=DAY($L$1+1),TRUNC((N3153),8),E3153)</f>
        <v/>
      </c>
      <c r="F3154" s="49">
        <f>TRUNC(((1+VLOOKUP(A3154,IPCA!$A$2:$C$140,3,0)))^(C3154/(EDATE(D3154-C3154,1)-(D3154-C3154))),8)</f>
        <v/>
      </c>
      <c r="G3154" s="49">
        <f>TRUNC((E3154*F3154),8)</f>
        <v/>
      </c>
      <c r="H3154" s="49">
        <f>ROUND(((1+$H$4)^(30/360))^(C3154/(EDATE(D3154-B3154,1)-(D3154-B3154))),9)</f>
        <v/>
      </c>
      <c r="I3154" s="49">
        <f>TRUNC((G3154*H3154-G3154),8)</f>
        <v/>
      </c>
      <c r="J3154" s="49">
        <f>G3154+I3154</f>
        <v/>
      </c>
      <c r="K3154" s="256" t="inlineStr">
        <is>
          <t>Cri Integralizado</t>
        </is>
      </c>
      <c r="L3154" s="270">
        <f>L3123</f>
        <v/>
      </c>
      <c r="M3154" s="256" t="n"/>
      <c r="N3154" s="256" t="n"/>
      <c r="O3154" s="256" t="n"/>
      <c r="P3154" s="256" t="n"/>
      <c r="Q3154" s="256" t="n"/>
    </row>
    <row r="3155">
      <c r="A3155">
        <f>IF(DAY(D3155)=DAY($L$1+1),A3154+1,A3154)</f>
        <v/>
      </c>
      <c r="B3155" s="46">
        <f>IF(DAY(D3155)=DAY($L$1+1),1,B3154+1)</f>
        <v/>
      </c>
      <c r="C3155" s="46">
        <f>IF(DAY(D3155)=DAY($L$1+1),1,C3154+1)</f>
        <v/>
      </c>
      <c r="D3155" s="47">
        <f>D3154+1</f>
        <v/>
      </c>
      <c r="E3155" s="8">
        <f>IF(DAY(D3155)=DAY($L$1+1),TRUNC((N3154),8),E3154)</f>
        <v/>
      </c>
      <c r="F3155" s="49">
        <f>TRUNC(((1+VLOOKUP(A3155,IPCA!$A$2:$C$140,3,0)))^(C3155/(EDATE(D3155-C3155,1)-(D3155-C3155))),8)</f>
        <v/>
      </c>
      <c r="G3155" s="49">
        <f>TRUNC((E3155*F3155),8)</f>
        <v/>
      </c>
      <c r="H3155" s="49">
        <f>ROUND(((1+$H$4)^(30/360))^(C3155/(EDATE(D3155-B3155,1)-(D3155-B3155))),9)</f>
        <v/>
      </c>
      <c r="I3155" s="49">
        <f>TRUNC((G3155*H3155-G3155),8)</f>
        <v/>
      </c>
      <c r="J3155" s="49">
        <f>G3155+I3155</f>
        <v/>
      </c>
      <c r="K3155" s="137" t="inlineStr">
        <is>
          <t>JUROS</t>
        </is>
      </c>
      <c r="L3155" s="118" t="inlineStr">
        <is>
          <t>AMORTIZAÇÃO</t>
        </is>
      </c>
      <c r="M3155" s="118" t="inlineStr">
        <is>
          <t>AMEX</t>
        </is>
      </c>
      <c r="N3155" s="118" t="inlineStr">
        <is>
          <t>RESIDUAL</t>
        </is>
      </c>
      <c r="O3155" s="256" t="n"/>
      <c r="P3155" s="256" t="n"/>
      <c r="Q3155" s="256" t="n"/>
    </row>
    <row r="3156">
      <c r="A3156">
        <f>IF(DAY(D3156)=DAY($L$1+1),A3155+1,A3155)</f>
        <v/>
      </c>
      <c r="B3156" s="111">
        <f>IF(DAY(D3156)=DAY($L$1+1),1,B3155+1)</f>
        <v/>
      </c>
      <c r="C3156" s="111">
        <f>IF(DAY(D3156)=DAY($L$1+1),1,C3155+1)</f>
        <v/>
      </c>
      <c r="D3156" s="112">
        <f>D3155+1</f>
        <v/>
      </c>
      <c r="E3156" s="113">
        <f>IF(DAY(D3156)=DAY($L$1+1),TRUNC((N3155),8),E3155)</f>
        <v/>
      </c>
      <c r="F3156" s="114">
        <f>TRUNC(((1+VLOOKUP(A3156,IPCA!$A$2:$C$140,3,0)))^(C3156/(EDATE(D3156-C3156,1)-(D3156-C3156))),8)</f>
        <v/>
      </c>
      <c r="G3156" s="114">
        <f>TRUNC((E3156*F3156),8)</f>
        <v/>
      </c>
      <c r="H3156" s="114">
        <f>ROUND(((1+$H$4)^(30/360))^(C3156/(EDATE(D3156-B3156,1)-(D3156-B3156))),9)</f>
        <v/>
      </c>
      <c r="I3156" s="114">
        <f>TRUNC((G3156*H3156-G3156),8)</f>
        <v/>
      </c>
      <c r="J3156" s="114">
        <f>G3156+I3156</f>
        <v/>
      </c>
      <c r="K3156" s="119">
        <f>I3156</f>
        <v/>
      </c>
      <c r="L3156" s="120">
        <f>TRUNC(G3156*VLOOKUP(D3156,'Amort TS'!$G$3:$H$140,2,0),8)</f>
        <v/>
      </c>
      <c r="M3156" s="120" t="n">
        <v>0</v>
      </c>
      <c r="N3156" s="120">
        <f>J3156-K3156-L3156-M3156</f>
        <v/>
      </c>
      <c r="O3156" s="256" t="n"/>
      <c r="P3156" s="256" t="n"/>
      <c r="Q3156" s="256" t="n"/>
    </row>
    <row r="3157">
      <c r="A3157">
        <f>IF(DAY(D3157)=DAY($L$1+1),A3156+1,A3156)</f>
        <v/>
      </c>
      <c r="B3157" s="46">
        <f>IF(DAY(D3157)=DAY($L$1+1),1,B3156+1)</f>
        <v/>
      </c>
      <c r="C3157" s="46">
        <f>IF(DAY(D3157)=DAY($L$1+1),1,C3156+1)</f>
        <v/>
      </c>
      <c r="D3157" s="2">
        <f>D3156+1</f>
        <v/>
      </c>
      <c r="E3157" s="8">
        <f>IF(DAY(D3157)=DAY($L$1+1),TRUNC((N3156),8),E3156)</f>
        <v/>
      </c>
      <c r="F3157" s="49">
        <f>TRUNC(((1+VLOOKUP(A3157,IPCA!$A$2:$C$140,3,0)))^(C3157/(EDATE(D3157-C3157,1)-(D3157-C3157))),8)</f>
        <v/>
      </c>
      <c r="G3157" s="49">
        <f>TRUNC((E3157*F3157),8)</f>
        <v/>
      </c>
      <c r="H3157" s="49">
        <f>ROUND(((1+$H$4)^(30/360))^(C3157/(EDATE(D3157-B3157,1)-(D3157-B3157))),9)</f>
        <v/>
      </c>
      <c r="I3157" s="49">
        <f>TRUNC((G3157*H3157-G3157),8)</f>
        <v/>
      </c>
      <c r="J3157" s="49">
        <f>G3157+I3157</f>
        <v/>
      </c>
      <c r="K3157" s="121">
        <f>K3156*L3154</f>
        <v/>
      </c>
      <c r="L3157" s="121">
        <f>L3156*L3154</f>
        <v/>
      </c>
      <c r="M3157" s="121">
        <f>M3156*L3154</f>
        <v/>
      </c>
      <c r="N3157" s="121">
        <f>N3156*L3154</f>
        <v/>
      </c>
      <c r="O3157" s="256" t="n"/>
      <c r="P3157" s="256" t="n"/>
      <c r="Q3157" s="256" t="n"/>
    </row>
    <row r="3158">
      <c r="A3158">
        <f>IF(DAY(D3158)=DAY($L$1+1),A3157+1,A3157)</f>
        <v/>
      </c>
      <c r="B3158" s="46">
        <f>IF(DAY(D3158)=DAY($L$1+1),1,B3157+1)</f>
        <v/>
      </c>
      <c r="C3158" s="46">
        <f>IF(DAY(D3158)=DAY($L$1+1),1,C3157+1)</f>
        <v/>
      </c>
      <c r="D3158" s="47">
        <f>D3157+1</f>
        <v/>
      </c>
      <c r="E3158" s="8">
        <f>IF(DAY(D3158)=DAY($L$1+1),TRUNC((N3157),8),E3157)</f>
        <v/>
      </c>
      <c r="F3158" s="49">
        <f>TRUNC(((1+VLOOKUP(A3158,IPCA!$A$2:$C$140,3,0)))^(C3158/(EDATE(D3158-C3158,1)-(D3158-C3158))),8)</f>
        <v/>
      </c>
      <c r="G3158" s="49">
        <f>TRUNC((E3158*F3158),8)</f>
        <v/>
      </c>
      <c r="H3158" s="49">
        <f>ROUND(((1+$H$4)^(30/360))^(C3158/(EDATE(D3158-B3158,1)-(D3158-B3158))),9)</f>
        <v/>
      </c>
      <c r="I3158" s="49">
        <f>TRUNC((G3158*H3158-G3158),8)</f>
        <v/>
      </c>
      <c r="J3158" s="49">
        <f>G3158+I3158</f>
        <v/>
      </c>
      <c r="K3158" s="256" t="n"/>
      <c r="L3158" s="256" t="n"/>
      <c r="M3158" s="256" t="n"/>
      <c r="N3158" s="256" t="n"/>
      <c r="O3158" s="256" t="n"/>
      <c r="P3158" s="256" t="n"/>
      <c r="Q3158" s="256" t="n"/>
    </row>
    <row r="3159">
      <c r="A3159">
        <f>IF(DAY(D3159)=DAY($L$1+1),A3158+1,A3158)</f>
        <v/>
      </c>
      <c r="B3159" s="1">
        <f>IF(DAY(D3159)=DAY($L$1+1),1,B3158+1)</f>
        <v/>
      </c>
      <c r="C3159" s="1">
        <f>IF(DAY(D3159)=DAY($L$1+1),1,C3158+1)</f>
        <v/>
      </c>
      <c r="D3159" s="2">
        <f>D3158+1</f>
        <v/>
      </c>
      <c r="E3159" s="8">
        <f>IF(DAY(D3159)=DAY($L$1+1),TRUNC((#REF!),8),E3158)</f>
        <v/>
      </c>
      <c r="F3159" s="49">
        <f>TRUNC(((1+VLOOKUP(A3159,IPCA!$A$2:$C$140,3,0)))^(C3159/(EDATE(D3159-C3159,1)-(D3159-C3159))),8)</f>
        <v/>
      </c>
      <c r="G3159" s="44">
        <f>TRUNC((E3159*F3159),8)</f>
        <v/>
      </c>
      <c r="H3159" s="44">
        <f>ROUND(((1+$H$4)^(30/360))^(C3159/(EDATE(D3159-B3159,1)-(D3159-B3159))),9)</f>
        <v/>
      </c>
      <c r="I3159" s="44">
        <f>TRUNC((G3159*H3159-G3159),8)</f>
        <v/>
      </c>
      <c r="J3159" s="49">
        <f>G3159+I3159</f>
        <v/>
      </c>
      <c r="K3159" s="256" t="n"/>
      <c r="L3159" s="256" t="n"/>
      <c r="M3159" s="256" t="n"/>
      <c r="N3159" s="256" t="n"/>
      <c r="O3159" s="256" t="n"/>
      <c r="P3159" s="256" t="n"/>
      <c r="Q3159" s="256" t="n"/>
    </row>
    <row r="3160">
      <c r="A3160">
        <f>IF(DAY(D3160)=DAY($L$1+1),A3159+1,A3159)</f>
        <v/>
      </c>
      <c r="B3160" s="46">
        <f>IF(DAY(D3160)=DAY($L$1+1),1,B3159+1)</f>
        <v/>
      </c>
      <c r="C3160" s="46">
        <f>IF(DAY(D3160)=DAY($L$1+1),1,C3159+1)</f>
        <v/>
      </c>
      <c r="D3160" s="2">
        <f>D3159+1</f>
        <v/>
      </c>
      <c r="E3160" s="8">
        <f>IF(DAY(D3160)=DAY($L$1+1),TRUNC((#REF!),8),E3159)</f>
        <v/>
      </c>
      <c r="F3160" s="49">
        <f>TRUNC(((1+VLOOKUP(A3160,IPCA!$A$2:$C$140,3,0)))^(C3160/(EDATE(D3160-C3160,1)-(D3160-C3160))),8)</f>
        <v/>
      </c>
      <c r="G3160" s="44">
        <f>TRUNC((E3160*F3160),8)</f>
        <v/>
      </c>
      <c r="H3160" s="44">
        <f>ROUND(((1+$H$4)^(30/360))^(C3160/(EDATE(D3160-B3160,1)-(D3160-B3160))),9)</f>
        <v/>
      </c>
      <c r="I3160" s="44">
        <f>TRUNC((G3160*H3160-G3160),8)</f>
        <v/>
      </c>
      <c r="J3160" s="49">
        <f>G3160+I3160</f>
        <v/>
      </c>
      <c r="K3160" s="256" t="n"/>
      <c r="L3160" s="256" t="n"/>
      <c r="M3160" s="256" t="n"/>
      <c r="N3160" s="256" t="n"/>
      <c r="O3160" s="256" t="n"/>
      <c r="P3160" s="256" t="n"/>
      <c r="Q3160" s="256" t="n"/>
    </row>
    <row r="3161">
      <c r="A3161">
        <f>IF(DAY(D3161)=DAY($L$1+1),A3160+1,A3160)</f>
        <v/>
      </c>
      <c r="B3161" s="1">
        <f>IF(DAY(D3161)=DAY($L$1+1),1,B3160+1)</f>
        <v/>
      </c>
      <c r="C3161" s="1">
        <f>IF(DAY(D3161)=DAY($L$1+1),1,C3160+1)</f>
        <v/>
      </c>
      <c r="D3161" s="2">
        <f>D3160+1</f>
        <v/>
      </c>
      <c r="E3161" s="8">
        <f>IF(DAY(D3161)=DAY($L$1+1),TRUNC((#REF!),8),E3160)</f>
        <v/>
      </c>
      <c r="F3161" s="49">
        <f>TRUNC(((1+VLOOKUP(A3161,IPCA!$A$2:$C$140,3,0)))^(C3161/(EDATE(D3161-C3161,1)-(D3161-C3161))),8)</f>
        <v/>
      </c>
      <c r="G3161" s="44">
        <f>TRUNC((E3161*F3161),8)</f>
        <v/>
      </c>
      <c r="H3161" s="44">
        <f>ROUND(((1+$H$4)^(30/360))^(C3161/(EDATE(D3161-B3161,1)-(D3161-B3161))),9)</f>
        <v/>
      </c>
      <c r="I3161" s="44">
        <f>TRUNC((G3161*H3161-G3161),8)</f>
        <v/>
      </c>
      <c r="J3161" s="49">
        <f>G3161+I3161</f>
        <v/>
      </c>
      <c r="K3161" s="256" t="n"/>
      <c r="L3161" s="256" t="n"/>
      <c r="M3161" s="256" t="n"/>
      <c r="N3161" s="256" t="n"/>
      <c r="O3161" s="256" t="n"/>
      <c r="P3161" s="256" t="n"/>
      <c r="Q3161" s="256" t="n"/>
    </row>
    <row r="3162">
      <c r="A3162">
        <f>IF(DAY(D3162)=DAY($L$1+1),A3161+1,A3161)</f>
        <v/>
      </c>
      <c r="B3162" s="46">
        <f>IF(DAY(D3162)=DAY($L$1+1),1,B3161+1)</f>
        <v/>
      </c>
      <c r="C3162" s="46">
        <f>IF(DAY(D3162)=DAY($L$1+1),1,C3161+1)</f>
        <v/>
      </c>
      <c r="D3162" s="2">
        <f>D3161+1</f>
        <v/>
      </c>
      <c r="E3162" s="8">
        <f>IF(DAY(D3162)=DAY($L$1+1),TRUNC((#REF!),8),E3161)</f>
        <v/>
      </c>
      <c r="F3162" s="49">
        <f>TRUNC(((1+VLOOKUP(A3162,IPCA!$A$2:$C$140,3,0)))^(C3162/(EDATE(D3162-C3162,1)-(D3162-C3162))),8)</f>
        <v/>
      </c>
      <c r="G3162" s="44">
        <f>TRUNC((E3162*F3162),8)</f>
        <v/>
      </c>
      <c r="H3162" s="44">
        <f>ROUND(((1+$H$4)^(30/360))^(C3162/(EDATE(D3162-B3162,1)-(D3162-B3162))),9)</f>
        <v/>
      </c>
      <c r="I3162" s="44">
        <f>TRUNC((G3162*H3162-G3162),8)</f>
        <v/>
      </c>
      <c r="J3162" s="49">
        <f>G3162+I3162</f>
        <v/>
      </c>
      <c r="K3162" s="256" t="n"/>
      <c r="L3162" s="256" t="n"/>
      <c r="M3162" s="256" t="n"/>
      <c r="N3162" s="256" t="n"/>
      <c r="O3162" s="256" t="n"/>
      <c r="P3162" s="256" t="n"/>
      <c r="Q3162" s="256" t="n"/>
    </row>
    <row r="3163">
      <c r="A3163">
        <f>IF(DAY(D3163)=DAY($L$1+1),A3162+1,A3162)</f>
        <v/>
      </c>
      <c r="B3163" s="1">
        <f>IF(DAY(D3163)=DAY($L$1+1),1,B3162+1)</f>
        <v/>
      </c>
      <c r="C3163" s="1">
        <f>IF(DAY(D3163)=DAY($L$1+1),1,C3162+1)</f>
        <v/>
      </c>
      <c r="D3163" s="2">
        <f>D3162+1</f>
        <v/>
      </c>
      <c r="E3163" s="8">
        <f>IF(DAY(D3163)=DAY($L$1+1),TRUNC((#REF!),8),E3162)</f>
        <v/>
      </c>
      <c r="F3163" s="49">
        <f>TRUNC(((1+VLOOKUP(A3163,IPCA!$A$2:$C$140,3,0)))^(C3163/(EDATE(D3163-C3163,1)-(D3163-C3163))),8)</f>
        <v/>
      </c>
      <c r="G3163" s="44">
        <f>TRUNC((E3163*F3163),8)</f>
        <v/>
      </c>
      <c r="H3163" s="44">
        <f>ROUND(((1+$H$4)^(30/360))^(C3163/(EDATE(D3163-B3163,1)-(D3163-B3163))),9)</f>
        <v/>
      </c>
      <c r="I3163" s="44">
        <f>TRUNC((G3163*H3163-G3163),8)</f>
        <v/>
      </c>
      <c r="J3163" s="49">
        <f>G3163+I3163</f>
        <v/>
      </c>
      <c r="K3163" s="256" t="n"/>
      <c r="L3163" s="256" t="n"/>
      <c r="M3163" s="256" t="n"/>
      <c r="N3163" s="256" t="n"/>
      <c r="O3163" s="256" t="n"/>
      <c r="P3163" s="256" t="n"/>
      <c r="Q3163" s="256" t="n"/>
    </row>
    <row r="3164">
      <c r="A3164">
        <f>IF(DAY(D3164)=DAY($L$1+1),A3163+1,A3163)</f>
        <v/>
      </c>
      <c r="B3164" s="46">
        <f>IF(DAY(D3164)=DAY($L$1+1),1,B3163+1)</f>
        <v/>
      </c>
      <c r="C3164" s="46">
        <f>IF(DAY(D3164)=DAY($L$1+1),1,C3163+1)</f>
        <v/>
      </c>
      <c r="D3164" s="2">
        <f>D3163+1</f>
        <v/>
      </c>
      <c r="E3164" s="8">
        <f>IF(DAY(D3164)=DAY($L$1+1),TRUNC((#REF!),8),E3163)</f>
        <v/>
      </c>
      <c r="F3164" s="49">
        <f>TRUNC(((1+VLOOKUP(A3164,IPCA!$A$2:$C$140,3,0)))^(C3164/(EDATE(D3164-C3164,1)-(D3164-C3164))),8)</f>
        <v/>
      </c>
      <c r="G3164" s="44">
        <f>TRUNC((E3164*F3164),8)</f>
        <v/>
      </c>
      <c r="H3164" s="44">
        <f>ROUND(((1+$H$4)^(30/360))^(C3164/(EDATE(D3164-B3164,1)-(D3164-B3164))),9)</f>
        <v/>
      </c>
      <c r="I3164" s="44">
        <f>TRUNC((G3164*H3164-G3164),8)</f>
        <v/>
      </c>
      <c r="J3164" s="49">
        <f>G3164+I3164</f>
        <v/>
      </c>
      <c r="K3164" s="256" t="n"/>
      <c r="L3164" s="256" t="n"/>
      <c r="M3164" s="256" t="n"/>
      <c r="N3164" s="256" t="n"/>
      <c r="O3164" s="256" t="n"/>
      <c r="P3164" s="256" t="n"/>
      <c r="Q3164" s="256" t="n"/>
    </row>
    <row r="3165">
      <c r="A3165">
        <f>IF(DAY(D3165)=DAY($L$1+1),A3164+1,A3164)</f>
        <v/>
      </c>
      <c r="B3165" s="1">
        <f>IF(DAY(D3165)=DAY($L$1+1),1,B3164+1)</f>
        <v/>
      </c>
      <c r="C3165" s="1">
        <f>IF(DAY(D3165)=DAY($L$1+1),1,C3164+1)</f>
        <v/>
      </c>
      <c r="D3165" s="2">
        <f>D3164+1</f>
        <v/>
      </c>
      <c r="E3165" s="8">
        <f>IF(DAY(D3165)=DAY($L$1+1),TRUNC((#REF!),8),E3164)</f>
        <v/>
      </c>
      <c r="F3165" s="49">
        <f>TRUNC(((1+VLOOKUP(A3165,IPCA!$A$2:$C$140,3,0)))^(C3165/(EDATE(D3165-C3165,1)-(D3165-C3165))),8)</f>
        <v/>
      </c>
      <c r="G3165" s="44">
        <f>TRUNC((E3165*F3165),8)</f>
        <v/>
      </c>
      <c r="H3165" s="44">
        <f>ROUND(((1+$H$4)^(30/360))^(C3165/(EDATE(D3165-B3165,1)-(D3165-B3165))),9)</f>
        <v/>
      </c>
      <c r="I3165" s="44">
        <f>TRUNC((G3165*H3165-G3165),8)</f>
        <v/>
      </c>
      <c r="J3165" s="49">
        <f>G3165+I3165</f>
        <v/>
      </c>
      <c r="K3165" s="256" t="n"/>
      <c r="L3165" s="256" t="n"/>
      <c r="M3165" s="256" t="n"/>
      <c r="N3165" s="256" t="n"/>
      <c r="O3165" s="256" t="n"/>
      <c r="P3165" s="256" t="n"/>
      <c r="Q3165" s="256" t="n"/>
    </row>
    <row r="3166">
      <c r="A3166">
        <f>IF(DAY(D3166)=DAY($L$1+1),A3165+1,A3165)</f>
        <v/>
      </c>
      <c r="B3166" s="46">
        <f>IF(DAY(D3166)=DAY($L$1+1),1,B3165+1)</f>
        <v/>
      </c>
      <c r="C3166" s="46">
        <f>IF(DAY(D3166)=DAY($L$1+1),1,C3165+1)</f>
        <v/>
      </c>
      <c r="D3166" s="2">
        <f>D3165+1</f>
        <v/>
      </c>
      <c r="E3166" s="8">
        <f>IF(DAY(D3166)=DAY($L$1+1),TRUNC((#REF!),8),E3165)</f>
        <v/>
      </c>
      <c r="F3166" s="49">
        <f>TRUNC(((1+VLOOKUP(A3166,IPCA!$A$2:$C$140,3,0)))^(C3166/(EDATE(D3166-C3166,1)-(D3166-C3166))),8)</f>
        <v/>
      </c>
      <c r="G3166" s="44">
        <f>TRUNC((E3166*F3166),8)</f>
        <v/>
      </c>
      <c r="H3166" s="44">
        <f>ROUND(((1+$H$4)^(30/360))^(C3166/(EDATE(D3166-B3166,1)-(D3166-B3166))),9)</f>
        <v/>
      </c>
      <c r="I3166" s="44">
        <f>TRUNC((G3166*H3166-G3166),8)</f>
        <v/>
      </c>
      <c r="J3166" s="49">
        <f>G3166+I3166</f>
        <v/>
      </c>
      <c r="K3166" s="256" t="n"/>
      <c r="L3166" s="256" t="n"/>
      <c r="M3166" s="256" t="n"/>
      <c r="N3166" s="256" t="n"/>
      <c r="O3166" s="256" t="n"/>
      <c r="P3166" s="256" t="n"/>
      <c r="Q3166" s="256" t="n"/>
    </row>
    <row r="3167">
      <c r="A3167">
        <f>IF(DAY(D3167)=DAY($L$1+1),A3166+1,A3166)</f>
        <v/>
      </c>
      <c r="B3167" s="1">
        <f>IF(DAY(D3167)=DAY($L$1+1),1,B3166+1)</f>
        <v/>
      </c>
      <c r="C3167" s="1">
        <f>IF(DAY(D3167)=DAY($L$1+1),1,C3166+1)</f>
        <v/>
      </c>
      <c r="D3167" s="2">
        <f>D3166+1</f>
        <v/>
      </c>
      <c r="E3167" s="8">
        <f>IF(DAY(D3167)=DAY($L$1+1),TRUNC((#REF!),8),E3166)</f>
        <v/>
      </c>
      <c r="F3167" s="49">
        <f>TRUNC(((1+VLOOKUP(A3167,IPCA!$A$2:$C$140,3,0)))^(C3167/(EDATE(D3167-C3167,1)-(D3167-C3167))),8)</f>
        <v/>
      </c>
      <c r="G3167" s="44">
        <f>TRUNC((E3167*F3167),8)</f>
        <v/>
      </c>
      <c r="H3167" s="44">
        <f>ROUND(((1+$H$4)^(30/360))^(C3167/(EDATE(D3167-B3167,1)-(D3167-B3167))),9)</f>
        <v/>
      </c>
      <c r="I3167" s="44">
        <f>TRUNC((G3167*H3167-G3167),8)</f>
        <v/>
      </c>
      <c r="J3167" s="49">
        <f>G3167+I3167</f>
        <v/>
      </c>
      <c r="K3167" s="256" t="n"/>
      <c r="L3167" s="256" t="n"/>
      <c r="M3167" s="256" t="n"/>
      <c r="N3167" s="256" t="n"/>
      <c r="O3167" s="256" t="n"/>
      <c r="P3167" s="256" t="n"/>
      <c r="Q3167" s="256" t="n"/>
    </row>
    <row r="3168">
      <c r="A3168">
        <f>IF(DAY(D3168)=DAY($L$1+1),A3167+1,A3167)</f>
        <v/>
      </c>
      <c r="B3168" s="46">
        <f>IF(DAY(D3168)=DAY($L$1+1),1,B3167+1)</f>
        <v/>
      </c>
      <c r="C3168" s="46">
        <f>IF(DAY(D3168)=DAY($L$1+1),1,C3167+1)</f>
        <v/>
      </c>
      <c r="D3168" s="2">
        <f>D3167+1</f>
        <v/>
      </c>
      <c r="E3168" s="8">
        <f>IF(DAY(D3168)=DAY($L$1+1),TRUNC((#REF!),8),E3167)</f>
        <v/>
      </c>
      <c r="F3168" s="49">
        <f>TRUNC(((1+VLOOKUP(A3168,IPCA!$A$2:$C$140,3,0)))^(C3168/(EDATE(D3168-C3168,1)-(D3168-C3168))),8)</f>
        <v/>
      </c>
      <c r="G3168" s="44">
        <f>TRUNC((E3168*F3168),8)</f>
        <v/>
      </c>
      <c r="H3168" s="44">
        <f>ROUND(((1+$H$4)^(30/360))^(C3168/(EDATE(D3168-B3168,1)-(D3168-B3168))),9)</f>
        <v/>
      </c>
      <c r="I3168" s="44">
        <f>TRUNC((G3168*H3168-G3168),8)</f>
        <v/>
      </c>
      <c r="J3168" s="49">
        <f>G3168+I3168</f>
        <v/>
      </c>
      <c r="K3168" s="256" t="n"/>
      <c r="L3168" s="256" t="n"/>
      <c r="M3168" s="256" t="n"/>
      <c r="N3168" s="256" t="n"/>
      <c r="O3168" s="256" t="n"/>
      <c r="P3168" s="256" t="n"/>
      <c r="Q3168" s="256" t="n"/>
    </row>
    <row r="3169">
      <c r="A3169">
        <f>IF(DAY(D3169)=DAY($L$1+1),A3168+1,A3168)</f>
        <v/>
      </c>
      <c r="B3169" s="1">
        <f>IF(DAY(D3169)=DAY($L$1+1),1,B3168+1)</f>
        <v/>
      </c>
      <c r="C3169" s="1">
        <f>IF(DAY(D3169)=DAY($L$1+1),1,C3168+1)</f>
        <v/>
      </c>
      <c r="D3169" s="2">
        <f>D3168+1</f>
        <v/>
      </c>
      <c r="E3169" s="8">
        <f>IF(DAY(D3169)=DAY($L$1+1),TRUNC((#REF!),8),E3168)</f>
        <v/>
      </c>
      <c r="F3169" s="49">
        <f>TRUNC(((1+VLOOKUP(A3169,IPCA!$A$2:$C$140,3,0)))^(C3169/(EDATE(D3169-C3169,1)-(D3169-C3169))),8)</f>
        <v/>
      </c>
      <c r="G3169" s="44">
        <f>TRUNC((E3169*F3169),8)</f>
        <v/>
      </c>
      <c r="H3169" s="44">
        <f>ROUND(((1+$H$4)^(30/360))^(C3169/(EDATE(D3169-B3169,1)-(D3169-B3169))),9)</f>
        <v/>
      </c>
      <c r="I3169" s="44">
        <f>TRUNC((G3169*H3169-G3169),8)</f>
        <v/>
      </c>
      <c r="J3169" s="49">
        <f>G3169+I3169</f>
        <v/>
      </c>
      <c r="K3169" s="256" t="n"/>
      <c r="L3169" s="256" t="n"/>
      <c r="M3169" s="256" t="n"/>
      <c r="N3169" s="256" t="n"/>
      <c r="O3169" s="256" t="n"/>
      <c r="P3169" s="256" t="n"/>
      <c r="Q3169" s="256" t="n"/>
    </row>
    <row r="3170">
      <c r="A3170">
        <f>IF(DAY(D3170)=DAY($L$1+1),A3169+1,A3169)</f>
        <v/>
      </c>
      <c r="B3170" s="46">
        <f>IF(DAY(D3170)=DAY($L$1+1),1,B3169+1)</f>
        <v/>
      </c>
      <c r="C3170" s="46">
        <f>IF(DAY(D3170)=DAY($L$1+1),1,C3169+1)</f>
        <v/>
      </c>
      <c r="D3170" s="2">
        <f>D3169+1</f>
        <v/>
      </c>
      <c r="E3170" s="8">
        <f>IF(DAY(D3170)=DAY($L$1+1),TRUNC((#REF!),8),E3169)</f>
        <v/>
      </c>
      <c r="F3170" s="49">
        <f>TRUNC(((1+VLOOKUP(A3170,IPCA!$A$2:$C$140,3,0)))^(C3170/(EDATE(D3170-C3170,1)-(D3170-C3170))),8)</f>
        <v/>
      </c>
      <c r="G3170" s="44">
        <f>TRUNC((E3170*F3170),8)</f>
        <v/>
      </c>
      <c r="H3170" s="44">
        <f>ROUND(((1+$H$4)^(30/360))^(C3170/(EDATE(D3170-B3170,1)-(D3170-B3170))),9)</f>
        <v/>
      </c>
      <c r="I3170" s="44">
        <f>TRUNC((G3170*H3170-G3170),8)</f>
        <v/>
      </c>
      <c r="J3170" s="49">
        <f>G3170+I3170</f>
        <v/>
      </c>
      <c r="K3170" s="256" t="n"/>
      <c r="L3170" s="256" t="n"/>
      <c r="M3170" s="256" t="n"/>
      <c r="N3170" s="256" t="n"/>
      <c r="O3170" s="256" t="n"/>
      <c r="P3170" s="256" t="n"/>
      <c r="Q3170" s="256" t="n"/>
    </row>
    <row r="3171">
      <c r="A3171">
        <f>IF(DAY(D3171)=DAY($L$1+1),A3170+1,A3170)</f>
        <v/>
      </c>
      <c r="B3171" s="1">
        <f>IF(DAY(D3171)=DAY($L$1+1),1,B3170+1)</f>
        <v/>
      </c>
      <c r="C3171" s="1">
        <f>IF(DAY(D3171)=DAY($L$1+1),1,C3170+1)</f>
        <v/>
      </c>
      <c r="D3171" s="2">
        <f>D3170+1</f>
        <v/>
      </c>
      <c r="E3171" s="8">
        <f>IF(DAY(D3171)=DAY($L$1+1),TRUNC((#REF!),8),E3170)</f>
        <v/>
      </c>
      <c r="F3171" s="49">
        <f>TRUNC(((1+VLOOKUP(A3171,IPCA!$A$2:$C$140,3,0)))^(C3171/(EDATE(D3171-C3171,1)-(D3171-C3171))),8)</f>
        <v/>
      </c>
      <c r="G3171" s="44">
        <f>TRUNC((E3171*F3171),8)</f>
        <v/>
      </c>
      <c r="H3171" s="44">
        <f>ROUND(((1+$H$4)^(30/360))^(C3171/(EDATE(D3171-B3171,1)-(D3171-B3171))),9)</f>
        <v/>
      </c>
      <c r="I3171" s="44">
        <f>TRUNC((G3171*H3171-G3171),8)</f>
        <v/>
      </c>
      <c r="J3171" s="49">
        <f>G3171+I3171</f>
        <v/>
      </c>
      <c r="K3171" s="256" t="n"/>
      <c r="L3171" s="256" t="n"/>
      <c r="M3171" s="256" t="n"/>
      <c r="N3171" s="256" t="n"/>
      <c r="O3171" s="256" t="n"/>
      <c r="P3171" s="256" t="n"/>
      <c r="Q3171" s="256" t="n"/>
    </row>
    <row r="3172">
      <c r="A3172">
        <f>IF(DAY(D3172)=DAY($L$1+1),A3171+1,A3171)</f>
        <v/>
      </c>
      <c r="B3172" s="46">
        <f>IF(DAY(D3172)=DAY($L$1+1),1,B3171+1)</f>
        <v/>
      </c>
      <c r="C3172" s="46">
        <f>IF(DAY(D3172)=DAY($L$1+1),1,C3171+1)</f>
        <v/>
      </c>
      <c r="D3172" s="2">
        <f>D3171+1</f>
        <v/>
      </c>
      <c r="E3172" s="8">
        <f>IF(DAY(D3172)=DAY($L$1+1),TRUNC((#REF!),8),E3171)</f>
        <v/>
      </c>
      <c r="F3172" s="49">
        <f>TRUNC(((1+VLOOKUP(A3172,IPCA!$A$2:$C$140,3,0)))^(C3172/(EDATE(D3172-C3172,1)-(D3172-C3172))),8)</f>
        <v/>
      </c>
      <c r="G3172" s="44">
        <f>TRUNC((E3172*F3172),8)</f>
        <v/>
      </c>
      <c r="H3172" s="44">
        <f>ROUND(((1+$H$4)^(30/360))^(C3172/(EDATE(D3172-B3172,1)-(D3172-B3172))),9)</f>
        <v/>
      </c>
      <c r="I3172" s="44">
        <f>TRUNC((G3172*H3172-G3172),8)</f>
        <v/>
      </c>
      <c r="J3172" s="49">
        <f>G3172+I3172</f>
        <v/>
      </c>
      <c r="K3172" s="256" t="n"/>
      <c r="L3172" s="256" t="n"/>
      <c r="M3172" s="256" t="n"/>
      <c r="N3172" s="256" t="n"/>
      <c r="O3172" s="256" t="n"/>
      <c r="P3172" s="256" t="n"/>
      <c r="Q3172" s="256" t="n"/>
    </row>
    <row r="3173">
      <c r="A3173">
        <f>IF(DAY(D3173)=DAY($L$1+1),A3172+1,A3172)</f>
        <v/>
      </c>
      <c r="B3173" s="1">
        <f>IF(DAY(D3173)=DAY($L$1+1),1,B3172+1)</f>
        <v/>
      </c>
      <c r="C3173" s="1">
        <f>IF(DAY(D3173)=DAY($L$1+1),1,C3172+1)</f>
        <v/>
      </c>
      <c r="D3173" s="2">
        <f>D3172+1</f>
        <v/>
      </c>
      <c r="E3173" s="8">
        <f>IF(DAY(D3173)=DAY($L$1+1),TRUNC((#REF!),8),E3172)</f>
        <v/>
      </c>
      <c r="F3173" s="49">
        <f>TRUNC(((1+VLOOKUP(A3173,IPCA!$A$2:$C$140,3,0)))^(C3173/(EDATE(D3173-C3173,1)-(D3173-C3173))),8)</f>
        <v/>
      </c>
      <c r="G3173" s="44">
        <f>TRUNC((E3173*F3173),8)</f>
        <v/>
      </c>
      <c r="H3173" s="44">
        <f>ROUND(((1+$H$4)^(30/360))^(C3173/(EDATE(D3173-B3173,1)-(D3173-B3173))),9)</f>
        <v/>
      </c>
      <c r="I3173" s="44">
        <f>TRUNC((G3173*H3173-G3173),8)</f>
        <v/>
      </c>
      <c r="J3173" s="49">
        <f>G3173+I3173</f>
        <v/>
      </c>
      <c r="K3173" s="256" t="n"/>
      <c r="L3173" s="256" t="n"/>
      <c r="M3173" s="256" t="n"/>
      <c r="N3173" s="256" t="n"/>
      <c r="O3173" s="256" t="n"/>
      <c r="P3173" s="256" t="n"/>
      <c r="Q3173" s="256" t="n"/>
    </row>
    <row r="3174">
      <c r="A3174">
        <f>IF(DAY(D3174)=DAY($L$1+1),A3173+1,A3173)</f>
        <v/>
      </c>
      <c r="B3174" s="46">
        <f>IF(DAY(D3174)=DAY($L$1+1),1,B3173+1)</f>
        <v/>
      </c>
      <c r="C3174" s="46">
        <f>IF(DAY(D3174)=DAY($L$1+1),1,C3173+1)</f>
        <v/>
      </c>
      <c r="D3174" s="2">
        <f>D3173+1</f>
        <v/>
      </c>
      <c r="E3174" s="8">
        <f>IF(DAY(D3174)=DAY($L$1+1),TRUNC((#REF!),8),E3173)</f>
        <v/>
      </c>
      <c r="F3174" s="49">
        <f>TRUNC(((1+VLOOKUP(A3174,IPCA!$A$2:$C$140,3,0)))^(C3174/(EDATE(D3174-C3174,1)-(D3174-C3174))),8)</f>
        <v/>
      </c>
      <c r="G3174" s="44">
        <f>TRUNC((E3174*F3174),8)</f>
        <v/>
      </c>
      <c r="H3174" s="44">
        <f>ROUND(((1+$H$4)^(30/360))^(C3174/(EDATE(D3174-B3174,1)-(D3174-B3174))),9)</f>
        <v/>
      </c>
      <c r="I3174" s="44">
        <f>TRUNC((G3174*H3174-G3174),8)</f>
        <v/>
      </c>
      <c r="J3174" s="49">
        <f>G3174+I3174</f>
        <v/>
      </c>
      <c r="K3174" s="256" t="n"/>
      <c r="L3174" s="256" t="n"/>
      <c r="M3174" s="256" t="n"/>
      <c r="N3174" s="256" t="n"/>
      <c r="O3174" s="256" t="n"/>
      <c r="P3174" s="256" t="n"/>
      <c r="Q3174" s="256" t="n"/>
    </row>
    <row r="3175">
      <c r="A3175">
        <f>IF(DAY(D3175)=DAY($L$1+1),A3174+1,A3174)</f>
        <v/>
      </c>
      <c r="B3175" s="1">
        <f>IF(DAY(D3175)=DAY($L$1+1),1,B3174+1)</f>
        <v/>
      </c>
      <c r="C3175" s="1">
        <f>IF(DAY(D3175)=DAY($L$1+1),1,C3174+1)</f>
        <v/>
      </c>
      <c r="D3175" s="2">
        <f>D3174+1</f>
        <v/>
      </c>
      <c r="E3175" s="8">
        <f>IF(DAY(D3175)=DAY($L$1+1),TRUNC((#REF!),8),E3174)</f>
        <v/>
      </c>
      <c r="F3175" s="49">
        <f>TRUNC(((1+VLOOKUP(A3175,IPCA!$A$2:$C$140,3,0)))^(C3175/(EDATE(D3175-C3175,1)-(D3175-C3175))),8)</f>
        <v/>
      </c>
      <c r="G3175" s="44">
        <f>TRUNC((E3175*F3175),8)</f>
        <v/>
      </c>
      <c r="H3175" s="44">
        <f>ROUND(((1+$H$4)^(30/360))^(C3175/(EDATE(D3175-B3175,1)-(D3175-B3175))),9)</f>
        <v/>
      </c>
      <c r="I3175" s="44">
        <f>TRUNC((G3175*H3175-G3175),8)</f>
        <v/>
      </c>
      <c r="J3175" s="49">
        <f>G3175+I3175</f>
        <v/>
      </c>
      <c r="K3175" s="256" t="n"/>
      <c r="L3175" s="256" t="n"/>
      <c r="M3175" s="256" t="n"/>
      <c r="N3175" s="256" t="n"/>
      <c r="O3175" s="256" t="n"/>
      <c r="P3175" s="256" t="n"/>
      <c r="Q3175" s="256" t="n"/>
    </row>
    <row r="3176">
      <c r="A3176">
        <f>IF(DAY(D3176)=DAY($L$1+1),A3175+1,A3175)</f>
        <v/>
      </c>
      <c r="B3176" s="46">
        <f>IF(DAY(D3176)=DAY($L$1+1),1,B3175+1)</f>
        <v/>
      </c>
      <c r="C3176" s="46">
        <f>IF(DAY(D3176)=DAY($L$1+1),1,C3175+1)</f>
        <v/>
      </c>
      <c r="D3176" s="2">
        <f>D3175+1</f>
        <v/>
      </c>
      <c r="E3176" s="8">
        <f>IF(DAY(D3176)=DAY($L$1+1),TRUNC((#REF!),8),E3175)</f>
        <v/>
      </c>
      <c r="F3176" s="49">
        <f>TRUNC(((1+VLOOKUP(A3176,IPCA!$A$2:$C$140,3,0)))^(C3176/(EDATE(D3176-C3176,1)-(D3176-C3176))),8)</f>
        <v/>
      </c>
      <c r="G3176" s="44">
        <f>TRUNC((E3176*F3176),8)</f>
        <v/>
      </c>
      <c r="H3176" s="44">
        <f>ROUND(((1+$H$4)^(30/360))^(C3176/(EDATE(D3176-B3176,1)-(D3176-B3176))),9)</f>
        <v/>
      </c>
      <c r="I3176" s="44">
        <f>TRUNC((G3176*H3176-G3176),8)</f>
        <v/>
      </c>
      <c r="J3176" s="49">
        <f>G3176+I3176</f>
        <v/>
      </c>
      <c r="K3176" s="256" t="n"/>
      <c r="L3176" s="256" t="n"/>
      <c r="M3176" s="256" t="n"/>
      <c r="N3176" s="256" t="n"/>
      <c r="O3176" s="256" t="n"/>
      <c r="P3176" s="256" t="n"/>
      <c r="Q3176" s="256" t="n"/>
    </row>
    <row r="3177">
      <c r="A3177">
        <f>IF(DAY(D3177)=DAY($L$1+1),A3176+1,A3176)</f>
        <v/>
      </c>
      <c r="B3177" s="1">
        <f>IF(DAY(D3177)=DAY($L$1+1),1,B3176+1)</f>
        <v/>
      </c>
      <c r="C3177" s="1">
        <f>IF(DAY(D3177)=DAY($L$1+1),1,C3176+1)</f>
        <v/>
      </c>
      <c r="D3177" s="2">
        <f>D3176+1</f>
        <v/>
      </c>
      <c r="E3177" s="8">
        <f>IF(DAY(D3177)=DAY($L$1+1),TRUNC((#REF!),8),E3176)</f>
        <v/>
      </c>
      <c r="F3177" s="49">
        <f>TRUNC(((1+VLOOKUP(A3177,IPCA!$A$2:$C$140,3,0)))^(C3177/(EDATE(D3177-C3177,1)-(D3177-C3177))),8)</f>
        <v/>
      </c>
      <c r="G3177" s="44">
        <f>TRUNC((E3177*F3177),8)</f>
        <v/>
      </c>
      <c r="H3177" s="44">
        <f>ROUND(((1+$H$4)^(30/360))^(C3177/(EDATE(D3177-B3177,1)-(D3177-B3177))),9)</f>
        <v/>
      </c>
      <c r="I3177" s="44">
        <f>TRUNC((G3177*H3177-G3177),8)</f>
        <v/>
      </c>
      <c r="J3177" s="49">
        <f>G3177+I3177</f>
        <v/>
      </c>
      <c r="K3177" s="256" t="n"/>
      <c r="L3177" s="256" t="n"/>
      <c r="M3177" s="256" t="n"/>
      <c r="N3177" s="256" t="n"/>
      <c r="O3177" s="256" t="n"/>
      <c r="P3177" s="256" t="n"/>
      <c r="Q3177" s="256" t="n"/>
    </row>
    <row r="3178">
      <c r="A3178">
        <f>IF(DAY(D3178)=DAY($L$1+1),A3177+1,A3177)</f>
        <v/>
      </c>
      <c r="B3178" s="46">
        <f>IF(DAY(D3178)=DAY($L$1+1),1,B3177+1)</f>
        <v/>
      </c>
      <c r="C3178" s="46">
        <f>IF(DAY(D3178)=DAY($L$1+1),1,C3177+1)</f>
        <v/>
      </c>
      <c r="D3178" s="2">
        <f>D3177+1</f>
        <v/>
      </c>
      <c r="E3178" s="8">
        <f>IF(DAY(D3178)=DAY($L$1+1),TRUNC((N3177),8),E3177)</f>
        <v/>
      </c>
      <c r="F3178" s="49">
        <f>TRUNC(((1+VLOOKUP(A3178,IPCA!$A$2:$C$140,3,0)))^(C3178/(EDATE(D3178-C3178,1)-(D3178-C3178))),8)</f>
        <v/>
      </c>
      <c r="G3178" s="44">
        <f>TRUNC((E3178*F3178),8)</f>
        <v/>
      </c>
      <c r="H3178" s="44">
        <f>ROUND(((1+$H$4)^(30/360))^(C3178/(EDATE(D3178-B3178,1)-(D3178-B3178))),9)</f>
        <v/>
      </c>
      <c r="I3178" s="44">
        <f>TRUNC((G3178*H3178-G3178),8)</f>
        <v/>
      </c>
      <c r="J3178" s="49">
        <f>G3178+I3178</f>
        <v/>
      </c>
      <c r="K3178" s="256" t="n"/>
      <c r="L3178" s="256" t="n"/>
      <c r="M3178" s="256" t="n"/>
      <c r="N3178" s="256" t="n"/>
      <c r="O3178" s="256" t="n"/>
      <c r="P3178" s="256" t="n"/>
      <c r="Q3178" s="256" t="n"/>
    </row>
    <row r="3179">
      <c r="A3179">
        <f>IF(DAY(D3179)=DAY($L$1+1),A3178+1,A3178)</f>
        <v/>
      </c>
      <c r="B3179" s="1">
        <f>IF(DAY(D3179)=DAY($L$1+1),1,B3178+1)</f>
        <v/>
      </c>
      <c r="C3179" s="1">
        <f>IF(DAY(D3179)=DAY($L$1+1),1,C3178+1)</f>
        <v/>
      </c>
      <c r="D3179" s="2">
        <f>D3178+1</f>
        <v/>
      </c>
      <c r="E3179" s="8">
        <f>IF(DAY(D3179)=DAY($L$1+1),TRUNC((N3178),8),E3178)</f>
        <v/>
      </c>
      <c r="F3179" s="49">
        <f>TRUNC(((1+VLOOKUP(A3179,IPCA!$A$2:$C$140,3,0)))^(C3179/(EDATE(D3179-C3179,1)-(D3179-C3179))),8)</f>
        <v/>
      </c>
      <c r="G3179" s="44">
        <f>TRUNC((E3179*F3179),8)</f>
        <v/>
      </c>
      <c r="H3179" s="44">
        <f>ROUND(((1+$H$4)^(30/360))^(C3179/(EDATE(D3179-B3179,1)-(D3179-B3179))),9)</f>
        <v/>
      </c>
      <c r="I3179" s="44">
        <f>TRUNC((G3179*H3179-G3179),8)</f>
        <v/>
      </c>
      <c r="J3179" s="49">
        <f>G3179+I3179</f>
        <v/>
      </c>
      <c r="K3179" s="256" t="n"/>
      <c r="L3179" s="256" t="n"/>
      <c r="M3179" s="256" t="n"/>
      <c r="N3179" s="256" t="n"/>
      <c r="O3179" s="256" t="n"/>
      <c r="P3179" s="256" t="n"/>
      <c r="Q3179" s="256" t="n"/>
    </row>
    <row r="3180">
      <c r="A3180">
        <f>IF(DAY(D3180)=DAY($L$1+1),A3179+1,A3179)</f>
        <v/>
      </c>
      <c r="B3180" s="46">
        <f>IF(DAY(D3180)=DAY($L$1+1),1,B3179+1)</f>
        <v/>
      </c>
      <c r="C3180" s="46">
        <f>IF(DAY(D3180)=DAY($L$1+1),1,C3179+1)</f>
        <v/>
      </c>
      <c r="D3180" s="2">
        <f>D3179+1</f>
        <v/>
      </c>
      <c r="E3180" s="8">
        <f>IF(DAY(D3180)=DAY($L$1+1),TRUNC((N3179),8),E3179)</f>
        <v/>
      </c>
      <c r="F3180" s="49">
        <f>TRUNC(((1+VLOOKUP(A3180,IPCA!$A$2:$C$140,3,0)))^(C3180/(EDATE(D3180-C3180,1)-(D3180-C3180))),8)</f>
        <v/>
      </c>
      <c r="G3180" s="44">
        <f>TRUNC((E3180*F3180),8)</f>
        <v/>
      </c>
      <c r="H3180" s="44">
        <f>ROUND(((1+$H$4)^(30/360))^(C3180/(EDATE(D3180-B3180,1)-(D3180-B3180))),9)</f>
        <v/>
      </c>
      <c r="I3180" s="44">
        <f>TRUNC((G3180*H3180-G3180),8)</f>
        <v/>
      </c>
      <c r="J3180" s="49">
        <f>G3180+I3180</f>
        <v/>
      </c>
      <c r="K3180" s="256" t="n"/>
      <c r="L3180" s="256" t="n"/>
      <c r="M3180" s="256" t="n"/>
      <c r="N3180" s="256" t="n"/>
      <c r="O3180" s="256" t="n"/>
      <c r="P3180" s="256" t="n"/>
      <c r="Q3180" s="256" t="n"/>
    </row>
    <row r="3181">
      <c r="A3181">
        <f>IF(DAY(D3181)=DAY($L$1+1),A3180+1,A3180)</f>
        <v/>
      </c>
      <c r="B3181" s="1">
        <f>IF(DAY(D3181)=DAY($L$1+1),1,B3180+1)</f>
        <v/>
      </c>
      <c r="C3181" s="1">
        <f>IF(DAY(D3181)=DAY($L$1+1),1,C3180+1)</f>
        <v/>
      </c>
      <c r="D3181" s="2">
        <f>D3180+1</f>
        <v/>
      </c>
      <c r="E3181" s="8">
        <f>IF(DAY(D3181)=DAY($L$1+1),TRUNC((N3180),8),E3180)</f>
        <v/>
      </c>
      <c r="F3181" s="49">
        <f>TRUNC(((1+VLOOKUP(A3181,IPCA!$A$2:$C$140,3,0)))^(C3181/(EDATE(D3181-C3181,1)-(D3181-C3181))),8)</f>
        <v/>
      </c>
      <c r="G3181" s="44">
        <f>TRUNC((E3181*F3181),8)</f>
        <v/>
      </c>
      <c r="H3181" s="44">
        <f>ROUND(((1+$H$4)^(30/360))^(C3181/(EDATE(D3181-B3181,1)-(D3181-B3181))),9)</f>
        <v/>
      </c>
      <c r="I3181" s="44">
        <f>TRUNC((G3181*H3181-G3181),8)</f>
        <v/>
      </c>
      <c r="J3181" s="49">
        <f>G3181+I3181</f>
        <v/>
      </c>
      <c r="K3181" s="256" t="n"/>
      <c r="L3181" s="256" t="n"/>
      <c r="M3181" s="256" t="n"/>
      <c r="N3181" s="256" t="n"/>
      <c r="O3181" s="256" t="n"/>
      <c r="P3181" s="256" t="n"/>
      <c r="Q3181" s="256" t="n"/>
    </row>
    <row r="3182">
      <c r="A3182">
        <f>IF(DAY(D3182)=DAY($L$1+1),A3181+1,A3181)</f>
        <v/>
      </c>
      <c r="B3182" s="46">
        <f>IF(DAY(D3182)=DAY($L$1+1),1,B3181+1)</f>
        <v/>
      </c>
      <c r="C3182" s="46">
        <f>IF(DAY(D3182)=DAY($L$1+1),1,C3181+1)</f>
        <v/>
      </c>
      <c r="D3182" s="2">
        <f>D3181+1</f>
        <v/>
      </c>
      <c r="E3182" s="8">
        <f>IF(DAY(D3182)=DAY($L$1+1),TRUNC((N3181),8),E3181)</f>
        <v/>
      </c>
      <c r="F3182" s="49">
        <f>TRUNC(((1+VLOOKUP(A3182,IPCA!$A$2:$C$140,3,0)))^(C3182/(EDATE(D3182-C3182,1)-(D3182-C3182))),8)</f>
        <v/>
      </c>
      <c r="G3182" s="49">
        <f>TRUNC((E3182*F3182),8)</f>
        <v/>
      </c>
      <c r="H3182" s="49">
        <f>ROUND(((1+$H$4)^(30/360))^(C3182/(EDATE(D3182-B3182,1)-(D3182-B3182))),9)</f>
        <v/>
      </c>
      <c r="I3182" s="49">
        <f>TRUNC((G3182*H3182-G3182),8)</f>
        <v/>
      </c>
      <c r="J3182" s="49">
        <f>G3182+I3182</f>
        <v/>
      </c>
      <c r="K3182" s="256" t="inlineStr">
        <is>
          <t>Cri Integralizado</t>
        </is>
      </c>
      <c r="L3182" s="270">
        <f>L3154</f>
        <v/>
      </c>
      <c r="M3182" s="256" t="n"/>
      <c r="N3182" s="256" t="n"/>
      <c r="O3182" s="256" t="n"/>
      <c r="P3182" s="256" t="n"/>
      <c r="Q3182" s="256" t="n"/>
    </row>
    <row r="3183">
      <c r="A3183">
        <f>IF(DAY(D3183)=DAY($L$1+1),A3182+1,A3182)</f>
        <v/>
      </c>
      <c r="B3183" s="46">
        <f>IF(DAY(D3183)=DAY($L$1+1),1,B3182+1)</f>
        <v/>
      </c>
      <c r="C3183" s="46">
        <f>IF(DAY(D3183)=DAY($L$1+1),1,C3182+1)</f>
        <v/>
      </c>
      <c r="D3183" s="47">
        <f>D3182+1</f>
        <v/>
      </c>
      <c r="E3183" s="8">
        <f>IF(DAY(D3183)=DAY($L$1+1),TRUNC((N3182),8),E3182)</f>
        <v/>
      </c>
      <c r="F3183" s="49">
        <f>TRUNC(((1+VLOOKUP(A3183,IPCA!$A$2:$C$140,3,0)))^(C3183/(EDATE(D3183-C3183,1)-(D3183-C3183))),8)</f>
        <v/>
      </c>
      <c r="G3183" s="49">
        <f>TRUNC((E3183*F3183),8)</f>
        <v/>
      </c>
      <c r="H3183" s="49">
        <f>ROUND(((1+$H$4)^(30/360))^(C3183/(EDATE(D3183-B3183,1)-(D3183-B3183))),9)</f>
        <v/>
      </c>
      <c r="I3183" s="49">
        <f>TRUNC((G3183*H3183-G3183),8)</f>
        <v/>
      </c>
      <c r="J3183" s="49">
        <f>G3183+I3183</f>
        <v/>
      </c>
      <c r="K3183" s="137" t="inlineStr">
        <is>
          <t>JUROS</t>
        </is>
      </c>
      <c r="L3183" s="118" t="inlineStr">
        <is>
          <t>AMORTIZAÇÃO</t>
        </is>
      </c>
      <c r="M3183" s="118" t="inlineStr">
        <is>
          <t>AMEX</t>
        </is>
      </c>
      <c r="N3183" s="118" t="inlineStr">
        <is>
          <t>RESIDUAL</t>
        </is>
      </c>
      <c r="O3183" s="256" t="n"/>
      <c r="P3183" s="256" t="n"/>
      <c r="Q3183" s="256" t="n"/>
    </row>
    <row r="3184">
      <c r="A3184">
        <f>IF(DAY(D3184)=DAY($L$1+1),A3183+1,A3183)</f>
        <v/>
      </c>
      <c r="B3184" s="111">
        <f>IF(DAY(D3184)=DAY($L$1+1),1,B3183+1)</f>
        <v/>
      </c>
      <c r="C3184" s="111">
        <f>IF(DAY(D3184)=DAY($L$1+1),1,C3183+1)</f>
        <v/>
      </c>
      <c r="D3184" s="112">
        <f>D3183+1</f>
        <v/>
      </c>
      <c r="E3184" s="113">
        <f>IF(DAY(D3184)=DAY($L$1+1),TRUNC((N3183),8),E3183)</f>
        <v/>
      </c>
      <c r="F3184" s="114">
        <f>TRUNC(((1+VLOOKUP(A3184,IPCA!$A$2:$C$140,3,0)))^(C3184/(EDATE(D3184-C3184,1)-(D3184-C3184))),8)</f>
        <v/>
      </c>
      <c r="G3184" s="114">
        <f>TRUNC((E3184*F3184),8)</f>
        <v/>
      </c>
      <c r="H3184" s="114">
        <f>ROUND(((1+$H$4)^(30/360))^(C3184/(EDATE(D3184-B3184,1)-(D3184-B3184))),9)</f>
        <v/>
      </c>
      <c r="I3184" s="114">
        <f>TRUNC((G3184*H3184-G3184),8)</f>
        <v/>
      </c>
      <c r="J3184" s="114">
        <f>G3184+I3184</f>
        <v/>
      </c>
      <c r="K3184" s="119">
        <f>I3184</f>
        <v/>
      </c>
      <c r="L3184" s="120">
        <f>TRUNC(G3184*VLOOKUP(D3184,'Amort TS'!$G$3:$H$140,2,0),8)</f>
        <v/>
      </c>
      <c r="M3184" s="120" t="n">
        <v>0</v>
      </c>
      <c r="N3184" s="120">
        <f>J3184-K3184-L3184-M3184</f>
        <v/>
      </c>
      <c r="O3184" s="256" t="n"/>
      <c r="P3184" s="256" t="n"/>
      <c r="Q3184" s="256" t="n"/>
    </row>
    <row r="3185">
      <c r="A3185">
        <f>IF(DAY(D3185)=DAY($L$1+1),A3184+1,A3184)</f>
        <v/>
      </c>
      <c r="B3185" s="46">
        <f>IF(DAY(D3185)=DAY($L$1+1),1,B3184+1)</f>
        <v/>
      </c>
      <c r="C3185" s="46">
        <f>IF(DAY(D3185)=DAY($L$1+1),1,C3184+1)</f>
        <v/>
      </c>
      <c r="D3185" s="2">
        <f>D3184+1</f>
        <v/>
      </c>
      <c r="E3185" s="8">
        <f>IF(DAY(D3185)=DAY($L$1+1),TRUNC((N3184),8),E3184)</f>
        <v/>
      </c>
      <c r="F3185" s="49">
        <f>TRUNC(((1+VLOOKUP(A3185,IPCA!$A$2:$C$140,3,0)))^(C3185/(EDATE(D3185-C3185,1)-(D3185-C3185))),8)</f>
        <v/>
      </c>
      <c r="G3185" s="49">
        <f>TRUNC((E3185*F3185),8)</f>
        <v/>
      </c>
      <c r="H3185" s="49">
        <f>ROUND(((1+$H$4)^(30/360))^(C3185/(EDATE(D3185-B3185,1)-(D3185-B3185))),9)</f>
        <v/>
      </c>
      <c r="I3185" s="49">
        <f>TRUNC((G3185*H3185-G3185),8)</f>
        <v/>
      </c>
      <c r="J3185" s="49">
        <f>G3185+I3185</f>
        <v/>
      </c>
      <c r="K3185" s="121">
        <f>K3184*L3182</f>
        <v/>
      </c>
      <c r="L3185" s="121">
        <f>L3184*L3182</f>
        <v/>
      </c>
      <c r="M3185" s="121">
        <f>M3184*L3182</f>
        <v/>
      </c>
      <c r="N3185" s="121">
        <f>N3184*L3182</f>
        <v/>
      </c>
      <c r="O3185" s="256" t="n"/>
      <c r="P3185" s="256" t="n"/>
      <c r="Q3185" s="256" t="n"/>
    </row>
    <row r="3186">
      <c r="A3186">
        <f>IF(DAY(D3186)=DAY($L$1+1),A3185+1,A3185)</f>
        <v/>
      </c>
      <c r="B3186" s="46">
        <f>IF(DAY(D3186)=DAY($L$1+1),1,B3185+1)</f>
        <v/>
      </c>
      <c r="C3186" s="46">
        <f>IF(DAY(D3186)=DAY($L$1+1),1,C3185+1)</f>
        <v/>
      </c>
      <c r="D3186" s="47">
        <f>D3185+1</f>
        <v/>
      </c>
      <c r="E3186" s="8">
        <f>IF(DAY(D3186)=DAY($L$1+1),TRUNC((N3185),8),E3185)</f>
        <v/>
      </c>
      <c r="F3186" s="49">
        <f>TRUNC(((1+VLOOKUP(A3186,IPCA!$A$2:$C$140,3,0)))^(C3186/(EDATE(D3186-C3186,1)-(D3186-C3186))),8)</f>
        <v/>
      </c>
      <c r="G3186" s="49">
        <f>TRUNC((E3186*F3186),8)</f>
        <v/>
      </c>
      <c r="H3186" s="49">
        <f>ROUND(((1+$H$4)^(30/360))^(C3186/(EDATE(D3186-B3186,1)-(D3186-B3186))),9)</f>
        <v/>
      </c>
      <c r="I3186" s="49">
        <f>TRUNC((G3186*H3186-G3186),8)</f>
        <v/>
      </c>
      <c r="J3186" s="49">
        <f>G3186+I3186</f>
        <v/>
      </c>
      <c r="K3186" s="256" t="n"/>
      <c r="L3186" s="256" t="n"/>
      <c r="M3186" s="256" t="n"/>
      <c r="N3186" s="256" t="n"/>
      <c r="O3186" s="256" t="n"/>
      <c r="P3186" s="256" t="n"/>
      <c r="Q3186" s="256" t="n"/>
    </row>
    <row r="3187">
      <c r="A3187">
        <f>IF(DAY(D3187)=DAY($L$1+1),A3186+1,A3186)</f>
        <v/>
      </c>
      <c r="B3187" s="1">
        <f>IF(DAY(D3187)=DAY($L$1+1),1,B3186+1)</f>
        <v/>
      </c>
      <c r="C3187" s="1">
        <f>IF(DAY(D3187)=DAY($L$1+1),1,C3186+1)</f>
        <v/>
      </c>
      <c r="D3187" s="2">
        <f>D3186+1</f>
        <v/>
      </c>
      <c r="E3187" s="8">
        <f>IF(DAY(D3187)=DAY($L$1+1),TRUNC((#REF!),8),E3186)</f>
        <v/>
      </c>
      <c r="F3187" s="49">
        <f>TRUNC(((1+VLOOKUP(A3187,IPCA!$A$2:$C$140,3,0)))^(C3187/(EDATE(D3187-C3187,1)-(D3187-C3187))),8)</f>
        <v/>
      </c>
      <c r="G3187" s="44">
        <f>TRUNC((E3187*F3187),8)</f>
        <v/>
      </c>
      <c r="H3187" s="44">
        <f>ROUND(((1+$H$4)^(30/360))^(C3187/(EDATE(D3187-B3187,1)-(D3187-B3187))),9)</f>
        <v/>
      </c>
      <c r="I3187" s="44">
        <f>TRUNC((G3187*H3187-G3187),8)</f>
        <v/>
      </c>
      <c r="J3187" s="49">
        <f>G3187+I3187</f>
        <v/>
      </c>
      <c r="K3187" s="256" t="n"/>
      <c r="L3187" s="256" t="n"/>
      <c r="M3187" s="256" t="n"/>
      <c r="N3187" s="256" t="n"/>
      <c r="O3187" s="256" t="n"/>
      <c r="P3187" s="256" t="n"/>
      <c r="Q3187" s="256" t="n"/>
    </row>
    <row r="3188">
      <c r="A3188">
        <f>IF(DAY(D3188)=DAY($L$1+1),A3187+1,A3187)</f>
        <v/>
      </c>
      <c r="B3188" s="46">
        <f>IF(DAY(D3188)=DAY($L$1+1),1,B3187+1)</f>
        <v/>
      </c>
      <c r="C3188" s="46">
        <f>IF(DAY(D3188)=DAY($L$1+1),1,C3187+1)</f>
        <v/>
      </c>
      <c r="D3188" s="2">
        <f>D3187+1</f>
        <v/>
      </c>
      <c r="E3188" s="8">
        <f>IF(DAY(D3188)=DAY($L$1+1),TRUNC((#REF!),8),E3187)</f>
        <v/>
      </c>
      <c r="F3188" s="49">
        <f>TRUNC(((1+VLOOKUP(A3188,IPCA!$A$2:$C$140,3,0)))^(C3188/(EDATE(D3188-C3188,1)-(D3188-C3188))),8)</f>
        <v/>
      </c>
      <c r="G3188" s="44">
        <f>TRUNC((E3188*F3188),8)</f>
        <v/>
      </c>
      <c r="H3188" s="44">
        <f>ROUND(((1+$H$4)^(30/360))^(C3188/(EDATE(D3188-B3188,1)-(D3188-B3188))),9)</f>
        <v/>
      </c>
      <c r="I3188" s="44">
        <f>TRUNC((G3188*H3188-G3188),8)</f>
        <v/>
      </c>
      <c r="J3188" s="49">
        <f>G3188+I3188</f>
        <v/>
      </c>
      <c r="K3188" s="256" t="n"/>
      <c r="L3188" s="256" t="n"/>
      <c r="M3188" s="256" t="n"/>
      <c r="N3188" s="256" t="n"/>
      <c r="O3188" s="256" t="n"/>
      <c r="P3188" s="256" t="n"/>
      <c r="Q3188" s="256" t="n"/>
    </row>
    <row r="3189">
      <c r="A3189">
        <f>IF(DAY(D3189)=DAY($L$1+1),A3188+1,A3188)</f>
        <v/>
      </c>
      <c r="B3189" s="1">
        <f>IF(DAY(D3189)=DAY($L$1+1),1,B3188+1)</f>
        <v/>
      </c>
      <c r="C3189" s="1">
        <f>IF(DAY(D3189)=DAY($L$1+1),1,C3188+1)</f>
        <v/>
      </c>
      <c r="D3189" s="2">
        <f>D3188+1</f>
        <v/>
      </c>
      <c r="E3189" s="8">
        <f>IF(DAY(D3189)=DAY($L$1+1),TRUNC((#REF!),8),E3188)</f>
        <v/>
      </c>
      <c r="F3189" s="49">
        <f>TRUNC(((1+VLOOKUP(A3189,IPCA!$A$2:$C$140,3,0)))^(C3189/(EDATE(D3189-C3189,1)-(D3189-C3189))),8)</f>
        <v/>
      </c>
      <c r="G3189" s="44">
        <f>TRUNC((E3189*F3189),8)</f>
        <v/>
      </c>
      <c r="H3189" s="44">
        <f>ROUND(((1+$H$4)^(30/360))^(C3189/(EDATE(D3189-B3189,1)-(D3189-B3189))),9)</f>
        <v/>
      </c>
      <c r="I3189" s="44">
        <f>TRUNC((G3189*H3189-G3189),8)</f>
        <v/>
      </c>
      <c r="J3189" s="49">
        <f>G3189+I3189</f>
        <v/>
      </c>
      <c r="K3189" s="256" t="n"/>
      <c r="L3189" s="256" t="n"/>
      <c r="M3189" s="256" t="n"/>
      <c r="N3189" s="256" t="n"/>
      <c r="O3189" s="256" t="n"/>
      <c r="P3189" s="256" t="n"/>
      <c r="Q3189" s="256" t="n"/>
    </row>
    <row r="3190">
      <c r="A3190">
        <f>IF(DAY(D3190)=DAY($L$1+1),A3189+1,A3189)</f>
        <v/>
      </c>
      <c r="B3190" s="46">
        <f>IF(DAY(D3190)=DAY($L$1+1),1,B3189+1)</f>
        <v/>
      </c>
      <c r="C3190" s="46">
        <f>IF(DAY(D3190)=DAY($L$1+1),1,C3189+1)</f>
        <v/>
      </c>
      <c r="D3190" s="2">
        <f>D3189+1</f>
        <v/>
      </c>
      <c r="E3190" s="8">
        <f>IF(DAY(D3190)=DAY($L$1+1),TRUNC((#REF!),8),E3189)</f>
        <v/>
      </c>
      <c r="F3190" s="49">
        <f>TRUNC(((1+VLOOKUP(A3190,IPCA!$A$2:$C$140,3,0)))^(C3190/(EDATE(D3190-C3190,1)-(D3190-C3190))),8)</f>
        <v/>
      </c>
      <c r="G3190" s="44">
        <f>TRUNC((E3190*F3190),8)</f>
        <v/>
      </c>
      <c r="H3190" s="44">
        <f>ROUND(((1+$H$4)^(30/360))^(C3190/(EDATE(D3190-B3190,1)-(D3190-B3190))),9)</f>
        <v/>
      </c>
      <c r="I3190" s="44">
        <f>TRUNC((G3190*H3190-G3190),8)</f>
        <v/>
      </c>
      <c r="J3190" s="49">
        <f>G3190+I3190</f>
        <v/>
      </c>
      <c r="K3190" s="256" t="n"/>
      <c r="L3190" s="256" t="n"/>
      <c r="M3190" s="256" t="n"/>
      <c r="N3190" s="256" t="n"/>
      <c r="O3190" s="256" t="n"/>
      <c r="P3190" s="256" t="n"/>
      <c r="Q3190" s="256" t="n"/>
    </row>
    <row r="3191">
      <c r="A3191">
        <f>IF(DAY(D3191)=DAY($L$1+1),A3190+1,A3190)</f>
        <v/>
      </c>
      <c r="B3191" s="1">
        <f>IF(DAY(D3191)=DAY($L$1+1),1,B3190+1)</f>
        <v/>
      </c>
      <c r="C3191" s="1">
        <f>IF(DAY(D3191)=DAY($L$1+1),1,C3190+1)</f>
        <v/>
      </c>
      <c r="D3191" s="2">
        <f>D3190+1</f>
        <v/>
      </c>
      <c r="E3191" s="8">
        <f>IF(DAY(D3191)=DAY($L$1+1),TRUNC((#REF!),8),E3190)</f>
        <v/>
      </c>
      <c r="F3191" s="49">
        <f>TRUNC(((1+VLOOKUP(A3191,IPCA!$A$2:$C$140,3,0)))^(C3191/(EDATE(D3191-C3191,1)-(D3191-C3191))),8)</f>
        <v/>
      </c>
      <c r="G3191" s="44">
        <f>TRUNC((E3191*F3191),8)</f>
        <v/>
      </c>
      <c r="H3191" s="44">
        <f>ROUND(((1+$H$4)^(30/360))^(C3191/(EDATE(D3191-B3191,1)-(D3191-B3191))),9)</f>
        <v/>
      </c>
      <c r="I3191" s="44">
        <f>TRUNC((G3191*H3191-G3191),8)</f>
        <v/>
      </c>
      <c r="J3191" s="49">
        <f>G3191+I3191</f>
        <v/>
      </c>
      <c r="K3191" s="256" t="n"/>
      <c r="L3191" s="256" t="n"/>
      <c r="M3191" s="256" t="n"/>
      <c r="N3191" s="256" t="n"/>
      <c r="O3191" s="256" t="n"/>
      <c r="P3191" s="256" t="n"/>
      <c r="Q3191" s="256" t="n"/>
    </row>
    <row r="3192">
      <c r="A3192">
        <f>IF(DAY(D3192)=DAY($L$1+1),A3191+1,A3191)</f>
        <v/>
      </c>
      <c r="B3192" s="46">
        <f>IF(DAY(D3192)=DAY($L$1+1),1,B3191+1)</f>
        <v/>
      </c>
      <c r="C3192" s="46">
        <f>IF(DAY(D3192)=DAY($L$1+1),1,C3191+1)</f>
        <v/>
      </c>
      <c r="D3192" s="2">
        <f>D3191+1</f>
        <v/>
      </c>
      <c r="E3192" s="8">
        <f>IF(DAY(D3192)=DAY($L$1+1),TRUNC((#REF!),8),E3191)</f>
        <v/>
      </c>
      <c r="F3192" s="49">
        <f>TRUNC(((1+VLOOKUP(A3192,IPCA!$A$2:$C$140,3,0)))^(C3192/(EDATE(D3192-C3192,1)-(D3192-C3192))),8)</f>
        <v/>
      </c>
      <c r="G3192" s="44">
        <f>TRUNC((E3192*F3192),8)</f>
        <v/>
      </c>
      <c r="H3192" s="44">
        <f>ROUND(((1+$H$4)^(30/360))^(C3192/(EDATE(D3192-B3192,1)-(D3192-B3192))),9)</f>
        <v/>
      </c>
      <c r="I3192" s="44">
        <f>TRUNC((G3192*H3192-G3192),8)</f>
        <v/>
      </c>
      <c r="J3192" s="49">
        <f>G3192+I3192</f>
        <v/>
      </c>
      <c r="K3192" s="256" t="n"/>
      <c r="L3192" s="256" t="n"/>
      <c r="M3192" s="256" t="n"/>
      <c r="N3192" s="256" t="n"/>
      <c r="O3192" s="256" t="n"/>
      <c r="P3192" s="256" t="n"/>
      <c r="Q3192" s="256" t="n"/>
    </row>
    <row r="3193">
      <c r="A3193">
        <f>IF(DAY(D3193)=DAY($L$1+1),A3192+1,A3192)</f>
        <v/>
      </c>
      <c r="B3193" s="1">
        <f>IF(DAY(D3193)=DAY($L$1+1),1,B3192+1)</f>
        <v/>
      </c>
      <c r="C3193" s="1">
        <f>IF(DAY(D3193)=DAY($L$1+1),1,C3192+1)</f>
        <v/>
      </c>
      <c r="D3193" s="2">
        <f>D3192+1</f>
        <v/>
      </c>
      <c r="E3193" s="8">
        <f>IF(DAY(D3193)=DAY($L$1+1),TRUNC((#REF!),8),E3192)</f>
        <v/>
      </c>
      <c r="F3193" s="49">
        <f>TRUNC(((1+VLOOKUP(A3193,IPCA!$A$2:$C$140,3,0)))^(C3193/(EDATE(D3193-C3193,1)-(D3193-C3193))),8)</f>
        <v/>
      </c>
      <c r="G3193" s="44">
        <f>TRUNC((E3193*F3193),8)</f>
        <v/>
      </c>
      <c r="H3193" s="44">
        <f>ROUND(((1+$H$4)^(30/360))^(C3193/(EDATE(D3193-B3193,1)-(D3193-B3193))),9)</f>
        <v/>
      </c>
      <c r="I3193" s="44">
        <f>TRUNC((G3193*H3193-G3193),8)</f>
        <v/>
      </c>
      <c r="J3193" s="49">
        <f>G3193+I3193</f>
        <v/>
      </c>
      <c r="K3193" s="256" t="n"/>
      <c r="L3193" s="256" t="n"/>
      <c r="M3193" s="256" t="n"/>
      <c r="N3193" s="256" t="n"/>
      <c r="O3193" s="256" t="n"/>
      <c r="P3193" s="256" t="n"/>
      <c r="Q3193" s="256" t="n"/>
    </row>
    <row r="3194">
      <c r="A3194">
        <f>IF(DAY(D3194)=DAY($L$1+1),A3193+1,A3193)</f>
        <v/>
      </c>
      <c r="B3194" s="46">
        <f>IF(DAY(D3194)=DAY($L$1+1),1,B3193+1)</f>
        <v/>
      </c>
      <c r="C3194" s="46">
        <f>IF(DAY(D3194)=DAY($L$1+1),1,C3193+1)</f>
        <v/>
      </c>
      <c r="D3194" s="2">
        <f>D3193+1</f>
        <v/>
      </c>
      <c r="E3194" s="8">
        <f>IF(DAY(D3194)=DAY($L$1+1),TRUNC((#REF!),8),E3193)</f>
        <v/>
      </c>
      <c r="F3194" s="49">
        <f>TRUNC(((1+VLOOKUP(A3194,IPCA!$A$2:$C$140,3,0)))^(C3194/(EDATE(D3194-C3194,1)-(D3194-C3194))),8)</f>
        <v/>
      </c>
      <c r="G3194" s="44">
        <f>TRUNC((E3194*F3194),8)</f>
        <v/>
      </c>
      <c r="H3194" s="44">
        <f>ROUND(((1+$H$4)^(30/360))^(C3194/(EDATE(D3194-B3194,1)-(D3194-B3194))),9)</f>
        <v/>
      </c>
      <c r="I3194" s="44">
        <f>TRUNC((G3194*H3194-G3194),8)</f>
        <v/>
      </c>
      <c r="J3194" s="49">
        <f>G3194+I3194</f>
        <v/>
      </c>
      <c r="K3194" s="256" t="n"/>
      <c r="L3194" s="256" t="n"/>
      <c r="M3194" s="256" t="n"/>
      <c r="N3194" s="256" t="n"/>
      <c r="O3194" s="256" t="n"/>
      <c r="P3194" s="256" t="n"/>
      <c r="Q3194" s="256" t="n"/>
    </row>
    <row r="3195">
      <c r="A3195">
        <f>IF(DAY(D3195)=DAY($L$1+1),A3194+1,A3194)</f>
        <v/>
      </c>
      <c r="B3195" s="1">
        <f>IF(DAY(D3195)=DAY($L$1+1),1,B3194+1)</f>
        <v/>
      </c>
      <c r="C3195" s="1">
        <f>IF(DAY(D3195)=DAY($L$1+1),1,C3194+1)</f>
        <v/>
      </c>
      <c r="D3195" s="2">
        <f>D3194+1</f>
        <v/>
      </c>
      <c r="E3195" s="8">
        <f>IF(DAY(D3195)=DAY($L$1+1),TRUNC((#REF!),8),E3194)</f>
        <v/>
      </c>
      <c r="F3195" s="49">
        <f>TRUNC(((1+VLOOKUP(A3195,IPCA!$A$2:$C$140,3,0)))^(C3195/(EDATE(D3195-C3195,1)-(D3195-C3195))),8)</f>
        <v/>
      </c>
      <c r="G3195" s="44">
        <f>TRUNC((E3195*F3195),8)</f>
        <v/>
      </c>
      <c r="H3195" s="44">
        <f>ROUND(((1+$H$4)^(30/360))^(C3195/(EDATE(D3195-B3195,1)-(D3195-B3195))),9)</f>
        <v/>
      </c>
      <c r="I3195" s="44">
        <f>TRUNC((G3195*H3195-G3195),8)</f>
        <v/>
      </c>
      <c r="J3195" s="49">
        <f>G3195+I3195</f>
        <v/>
      </c>
      <c r="K3195" s="256" t="n"/>
      <c r="L3195" s="256" t="n"/>
      <c r="M3195" s="256" t="n"/>
      <c r="N3195" s="256" t="n"/>
      <c r="O3195" s="256" t="n"/>
      <c r="P3195" s="256" t="n"/>
      <c r="Q3195" s="256" t="n"/>
    </row>
    <row r="3196">
      <c r="A3196">
        <f>IF(DAY(D3196)=DAY($L$1+1),A3195+1,A3195)</f>
        <v/>
      </c>
      <c r="B3196" s="46">
        <f>IF(DAY(D3196)=DAY($L$1+1),1,B3195+1)</f>
        <v/>
      </c>
      <c r="C3196" s="46">
        <f>IF(DAY(D3196)=DAY($L$1+1),1,C3195+1)</f>
        <v/>
      </c>
      <c r="D3196" s="2">
        <f>D3195+1</f>
        <v/>
      </c>
      <c r="E3196" s="8">
        <f>IF(DAY(D3196)=DAY($L$1+1),TRUNC((#REF!),8),E3195)</f>
        <v/>
      </c>
      <c r="F3196" s="49">
        <f>TRUNC(((1+VLOOKUP(A3196,IPCA!$A$2:$C$140,3,0)))^(C3196/(EDATE(D3196-C3196,1)-(D3196-C3196))),8)</f>
        <v/>
      </c>
      <c r="G3196" s="44">
        <f>TRUNC((E3196*F3196),8)</f>
        <v/>
      </c>
      <c r="H3196" s="44">
        <f>ROUND(((1+$H$4)^(30/360))^(C3196/(EDATE(D3196-B3196,1)-(D3196-B3196))),9)</f>
        <v/>
      </c>
      <c r="I3196" s="44">
        <f>TRUNC((G3196*H3196-G3196),8)</f>
        <v/>
      </c>
      <c r="J3196" s="49">
        <f>G3196+I3196</f>
        <v/>
      </c>
      <c r="K3196" s="256" t="n"/>
      <c r="L3196" s="256" t="n"/>
      <c r="M3196" s="256" t="n"/>
      <c r="N3196" s="256" t="n"/>
      <c r="O3196" s="256" t="n"/>
      <c r="P3196" s="256" t="n"/>
      <c r="Q3196" s="256" t="n"/>
    </row>
    <row r="3197">
      <c r="A3197">
        <f>IF(DAY(D3197)=DAY($L$1+1),A3196+1,A3196)</f>
        <v/>
      </c>
      <c r="B3197" s="1">
        <f>IF(DAY(D3197)=DAY($L$1+1),1,B3196+1)</f>
        <v/>
      </c>
      <c r="C3197" s="1">
        <f>IF(DAY(D3197)=DAY($L$1+1),1,C3196+1)</f>
        <v/>
      </c>
      <c r="D3197" s="2">
        <f>D3196+1</f>
        <v/>
      </c>
      <c r="E3197" s="8">
        <f>IF(DAY(D3197)=DAY($L$1+1),TRUNC((#REF!),8),E3196)</f>
        <v/>
      </c>
      <c r="F3197" s="49">
        <f>TRUNC(((1+VLOOKUP(A3197,IPCA!$A$2:$C$140,3,0)))^(C3197/(EDATE(D3197-C3197,1)-(D3197-C3197))),8)</f>
        <v/>
      </c>
      <c r="G3197" s="44">
        <f>TRUNC((E3197*F3197),8)</f>
        <v/>
      </c>
      <c r="H3197" s="44">
        <f>ROUND(((1+$H$4)^(30/360))^(C3197/(EDATE(D3197-B3197,1)-(D3197-B3197))),9)</f>
        <v/>
      </c>
      <c r="I3197" s="44">
        <f>TRUNC((G3197*H3197-G3197),8)</f>
        <v/>
      </c>
      <c r="J3197" s="49">
        <f>G3197+I3197</f>
        <v/>
      </c>
      <c r="K3197" s="256" t="n"/>
      <c r="L3197" s="256" t="n"/>
      <c r="M3197" s="256" t="n"/>
      <c r="N3197" s="256" t="n"/>
      <c r="O3197" s="256" t="n"/>
      <c r="P3197" s="256" t="n"/>
      <c r="Q3197" s="256" t="n"/>
    </row>
    <row r="3198">
      <c r="A3198">
        <f>IF(DAY(D3198)=DAY($L$1+1),A3197+1,A3197)</f>
        <v/>
      </c>
      <c r="B3198" s="46">
        <f>IF(DAY(D3198)=DAY($L$1+1),1,B3197+1)</f>
        <v/>
      </c>
      <c r="C3198" s="46">
        <f>IF(DAY(D3198)=DAY($L$1+1),1,C3197+1)</f>
        <v/>
      </c>
      <c r="D3198" s="2">
        <f>D3197+1</f>
        <v/>
      </c>
      <c r="E3198" s="8">
        <f>IF(DAY(D3198)=DAY($L$1+1),TRUNC((#REF!),8),E3197)</f>
        <v/>
      </c>
      <c r="F3198" s="49">
        <f>TRUNC(((1+VLOOKUP(A3198,IPCA!$A$2:$C$140,3,0)))^(C3198/(EDATE(D3198-C3198,1)-(D3198-C3198))),8)</f>
        <v/>
      </c>
      <c r="G3198" s="44">
        <f>TRUNC((E3198*F3198),8)</f>
        <v/>
      </c>
      <c r="H3198" s="44">
        <f>ROUND(((1+$H$4)^(30/360))^(C3198/(EDATE(D3198-B3198,1)-(D3198-B3198))),9)</f>
        <v/>
      </c>
      <c r="I3198" s="44">
        <f>TRUNC((G3198*H3198-G3198),8)</f>
        <v/>
      </c>
      <c r="J3198" s="49">
        <f>G3198+I3198</f>
        <v/>
      </c>
      <c r="K3198" s="256" t="n"/>
      <c r="L3198" s="256" t="n"/>
      <c r="M3198" s="256" t="n"/>
      <c r="N3198" s="256" t="n"/>
      <c r="O3198" s="256" t="n"/>
      <c r="P3198" s="256" t="n"/>
      <c r="Q3198" s="256" t="n"/>
    </row>
    <row r="3199">
      <c r="A3199">
        <f>IF(DAY(D3199)=DAY($L$1+1),A3198+1,A3198)</f>
        <v/>
      </c>
      <c r="B3199" s="1">
        <f>IF(DAY(D3199)=DAY($L$1+1),1,B3198+1)</f>
        <v/>
      </c>
      <c r="C3199" s="1">
        <f>IF(DAY(D3199)=DAY($L$1+1),1,C3198+1)</f>
        <v/>
      </c>
      <c r="D3199" s="2">
        <f>D3198+1</f>
        <v/>
      </c>
      <c r="E3199" s="8">
        <f>IF(DAY(D3199)=DAY($L$1+1),TRUNC((N3198),8),E3198)</f>
        <v/>
      </c>
      <c r="F3199" s="49">
        <f>TRUNC(((1+VLOOKUP(A3199,IPCA!$A$2:$C$140,3,0)))^(C3199/(EDATE(D3199-C3199,1)-(D3199-C3199))),8)</f>
        <v/>
      </c>
      <c r="G3199" s="44">
        <f>TRUNC((E3199*F3199),8)</f>
        <v/>
      </c>
      <c r="H3199" s="44">
        <f>ROUND(((1+$H$4)^(30/360))^(C3199/(EDATE(D3199-B3199,1)-(D3199-B3199))),9)</f>
        <v/>
      </c>
      <c r="I3199" s="44">
        <f>TRUNC((G3199*H3199-G3199),8)</f>
        <v/>
      </c>
      <c r="J3199" s="49">
        <f>G3199+I3199</f>
        <v/>
      </c>
      <c r="K3199" s="256" t="n"/>
      <c r="L3199" s="256" t="n"/>
      <c r="M3199" s="256" t="n"/>
      <c r="N3199" s="256" t="n"/>
      <c r="O3199" s="256" t="n"/>
      <c r="P3199" s="256" t="n"/>
      <c r="Q3199" s="256" t="n"/>
    </row>
    <row r="3200">
      <c r="A3200">
        <f>IF(DAY(D3200)=DAY($L$1+1),A3199+1,A3199)</f>
        <v/>
      </c>
      <c r="B3200" s="46">
        <f>IF(DAY(D3200)=DAY($L$1+1),1,B3199+1)</f>
        <v/>
      </c>
      <c r="C3200" s="46">
        <f>IF(DAY(D3200)=DAY($L$1+1),1,C3199+1)</f>
        <v/>
      </c>
      <c r="D3200" s="2">
        <f>D3199+1</f>
        <v/>
      </c>
      <c r="E3200" s="8">
        <f>IF(DAY(D3200)=DAY($L$1+1),TRUNC((N3199),8),E3199)</f>
        <v/>
      </c>
      <c r="F3200" s="49">
        <f>TRUNC(((1+VLOOKUP(A3200,IPCA!$A$2:$C$140,3,0)))^(C3200/(EDATE(D3200-C3200,1)-(D3200-C3200))),8)</f>
        <v/>
      </c>
      <c r="G3200" s="44">
        <f>TRUNC((E3200*F3200),8)</f>
        <v/>
      </c>
      <c r="H3200" s="44">
        <f>ROUND(((1+$H$4)^(30/360))^(C3200/(EDATE(D3200-B3200,1)-(D3200-B3200))),9)</f>
        <v/>
      </c>
      <c r="I3200" s="44">
        <f>TRUNC((G3200*H3200-G3200),8)</f>
        <v/>
      </c>
      <c r="J3200" s="49">
        <f>G3200+I3200</f>
        <v/>
      </c>
      <c r="K3200" s="256" t="n"/>
      <c r="L3200" s="256" t="n"/>
      <c r="M3200" s="256" t="n"/>
      <c r="N3200" s="256" t="n"/>
      <c r="O3200" s="256" t="n"/>
      <c r="P3200" s="256" t="n"/>
      <c r="Q3200" s="256" t="n"/>
    </row>
    <row r="3201">
      <c r="A3201">
        <f>IF(DAY(D3201)=DAY($L$1+1),A3200+1,A3200)</f>
        <v/>
      </c>
      <c r="B3201" s="1">
        <f>IF(DAY(D3201)=DAY($L$1+1),1,B3200+1)</f>
        <v/>
      </c>
      <c r="C3201" s="1">
        <f>IF(DAY(D3201)=DAY($L$1+1),1,C3200+1)</f>
        <v/>
      </c>
      <c r="D3201" s="2">
        <f>D3200+1</f>
        <v/>
      </c>
      <c r="E3201" s="8">
        <f>IF(DAY(D3201)=DAY($L$1+1),TRUNC((N3200),8),E3200)</f>
        <v/>
      </c>
      <c r="F3201" s="49">
        <f>TRUNC(((1+VLOOKUP(A3201,IPCA!$A$2:$C$140,3,0)))^(C3201/(EDATE(D3201-C3201,1)-(D3201-C3201))),8)</f>
        <v/>
      </c>
      <c r="G3201" s="44">
        <f>TRUNC((E3201*F3201),8)</f>
        <v/>
      </c>
      <c r="H3201" s="44">
        <f>ROUND(((1+$H$4)^(30/360))^(C3201/(EDATE(D3201-B3201,1)-(D3201-B3201))),9)</f>
        <v/>
      </c>
      <c r="I3201" s="44">
        <f>TRUNC((G3201*H3201-G3201),8)</f>
        <v/>
      </c>
      <c r="J3201" s="49">
        <f>G3201+I3201</f>
        <v/>
      </c>
      <c r="K3201" s="256" t="n"/>
      <c r="L3201" s="256" t="n"/>
      <c r="M3201" s="256" t="n"/>
      <c r="N3201" s="256" t="n"/>
      <c r="O3201" s="256" t="n"/>
      <c r="P3201" s="256" t="n"/>
      <c r="Q3201" s="256" t="n"/>
    </row>
    <row r="3202">
      <c r="A3202">
        <f>IF(DAY(D3202)=DAY($L$1+1),A3201+1,A3201)</f>
        <v/>
      </c>
      <c r="B3202" s="46">
        <f>IF(DAY(D3202)=DAY($L$1+1),1,B3201+1)</f>
        <v/>
      </c>
      <c r="C3202" s="46">
        <f>IF(DAY(D3202)=DAY($L$1+1),1,C3201+1)</f>
        <v/>
      </c>
      <c r="D3202" s="2">
        <f>D3201+1</f>
        <v/>
      </c>
      <c r="E3202" s="8">
        <f>IF(DAY(D3202)=DAY($L$1+1),TRUNC((N3201),8),E3201)</f>
        <v/>
      </c>
      <c r="F3202" s="49">
        <f>TRUNC(((1+VLOOKUP(A3202,IPCA!$A$2:$C$140,3,0)))^(C3202/(EDATE(D3202-C3202,1)-(D3202-C3202))),8)</f>
        <v/>
      </c>
      <c r="G3202" s="44">
        <f>TRUNC((E3202*F3202),8)</f>
        <v/>
      </c>
      <c r="H3202" s="44">
        <f>ROUND(((1+$H$4)^(30/360))^(C3202/(EDATE(D3202-B3202,1)-(D3202-B3202))),9)</f>
        <v/>
      </c>
      <c r="I3202" s="44">
        <f>TRUNC((G3202*H3202-G3202),8)</f>
        <v/>
      </c>
      <c r="J3202" s="49">
        <f>G3202+I3202</f>
        <v/>
      </c>
      <c r="K3202" s="256" t="n"/>
      <c r="L3202" s="256" t="n"/>
      <c r="M3202" s="256" t="n"/>
      <c r="N3202" s="256" t="n"/>
      <c r="O3202" s="256" t="n"/>
      <c r="P3202" s="256" t="n"/>
      <c r="Q3202" s="256" t="n"/>
    </row>
    <row r="3203">
      <c r="A3203">
        <f>IF(DAY(D3203)=DAY($L$1+1),A3202+1,A3202)</f>
        <v/>
      </c>
      <c r="B3203" s="1">
        <f>IF(DAY(D3203)=DAY($L$1+1),1,B3202+1)</f>
        <v/>
      </c>
      <c r="C3203" s="1">
        <f>IF(DAY(D3203)=DAY($L$1+1),1,C3202+1)</f>
        <v/>
      </c>
      <c r="D3203" s="2">
        <f>D3202+1</f>
        <v/>
      </c>
      <c r="E3203" s="8">
        <f>IF(DAY(D3203)=DAY($L$1+1),TRUNC((N3202),8),E3202)</f>
        <v/>
      </c>
      <c r="F3203" s="49">
        <f>TRUNC(((1+VLOOKUP(A3203,IPCA!$A$2:$C$140,3,0)))^(C3203/(EDATE(D3203-C3203,1)-(D3203-C3203))),8)</f>
        <v/>
      </c>
      <c r="G3203" s="44">
        <f>TRUNC((E3203*F3203),8)</f>
        <v/>
      </c>
      <c r="H3203" s="44">
        <f>ROUND(((1+$H$4)^(30/360))^(C3203/(EDATE(D3203-B3203,1)-(D3203-B3203))),9)</f>
        <v/>
      </c>
      <c r="I3203" s="44">
        <f>TRUNC((G3203*H3203-G3203),8)</f>
        <v/>
      </c>
      <c r="J3203" s="49">
        <f>G3203+I3203</f>
        <v/>
      </c>
      <c r="K3203" s="256" t="n"/>
      <c r="L3203" s="256" t="n"/>
      <c r="M3203" s="256" t="n"/>
      <c r="N3203" s="256" t="n"/>
      <c r="O3203" s="256" t="n"/>
      <c r="P3203" s="256" t="n"/>
      <c r="Q3203" s="256" t="n"/>
    </row>
    <row r="3204">
      <c r="A3204">
        <f>IF(DAY(D3204)=DAY($L$1+1),A3203+1,A3203)</f>
        <v/>
      </c>
      <c r="B3204" s="46">
        <f>IF(DAY(D3204)=DAY($L$1+1),1,B3203+1)</f>
        <v/>
      </c>
      <c r="C3204" s="46">
        <f>IF(DAY(D3204)=DAY($L$1+1),1,C3203+1)</f>
        <v/>
      </c>
      <c r="D3204" s="2">
        <f>D3203+1</f>
        <v/>
      </c>
      <c r="E3204" s="8">
        <f>IF(DAY(D3204)=DAY($L$1+1),TRUNC((N3203),8),E3203)</f>
        <v/>
      </c>
      <c r="F3204" s="49">
        <f>TRUNC(((1+VLOOKUP(A3204,IPCA!$A$2:$C$140,3,0)))^(C3204/(EDATE(D3204-C3204,1)-(D3204-C3204))),8)</f>
        <v/>
      </c>
      <c r="G3204" s="44">
        <f>TRUNC((E3204*F3204),8)</f>
        <v/>
      </c>
      <c r="H3204" s="44">
        <f>ROUND(((1+$H$4)^(30/360))^(C3204/(EDATE(D3204-B3204,1)-(D3204-B3204))),9)</f>
        <v/>
      </c>
      <c r="I3204" s="44">
        <f>TRUNC((G3204*H3204-G3204),8)</f>
        <v/>
      </c>
      <c r="J3204" s="49">
        <f>G3204+I3204</f>
        <v/>
      </c>
      <c r="K3204" s="256" t="n"/>
      <c r="L3204" s="256" t="n"/>
      <c r="M3204" s="256" t="n"/>
      <c r="N3204" s="256" t="n"/>
      <c r="O3204" s="256" t="n"/>
      <c r="P3204" s="256" t="n"/>
      <c r="Q3204" s="256" t="n"/>
    </row>
    <row r="3205">
      <c r="A3205">
        <f>IF(DAY(D3205)=DAY($L$1+1),A3204+1,A3204)</f>
        <v/>
      </c>
      <c r="B3205" s="1">
        <f>IF(DAY(D3205)=DAY($L$1+1),1,B3204+1)</f>
        <v/>
      </c>
      <c r="C3205" s="1">
        <f>IF(DAY(D3205)=DAY($L$1+1),1,C3204+1)</f>
        <v/>
      </c>
      <c r="D3205" s="2">
        <f>D3204+1</f>
        <v/>
      </c>
      <c r="E3205" s="8">
        <f>IF(DAY(D3205)=DAY($L$1+1),TRUNC((N3204),8),E3204)</f>
        <v/>
      </c>
      <c r="F3205" s="49">
        <f>TRUNC(((1+VLOOKUP(A3205,IPCA!$A$2:$C$140,3,0)))^(C3205/(EDATE(D3205-C3205,1)-(D3205-C3205))),8)</f>
        <v/>
      </c>
      <c r="G3205" s="44">
        <f>TRUNC((E3205*F3205),8)</f>
        <v/>
      </c>
      <c r="H3205" s="44">
        <f>ROUND(((1+$H$4)^(30/360))^(C3205/(EDATE(D3205-B3205,1)-(D3205-B3205))),9)</f>
        <v/>
      </c>
      <c r="I3205" s="44">
        <f>TRUNC((G3205*H3205-G3205),8)</f>
        <v/>
      </c>
      <c r="J3205" s="49">
        <f>G3205+I3205</f>
        <v/>
      </c>
      <c r="K3205" s="256" t="n"/>
      <c r="L3205" s="256" t="n"/>
      <c r="M3205" s="256" t="n"/>
      <c r="N3205" s="256" t="n"/>
      <c r="O3205" s="256" t="n"/>
      <c r="P3205" s="256" t="n"/>
      <c r="Q3205" s="256" t="n"/>
    </row>
    <row r="3206">
      <c r="A3206">
        <f>IF(DAY(D3206)=DAY($L$1+1),A3205+1,A3205)</f>
        <v/>
      </c>
      <c r="B3206" s="46">
        <f>IF(DAY(D3206)=DAY($L$1+1),1,B3205+1)</f>
        <v/>
      </c>
      <c r="C3206" s="46">
        <f>IF(DAY(D3206)=DAY($L$1+1),1,C3205+1)</f>
        <v/>
      </c>
      <c r="D3206" s="2">
        <f>D3205+1</f>
        <v/>
      </c>
      <c r="E3206" s="8">
        <f>IF(DAY(D3206)=DAY($L$1+1),TRUNC((N3205),8),E3205)</f>
        <v/>
      </c>
      <c r="F3206" s="49">
        <f>TRUNC(((1+VLOOKUP(A3206,IPCA!$A$2:$C$140,3,0)))^(C3206/(EDATE(D3206-C3206,1)-(D3206-C3206))),8)</f>
        <v/>
      </c>
      <c r="G3206" s="44">
        <f>TRUNC((E3206*F3206),8)</f>
        <v/>
      </c>
      <c r="H3206" s="44">
        <f>ROUND(((1+$H$4)^(30/360))^(C3206/(EDATE(D3206-B3206,1)-(D3206-B3206))),9)</f>
        <v/>
      </c>
      <c r="I3206" s="44">
        <f>TRUNC((G3206*H3206-G3206),8)</f>
        <v/>
      </c>
      <c r="J3206" s="49">
        <f>G3206+I3206</f>
        <v/>
      </c>
      <c r="K3206" s="256" t="n"/>
      <c r="L3206" s="256" t="n"/>
      <c r="M3206" s="256" t="n"/>
      <c r="N3206" s="256" t="n"/>
      <c r="O3206" s="256" t="n"/>
      <c r="P3206" s="256" t="n"/>
      <c r="Q3206" s="256" t="n"/>
    </row>
    <row r="3207">
      <c r="A3207">
        <f>IF(DAY(D3207)=DAY($L$1+1),A3206+1,A3206)</f>
        <v/>
      </c>
      <c r="B3207" s="1">
        <f>IF(DAY(D3207)=DAY($L$1+1),1,B3206+1)</f>
        <v/>
      </c>
      <c r="C3207" s="1">
        <f>IF(DAY(D3207)=DAY($L$1+1),1,C3206+1)</f>
        <v/>
      </c>
      <c r="D3207" s="2">
        <f>D3206+1</f>
        <v/>
      </c>
      <c r="E3207" s="8">
        <f>IF(DAY(D3207)=DAY($L$1+1),TRUNC((N3206),8),E3206)</f>
        <v/>
      </c>
      <c r="F3207" s="49">
        <f>TRUNC(((1+VLOOKUP(A3207,IPCA!$A$2:$C$140,3,0)))^(C3207/(EDATE(D3207-C3207,1)-(D3207-C3207))),8)</f>
        <v/>
      </c>
      <c r="G3207" s="44">
        <f>TRUNC((E3207*F3207),8)</f>
        <v/>
      </c>
      <c r="H3207" s="44">
        <f>ROUND(((1+$H$4)^(30/360))^(C3207/(EDATE(D3207-B3207,1)-(D3207-B3207))),9)</f>
        <v/>
      </c>
      <c r="I3207" s="44">
        <f>TRUNC((G3207*H3207-G3207),8)</f>
        <v/>
      </c>
      <c r="J3207" s="49">
        <f>G3207+I3207</f>
        <v/>
      </c>
      <c r="K3207" s="256" t="n"/>
      <c r="L3207" s="256" t="n"/>
      <c r="M3207" s="256" t="n"/>
      <c r="N3207" s="256" t="n"/>
      <c r="O3207" s="256" t="n"/>
      <c r="P3207" s="256" t="n"/>
      <c r="Q3207" s="256" t="n"/>
    </row>
    <row r="3208">
      <c r="A3208">
        <f>IF(DAY(D3208)=DAY($L$1+1),A3207+1,A3207)</f>
        <v/>
      </c>
      <c r="B3208" s="46">
        <f>IF(DAY(D3208)=DAY($L$1+1),1,B3207+1)</f>
        <v/>
      </c>
      <c r="C3208" s="46">
        <f>IF(DAY(D3208)=DAY($L$1+1),1,C3207+1)</f>
        <v/>
      </c>
      <c r="D3208" s="2">
        <f>D3207+1</f>
        <v/>
      </c>
      <c r="E3208" s="8">
        <f>IF(DAY(D3208)=DAY($L$1+1),TRUNC((N3207),8),E3207)</f>
        <v/>
      </c>
      <c r="F3208" s="49">
        <f>TRUNC(((1+VLOOKUP(A3208,IPCA!$A$2:$C$140,3,0)))^(C3208/(EDATE(D3208-C3208,1)-(D3208-C3208))),8)</f>
        <v/>
      </c>
      <c r="G3208" s="44">
        <f>TRUNC((E3208*F3208),8)</f>
        <v/>
      </c>
      <c r="H3208" s="44">
        <f>ROUND(((1+$H$4)^(30/360))^(C3208/(EDATE(D3208-B3208,1)-(D3208-B3208))),9)</f>
        <v/>
      </c>
      <c r="I3208" s="44">
        <f>TRUNC((G3208*H3208-G3208),8)</f>
        <v/>
      </c>
      <c r="J3208" s="49">
        <f>G3208+I3208</f>
        <v/>
      </c>
      <c r="K3208" s="256" t="n"/>
      <c r="L3208" s="256" t="n"/>
      <c r="M3208" s="256" t="n"/>
      <c r="N3208" s="256" t="n"/>
      <c r="O3208" s="256" t="n"/>
      <c r="P3208" s="256" t="n"/>
      <c r="Q3208" s="256" t="n"/>
    </row>
    <row r="3209">
      <c r="A3209">
        <f>IF(DAY(D3209)=DAY($L$1+1),A3208+1,A3208)</f>
        <v/>
      </c>
      <c r="B3209" s="1">
        <f>IF(DAY(D3209)=DAY($L$1+1),1,B3208+1)</f>
        <v/>
      </c>
      <c r="C3209" s="46">
        <f>IF(DAY(D3209)=DAY($L$1+1),1,C3208+1)</f>
        <v/>
      </c>
      <c r="D3209" s="2">
        <f>D3208+1</f>
        <v/>
      </c>
      <c r="E3209" s="8">
        <f>IF(DAY(D3209)=DAY($L$1+1),TRUNC((N3208),8),E3208)</f>
        <v/>
      </c>
      <c r="F3209" s="49">
        <f>TRUNC(((1+VLOOKUP(A3209,IPCA!$A$2:$C$140,3,0)))^(C3209/(EDATE(D3209-C3209,1)-(D3209-C3209))),8)</f>
        <v/>
      </c>
      <c r="G3209" s="44">
        <f>TRUNC((E3209*F3209),8)</f>
        <v/>
      </c>
      <c r="H3209" s="44">
        <f>ROUND(((1+$H$4)^(30/360))^(C3209/(EDATE(D3209-B3209,1)-(D3209-B3209))),9)</f>
        <v/>
      </c>
      <c r="I3209" s="44">
        <f>TRUNC((G3209*H3209-G3209),8)</f>
        <v/>
      </c>
      <c r="J3209" s="49">
        <f>G3209+I3209</f>
        <v/>
      </c>
      <c r="K3209" s="256" t="n"/>
      <c r="L3209" s="256" t="n"/>
      <c r="M3209" s="256" t="n"/>
      <c r="N3209" s="256" t="n"/>
      <c r="O3209" s="256" t="n"/>
      <c r="P3209" s="256" t="n"/>
      <c r="Q3209" s="256" t="n"/>
    </row>
    <row r="3210">
      <c r="A3210">
        <f>IF(DAY(D3210)=DAY($L$1+1),A3209+1,A3209)</f>
        <v/>
      </c>
      <c r="B3210" s="46">
        <f>IF(DAY(D3210)=DAY($L$1+1),1,B3209+1)</f>
        <v/>
      </c>
      <c r="C3210" s="46">
        <f>IF(DAY(D3210)=DAY($L$1+1),1,C3209+1)</f>
        <v/>
      </c>
      <c r="D3210" s="2">
        <f>D3209+1</f>
        <v/>
      </c>
      <c r="E3210" s="8">
        <f>IF(DAY(D3210)=DAY($L$1+1),TRUNC((N3209),8),E3209)</f>
        <v/>
      </c>
      <c r="F3210" s="49">
        <f>TRUNC(((1+VLOOKUP(A3210,IPCA!$A$2:$C$140,3,0)))^(C3210/(EDATE(D3210-C3210,1)-(D3210-C3210))),8)</f>
        <v/>
      </c>
      <c r="G3210" s="44">
        <f>TRUNC((E3210*F3210),8)</f>
        <v/>
      </c>
      <c r="H3210" s="44">
        <f>ROUND(((1+$H$4)^(30/360))^(C3210/(EDATE(D3210-B3210,1)-(D3210-B3210))),9)</f>
        <v/>
      </c>
      <c r="I3210" s="44">
        <f>TRUNC((G3210*H3210-G3210),8)</f>
        <v/>
      </c>
      <c r="J3210" s="49">
        <f>G3210+I3210</f>
        <v/>
      </c>
      <c r="K3210" s="256" t="n"/>
      <c r="L3210" s="256" t="n"/>
      <c r="M3210" s="256" t="n"/>
      <c r="N3210" s="256" t="n"/>
      <c r="O3210" s="256" t="n"/>
      <c r="P3210" s="256" t="n"/>
      <c r="Q3210" s="256" t="n"/>
    </row>
    <row r="3211">
      <c r="A3211">
        <f>IF(DAY(D3211)=DAY($L$1+1),A3210+1,A3210)</f>
        <v/>
      </c>
      <c r="B3211" s="1">
        <f>IF(DAY(D3211)=DAY($L$1+1),1,B3210+1)</f>
        <v/>
      </c>
      <c r="C3211" s="46">
        <f>IF(DAY(D3211)=DAY($L$1+1),1,C3210+1)</f>
        <v/>
      </c>
      <c r="D3211" s="2">
        <f>D3210+1</f>
        <v/>
      </c>
      <c r="E3211" s="8">
        <f>IF(DAY(D3211)=DAY($L$1+1),TRUNC((N3210),8),E3210)</f>
        <v/>
      </c>
      <c r="F3211" s="49">
        <f>TRUNC(((1+VLOOKUP(A3211,IPCA!$A$2:$C$140,3,0)))^(C3211/(EDATE(D3211-C3211,1)-(D3211-C3211))),8)</f>
        <v/>
      </c>
      <c r="G3211" s="44">
        <f>TRUNC((E3211*F3211),8)</f>
        <v/>
      </c>
      <c r="H3211" s="44">
        <f>ROUND(((1+$H$4)^(30/360))^(C3211/(EDATE(D3211-B3211,1)-(D3211-B3211))),9)</f>
        <v/>
      </c>
      <c r="I3211" s="44">
        <f>TRUNC((G3211*H3211-G3211),8)</f>
        <v/>
      </c>
      <c r="J3211" s="49">
        <f>G3211+I3211</f>
        <v/>
      </c>
      <c r="K3211" s="256" t="n"/>
      <c r="L3211" s="256" t="n"/>
      <c r="M3211" s="256" t="n"/>
      <c r="N3211" s="256" t="n"/>
      <c r="O3211" s="256" t="n"/>
      <c r="P3211" s="256" t="n"/>
      <c r="Q3211" s="256" t="n"/>
    </row>
    <row r="3212">
      <c r="A3212">
        <f>IF(DAY(D3212)=DAY($L$1+1),A3211+1,A3211)</f>
        <v/>
      </c>
      <c r="B3212" s="1">
        <f>IF(DAY(D3212)=DAY($L$1+1),1,B3211+1)</f>
        <v/>
      </c>
      <c r="C3212" s="46">
        <f>IF(DAY(D3212)=DAY($L$1+1),1,C3211+1)</f>
        <v/>
      </c>
      <c r="D3212" s="2">
        <f>D3211+1</f>
        <v/>
      </c>
      <c r="E3212" s="8">
        <f>IF(DAY(D3212)=DAY($L$1+1),TRUNC((N3211),8),E3211)</f>
        <v/>
      </c>
      <c r="F3212" s="49">
        <f>TRUNC(((1+VLOOKUP(A3212,IPCA!$A$2:$C$140,3,0)))^(C3212/(EDATE(D3212-C3212,1)-(D3212-C3212))),8)</f>
        <v/>
      </c>
      <c r="G3212" s="44">
        <f>TRUNC((E3212*F3212),8)</f>
        <v/>
      </c>
      <c r="H3212" s="44">
        <f>ROUND(((1+$H$4)^(30/360))^(C3212/(EDATE(D3212-B3212,1)-(D3212-B3212))),9)</f>
        <v/>
      </c>
      <c r="I3212" s="44">
        <f>TRUNC((G3212*H3212-G3212),8)</f>
        <v/>
      </c>
      <c r="J3212" s="49">
        <f>G3212+I3212</f>
        <v/>
      </c>
      <c r="K3212" s="256" t="n"/>
      <c r="L3212" s="256" t="n"/>
      <c r="M3212" s="256" t="n"/>
      <c r="N3212" s="256" t="n"/>
      <c r="O3212" s="256" t="n"/>
      <c r="P3212" s="256" t="n"/>
      <c r="Q3212" s="256" t="n"/>
    </row>
    <row r="3213">
      <c r="A3213">
        <f>IF(DAY(D3213)=DAY($L$1+1),A3212+1,A3212)</f>
        <v/>
      </c>
      <c r="B3213" s="1">
        <f>IF(DAY(D3213)=DAY($L$1+1),1,B3212+1)</f>
        <v/>
      </c>
      <c r="C3213" s="46">
        <f>IF(DAY(D3213)=DAY($L$1+1),1,C3212+1)</f>
        <v/>
      </c>
      <c r="D3213" s="2">
        <f>D3212+1</f>
        <v/>
      </c>
      <c r="E3213" s="8">
        <f>IF(DAY(D3213)=DAY($L$1+1),TRUNC((N3212),8),E3212)</f>
        <v/>
      </c>
      <c r="F3213" s="49">
        <f>TRUNC(((1+VLOOKUP(A3213,IPCA!$A$2:$C$140,3,0)))^(C3213/(EDATE(D3213-C3213,1)-(D3213-C3213))),8)</f>
        <v/>
      </c>
      <c r="G3213" s="44">
        <f>TRUNC((E3213*F3213),8)</f>
        <v/>
      </c>
      <c r="H3213" s="44">
        <f>ROUND(((1+$H$4)^(30/360))^(C3213/(EDATE(D3213-B3213,1)-(D3213-B3213))),9)</f>
        <v/>
      </c>
      <c r="I3213" s="44">
        <f>TRUNC((G3213*H3213-G3213),8)</f>
        <v/>
      </c>
      <c r="J3213" s="49">
        <f>G3213+I3213</f>
        <v/>
      </c>
      <c r="K3213" s="256" t="inlineStr">
        <is>
          <t>Cri Integralizado</t>
        </is>
      </c>
      <c r="L3213" s="270">
        <f>L3182</f>
        <v/>
      </c>
      <c r="M3213" s="256" t="n"/>
      <c r="N3213" s="256" t="n"/>
      <c r="O3213" s="256" t="n"/>
      <c r="P3213" s="256" t="n"/>
      <c r="Q3213" s="256" t="n"/>
    </row>
    <row r="3214">
      <c r="A3214">
        <f>IF(DAY(D3214)=DAY($L$1+1),A3213+1,A3213)</f>
        <v/>
      </c>
      <c r="B3214" s="1">
        <f>IF(DAY(D3214)=DAY($L$1+1),1,B3213+1)</f>
        <v/>
      </c>
      <c r="C3214" s="46">
        <f>IF(DAY(D3214)=DAY($L$1+1),1,C3213+1)</f>
        <v/>
      </c>
      <c r="D3214" s="2">
        <f>D3213+1</f>
        <v/>
      </c>
      <c r="E3214" s="8">
        <f>IF(DAY(D3214)=DAY($L$1+1),TRUNC((N3213),8),E3213)</f>
        <v/>
      </c>
      <c r="F3214" s="49">
        <f>TRUNC(((1+VLOOKUP(A3214,IPCA!$A$2:$C$140,3,0)))^(C3214/(EDATE(D3214-C3214,1)-(D3214-C3214))),8)</f>
        <v/>
      </c>
      <c r="G3214" s="44">
        <f>TRUNC((E3214*F3214),8)</f>
        <v/>
      </c>
      <c r="H3214" s="44">
        <f>ROUND(((1+$H$4)^(30/360))^(C3214/(EDATE(D3214-B3214,1)-(D3214-B3214))),9)</f>
        <v/>
      </c>
      <c r="I3214" s="44">
        <f>TRUNC((G3214*H3214-G3214),8)</f>
        <v/>
      </c>
      <c r="J3214" s="49">
        <f>G3214+I3214</f>
        <v/>
      </c>
      <c r="K3214" s="137" t="inlineStr">
        <is>
          <t>JUROS</t>
        </is>
      </c>
      <c r="L3214" s="118" t="inlineStr">
        <is>
          <t>AMORTIZAÇÃO</t>
        </is>
      </c>
      <c r="M3214" s="118" t="inlineStr">
        <is>
          <t>AMEX</t>
        </is>
      </c>
      <c r="N3214" s="118" t="inlineStr">
        <is>
          <t>RESIDUAL</t>
        </is>
      </c>
      <c r="O3214" s="256" t="n"/>
      <c r="P3214" s="256" t="n"/>
      <c r="Q3214" s="256" t="n"/>
    </row>
    <row r="3215">
      <c r="A3215">
        <f>IF(DAY(D3215)=DAY($L$1+1),A3214+1,A3214)</f>
        <v/>
      </c>
      <c r="B3215" s="111">
        <f>IF(DAY(D3215)=DAY($L$1+1),1,B3214+1)</f>
        <v/>
      </c>
      <c r="C3215" s="111">
        <f>IF(DAY(D3215)=DAY($L$1+1),1,C3214+1)</f>
        <v/>
      </c>
      <c r="D3215" s="112">
        <f>D3214+1</f>
        <v/>
      </c>
      <c r="E3215" s="113">
        <f>IF(DAY(D3215)=DAY($L$1+1),TRUNC((N3214),8),E3214)</f>
        <v/>
      </c>
      <c r="F3215" s="114">
        <f>TRUNC(((1+VLOOKUP(A3215,IPCA!$A$2:$C$140,3,0)))^(C3215/(EDATE(D3215-C3215,1)-(D3215-C3215))),8)</f>
        <v/>
      </c>
      <c r="G3215" s="115">
        <f>TRUNC((E3215*F3215),8)</f>
        <v/>
      </c>
      <c r="H3215" s="115">
        <f>ROUND(((1+$H$4)^(30/360))^(C3215/(EDATE(D3215-B3215,1)-(D3215-B3215))),9)</f>
        <v/>
      </c>
      <c r="I3215" s="115">
        <f>TRUNC((G3215*H3215-G3215),8)</f>
        <v/>
      </c>
      <c r="J3215" s="114">
        <f>G3215+I3215</f>
        <v/>
      </c>
      <c r="K3215" s="119">
        <f>I3215</f>
        <v/>
      </c>
      <c r="L3215" s="120">
        <f>TRUNC(G3215*VLOOKUP(D3215,'Amort TS'!$G$3:$H$140,2,0),8)</f>
        <v/>
      </c>
      <c r="M3215" s="120" t="n">
        <v>0</v>
      </c>
      <c r="N3215" s="120">
        <f>J3215-K3215-L3215-M3215</f>
        <v/>
      </c>
      <c r="O3215" s="256" t="n"/>
      <c r="P3215" s="256" t="n"/>
      <c r="Q3215" s="256" t="n"/>
    </row>
    <row r="3216">
      <c r="A3216">
        <f>IF(DAY(D3216)=DAY($L$1+1),A3215+1,A3215)</f>
        <v/>
      </c>
      <c r="B3216" s="1">
        <f>IF(DAY(D3216)=DAY($L$1+1),1,B3215+1)</f>
        <v/>
      </c>
      <c r="C3216" s="46">
        <f>IF(DAY(D3216)=DAY($L$1+1),1,C3215+1)</f>
        <v/>
      </c>
      <c r="D3216" s="2">
        <f>D3215+1</f>
        <v/>
      </c>
      <c r="E3216" s="8">
        <f>IF(DAY(D3216)=DAY($L$1+1),TRUNC((N3215),8),E3215)</f>
        <v/>
      </c>
      <c r="F3216" s="49">
        <f>TRUNC(((1+VLOOKUP(A3216,IPCA!$A$2:$C$140,3,0)))^(C3216/(EDATE(D3216-C3216,1)-(D3216-C3216))),8)</f>
        <v/>
      </c>
      <c r="G3216" s="49">
        <f>TRUNC((E3216*F3216),8)</f>
        <v/>
      </c>
      <c r="H3216" s="49">
        <f>ROUND(((1+$H$4)^(30/360))^(C3216/(EDATE(D3216-B3216,1)-(D3216-B3216))),9)</f>
        <v/>
      </c>
      <c r="I3216" s="49">
        <f>TRUNC((G3216*H3216-G3216),8)</f>
        <v/>
      </c>
      <c r="J3216" s="49">
        <f>G3216+I3216</f>
        <v/>
      </c>
      <c r="K3216" s="121">
        <f>K3215*L3213</f>
        <v/>
      </c>
      <c r="L3216" s="121">
        <f>L3215*L3213</f>
        <v/>
      </c>
      <c r="M3216" s="121">
        <f>M3215*L3213</f>
        <v/>
      </c>
      <c r="N3216" s="121">
        <f>N3215*L3213</f>
        <v/>
      </c>
      <c r="O3216" s="256" t="n"/>
      <c r="P3216" s="256" t="n"/>
      <c r="Q3216" s="256" t="n"/>
    </row>
    <row r="3217">
      <c r="A3217">
        <f>IF(DAY(D3217)=DAY($L$1+1),A3216+1,A3216)</f>
        <v/>
      </c>
      <c r="B3217" s="1">
        <f>IF(DAY(D3217)=DAY($L$1+1),1,B3216+1)</f>
        <v/>
      </c>
      <c r="C3217" s="46">
        <f>IF(DAY(D3217)=DAY($L$1+1),1,C3216+1)</f>
        <v/>
      </c>
      <c r="D3217" s="2">
        <f>D3216+1</f>
        <v/>
      </c>
      <c r="E3217" s="8">
        <f>IF(DAY(D3217)=DAY($L$1+1),TRUNC((N3216),8),E3216)</f>
        <v/>
      </c>
      <c r="F3217" s="49">
        <f>TRUNC(((1+VLOOKUP(A3217,IPCA!$A$2:$C$140,3,0)))^(C3217/(EDATE(D3217-C3217,1)-(D3217-C3217))),8)</f>
        <v/>
      </c>
      <c r="G3217" s="49">
        <f>TRUNC((E3217*F3217),8)</f>
        <v/>
      </c>
      <c r="H3217" s="49">
        <f>ROUND(((1+$H$4)^(30/360))^(C3217/(EDATE(D3217-B3217,1)-(D3217-B3217))),9)</f>
        <v/>
      </c>
      <c r="I3217" s="49">
        <f>TRUNC((G3217*H3217-G3217),8)</f>
        <v/>
      </c>
      <c r="J3217" s="49">
        <f>G3217+I3217</f>
        <v/>
      </c>
      <c r="K3217" s="256" t="n"/>
      <c r="L3217" s="256" t="n"/>
      <c r="M3217" s="256" t="n"/>
      <c r="N3217" s="256" t="n"/>
      <c r="O3217" s="256" t="n"/>
      <c r="P3217" s="256" t="n"/>
      <c r="Q3217" s="256" t="n"/>
    </row>
    <row r="3218">
      <c r="A3218">
        <f>IF(DAY(D3218)=DAY($L$1+1),A3217+1,A3217)</f>
        <v/>
      </c>
      <c r="B3218" s="1">
        <f>IF(DAY(D3218)=DAY($L$1+1),1,B3217+1)</f>
        <v/>
      </c>
      <c r="C3218" s="46">
        <f>IF(DAY(D3218)=DAY($L$1+1),1,C3217+1)</f>
        <v/>
      </c>
      <c r="D3218" s="2">
        <f>D3217+1</f>
        <v/>
      </c>
      <c r="E3218" s="8">
        <f>IF(DAY(D3218)=DAY($L$1+1),TRUNC((#REF!),8),E3217)</f>
        <v/>
      </c>
      <c r="F3218" s="49">
        <f>TRUNC(((1+VLOOKUP(A3218,IPCA!$A$2:$C$140,3,0)))^(C3218/(EDATE(D3218-C3218,1)-(D3218-C3218))),8)</f>
        <v/>
      </c>
      <c r="G3218" s="49">
        <f>TRUNC((E3218*F3218),8)</f>
        <v/>
      </c>
      <c r="H3218" s="49">
        <f>ROUND(((1+$H$4)^(30/360))^(C3218/(EDATE(D3218-B3218,1)-(D3218-B3218))),9)</f>
        <v/>
      </c>
      <c r="I3218" s="49">
        <f>TRUNC((G3218*H3218-G3218),8)</f>
        <v/>
      </c>
      <c r="J3218" s="49">
        <f>G3218+I3218</f>
        <v/>
      </c>
      <c r="K3218" s="256" t="n"/>
      <c r="L3218" s="256" t="n"/>
      <c r="M3218" s="256" t="n"/>
      <c r="N3218" s="256" t="n"/>
      <c r="O3218" s="256" t="n"/>
      <c r="P3218" s="256" t="n"/>
      <c r="Q3218" s="256" t="n"/>
    </row>
    <row r="3219">
      <c r="A3219">
        <f>IF(DAY(D3219)=DAY($L$1+1),A3218+1,A3218)</f>
        <v/>
      </c>
      <c r="B3219" s="1">
        <f>IF(DAY(D3219)=DAY($L$1+1),1,B3218+1)</f>
        <v/>
      </c>
      <c r="C3219" s="46">
        <f>IF(DAY(D3219)=DAY($L$1+1),1,C3218+1)</f>
        <v/>
      </c>
      <c r="D3219" s="2">
        <f>D3218+1</f>
        <v/>
      </c>
      <c r="E3219" s="8">
        <f>IF(DAY(D3219)=DAY($L$1+1),TRUNC((#REF!),8),E3218)</f>
        <v/>
      </c>
      <c r="F3219" s="49">
        <f>TRUNC(((1+VLOOKUP(A3219,IPCA!$A$2:$C$140,3,0)))^(C3219/(EDATE(D3219-C3219,1)-(D3219-C3219))),8)</f>
        <v/>
      </c>
      <c r="G3219" s="49">
        <f>TRUNC((E3219*F3219),8)</f>
        <v/>
      </c>
      <c r="H3219" s="49">
        <f>ROUND(((1+$H$4)^(30/360))^(C3219/(EDATE(D3219-B3219,1)-(D3219-B3219))),9)</f>
        <v/>
      </c>
      <c r="I3219" s="49">
        <f>TRUNC((G3219*H3219-G3219),8)</f>
        <v/>
      </c>
      <c r="J3219" s="49">
        <f>G3219+I3219</f>
        <v/>
      </c>
      <c r="K3219" s="256" t="n"/>
      <c r="L3219" s="256" t="n"/>
      <c r="M3219" s="256" t="n"/>
      <c r="N3219" s="256" t="n"/>
      <c r="O3219" s="256" t="n"/>
      <c r="P3219" s="256" t="n"/>
      <c r="Q3219" s="256" t="n"/>
    </row>
    <row r="3220">
      <c r="A3220">
        <f>IF(DAY(D3220)=DAY($L$1+1),A3219+1,A3219)</f>
        <v/>
      </c>
      <c r="B3220" s="1">
        <f>IF(DAY(D3220)=DAY($L$1+1),1,B3219+1)</f>
        <v/>
      </c>
      <c r="C3220" s="46">
        <f>IF(DAY(D3220)=DAY($L$1+1),1,C3219+1)</f>
        <v/>
      </c>
      <c r="D3220" s="2">
        <f>D3219+1</f>
        <v/>
      </c>
      <c r="E3220" s="8">
        <f>IF(DAY(D3220)=DAY($L$1+1),TRUNC((#REF!),8),E3219)</f>
        <v/>
      </c>
      <c r="F3220" s="49">
        <f>TRUNC(((1+VLOOKUP(A3220,IPCA!$A$2:$C$140,3,0)))^(C3220/(EDATE(D3220-C3220,1)-(D3220-C3220))),8)</f>
        <v/>
      </c>
      <c r="G3220" s="49">
        <f>TRUNC((E3220*F3220),8)</f>
        <v/>
      </c>
      <c r="H3220" s="49">
        <f>ROUND(((1+$H$4)^(30/360))^(C3220/(EDATE(D3220-B3220,1)-(D3220-B3220))),9)</f>
        <v/>
      </c>
      <c r="I3220" s="49">
        <f>TRUNC((G3220*H3220-G3220),8)</f>
        <v/>
      </c>
      <c r="J3220" s="49">
        <f>G3220+I3220</f>
        <v/>
      </c>
      <c r="K3220" s="256" t="n"/>
      <c r="L3220" s="256" t="n"/>
      <c r="M3220" s="256" t="n"/>
      <c r="N3220" s="256" t="n"/>
      <c r="O3220" s="256" t="n"/>
      <c r="P3220" s="256" t="n"/>
      <c r="Q3220" s="256" t="n"/>
    </row>
    <row r="3221">
      <c r="A3221">
        <f>IF(DAY(D3221)=DAY($L$1+1),A3220+1,A3220)</f>
        <v/>
      </c>
      <c r="B3221" s="1">
        <f>IF(DAY(D3221)=DAY($L$1+1),1,B3220+1)</f>
        <v/>
      </c>
      <c r="C3221" s="46">
        <f>IF(DAY(D3221)=DAY($L$1+1),1,C3220+1)</f>
        <v/>
      </c>
      <c r="D3221" s="2">
        <f>D3220+1</f>
        <v/>
      </c>
      <c r="E3221" s="8">
        <f>IF(DAY(D3221)=DAY($L$1+1),TRUNC((#REF!),8),E3220)</f>
        <v/>
      </c>
      <c r="F3221" s="49">
        <f>TRUNC(((1+VLOOKUP(A3221,IPCA!$A$2:$C$140,3,0)))^(C3221/(EDATE(D3221-C3221,1)-(D3221-C3221))),8)</f>
        <v/>
      </c>
      <c r="G3221" s="49">
        <f>TRUNC((E3221*F3221),8)</f>
        <v/>
      </c>
      <c r="H3221" s="49">
        <f>ROUND(((1+$H$4)^(30/360))^(C3221/(EDATE(D3221-B3221,1)-(D3221-B3221))),9)</f>
        <v/>
      </c>
      <c r="I3221" s="49">
        <f>TRUNC((G3221*H3221-G3221),8)</f>
        <v/>
      </c>
      <c r="J3221" s="49">
        <f>G3221+I3221</f>
        <v/>
      </c>
      <c r="K3221" s="256" t="n"/>
      <c r="L3221" s="256" t="n"/>
      <c r="M3221" s="256" t="n"/>
      <c r="N3221" s="256" t="n"/>
      <c r="O3221" s="256" t="n"/>
      <c r="P3221" s="256" t="n"/>
      <c r="Q3221" s="256" t="n"/>
    </row>
    <row r="3222">
      <c r="A3222">
        <f>IF(DAY(D3222)=DAY($L$1+1),A3221+1,A3221)</f>
        <v/>
      </c>
      <c r="B3222" s="1">
        <f>IF(DAY(D3222)=DAY($L$1+1),1,B3221+1)</f>
        <v/>
      </c>
      <c r="C3222" s="46">
        <f>IF(DAY(D3222)=DAY($L$1+1),1,C3221+1)</f>
        <v/>
      </c>
      <c r="D3222" s="2">
        <f>D3221+1</f>
        <v/>
      </c>
      <c r="E3222" s="8">
        <f>IF(DAY(D3222)=DAY($L$1+1),TRUNC((#REF!),8),E3221)</f>
        <v/>
      </c>
      <c r="F3222" s="49">
        <f>TRUNC(((1+VLOOKUP(A3222,IPCA!$A$2:$C$140,3,0)))^(C3222/(EDATE(D3222-C3222,1)-(D3222-C3222))),8)</f>
        <v/>
      </c>
      <c r="G3222" s="49">
        <f>TRUNC((E3222*F3222),8)</f>
        <v/>
      </c>
      <c r="H3222" s="49">
        <f>ROUND(((1+$H$4)^(30/360))^(C3222/(EDATE(D3222-B3222,1)-(D3222-B3222))),9)</f>
        <v/>
      </c>
      <c r="I3222" s="49">
        <f>TRUNC((G3222*H3222-G3222),8)</f>
        <v/>
      </c>
      <c r="J3222" s="49">
        <f>G3222+I3222</f>
        <v/>
      </c>
      <c r="K3222" s="256" t="n"/>
      <c r="L3222" s="256" t="n"/>
      <c r="M3222" s="256" t="n"/>
      <c r="N3222" s="256" t="n"/>
      <c r="O3222" s="256" t="n"/>
      <c r="P3222" s="256" t="n"/>
      <c r="Q3222" s="256" t="n"/>
    </row>
    <row r="3223">
      <c r="A3223">
        <f>IF(DAY(D3223)=DAY($L$1+1),A3222+1,A3222)</f>
        <v/>
      </c>
      <c r="B3223" s="1">
        <f>IF(DAY(D3223)=DAY($L$1+1),1,B3222+1)</f>
        <v/>
      </c>
      <c r="C3223" s="46">
        <f>IF(DAY(D3223)=DAY($L$1+1),1,C3222+1)</f>
        <v/>
      </c>
      <c r="D3223" s="2">
        <f>D3222+1</f>
        <v/>
      </c>
      <c r="E3223" s="8">
        <f>IF(DAY(D3223)=DAY($L$1+1),TRUNC((#REF!),8),E3222)</f>
        <v/>
      </c>
      <c r="F3223" s="49">
        <f>TRUNC(((1+VLOOKUP(A3223,IPCA!$A$2:$C$140,3,0)))^(C3223/(EDATE(D3223-C3223,1)-(D3223-C3223))),8)</f>
        <v/>
      </c>
      <c r="G3223" s="49">
        <f>TRUNC((E3223*F3223),8)</f>
        <v/>
      </c>
      <c r="H3223" s="49">
        <f>ROUND(((1+$H$4)^(30/360))^(C3223/(EDATE(D3223-B3223,1)-(D3223-B3223))),9)</f>
        <v/>
      </c>
      <c r="I3223" s="49">
        <f>TRUNC((G3223*H3223-G3223),8)</f>
        <v/>
      </c>
      <c r="J3223" s="49">
        <f>G3223+I3223</f>
        <v/>
      </c>
      <c r="K3223" s="256" t="n"/>
      <c r="L3223" s="256" t="n"/>
      <c r="M3223" s="256" t="n"/>
      <c r="N3223" s="256" t="n"/>
      <c r="O3223" s="256" t="n"/>
      <c r="P3223" s="256" t="n"/>
      <c r="Q3223" s="256" t="n"/>
    </row>
    <row r="3224">
      <c r="A3224">
        <f>IF(DAY(D3224)=DAY($L$1+1),A3223+1,A3223)</f>
        <v/>
      </c>
      <c r="B3224" s="1">
        <f>IF(DAY(D3224)=DAY($L$1+1),1,B3223+1)</f>
        <v/>
      </c>
      <c r="C3224" s="46">
        <f>IF(DAY(D3224)=DAY($L$1+1),1,C3223+1)</f>
        <v/>
      </c>
      <c r="D3224" s="2">
        <f>D3223+1</f>
        <v/>
      </c>
      <c r="E3224" s="8">
        <f>IF(DAY(D3224)=DAY($L$1+1),TRUNC((#REF!),8),E3223)</f>
        <v/>
      </c>
      <c r="F3224" s="49">
        <f>TRUNC(((1+VLOOKUP(A3224,IPCA!$A$2:$C$140,3,0)))^(C3224/(EDATE(D3224-C3224,1)-(D3224-C3224))),8)</f>
        <v/>
      </c>
      <c r="G3224" s="49">
        <f>TRUNC((E3224*F3224),8)</f>
        <v/>
      </c>
      <c r="H3224" s="49">
        <f>ROUND(((1+$H$4)^(30/360))^(C3224/(EDATE(D3224-B3224,1)-(D3224-B3224))),9)</f>
        <v/>
      </c>
      <c r="I3224" s="49">
        <f>TRUNC((G3224*H3224-G3224),8)</f>
        <v/>
      </c>
      <c r="J3224" s="49">
        <f>G3224+I3224</f>
        <v/>
      </c>
      <c r="K3224" s="256" t="n"/>
      <c r="L3224" s="256" t="n"/>
      <c r="M3224" s="256" t="n"/>
      <c r="N3224" s="256" t="n"/>
      <c r="O3224" s="256" t="n"/>
      <c r="P3224" s="256" t="n"/>
      <c r="Q3224" s="256" t="n"/>
    </row>
    <row r="3225">
      <c r="A3225">
        <f>IF(DAY(D3225)=DAY($L$1+1),A3224+1,A3224)</f>
        <v/>
      </c>
      <c r="B3225" s="1">
        <f>IF(DAY(D3225)=DAY($L$1+1),1,B3224+1)</f>
        <v/>
      </c>
      <c r="C3225" s="46">
        <f>IF(DAY(D3225)=DAY($L$1+1),1,C3224+1)</f>
        <v/>
      </c>
      <c r="D3225" s="2">
        <f>D3224+1</f>
        <v/>
      </c>
      <c r="E3225" s="8">
        <f>IF(DAY(D3225)=DAY($L$1+1),TRUNC((#REF!),8),E3224)</f>
        <v/>
      </c>
      <c r="F3225" s="49">
        <f>TRUNC(((1+VLOOKUP(A3225,IPCA!$A$2:$C$140,3,0)))^(C3225/(EDATE(D3225-C3225,1)-(D3225-C3225))),8)</f>
        <v/>
      </c>
      <c r="G3225" s="49">
        <f>TRUNC((E3225*F3225),8)</f>
        <v/>
      </c>
      <c r="H3225" s="49">
        <f>ROUND(((1+$H$4)^(30/360))^(C3225/(EDATE(D3225-B3225,1)-(D3225-B3225))),9)</f>
        <v/>
      </c>
      <c r="I3225" s="49">
        <f>TRUNC((G3225*H3225-G3225),8)</f>
        <v/>
      </c>
      <c r="J3225" s="49">
        <f>G3225+I3225</f>
        <v/>
      </c>
      <c r="K3225" s="256" t="n"/>
      <c r="L3225" s="256" t="n"/>
      <c r="M3225" s="256" t="n"/>
      <c r="N3225" s="256" t="n"/>
      <c r="O3225" s="256" t="n"/>
      <c r="P3225" s="256" t="n"/>
      <c r="Q3225" s="256" t="n"/>
    </row>
    <row r="3226">
      <c r="A3226">
        <f>IF(DAY(D3226)=DAY($L$1+1),A3225+1,A3225)</f>
        <v/>
      </c>
      <c r="B3226" s="1">
        <f>IF(DAY(D3226)=DAY($L$1+1),1,B3225+1)</f>
        <v/>
      </c>
      <c r="C3226" s="46">
        <f>IF(DAY(D3226)=DAY($L$1+1),1,C3225+1)</f>
        <v/>
      </c>
      <c r="D3226" s="2">
        <f>D3225+1</f>
        <v/>
      </c>
      <c r="E3226" s="8">
        <f>IF(DAY(D3226)=DAY($L$1+1),TRUNC((#REF!),8),E3225)</f>
        <v/>
      </c>
      <c r="F3226" s="49">
        <f>TRUNC(((1+VLOOKUP(A3226,IPCA!$A$2:$C$140,3,0)))^(C3226/(EDATE(D3226-C3226,1)-(D3226-C3226))),8)</f>
        <v/>
      </c>
      <c r="G3226" s="49">
        <f>TRUNC((E3226*F3226),8)</f>
        <v/>
      </c>
      <c r="H3226" s="49">
        <f>ROUND(((1+$H$4)^(30/360))^(C3226/(EDATE(D3226-B3226,1)-(D3226-B3226))),9)</f>
        <v/>
      </c>
      <c r="I3226" s="49">
        <f>TRUNC((G3226*H3226-G3226),8)</f>
        <v/>
      </c>
      <c r="J3226" s="49">
        <f>G3226+I3226</f>
        <v/>
      </c>
      <c r="K3226" s="256" t="n"/>
      <c r="L3226" s="256" t="n"/>
      <c r="M3226" s="256" t="n"/>
      <c r="N3226" s="256" t="n"/>
      <c r="O3226" s="256" t="n"/>
      <c r="P3226" s="256" t="n"/>
      <c r="Q3226" s="256" t="n"/>
    </row>
    <row r="3227">
      <c r="A3227">
        <f>IF(DAY(D3227)=DAY($L$1+1),A3226+1,A3226)</f>
        <v/>
      </c>
      <c r="B3227" s="1">
        <f>IF(DAY(D3227)=DAY($L$1+1),1,B3226+1)</f>
        <v/>
      </c>
      <c r="C3227" s="46">
        <f>IF(DAY(D3227)=DAY($L$1+1),1,C3226+1)</f>
        <v/>
      </c>
      <c r="D3227" s="2">
        <f>D3226+1</f>
        <v/>
      </c>
      <c r="E3227" s="8">
        <f>IF(DAY(D3227)=DAY($L$1+1),TRUNC((#REF!),8),E3226)</f>
        <v/>
      </c>
      <c r="F3227" s="49">
        <f>TRUNC(((1+VLOOKUP(A3227,IPCA!$A$2:$C$140,3,0)))^(C3227/(EDATE(D3227-C3227,1)-(D3227-C3227))),8)</f>
        <v/>
      </c>
      <c r="G3227" s="49">
        <f>TRUNC((E3227*F3227),8)</f>
        <v/>
      </c>
      <c r="H3227" s="49">
        <f>ROUND(((1+$H$4)^(30/360))^(C3227/(EDATE(D3227-B3227,1)-(D3227-B3227))),9)</f>
        <v/>
      </c>
      <c r="I3227" s="49">
        <f>TRUNC((G3227*H3227-G3227),8)</f>
        <v/>
      </c>
      <c r="J3227" s="49">
        <f>G3227+I3227</f>
        <v/>
      </c>
      <c r="K3227" s="256" t="n"/>
      <c r="L3227" s="256" t="n"/>
      <c r="M3227" s="256" t="n"/>
      <c r="N3227" s="256" t="n"/>
      <c r="O3227" s="256" t="n"/>
      <c r="P3227" s="256" t="n"/>
      <c r="Q3227" s="256" t="n"/>
    </row>
    <row r="3228">
      <c r="A3228">
        <f>IF(DAY(D3228)=DAY($L$1+1),A3227+1,A3227)</f>
        <v/>
      </c>
      <c r="B3228" s="1">
        <f>IF(DAY(D3228)=DAY($L$1+1),1,B3227+1)</f>
        <v/>
      </c>
      <c r="C3228" s="46">
        <f>IF(DAY(D3228)=DAY($L$1+1),1,C3227+1)</f>
        <v/>
      </c>
      <c r="D3228" s="2">
        <f>D3227+1</f>
        <v/>
      </c>
      <c r="E3228" s="8">
        <f>IF(DAY(D3228)=DAY($L$1+1),TRUNC((#REF!),8),E3227)</f>
        <v/>
      </c>
      <c r="F3228" s="49">
        <f>TRUNC(((1+VLOOKUP(A3228,IPCA!$A$2:$C$140,3,0)))^(C3228/(EDATE(D3228-C3228,1)-(D3228-C3228))),8)</f>
        <v/>
      </c>
      <c r="G3228" s="49">
        <f>TRUNC((E3228*F3228),8)</f>
        <v/>
      </c>
      <c r="H3228" s="49">
        <f>ROUND(((1+$H$4)^(30/360))^(C3228/(EDATE(D3228-B3228,1)-(D3228-B3228))),9)</f>
        <v/>
      </c>
      <c r="I3228" s="49">
        <f>TRUNC((G3228*H3228-G3228),8)</f>
        <v/>
      </c>
      <c r="J3228" s="49">
        <f>G3228+I3228</f>
        <v/>
      </c>
      <c r="K3228" s="256" t="n"/>
      <c r="L3228" s="256" t="n"/>
      <c r="M3228" s="256" t="n"/>
      <c r="N3228" s="256" t="n"/>
      <c r="O3228" s="256" t="n"/>
      <c r="P3228" s="256" t="n"/>
      <c r="Q3228" s="256" t="n"/>
    </row>
    <row r="3229">
      <c r="A3229">
        <f>IF(DAY(D3229)=DAY($L$1+1),A3228+1,A3228)</f>
        <v/>
      </c>
      <c r="B3229" s="1">
        <f>IF(DAY(D3229)=DAY($L$1+1),1,B3228+1)</f>
        <v/>
      </c>
      <c r="C3229" s="46">
        <f>IF(DAY(D3229)=DAY($L$1+1),1,C3228+1)</f>
        <v/>
      </c>
      <c r="D3229" s="2">
        <f>D3228+1</f>
        <v/>
      </c>
      <c r="E3229" s="8">
        <f>IF(DAY(D3229)=DAY($L$1+1),TRUNC((#REF!),8),E3228)</f>
        <v/>
      </c>
      <c r="F3229" s="49">
        <f>TRUNC(((1+VLOOKUP(A3229,IPCA!$A$2:$C$140,3,0)))^(C3229/(EDATE(D3229-C3229,1)-(D3229-C3229))),8)</f>
        <v/>
      </c>
      <c r="G3229" s="49">
        <f>TRUNC((E3229*F3229),8)</f>
        <v/>
      </c>
      <c r="H3229" s="49">
        <f>ROUND(((1+$H$4)^(30/360))^(C3229/(EDATE(D3229-B3229,1)-(D3229-B3229))),9)</f>
        <v/>
      </c>
      <c r="I3229" s="49">
        <f>TRUNC((G3229*H3229-G3229),8)</f>
        <v/>
      </c>
      <c r="J3229" s="49">
        <f>G3229+I3229</f>
        <v/>
      </c>
      <c r="K3229" s="256" t="n"/>
      <c r="L3229" s="256" t="n"/>
      <c r="M3229" s="256" t="n"/>
      <c r="N3229" s="256" t="n"/>
      <c r="O3229" s="256" t="n"/>
      <c r="P3229" s="256" t="n"/>
      <c r="Q3229" s="256" t="n"/>
    </row>
    <row r="3230">
      <c r="A3230">
        <f>IF(DAY(D3230)=DAY($L$1+1),A3229+1,A3229)</f>
        <v/>
      </c>
      <c r="B3230" s="1">
        <f>IF(DAY(D3230)=DAY($L$1+1),1,B3229+1)</f>
        <v/>
      </c>
      <c r="C3230" s="46">
        <f>IF(DAY(D3230)=DAY($L$1+1),1,C3229+1)</f>
        <v/>
      </c>
      <c r="D3230" s="2">
        <f>D3229+1</f>
        <v/>
      </c>
      <c r="E3230" s="8">
        <f>IF(DAY(D3230)=DAY($L$1+1),TRUNC((#REF!),8),E3229)</f>
        <v/>
      </c>
      <c r="F3230" s="49">
        <f>TRUNC(((1+VLOOKUP(A3230,IPCA!$A$2:$C$140,3,0)))^(C3230/(EDATE(D3230-C3230,1)-(D3230-C3230))),8)</f>
        <v/>
      </c>
      <c r="G3230" s="49">
        <f>TRUNC((E3230*F3230),8)</f>
        <v/>
      </c>
      <c r="H3230" s="49">
        <f>ROUND(((1+$H$4)^(30/360))^(C3230/(EDATE(D3230-B3230,1)-(D3230-B3230))),9)</f>
        <v/>
      </c>
      <c r="I3230" s="49">
        <f>TRUNC((G3230*H3230-G3230),8)</f>
        <v/>
      </c>
      <c r="J3230" s="49">
        <f>G3230+I3230</f>
        <v/>
      </c>
      <c r="K3230" s="256" t="n"/>
      <c r="L3230" s="256" t="n"/>
      <c r="M3230" s="256" t="n"/>
      <c r="N3230" s="256" t="n"/>
      <c r="O3230" s="256" t="n"/>
      <c r="P3230" s="256" t="n"/>
      <c r="Q3230" s="256" t="n"/>
    </row>
    <row r="3231">
      <c r="A3231">
        <f>IF(DAY(D3231)=DAY($L$1+1),A3230+1,A3230)</f>
        <v/>
      </c>
      <c r="B3231" s="1">
        <f>IF(DAY(D3231)=DAY($L$1+1),1,B3230+1)</f>
        <v/>
      </c>
      <c r="C3231" s="46">
        <f>IF(DAY(D3231)=DAY($L$1+1),1,C3230+1)</f>
        <v/>
      </c>
      <c r="D3231" s="2">
        <f>D3230+1</f>
        <v/>
      </c>
      <c r="E3231" s="8">
        <f>IF(DAY(D3231)=DAY($L$1+1),TRUNC((#REF!),8),E3230)</f>
        <v/>
      </c>
      <c r="F3231" s="49">
        <f>TRUNC(((1+VLOOKUP(A3231,IPCA!$A$2:$C$140,3,0)))^(C3231/(EDATE(D3231-C3231,1)-(D3231-C3231))),8)</f>
        <v/>
      </c>
      <c r="G3231" s="49">
        <f>TRUNC((E3231*F3231),8)</f>
        <v/>
      </c>
      <c r="H3231" s="49">
        <f>ROUND(((1+$H$4)^(30/360))^(C3231/(EDATE(D3231-B3231,1)-(D3231-B3231))),9)</f>
        <v/>
      </c>
      <c r="I3231" s="49">
        <f>TRUNC((G3231*H3231-G3231),8)</f>
        <v/>
      </c>
      <c r="J3231" s="49">
        <f>G3231+I3231</f>
        <v/>
      </c>
      <c r="K3231" s="256" t="n"/>
      <c r="L3231" s="256" t="n"/>
      <c r="M3231" s="256" t="n"/>
      <c r="N3231" s="256" t="n"/>
      <c r="O3231" s="256" t="n"/>
      <c r="P3231" s="256" t="n"/>
      <c r="Q3231" s="256" t="n"/>
    </row>
    <row r="3232">
      <c r="A3232">
        <f>IF(DAY(D3232)=DAY($L$1+1),A3231+1,A3231)</f>
        <v/>
      </c>
      <c r="B3232" s="1">
        <f>IF(DAY(D3232)=DAY($L$1+1),1,B3231+1)</f>
        <v/>
      </c>
      <c r="C3232" s="46">
        <f>IF(DAY(D3232)=DAY($L$1+1),1,C3231+1)</f>
        <v/>
      </c>
      <c r="D3232" s="2">
        <f>D3231+1</f>
        <v/>
      </c>
      <c r="E3232" s="8">
        <f>IF(DAY(D3232)=DAY($L$1+1),TRUNC((#REF!),8),E3231)</f>
        <v/>
      </c>
      <c r="F3232" s="49">
        <f>TRUNC(((1+VLOOKUP(A3232,IPCA!$A$2:$C$140,3,0)))^(C3232/(EDATE(D3232-C3232,1)-(D3232-C3232))),8)</f>
        <v/>
      </c>
      <c r="G3232" s="49">
        <f>TRUNC((E3232*F3232),8)</f>
        <v/>
      </c>
      <c r="H3232" s="49">
        <f>ROUND(((1+$H$4)^(30/360))^(C3232/(EDATE(D3232-B3232,1)-(D3232-B3232))),9)</f>
        <v/>
      </c>
      <c r="I3232" s="49">
        <f>TRUNC((G3232*H3232-G3232),8)</f>
        <v/>
      </c>
      <c r="J3232" s="49">
        <f>G3232+I3232</f>
        <v/>
      </c>
      <c r="K3232" s="256" t="n"/>
      <c r="L3232" s="256" t="n"/>
      <c r="M3232" s="256" t="n"/>
      <c r="N3232" s="256" t="n"/>
      <c r="O3232" s="256" t="n"/>
      <c r="P3232" s="256" t="n"/>
      <c r="Q3232" s="256" t="n"/>
    </row>
    <row r="3233">
      <c r="A3233">
        <f>IF(DAY(D3233)=DAY($L$1+1),A3232+1,A3232)</f>
        <v/>
      </c>
      <c r="B3233" s="1">
        <f>IF(DAY(D3233)=DAY($L$1+1),1,B3232+1)</f>
        <v/>
      </c>
      <c r="C3233" s="46">
        <f>IF(DAY(D3233)=DAY($L$1+1),1,C3232+1)</f>
        <v/>
      </c>
      <c r="D3233" s="2">
        <f>D3232+1</f>
        <v/>
      </c>
      <c r="E3233" s="8">
        <f>IF(DAY(D3233)=DAY($L$1+1),TRUNC((N3232),8),E3232)</f>
        <v/>
      </c>
      <c r="F3233" s="49">
        <f>TRUNC(((1+VLOOKUP(A3233,IPCA!$A$2:$C$140,3,0)))^(C3233/(EDATE(D3233-C3233,1)-(D3233-C3233))),8)</f>
        <v/>
      </c>
      <c r="G3233" s="49">
        <f>TRUNC((E3233*F3233),8)</f>
        <v/>
      </c>
      <c r="H3233" s="49">
        <f>ROUND(((1+$H$4)^(30/360))^(C3233/(EDATE(D3233-B3233,1)-(D3233-B3233))),9)</f>
        <v/>
      </c>
      <c r="I3233" s="49">
        <f>TRUNC((G3233*H3233-G3233),8)</f>
        <v/>
      </c>
      <c r="J3233" s="49">
        <f>G3233+I3233</f>
        <v/>
      </c>
      <c r="K3233" s="256" t="n"/>
      <c r="L3233" s="256" t="n"/>
      <c r="M3233" s="256" t="n"/>
      <c r="N3233" s="256" t="n"/>
      <c r="O3233" s="256" t="n"/>
      <c r="P3233" s="256" t="n"/>
      <c r="Q3233" s="256" t="n"/>
    </row>
    <row r="3234">
      <c r="A3234">
        <f>IF(DAY(D3234)=DAY($L$1+1),A3233+1,A3233)</f>
        <v/>
      </c>
      <c r="B3234" s="1">
        <f>IF(DAY(D3234)=DAY($L$1+1),1,B3233+1)</f>
        <v/>
      </c>
      <c r="C3234" s="46">
        <f>IF(DAY(D3234)=DAY($L$1+1),1,C3233+1)</f>
        <v/>
      </c>
      <c r="D3234" s="2">
        <f>D3233+1</f>
        <v/>
      </c>
      <c r="E3234" s="8">
        <f>IF(DAY(D3234)=DAY($L$1+1),TRUNC((N3233),8),E3233)</f>
        <v/>
      </c>
      <c r="F3234" s="49">
        <f>TRUNC(((1+VLOOKUP(A3234,IPCA!$A$2:$C$140,3,0)))^(C3234/(EDATE(D3234-C3234,1)-(D3234-C3234))),8)</f>
        <v/>
      </c>
      <c r="G3234" s="49">
        <f>TRUNC((E3234*F3234),8)</f>
        <v/>
      </c>
      <c r="H3234" s="49">
        <f>ROUND(((1+$H$4)^(30/360))^(C3234/(EDATE(D3234-B3234,1)-(D3234-B3234))),9)</f>
        <v/>
      </c>
      <c r="I3234" s="49">
        <f>TRUNC((G3234*H3234-G3234),8)</f>
        <v/>
      </c>
      <c r="J3234" s="49">
        <f>G3234+I3234</f>
        <v/>
      </c>
      <c r="K3234" s="256" t="n"/>
      <c r="L3234" s="256" t="n"/>
      <c r="M3234" s="256" t="n"/>
      <c r="N3234" s="256" t="n"/>
      <c r="O3234" s="256" t="n"/>
      <c r="P3234" s="256" t="n"/>
      <c r="Q3234" s="256" t="n"/>
    </row>
    <row r="3235">
      <c r="A3235">
        <f>IF(DAY(D3235)=DAY($L$1+1),A3234+1,A3234)</f>
        <v/>
      </c>
      <c r="B3235" s="1">
        <f>IF(DAY(D3235)=DAY($L$1+1),1,B3234+1)</f>
        <v/>
      </c>
      <c r="C3235" s="46">
        <f>IF(DAY(D3235)=DAY($L$1+1),1,C3234+1)</f>
        <v/>
      </c>
      <c r="D3235" s="2">
        <f>D3234+1</f>
        <v/>
      </c>
      <c r="E3235" s="8">
        <f>IF(DAY(D3235)=DAY($L$1+1),TRUNC((N3234),8),E3234)</f>
        <v/>
      </c>
      <c r="F3235" s="49">
        <f>TRUNC(((1+VLOOKUP(A3235,IPCA!$A$2:$C$140,3,0)))^(C3235/(EDATE(D3235-C3235,1)-(D3235-C3235))),8)</f>
        <v/>
      </c>
      <c r="G3235" s="49">
        <f>TRUNC((E3235*F3235),8)</f>
        <v/>
      </c>
      <c r="H3235" s="49">
        <f>ROUND(((1+$H$4)^(30/360))^(C3235/(EDATE(D3235-B3235,1)-(D3235-B3235))),9)</f>
        <v/>
      </c>
      <c r="I3235" s="49">
        <f>TRUNC((G3235*H3235-G3235),8)</f>
        <v/>
      </c>
      <c r="J3235" s="49">
        <f>G3235+I3235</f>
        <v/>
      </c>
      <c r="K3235" s="256" t="n"/>
      <c r="L3235" s="256" t="n"/>
      <c r="M3235" s="256" t="n"/>
      <c r="N3235" s="256" t="n"/>
      <c r="O3235" s="256" t="n"/>
      <c r="P3235" s="256" t="n"/>
      <c r="Q3235" s="256" t="n"/>
    </row>
    <row r="3236">
      <c r="A3236">
        <f>IF(DAY(D3236)=DAY($L$1+1),A3235+1,A3235)</f>
        <v/>
      </c>
      <c r="B3236" s="1">
        <f>IF(DAY(D3236)=DAY($L$1+1),1,B3235+1)</f>
        <v/>
      </c>
      <c r="C3236" s="46">
        <f>IF(DAY(D3236)=DAY($L$1+1),1,C3235+1)</f>
        <v/>
      </c>
      <c r="D3236" s="2">
        <f>D3235+1</f>
        <v/>
      </c>
      <c r="E3236" s="8">
        <f>IF(DAY(D3236)=DAY($L$1+1),TRUNC((N3235),8),E3235)</f>
        <v/>
      </c>
      <c r="F3236" s="49">
        <f>TRUNC(((1+VLOOKUP(A3236,IPCA!$A$2:$C$140,3,0)))^(C3236/(EDATE(D3236-C3236,1)-(D3236-C3236))),8)</f>
        <v/>
      </c>
      <c r="G3236" s="49">
        <f>TRUNC((E3236*F3236),8)</f>
        <v/>
      </c>
      <c r="H3236" s="49">
        <f>ROUND(((1+$H$4)^(30/360))^(C3236/(EDATE(D3236-B3236,1)-(D3236-B3236))),9)</f>
        <v/>
      </c>
      <c r="I3236" s="49">
        <f>TRUNC((G3236*H3236-G3236),8)</f>
        <v/>
      </c>
      <c r="J3236" s="49">
        <f>G3236+I3236</f>
        <v/>
      </c>
      <c r="K3236" s="256" t="n"/>
      <c r="L3236" s="256" t="n"/>
      <c r="M3236" s="256" t="n"/>
      <c r="N3236" s="256" t="n"/>
      <c r="O3236" s="256" t="n"/>
      <c r="P3236" s="256" t="n"/>
      <c r="Q3236" s="256" t="n"/>
    </row>
    <row r="3237">
      <c r="A3237">
        <f>IF(DAY(D3237)=DAY($L$1+1),A3236+1,A3236)</f>
        <v/>
      </c>
      <c r="B3237" s="1">
        <f>IF(DAY(D3237)=DAY($L$1+1),1,B3236+1)</f>
        <v/>
      </c>
      <c r="C3237" s="46">
        <f>IF(DAY(D3237)=DAY($L$1+1),1,C3236+1)</f>
        <v/>
      </c>
      <c r="D3237" s="2">
        <f>D3236+1</f>
        <v/>
      </c>
      <c r="E3237" s="8">
        <f>IF(DAY(D3237)=DAY($L$1+1),TRUNC((N3236),8),E3236)</f>
        <v/>
      </c>
      <c r="F3237" s="49">
        <f>TRUNC(((1+VLOOKUP(A3237,IPCA!$A$2:$C$140,3,0)))^(C3237/(EDATE(D3237-C3237,1)-(D3237-C3237))),8)</f>
        <v/>
      </c>
      <c r="G3237" s="49">
        <f>TRUNC((E3237*F3237),8)</f>
        <v/>
      </c>
      <c r="H3237" s="49">
        <f>ROUND(((1+$H$4)^(30/360))^(C3237/(EDATE(D3237-B3237,1)-(D3237-B3237))),9)</f>
        <v/>
      </c>
      <c r="I3237" s="49">
        <f>TRUNC((G3237*H3237-G3237),8)</f>
        <v/>
      </c>
      <c r="J3237" s="49">
        <f>G3237+I3237</f>
        <v/>
      </c>
      <c r="K3237" s="256" t="n"/>
      <c r="L3237" s="256" t="n"/>
      <c r="M3237" s="256" t="n"/>
      <c r="N3237" s="256" t="n"/>
      <c r="O3237" s="256" t="n"/>
      <c r="P3237" s="256" t="n"/>
      <c r="Q3237" s="256" t="n"/>
    </row>
    <row r="3238">
      <c r="A3238">
        <f>IF(DAY(D3238)=DAY($L$1+1),A3237+1,A3237)</f>
        <v/>
      </c>
      <c r="B3238" s="1">
        <f>IF(DAY(D3238)=DAY($L$1+1),1,B3237+1)</f>
        <v/>
      </c>
      <c r="C3238" s="46">
        <f>IF(DAY(D3238)=DAY($L$1+1),1,C3237+1)</f>
        <v/>
      </c>
      <c r="D3238" s="2">
        <f>D3237+1</f>
        <v/>
      </c>
      <c r="E3238" s="8">
        <f>IF(DAY(D3238)=DAY($L$1+1),TRUNC((N3237),8),E3237)</f>
        <v/>
      </c>
      <c r="F3238" s="49">
        <f>TRUNC(((1+VLOOKUP(A3238,IPCA!$A$2:$C$140,3,0)))^(C3238/(EDATE(D3238-C3238,1)-(D3238-C3238))),8)</f>
        <v/>
      </c>
      <c r="G3238" s="49">
        <f>TRUNC((E3238*F3238),8)</f>
        <v/>
      </c>
      <c r="H3238" s="49">
        <f>ROUND(((1+$H$4)^(30/360))^(C3238/(EDATE(D3238-B3238,1)-(D3238-B3238))),9)</f>
        <v/>
      </c>
      <c r="I3238" s="49">
        <f>TRUNC((G3238*H3238-G3238),8)</f>
        <v/>
      </c>
      <c r="J3238" s="49">
        <f>G3238+I3238</f>
        <v/>
      </c>
      <c r="K3238" s="256" t="n"/>
      <c r="L3238" s="256" t="n"/>
      <c r="M3238" s="256" t="n"/>
      <c r="N3238" s="256" t="n"/>
      <c r="O3238" s="256" t="n"/>
      <c r="P3238" s="256" t="n"/>
      <c r="Q3238" s="256" t="n"/>
    </row>
    <row r="3239">
      <c r="A3239">
        <f>IF(DAY(D3239)=DAY($L$1+1),A3238+1,A3238)</f>
        <v/>
      </c>
      <c r="B3239" s="1">
        <f>IF(DAY(D3239)=DAY($L$1+1),1,B3238+1)</f>
        <v/>
      </c>
      <c r="C3239" s="46">
        <f>IF(DAY(D3239)=DAY($L$1+1),1,C3238+1)</f>
        <v/>
      </c>
      <c r="D3239" s="2">
        <f>D3238+1</f>
        <v/>
      </c>
      <c r="E3239" s="8">
        <f>IF(DAY(D3239)=DAY($L$1+1),TRUNC((N3238),8),E3238)</f>
        <v/>
      </c>
      <c r="F3239" s="49">
        <f>TRUNC(((1+VLOOKUP(A3239,IPCA!$A$2:$C$140,3,0)))^(C3239/(EDATE(D3239-C3239,1)-(D3239-C3239))),8)</f>
        <v/>
      </c>
      <c r="G3239" s="49">
        <f>TRUNC((E3239*F3239),8)</f>
        <v/>
      </c>
      <c r="H3239" s="49">
        <f>ROUND(((1+$H$4)^(30/360))^(C3239/(EDATE(D3239-B3239,1)-(D3239-B3239))),9)</f>
        <v/>
      </c>
      <c r="I3239" s="49">
        <f>TRUNC((G3239*H3239-G3239),8)</f>
        <v/>
      </c>
      <c r="J3239" s="49">
        <f>G3239+I3239</f>
        <v/>
      </c>
      <c r="K3239" s="256" t="n"/>
      <c r="L3239" s="256" t="n"/>
      <c r="M3239" s="256" t="n"/>
      <c r="N3239" s="256" t="n"/>
      <c r="O3239" s="256" t="n"/>
      <c r="P3239" s="256" t="n"/>
      <c r="Q3239" s="256" t="n"/>
    </row>
    <row r="3240">
      <c r="A3240">
        <f>IF(DAY(D3240)=DAY($L$1+1),A3239+1,A3239)</f>
        <v/>
      </c>
      <c r="B3240" s="1">
        <f>IF(DAY(D3240)=DAY($L$1+1),1,B3239+1)</f>
        <v/>
      </c>
      <c r="C3240" s="46">
        <f>IF(DAY(D3240)=DAY($L$1+1),1,C3239+1)</f>
        <v/>
      </c>
      <c r="D3240" s="2">
        <f>D3239+1</f>
        <v/>
      </c>
      <c r="E3240" s="8">
        <f>IF(DAY(D3240)=DAY($L$1+1),TRUNC((N3239),8),E3239)</f>
        <v/>
      </c>
      <c r="F3240" s="49">
        <f>TRUNC(((1+VLOOKUP(A3240,IPCA!$A$2:$C$140,3,0)))^(C3240/(EDATE(D3240-C3240,1)-(D3240-C3240))),8)</f>
        <v/>
      </c>
      <c r="G3240" s="49">
        <f>TRUNC((E3240*F3240),8)</f>
        <v/>
      </c>
      <c r="H3240" s="49">
        <f>ROUND(((1+$H$4)^(30/360))^(C3240/(EDATE(D3240-B3240,1)-(D3240-B3240))),9)</f>
        <v/>
      </c>
      <c r="I3240" s="49">
        <f>TRUNC((G3240*H3240-G3240),8)</f>
        <v/>
      </c>
      <c r="J3240" s="49">
        <f>G3240+I3240</f>
        <v/>
      </c>
      <c r="K3240" s="256" t="n"/>
      <c r="L3240" s="256" t="n"/>
      <c r="M3240" s="256" t="n"/>
      <c r="N3240" s="256" t="n"/>
      <c r="O3240" s="256" t="n"/>
      <c r="P3240" s="256" t="n"/>
      <c r="Q3240" s="256" t="n"/>
    </row>
    <row r="3241">
      <c r="A3241">
        <f>IF(DAY(D3241)=DAY($L$1+1),A3240+1,A3240)</f>
        <v/>
      </c>
      <c r="B3241" s="1">
        <f>IF(DAY(D3241)=DAY($L$1+1),1,B3240+1)</f>
        <v/>
      </c>
      <c r="C3241" s="46">
        <f>IF(DAY(D3241)=DAY($L$1+1),1,C3240+1)</f>
        <v/>
      </c>
      <c r="D3241" s="2">
        <f>D3240+1</f>
        <v/>
      </c>
      <c r="E3241" s="8">
        <f>IF(DAY(D3241)=DAY($L$1+1),TRUNC((N3240),8),E3240)</f>
        <v/>
      </c>
      <c r="F3241" s="49">
        <f>TRUNC(((1+VLOOKUP(A3241,IPCA!$A$2:$C$140,3,0)))^(C3241/(EDATE(D3241-C3241,1)-(D3241-C3241))),8)</f>
        <v/>
      </c>
      <c r="G3241" s="49">
        <f>TRUNC((E3241*F3241),8)</f>
        <v/>
      </c>
      <c r="H3241" s="49">
        <f>ROUND(((1+$H$4)^(30/360))^(C3241/(EDATE(D3241-B3241,1)-(D3241-B3241))),9)</f>
        <v/>
      </c>
      <c r="I3241" s="49">
        <f>TRUNC((G3241*H3241-G3241),8)</f>
        <v/>
      </c>
      <c r="J3241" s="49">
        <f>G3241+I3241</f>
        <v/>
      </c>
      <c r="K3241" s="256" t="n"/>
      <c r="L3241" s="256" t="n"/>
      <c r="M3241" s="256" t="n"/>
      <c r="N3241" s="256" t="n"/>
      <c r="O3241" s="256" t="n"/>
      <c r="P3241" s="256" t="n"/>
      <c r="Q3241" s="256" t="n"/>
    </row>
    <row r="3242">
      <c r="A3242">
        <f>IF(DAY(D3242)=DAY($L$1+1),A3241+1,A3241)</f>
        <v/>
      </c>
      <c r="B3242" s="1">
        <f>IF(DAY(D3242)=DAY($L$1+1),1,B3241+1)</f>
        <v/>
      </c>
      <c r="C3242" s="46">
        <f>IF(DAY(D3242)=DAY($L$1+1),1,C3241+1)</f>
        <v/>
      </c>
      <c r="D3242" s="2">
        <f>D3241+1</f>
        <v/>
      </c>
      <c r="E3242" s="8">
        <f>IF(DAY(D3242)=DAY($L$1+1),TRUNC((N3241),8),E3241)</f>
        <v/>
      </c>
      <c r="F3242" s="49">
        <f>TRUNC(((1+VLOOKUP(A3242,IPCA!$A$2:$C$140,3,0)))^(C3242/(EDATE(D3242-C3242,1)-(D3242-C3242))),8)</f>
        <v/>
      </c>
      <c r="G3242" s="49">
        <f>TRUNC((E3242*F3242),8)</f>
        <v/>
      </c>
      <c r="H3242" s="49">
        <f>ROUND(((1+$H$4)^(30/360))^(C3242/(EDATE(D3242-B3242,1)-(D3242-B3242))),9)</f>
        <v/>
      </c>
      <c r="I3242" s="49">
        <f>TRUNC((G3242*H3242-G3242),8)</f>
        <v/>
      </c>
      <c r="J3242" s="49">
        <f>G3242+I3242</f>
        <v/>
      </c>
      <c r="K3242" s="256" t="n"/>
      <c r="L3242" s="256" t="n"/>
      <c r="M3242" s="256" t="n"/>
      <c r="N3242" s="256" t="n"/>
      <c r="O3242" s="256" t="n"/>
      <c r="P3242" s="256" t="n"/>
      <c r="Q3242" s="256" t="n"/>
    </row>
    <row r="3243">
      <c r="A3243">
        <f>IF(DAY(D3243)=DAY($L$1+1),A3242+1,A3242)</f>
        <v/>
      </c>
      <c r="B3243" s="1">
        <f>IF(DAY(D3243)=DAY($L$1+1),1,B3242+1)</f>
        <v/>
      </c>
      <c r="C3243" s="46">
        <f>IF(DAY(D3243)=DAY($L$1+1),1,C3242+1)</f>
        <v/>
      </c>
      <c r="D3243" s="2">
        <f>D3242+1</f>
        <v/>
      </c>
      <c r="E3243" s="8">
        <f>IF(DAY(D3243)=DAY($L$1+1),TRUNC((N3242),8),E3242)</f>
        <v/>
      </c>
      <c r="F3243" s="49">
        <f>TRUNC(((1+VLOOKUP(A3243,IPCA!$A$2:$C$140,3,0)))^(C3243/(EDATE(D3243-C3243,1)-(D3243-C3243))),8)</f>
        <v/>
      </c>
      <c r="G3243" s="49">
        <f>TRUNC((E3243*F3243),8)</f>
        <v/>
      </c>
      <c r="H3243" s="49">
        <f>ROUND(((1+$H$4)^(30/360))^(C3243/(EDATE(D3243-B3243,1)-(D3243-B3243))),9)</f>
        <v/>
      </c>
      <c r="I3243" s="49">
        <f>TRUNC((G3243*H3243-G3243),8)</f>
        <v/>
      </c>
      <c r="J3243" s="49">
        <f>G3243+I3243</f>
        <v/>
      </c>
      <c r="K3243" s="256" t="inlineStr">
        <is>
          <t>Cri Integralizado</t>
        </is>
      </c>
      <c r="L3243" s="270">
        <f>L3213</f>
        <v/>
      </c>
      <c r="M3243" s="256" t="n"/>
      <c r="N3243" s="256" t="n"/>
      <c r="O3243" s="256" t="n"/>
      <c r="P3243" s="256" t="n"/>
      <c r="Q3243" s="256" t="n"/>
    </row>
    <row r="3244">
      <c r="A3244">
        <f>IF(DAY(D3244)=DAY($L$1+1),A3243+1,A3243)</f>
        <v/>
      </c>
      <c r="B3244" s="1">
        <f>IF(DAY(D3244)=DAY($L$1+1),1,B3243+1)</f>
        <v/>
      </c>
      <c r="C3244" s="46">
        <f>IF(DAY(D3244)=DAY($L$1+1),1,C3243+1)</f>
        <v/>
      </c>
      <c r="D3244" s="2">
        <f>D3243+1</f>
        <v/>
      </c>
      <c r="E3244" s="8">
        <f>IF(DAY(D3244)=DAY($L$1+1),TRUNC((N3243),8),E3243)</f>
        <v/>
      </c>
      <c r="F3244" s="49">
        <f>TRUNC(((1+VLOOKUP(A3244,IPCA!$A$2:$C$140,3,0)))^(C3244/(EDATE(D3244-C3244,1)-(D3244-C3244))),8)</f>
        <v/>
      </c>
      <c r="G3244" s="49">
        <f>TRUNC((E3244*F3244),8)</f>
        <v/>
      </c>
      <c r="H3244" s="49">
        <f>ROUND(((1+$H$4)^(30/360))^(C3244/(EDATE(D3244-B3244,1)-(D3244-B3244))),9)</f>
        <v/>
      </c>
      <c r="I3244" s="49">
        <f>TRUNC((G3244*H3244-G3244),8)</f>
        <v/>
      </c>
      <c r="J3244" s="49">
        <f>G3244+I3244</f>
        <v/>
      </c>
      <c r="K3244" s="137" t="inlineStr">
        <is>
          <t>JUROS</t>
        </is>
      </c>
      <c r="L3244" s="118" t="inlineStr">
        <is>
          <t>AMORTIZAÇÃO</t>
        </is>
      </c>
      <c r="M3244" s="118" t="inlineStr">
        <is>
          <t>AMEX</t>
        </is>
      </c>
      <c r="N3244" s="118" t="inlineStr">
        <is>
          <t>RESIDUAL</t>
        </is>
      </c>
      <c r="O3244" s="256" t="n"/>
      <c r="P3244" s="256" t="n"/>
      <c r="Q3244" s="256" t="n"/>
    </row>
    <row r="3245">
      <c r="A3245">
        <f>IF(DAY(D3245)=DAY($L$1+1),A3244+1,A3244)</f>
        <v/>
      </c>
      <c r="B3245" s="111">
        <f>IF(DAY(D3245)=DAY($L$1+1),1,B3244+1)</f>
        <v/>
      </c>
      <c r="C3245" s="111">
        <f>IF(DAY(D3245)=DAY($L$1+1),1,C3244+1)</f>
        <v/>
      </c>
      <c r="D3245" s="112">
        <f>D3244+1</f>
        <v/>
      </c>
      <c r="E3245" s="113">
        <f>IF(DAY(D3245)=DAY($L$1+1),TRUNC((N3244),8),E3244)</f>
        <v/>
      </c>
      <c r="F3245" s="114">
        <f>TRUNC(((1+VLOOKUP(A3245,IPCA!$A$2:$C$140,3,0)))^(C3245/(EDATE(D3245-C3245,1)-(D3245-C3245))),8)</f>
        <v/>
      </c>
      <c r="G3245" s="114">
        <f>TRUNC((E3245*F3245),8)</f>
        <v/>
      </c>
      <c r="H3245" s="114">
        <f>ROUND(((1+$H$4)^(30/360))^(C3245/(EDATE(D3245-B3245,1)-(D3245-B3245))),9)</f>
        <v/>
      </c>
      <c r="I3245" s="114">
        <f>TRUNC((G3245*H3245-G3245),8)</f>
        <v/>
      </c>
      <c r="J3245" s="114">
        <f>G3245+I3245</f>
        <v/>
      </c>
      <c r="K3245" s="119">
        <f>I3245</f>
        <v/>
      </c>
      <c r="L3245" s="120">
        <f>TRUNC(G3245*VLOOKUP(D3245,'Amort TS'!$G$3:$H$140,2,0),8)</f>
        <v/>
      </c>
      <c r="M3245" s="120" t="n">
        <v>0</v>
      </c>
      <c r="N3245" s="120">
        <f>J3245-K3245-L3245-M3245</f>
        <v/>
      </c>
      <c r="O3245" s="256" t="n"/>
      <c r="P3245" s="256" t="n"/>
      <c r="Q3245" s="256" t="n"/>
    </row>
    <row r="3246">
      <c r="A3246">
        <f>IF(DAY(D3246)=DAY($L$1+1),A3245+1,A3245)</f>
        <v/>
      </c>
      <c r="B3246" s="1">
        <f>IF(DAY(D3246)=DAY($L$1+1),1,B3245+1)</f>
        <v/>
      </c>
      <c r="C3246" s="46">
        <f>IF(DAY(D3246)=DAY($L$1+1),1,C3245+1)</f>
        <v/>
      </c>
      <c r="D3246" s="2">
        <f>D3245+1</f>
        <v/>
      </c>
      <c r="E3246" s="8">
        <f>IF(DAY(D3246)=DAY($L$1+1),TRUNC((N3245),8),E3245)</f>
        <v/>
      </c>
      <c r="F3246" s="49">
        <f>TRUNC(((1+VLOOKUP(A3246,IPCA!$A$2:$C$140,3,0)))^(C3246/(EDATE(D3246-C3246,1)-(D3246-C3246))),8)</f>
        <v/>
      </c>
      <c r="G3246" s="49">
        <f>TRUNC((E3246*F3246),8)</f>
        <v/>
      </c>
      <c r="H3246" s="49">
        <f>ROUND(((1+$H$4)^(30/360))^(C3246/(EDATE(D3246-B3246,1)-(D3246-B3246))),9)</f>
        <v/>
      </c>
      <c r="I3246" s="49">
        <f>TRUNC((G3246*H3246-G3246),8)</f>
        <v/>
      </c>
      <c r="J3246" s="49">
        <f>G3246+I3246</f>
        <v/>
      </c>
      <c r="K3246" s="121">
        <f>K3245*L3243</f>
        <v/>
      </c>
      <c r="L3246" s="121">
        <f>L3245*L3243</f>
        <v/>
      </c>
      <c r="M3246" s="121">
        <f>M3245*L3243</f>
        <v/>
      </c>
      <c r="N3246" s="121">
        <f>N3245*L3243</f>
        <v/>
      </c>
      <c r="O3246" s="256" t="n"/>
      <c r="P3246" s="256" t="n"/>
      <c r="Q3246" s="256" t="n"/>
    </row>
    <row r="3247">
      <c r="A3247">
        <f>IF(DAY(D3247)=DAY($L$1+1),A3246+1,A3246)</f>
        <v/>
      </c>
      <c r="B3247" s="1">
        <f>IF(DAY(D3247)=DAY($L$1+1),1,B3246+1)</f>
        <v/>
      </c>
      <c r="C3247" s="46">
        <f>IF(DAY(D3247)=DAY($L$1+1),1,C3246+1)</f>
        <v/>
      </c>
      <c r="D3247" s="2">
        <f>D3246+1</f>
        <v/>
      </c>
      <c r="E3247" s="8">
        <f>IF(DAY(D3247)=DAY($L$1+1),TRUNC((N3246),8),E3246)</f>
        <v/>
      </c>
      <c r="F3247" s="49">
        <f>TRUNC(((1+VLOOKUP(A3247,IPCA!$A$2:$C$140,3,0)))^(C3247/(EDATE(D3247-C3247,1)-(D3247-C3247))),8)</f>
        <v/>
      </c>
      <c r="G3247" s="49">
        <f>TRUNC((E3247*F3247),8)</f>
        <v/>
      </c>
      <c r="H3247" s="49">
        <f>ROUND(((1+$H$4)^(30/360))^(C3247/(EDATE(D3247-B3247,1)-(D3247-B3247))),9)</f>
        <v/>
      </c>
      <c r="I3247" s="49">
        <f>TRUNC((G3247*H3247-G3247),8)</f>
        <v/>
      </c>
      <c r="J3247" s="49">
        <f>G3247+I3247</f>
        <v/>
      </c>
      <c r="K3247" s="256" t="n"/>
      <c r="L3247" s="256" t="n"/>
      <c r="M3247" s="256" t="n"/>
      <c r="N3247" s="256" t="n"/>
      <c r="O3247" s="256" t="n"/>
      <c r="P3247" s="256" t="n"/>
      <c r="Q3247" s="256" t="n"/>
    </row>
    <row r="3248">
      <c r="A3248">
        <f>IF(DAY(D3248)=DAY($L$1+1),A3247+1,A3247)</f>
        <v/>
      </c>
      <c r="B3248" s="1">
        <f>IF(DAY(D3248)=DAY($L$1+1),1,B3247+1)</f>
        <v/>
      </c>
      <c r="C3248" s="46">
        <f>IF(DAY(D3248)=DAY($L$1+1),1,C3247+1)</f>
        <v/>
      </c>
      <c r="D3248" s="2">
        <f>D3247+1</f>
        <v/>
      </c>
      <c r="E3248" s="8">
        <f>IF(DAY(D3248)=DAY($L$1+1),TRUNC((#REF!),8),E3247)</f>
        <v/>
      </c>
      <c r="F3248" s="49">
        <f>TRUNC(((1+VLOOKUP(A3248,IPCA!$A$2:$C$140,3,0)))^(C3248/(EDATE(D3248-C3248,1)-(D3248-C3248))),8)</f>
        <v/>
      </c>
      <c r="G3248" s="49">
        <f>TRUNC((E3248*F3248),8)</f>
        <v/>
      </c>
      <c r="H3248" s="49">
        <f>ROUND(((1+$H$4)^(30/360))^(C3248/(EDATE(D3248-B3248,1)-(D3248-B3248))),9)</f>
        <v/>
      </c>
      <c r="I3248" s="49">
        <f>TRUNC((G3248*H3248-G3248),8)</f>
        <v/>
      </c>
      <c r="J3248" s="49">
        <f>G3248+I3248</f>
        <v/>
      </c>
      <c r="K3248" s="256" t="n"/>
      <c r="L3248" s="256" t="n"/>
      <c r="M3248" s="256" t="n"/>
      <c r="N3248" s="256" t="n"/>
      <c r="O3248" s="256" t="n"/>
      <c r="P3248" s="256" t="n"/>
      <c r="Q3248" s="256" t="n"/>
    </row>
    <row r="3249">
      <c r="A3249">
        <f>IF(DAY(D3249)=DAY($L$1+1),A3248+1,A3248)</f>
        <v/>
      </c>
      <c r="B3249" s="1">
        <f>IF(DAY(D3249)=DAY($L$1+1),1,B3248+1)</f>
        <v/>
      </c>
      <c r="C3249" s="46">
        <f>IF(DAY(D3249)=DAY($L$1+1),1,C3248+1)</f>
        <v/>
      </c>
      <c r="D3249" s="2">
        <f>D3248+1</f>
        <v/>
      </c>
      <c r="E3249" s="8">
        <f>IF(DAY(D3249)=DAY($L$1+1),TRUNC((#REF!),8),E3248)</f>
        <v/>
      </c>
      <c r="F3249" s="49">
        <f>TRUNC(((1+VLOOKUP(A3249,IPCA!$A$2:$C$140,3,0)))^(C3249/(EDATE(D3249-C3249,1)-(D3249-C3249))),8)</f>
        <v/>
      </c>
      <c r="G3249" s="49">
        <f>TRUNC((E3249*F3249),8)</f>
        <v/>
      </c>
      <c r="H3249" s="49">
        <f>ROUND(((1+$H$4)^(30/360))^(C3249/(EDATE(D3249-B3249,1)-(D3249-B3249))),9)</f>
        <v/>
      </c>
      <c r="I3249" s="49">
        <f>TRUNC((G3249*H3249-G3249),8)</f>
        <v/>
      </c>
      <c r="J3249" s="49">
        <f>G3249+I3249</f>
        <v/>
      </c>
      <c r="K3249" s="256" t="n"/>
      <c r="L3249" s="256" t="n"/>
      <c r="M3249" s="256" t="n"/>
      <c r="N3249" s="256" t="n"/>
      <c r="O3249" s="256" t="n"/>
      <c r="P3249" s="256" t="n"/>
      <c r="Q3249" s="256" t="n"/>
    </row>
    <row r="3250">
      <c r="A3250">
        <f>IF(DAY(D3250)=DAY($L$1+1),A3249+1,A3249)</f>
        <v/>
      </c>
      <c r="B3250" s="1">
        <f>IF(DAY(D3250)=DAY($L$1+1),1,B3249+1)</f>
        <v/>
      </c>
      <c r="C3250" s="46">
        <f>IF(DAY(D3250)=DAY($L$1+1),1,C3249+1)</f>
        <v/>
      </c>
      <c r="D3250" s="2">
        <f>D3249+1</f>
        <v/>
      </c>
      <c r="E3250" s="8">
        <f>IF(DAY(D3250)=DAY($L$1+1),TRUNC((#REF!),8),E3249)</f>
        <v/>
      </c>
      <c r="F3250" s="49">
        <f>TRUNC(((1+VLOOKUP(A3250,IPCA!$A$2:$C$140,3,0)))^(C3250/(EDATE(D3250-C3250,1)-(D3250-C3250))),8)</f>
        <v/>
      </c>
      <c r="G3250" s="49">
        <f>TRUNC((E3250*F3250),8)</f>
        <v/>
      </c>
      <c r="H3250" s="49">
        <f>ROUND(((1+$H$4)^(30/360))^(C3250/(EDATE(D3250-B3250,1)-(D3250-B3250))),9)</f>
        <v/>
      </c>
      <c r="I3250" s="49">
        <f>TRUNC((G3250*H3250-G3250),8)</f>
        <v/>
      </c>
      <c r="J3250" s="49">
        <f>G3250+I3250</f>
        <v/>
      </c>
      <c r="K3250" s="256" t="n"/>
      <c r="L3250" s="256" t="n"/>
      <c r="M3250" s="256" t="n"/>
      <c r="N3250" s="256" t="n"/>
      <c r="O3250" s="256" t="n"/>
      <c r="P3250" s="256" t="n"/>
      <c r="Q3250" s="256" t="n"/>
    </row>
    <row r="3251">
      <c r="A3251">
        <f>IF(DAY(D3251)=DAY($L$1+1),A3250+1,A3250)</f>
        <v/>
      </c>
      <c r="B3251" s="1">
        <f>IF(DAY(D3251)=DAY($L$1+1),1,B3250+1)</f>
        <v/>
      </c>
      <c r="C3251" s="46">
        <f>IF(DAY(D3251)=DAY($L$1+1),1,C3250+1)</f>
        <v/>
      </c>
      <c r="D3251" s="2">
        <f>D3250+1</f>
        <v/>
      </c>
      <c r="E3251" s="8">
        <f>IF(DAY(D3251)=DAY($L$1+1),TRUNC((#REF!),8),E3250)</f>
        <v/>
      </c>
      <c r="F3251" s="49">
        <f>TRUNC(((1+VLOOKUP(A3251,IPCA!$A$2:$C$140,3,0)))^(C3251/(EDATE(D3251-C3251,1)-(D3251-C3251))),8)</f>
        <v/>
      </c>
      <c r="G3251" s="49">
        <f>TRUNC((E3251*F3251),8)</f>
        <v/>
      </c>
      <c r="H3251" s="49">
        <f>ROUND(((1+$H$4)^(30/360))^(C3251/(EDATE(D3251-B3251,1)-(D3251-B3251))),9)</f>
        <v/>
      </c>
      <c r="I3251" s="49">
        <f>TRUNC((G3251*H3251-G3251),8)</f>
        <v/>
      </c>
      <c r="J3251" s="49">
        <f>G3251+I3251</f>
        <v/>
      </c>
      <c r="K3251" s="256" t="n"/>
      <c r="L3251" s="256" t="n"/>
      <c r="M3251" s="256" t="n"/>
      <c r="N3251" s="256" t="n"/>
      <c r="O3251" s="256" t="n"/>
      <c r="P3251" s="256" t="n"/>
      <c r="Q3251" s="256" t="n"/>
    </row>
    <row r="3252">
      <c r="A3252">
        <f>IF(DAY(D3252)=DAY($L$1+1),A3251+1,A3251)</f>
        <v/>
      </c>
      <c r="B3252" s="1">
        <f>IF(DAY(D3252)=DAY($L$1+1),1,B3251+1)</f>
        <v/>
      </c>
      <c r="C3252" s="46">
        <f>IF(DAY(D3252)=DAY($L$1+1),1,C3251+1)</f>
        <v/>
      </c>
      <c r="D3252" s="2">
        <f>D3251+1</f>
        <v/>
      </c>
      <c r="E3252" s="8">
        <f>IF(DAY(D3252)=DAY($L$1+1),TRUNC((#REF!),8),E3251)</f>
        <v/>
      </c>
      <c r="F3252" s="49">
        <f>TRUNC(((1+VLOOKUP(A3252,IPCA!$A$2:$C$140,3,0)))^(C3252/(EDATE(D3252-C3252,1)-(D3252-C3252))),8)</f>
        <v/>
      </c>
      <c r="G3252" s="49">
        <f>TRUNC((E3252*F3252),8)</f>
        <v/>
      </c>
      <c r="H3252" s="49">
        <f>ROUND(((1+$H$4)^(30/360))^(C3252/(EDATE(D3252-B3252,1)-(D3252-B3252))),9)</f>
        <v/>
      </c>
      <c r="I3252" s="49">
        <f>TRUNC((G3252*H3252-G3252),8)</f>
        <v/>
      </c>
      <c r="J3252" s="49">
        <f>G3252+I3252</f>
        <v/>
      </c>
      <c r="K3252" s="256" t="n"/>
      <c r="L3252" s="256" t="n"/>
      <c r="M3252" s="256" t="n"/>
      <c r="N3252" s="256" t="n"/>
      <c r="O3252" s="256" t="n"/>
      <c r="P3252" s="256" t="n"/>
      <c r="Q3252" s="256" t="n"/>
    </row>
    <row r="3253">
      <c r="A3253">
        <f>IF(DAY(D3253)=DAY($L$1+1),A3252+1,A3252)</f>
        <v/>
      </c>
      <c r="B3253" s="1">
        <f>IF(DAY(D3253)=DAY($L$1+1),1,B3252+1)</f>
        <v/>
      </c>
      <c r="C3253" s="46">
        <f>IF(DAY(D3253)=DAY($L$1+1),1,C3252+1)</f>
        <v/>
      </c>
      <c r="D3253" s="2">
        <f>D3252+1</f>
        <v/>
      </c>
      <c r="E3253" s="8">
        <f>IF(DAY(D3253)=DAY($L$1+1),TRUNC((#REF!),8),E3252)</f>
        <v/>
      </c>
      <c r="F3253" s="49">
        <f>TRUNC(((1+VLOOKUP(A3253,IPCA!$A$2:$C$140,3,0)))^(C3253/(EDATE(D3253-C3253,1)-(D3253-C3253))),8)</f>
        <v/>
      </c>
      <c r="G3253" s="49">
        <f>TRUNC((E3253*F3253),8)</f>
        <v/>
      </c>
      <c r="H3253" s="49">
        <f>ROUND(((1+$H$4)^(30/360))^(C3253/(EDATE(D3253-B3253,1)-(D3253-B3253))),9)</f>
        <v/>
      </c>
      <c r="I3253" s="49">
        <f>TRUNC((G3253*H3253-G3253),8)</f>
        <v/>
      </c>
      <c r="J3253" s="49">
        <f>G3253+I3253</f>
        <v/>
      </c>
      <c r="K3253" s="256" t="n"/>
      <c r="L3253" s="256" t="n"/>
      <c r="M3253" s="256" t="n"/>
      <c r="N3253" s="256" t="n"/>
      <c r="O3253" s="256" t="n"/>
      <c r="P3253" s="256" t="n"/>
      <c r="Q3253" s="256" t="n"/>
    </row>
    <row r="3254">
      <c r="A3254">
        <f>IF(DAY(D3254)=DAY($L$1+1),A3253+1,A3253)</f>
        <v/>
      </c>
      <c r="B3254" s="1">
        <f>IF(DAY(D3254)=DAY($L$1+1),1,B3253+1)</f>
        <v/>
      </c>
      <c r="C3254" s="46">
        <f>IF(DAY(D3254)=DAY($L$1+1),1,C3253+1)</f>
        <v/>
      </c>
      <c r="D3254" s="2">
        <f>D3253+1</f>
        <v/>
      </c>
      <c r="E3254" s="8">
        <f>IF(DAY(D3254)=DAY($L$1+1),TRUNC((#REF!),8),E3253)</f>
        <v/>
      </c>
      <c r="F3254" s="49">
        <f>TRUNC(((1+VLOOKUP(A3254,IPCA!$A$2:$C$140,3,0)))^(C3254/(EDATE(D3254-C3254,1)-(D3254-C3254))),8)</f>
        <v/>
      </c>
      <c r="G3254" s="49">
        <f>TRUNC((E3254*F3254),8)</f>
        <v/>
      </c>
      <c r="H3254" s="49">
        <f>ROUND(((1+$H$4)^(30/360))^(C3254/(EDATE(D3254-B3254,1)-(D3254-B3254))),9)</f>
        <v/>
      </c>
      <c r="I3254" s="49">
        <f>TRUNC((G3254*H3254-G3254),8)</f>
        <v/>
      </c>
      <c r="J3254" s="49">
        <f>G3254+I3254</f>
        <v/>
      </c>
      <c r="K3254" s="256" t="n"/>
      <c r="L3254" s="256" t="n"/>
      <c r="M3254" s="256" t="n"/>
      <c r="N3254" s="256" t="n"/>
      <c r="O3254" s="256" t="n"/>
      <c r="P3254" s="256" t="n"/>
      <c r="Q3254" s="256" t="n"/>
    </row>
    <row r="3255">
      <c r="A3255">
        <f>IF(DAY(D3255)=DAY($L$1+1),A3254+1,A3254)</f>
        <v/>
      </c>
      <c r="B3255" s="1">
        <f>IF(DAY(D3255)=DAY($L$1+1),1,B3254+1)</f>
        <v/>
      </c>
      <c r="C3255" s="46">
        <f>IF(DAY(D3255)=DAY($L$1+1),1,C3254+1)</f>
        <v/>
      </c>
      <c r="D3255" s="2">
        <f>D3254+1</f>
        <v/>
      </c>
      <c r="E3255" s="8">
        <f>IF(DAY(D3255)=DAY($L$1+1),TRUNC((#REF!),8),E3254)</f>
        <v/>
      </c>
      <c r="F3255" s="49">
        <f>TRUNC(((1+VLOOKUP(A3255,IPCA!$A$2:$C$140,3,0)))^(C3255/(EDATE(D3255-C3255,1)-(D3255-C3255))),8)</f>
        <v/>
      </c>
      <c r="G3255" s="49">
        <f>TRUNC((E3255*F3255),8)</f>
        <v/>
      </c>
      <c r="H3255" s="49">
        <f>ROUND(((1+$H$4)^(30/360))^(C3255/(EDATE(D3255-B3255,1)-(D3255-B3255))),9)</f>
        <v/>
      </c>
      <c r="I3255" s="49">
        <f>TRUNC((G3255*H3255-G3255),8)</f>
        <v/>
      </c>
      <c r="J3255" s="49">
        <f>G3255+I3255</f>
        <v/>
      </c>
      <c r="K3255" s="256" t="n"/>
      <c r="L3255" s="256" t="n"/>
      <c r="M3255" s="256" t="n"/>
      <c r="N3255" s="256" t="n"/>
      <c r="O3255" s="256" t="n"/>
      <c r="P3255" s="256" t="n"/>
      <c r="Q3255" s="256" t="n"/>
    </row>
    <row r="3256">
      <c r="A3256">
        <f>IF(DAY(D3256)=DAY($L$1+1),A3255+1,A3255)</f>
        <v/>
      </c>
      <c r="B3256" s="1">
        <f>IF(DAY(D3256)=DAY($L$1+1),1,B3255+1)</f>
        <v/>
      </c>
      <c r="C3256" s="46">
        <f>IF(DAY(D3256)=DAY($L$1+1),1,C3255+1)</f>
        <v/>
      </c>
      <c r="D3256" s="2">
        <f>D3255+1</f>
        <v/>
      </c>
      <c r="E3256" s="8">
        <f>IF(DAY(D3256)=DAY($L$1+1),TRUNC((#REF!),8),E3255)</f>
        <v/>
      </c>
      <c r="F3256" s="49">
        <f>TRUNC(((1+VLOOKUP(A3256,IPCA!$A$2:$C$140,3,0)))^(C3256/(EDATE(D3256-C3256,1)-(D3256-C3256))),8)</f>
        <v/>
      </c>
      <c r="G3256" s="49">
        <f>TRUNC((E3256*F3256),8)</f>
        <v/>
      </c>
      <c r="H3256" s="49">
        <f>ROUND(((1+$H$4)^(30/360))^(C3256/(EDATE(D3256-B3256,1)-(D3256-B3256))),9)</f>
        <v/>
      </c>
      <c r="I3256" s="49">
        <f>TRUNC((G3256*H3256-G3256),8)</f>
        <v/>
      </c>
      <c r="J3256" s="49">
        <f>G3256+I3256</f>
        <v/>
      </c>
      <c r="K3256" s="256" t="n"/>
      <c r="L3256" s="256" t="n"/>
      <c r="M3256" s="256" t="n"/>
      <c r="N3256" s="256" t="n"/>
      <c r="O3256" s="256" t="n"/>
      <c r="P3256" s="256" t="n"/>
      <c r="Q3256" s="256" t="n"/>
    </row>
    <row r="3257">
      <c r="A3257">
        <f>IF(DAY(D3257)=DAY($L$1+1),A3256+1,A3256)</f>
        <v/>
      </c>
      <c r="B3257" s="1">
        <f>IF(DAY(D3257)=DAY($L$1+1),1,B3256+1)</f>
        <v/>
      </c>
      <c r="C3257" s="46">
        <f>IF(DAY(D3257)=DAY($L$1+1),1,C3256+1)</f>
        <v/>
      </c>
      <c r="D3257" s="2">
        <f>D3256+1</f>
        <v/>
      </c>
      <c r="E3257" s="8">
        <f>IF(DAY(D3257)=DAY($L$1+1),TRUNC((#REF!),8),E3256)</f>
        <v/>
      </c>
      <c r="F3257" s="49">
        <f>TRUNC(((1+VLOOKUP(A3257,IPCA!$A$2:$C$140,3,0)))^(C3257/(EDATE(D3257-C3257,1)-(D3257-C3257))),8)</f>
        <v/>
      </c>
      <c r="G3257" s="49">
        <f>TRUNC((E3257*F3257),8)</f>
        <v/>
      </c>
      <c r="H3257" s="49">
        <f>ROUND(((1+$H$4)^(30/360))^(C3257/(EDATE(D3257-B3257,1)-(D3257-B3257))),9)</f>
        <v/>
      </c>
      <c r="I3257" s="49">
        <f>TRUNC((G3257*H3257-G3257),8)</f>
        <v/>
      </c>
      <c r="J3257" s="49">
        <f>G3257+I3257</f>
        <v/>
      </c>
      <c r="K3257" s="256" t="n"/>
      <c r="L3257" s="256" t="n"/>
      <c r="M3257" s="256" t="n"/>
      <c r="N3257" s="256" t="n"/>
      <c r="O3257" s="256" t="n"/>
      <c r="P3257" s="256" t="n"/>
      <c r="Q3257" s="256" t="n"/>
    </row>
    <row r="3258">
      <c r="A3258">
        <f>IF(DAY(D3258)=DAY($L$1+1),A3257+1,A3257)</f>
        <v/>
      </c>
      <c r="B3258" s="1">
        <f>IF(DAY(D3258)=DAY($L$1+1),1,B3257+1)</f>
        <v/>
      </c>
      <c r="C3258" s="46">
        <f>IF(DAY(D3258)=DAY($L$1+1),1,C3257+1)</f>
        <v/>
      </c>
      <c r="D3258" s="2">
        <f>D3257+1</f>
        <v/>
      </c>
      <c r="E3258" s="8">
        <f>IF(DAY(D3258)=DAY($L$1+1),TRUNC((#REF!),8),E3257)</f>
        <v/>
      </c>
      <c r="F3258" s="49">
        <f>TRUNC(((1+VLOOKUP(A3258,IPCA!$A$2:$C$140,3,0)))^(C3258/(EDATE(D3258-C3258,1)-(D3258-C3258))),8)</f>
        <v/>
      </c>
      <c r="G3258" s="49">
        <f>TRUNC((E3258*F3258),8)</f>
        <v/>
      </c>
      <c r="H3258" s="49">
        <f>ROUND(((1+$H$4)^(30/360))^(C3258/(EDATE(D3258-B3258,1)-(D3258-B3258))),9)</f>
        <v/>
      </c>
      <c r="I3258" s="49">
        <f>TRUNC((G3258*H3258-G3258),8)</f>
        <v/>
      </c>
      <c r="J3258" s="49">
        <f>G3258+I3258</f>
        <v/>
      </c>
      <c r="K3258" s="256" t="n"/>
      <c r="L3258" s="256" t="n"/>
      <c r="M3258" s="256" t="n"/>
      <c r="N3258" s="256" t="n"/>
      <c r="O3258" s="256" t="n"/>
      <c r="P3258" s="256" t="n"/>
      <c r="Q3258" s="256" t="n"/>
    </row>
    <row r="3259">
      <c r="A3259">
        <f>IF(DAY(D3259)=DAY($L$1+1),A3258+1,A3258)</f>
        <v/>
      </c>
      <c r="B3259" s="1">
        <f>IF(DAY(D3259)=DAY($L$1+1),1,B3258+1)</f>
        <v/>
      </c>
      <c r="C3259" s="46">
        <f>IF(DAY(D3259)=DAY($L$1+1),1,C3258+1)</f>
        <v/>
      </c>
      <c r="D3259" s="2">
        <f>D3258+1</f>
        <v/>
      </c>
      <c r="E3259" s="8">
        <f>IF(DAY(D3259)=DAY($L$1+1),TRUNC((N3258),8),E3258)</f>
        <v/>
      </c>
      <c r="F3259" s="49">
        <f>TRUNC(((1+VLOOKUP(A3259,IPCA!$A$2:$C$140,3,0)))^(C3259/(EDATE(D3259-C3259,1)-(D3259-C3259))),8)</f>
        <v/>
      </c>
      <c r="G3259" s="49">
        <f>TRUNC((E3259*F3259),8)</f>
        <v/>
      </c>
      <c r="H3259" s="49">
        <f>ROUND(((1+$H$4)^(30/360))^(C3259/(EDATE(D3259-B3259,1)-(D3259-B3259))),9)</f>
        <v/>
      </c>
      <c r="I3259" s="49">
        <f>TRUNC((G3259*H3259-G3259),8)</f>
        <v/>
      </c>
      <c r="J3259" s="49">
        <f>G3259+I3259</f>
        <v/>
      </c>
      <c r="K3259" s="256" t="n"/>
      <c r="L3259" s="256" t="n"/>
      <c r="M3259" s="256" t="n"/>
      <c r="N3259" s="256" t="n"/>
      <c r="O3259" s="256" t="n"/>
      <c r="P3259" s="256" t="n"/>
      <c r="Q3259" s="256" t="n"/>
    </row>
    <row r="3260">
      <c r="A3260">
        <f>IF(DAY(D3260)=DAY($L$1+1),A3259+1,A3259)</f>
        <v/>
      </c>
      <c r="B3260" s="1">
        <f>IF(DAY(D3260)=DAY($L$1+1),1,B3259+1)</f>
        <v/>
      </c>
      <c r="C3260" s="46">
        <f>IF(DAY(D3260)=DAY($L$1+1),1,C3259+1)</f>
        <v/>
      </c>
      <c r="D3260" s="2">
        <f>D3259+1</f>
        <v/>
      </c>
      <c r="E3260" s="8">
        <f>IF(DAY(D3260)=DAY($L$1+1),TRUNC((N3259),8),E3259)</f>
        <v/>
      </c>
      <c r="F3260" s="49">
        <f>TRUNC(((1+VLOOKUP(A3260,IPCA!$A$2:$C$140,3,0)))^(C3260/(EDATE(D3260-C3260,1)-(D3260-C3260))),8)</f>
        <v/>
      </c>
      <c r="G3260" s="49">
        <f>TRUNC((E3260*F3260),8)</f>
        <v/>
      </c>
      <c r="H3260" s="49">
        <f>ROUND(((1+$H$4)^(30/360))^(C3260/(EDATE(D3260-B3260,1)-(D3260-B3260))),9)</f>
        <v/>
      </c>
      <c r="I3260" s="49">
        <f>TRUNC((G3260*H3260-G3260),8)</f>
        <v/>
      </c>
      <c r="J3260" s="49">
        <f>G3260+I3260</f>
        <v/>
      </c>
      <c r="K3260" s="256" t="n"/>
      <c r="L3260" s="256" t="n"/>
      <c r="M3260" s="256" t="n"/>
      <c r="N3260" s="256" t="n"/>
      <c r="O3260" s="256" t="n"/>
      <c r="P3260" s="256" t="n"/>
      <c r="Q3260" s="256" t="n"/>
    </row>
    <row r="3261">
      <c r="A3261">
        <f>IF(DAY(D3261)=DAY($L$1+1),A3260+1,A3260)</f>
        <v/>
      </c>
      <c r="B3261" s="1">
        <f>IF(DAY(D3261)=DAY($L$1+1),1,B3260+1)</f>
        <v/>
      </c>
      <c r="C3261" s="46">
        <f>IF(DAY(D3261)=DAY($L$1+1),1,C3260+1)</f>
        <v/>
      </c>
      <c r="D3261" s="2">
        <f>D3260+1</f>
        <v/>
      </c>
      <c r="E3261" s="8">
        <f>IF(DAY(D3261)=DAY($L$1+1),TRUNC((N3260),8),E3260)</f>
        <v/>
      </c>
      <c r="F3261" s="49">
        <f>TRUNC(((1+VLOOKUP(A3261,IPCA!$A$2:$C$140,3,0)))^(C3261/(EDATE(D3261-C3261,1)-(D3261-C3261))),8)</f>
        <v/>
      </c>
      <c r="G3261" s="49">
        <f>TRUNC((E3261*F3261),8)</f>
        <v/>
      </c>
      <c r="H3261" s="49">
        <f>ROUND(((1+$H$4)^(30/360))^(C3261/(EDATE(D3261-B3261,1)-(D3261-B3261))),9)</f>
        <v/>
      </c>
      <c r="I3261" s="49">
        <f>TRUNC((G3261*H3261-G3261),8)</f>
        <v/>
      </c>
      <c r="J3261" s="49">
        <f>G3261+I3261</f>
        <v/>
      </c>
      <c r="K3261" s="256" t="n"/>
      <c r="L3261" s="256" t="n"/>
      <c r="M3261" s="256" t="n"/>
      <c r="N3261" s="256" t="n"/>
      <c r="O3261" s="256" t="n"/>
      <c r="P3261" s="256" t="n"/>
      <c r="Q3261" s="256" t="n"/>
    </row>
    <row r="3262">
      <c r="A3262">
        <f>IF(DAY(D3262)=DAY($L$1+1),A3261+1,A3261)</f>
        <v/>
      </c>
      <c r="B3262" s="1">
        <f>IF(DAY(D3262)=DAY($L$1+1),1,B3261+1)</f>
        <v/>
      </c>
      <c r="C3262" s="46">
        <f>IF(DAY(D3262)=DAY($L$1+1),1,C3261+1)</f>
        <v/>
      </c>
      <c r="D3262" s="2">
        <f>D3261+1</f>
        <v/>
      </c>
      <c r="E3262" s="8">
        <f>IF(DAY(D3262)=DAY($L$1+1),TRUNC((N3261),8),E3261)</f>
        <v/>
      </c>
      <c r="F3262" s="49">
        <f>TRUNC(((1+VLOOKUP(A3262,IPCA!$A$2:$C$140,3,0)))^(C3262/(EDATE(D3262-C3262,1)-(D3262-C3262))),8)</f>
        <v/>
      </c>
      <c r="G3262" s="49">
        <f>TRUNC((E3262*F3262),8)</f>
        <v/>
      </c>
      <c r="H3262" s="49">
        <f>ROUND(((1+$H$4)^(30/360))^(C3262/(EDATE(D3262-B3262,1)-(D3262-B3262))),9)</f>
        <v/>
      </c>
      <c r="I3262" s="49">
        <f>TRUNC((G3262*H3262-G3262),8)</f>
        <v/>
      </c>
      <c r="J3262" s="49">
        <f>G3262+I3262</f>
        <v/>
      </c>
      <c r="K3262" s="256" t="n"/>
      <c r="L3262" s="256" t="n"/>
      <c r="M3262" s="256" t="n"/>
      <c r="N3262" s="256" t="n"/>
      <c r="O3262" s="256" t="n"/>
      <c r="P3262" s="256" t="n"/>
      <c r="Q3262" s="256" t="n"/>
    </row>
    <row r="3263">
      <c r="A3263">
        <f>IF(DAY(D3263)=DAY($L$1+1),A3262+1,A3262)</f>
        <v/>
      </c>
      <c r="B3263" s="1">
        <f>IF(DAY(D3263)=DAY($L$1+1),1,B3262+1)</f>
        <v/>
      </c>
      <c r="C3263" s="46">
        <f>IF(DAY(D3263)=DAY($L$1+1),1,C3262+1)</f>
        <v/>
      </c>
      <c r="D3263" s="2">
        <f>D3262+1</f>
        <v/>
      </c>
      <c r="E3263" s="8">
        <f>IF(DAY(D3263)=DAY($L$1+1),TRUNC((N3262),8),E3262)</f>
        <v/>
      </c>
      <c r="F3263" s="49">
        <f>TRUNC(((1+VLOOKUP(A3263,IPCA!$A$2:$C$140,3,0)))^(C3263/(EDATE(D3263-C3263,1)-(D3263-C3263))),8)</f>
        <v/>
      </c>
      <c r="G3263" s="49">
        <f>TRUNC((E3263*F3263),8)</f>
        <v/>
      </c>
      <c r="H3263" s="49">
        <f>ROUND(((1+$H$4)^(30/360))^(C3263/(EDATE(D3263-B3263,1)-(D3263-B3263))),9)</f>
        <v/>
      </c>
      <c r="I3263" s="49">
        <f>TRUNC((G3263*H3263-G3263),8)</f>
        <v/>
      </c>
      <c r="J3263" s="49">
        <f>G3263+I3263</f>
        <v/>
      </c>
      <c r="K3263" s="256" t="n"/>
      <c r="L3263" s="256" t="n"/>
      <c r="M3263" s="256" t="n"/>
      <c r="N3263" s="256" t="n"/>
      <c r="O3263" s="256" t="n"/>
      <c r="P3263" s="256" t="n"/>
      <c r="Q3263" s="256" t="n"/>
    </row>
    <row r="3264">
      <c r="A3264">
        <f>IF(DAY(D3264)=DAY($L$1+1),A3263+1,A3263)</f>
        <v/>
      </c>
      <c r="B3264" s="1">
        <f>IF(DAY(D3264)=DAY($L$1+1),1,B3263+1)</f>
        <v/>
      </c>
      <c r="C3264" s="46">
        <f>IF(DAY(D3264)=DAY($L$1+1),1,C3263+1)</f>
        <v/>
      </c>
      <c r="D3264" s="2">
        <f>D3263+1</f>
        <v/>
      </c>
      <c r="E3264" s="8">
        <f>IF(DAY(D3264)=DAY($L$1+1),TRUNC((N3263),8),E3263)</f>
        <v/>
      </c>
      <c r="F3264" s="49">
        <f>TRUNC(((1+VLOOKUP(A3264,IPCA!$A$2:$C$140,3,0)))^(C3264/(EDATE(D3264-C3264,1)-(D3264-C3264))),8)</f>
        <v/>
      </c>
      <c r="G3264" s="49">
        <f>TRUNC((E3264*F3264),8)</f>
        <v/>
      </c>
      <c r="H3264" s="49">
        <f>ROUND(((1+$H$4)^(30/360))^(C3264/(EDATE(D3264-B3264,1)-(D3264-B3264))),9)</f>
        <v/>
      </c>
      <c r="I3264" s="49">
        <f>TRUNC((G3264*H3264-G3264),8)</f>
        <v/>
      </c>
      <c r="J3264" s="49">
        <f>G3264+I3264</f>
        <v/>
      </c>
      <c r="K3264" s="256" t="n"/>
      <c r="L3264" s="256" t="n"/>
      <c r="M3264" s="256" t="n"/>
      <c r="N3264" s="256" t="n"/>
      <c r="O3264" s="256" t="n"/>
      <c r="P3264" s="256" t="n"/>
      <c r="Q3264" s="256" t="n"/>
    </row>
    <row r="3265">
      <c r="A3265">
        <f>IF(DAY(D3265)=DAY($L$1+1),A3264+1,A3264)</f>
        <v/>
      </c>
      <c r="B3265" s="1">
        <f>IF(DAY(D3265)=DAY($L$1+1),1,B3264+1)</f>
        <v/>
      </c>
      <c r="C3265" s="46">
        <f>IF(DAY(D3265)=DAY($L$1+1),1,C3264+1)</f>
        <v/>
      </c>
      <c r="D3265" s="2">
        <f>D3264+1</f>
        <v/>
      </c>
      <c r="E3265" s="8">
        <f>IF(DAY(D3265)=DAY($L$1+1),TRUNC((N3264),8),E3264)</f>
        <v/>
      </c>
      <c r="F3265" s="49">
        <f>TRUNC(((1+VLOOKUP(A3265,IPCA!$A$2:$C$140,3,0)))^(C3265/(EDATE(D3265-C3265,1)-(D3265-C3265))),8)</f>
        <v/>
      </c>
      <c r="G3265" s="49">
        <f>TRUNC((E3265*F3265),8)</f>
        <v/>
      </c>
      <c r="H3265" s="49">
        <f>ROUND(((1+$H$4)^(30/360))^(C3265/(EDATE(D3265-B3265,1)-(D3265-B3265))),9)</f>
        <v/>
      </c>
      <c r="I3265" s="49">
        <f>TRUNC((G3265*H3265-G3265),8)</f>
        <v/>
      </c>
      <c r="J3265" s="49">
        <f>G3265+I3265</f>
        <v/>
      </c>
      <c r="K3265" s="256" t="n"/>
      <c r="L3265" s="256" t="n"/>
      <c r="M3265" s="256" t="n"/>
      <c r="N3265" s="256" t="n"/>
      <c r="O3265" s="256" t="n"/>
      <c r="P3265" s="256" t="n"/>
      <c r="Q3265" s="256" t="n"/>
    </row>
    <row r="3266">
      <c r="A3266">
        <f>IF(DAY(D3266)=DAY($L$1+1),A3265+1,A3265)</f>
        <v/>
      </c>
      <c r="B3266" s="1">
        <f>IF(DAY(D3266)=DAY($L$1+1),1,B3265+1)</f>
        <v/>
      </c>
      <c r="C3266" s="46">
        <f>IF(DAY(D3266)=DAY($L$1+1),1,C3265+1)</f>
        <v/>
      </c>
      <c r="D3266" s="2">
        <f>D3265+1</f>
        <v/>
      </c>
      <c r="E3266" s="8">
        <f>IF(DAY(D3266)=DAY($L$1+1),TRUNC((N3265),8),E3265)</f>
        <v/>
      </c>
      <c r="F3266" s="49">
        <f>TRUNC(((1+VLOOKUP(A3266,IPCA!$A$2:$C$140,3,0)))^(C3266/(EDATE(D3266-C3266,1)-(D3266-C3266))),8)</f>
        <v/>
      </c>
      <c r="G3266" s="49">
        <f>TRUNC((E3266*F3266),8)</f>
        <v/>
      </c>
      <c r="H3266" s="49">
        <f>ROUND(((1+$H$4)^(30/360))^(C3266/(EDATE(D3266-B3266,1)-(D3266-B3266))),9)</f>
        <v/>
      </c>
      <c r="I3266" s="49">
        <f>TRUNC((G3266*H3266-G3266),8)</f>
        <v/>
      </c>
      <c r="J3266" s="49">
        <f>G3266+I3266</f>
        <v/>
      </c>
      <c r="K3266" s="256" t="n"/>
      <c r="L3266" s="256" t="n"/>
      <c r="M3266" s="256" t="n"/>
      <c r="N3266" s="256" t="n"/>
      <c r="O3266" s="256" t="n"/>
      <c r="P3266" s="256" t="n"/>
      <c r="Q3266" s="256" t="n"/>
    </row>
    <row r="3267">
      <c r="A3267">
        <f>IF(DAY(D3267)=DAY($L$1+1),A3266+1,A3266)</f>
        <v/>
      </c>
      <c r="B3267" s="1">
        <f>IF(DAY(D3267)=DAY($L$1+1),1,B3266+1)</f>
        <v/>
      </c>
      <c r="C3267" s="46">
        <f>IF(DAY(D3267)=DAY($L$1+1),1,C3266+1)</f>
        <v/>
      </c>
      <c r="D3267" s="2">
        <f>D3266+1</f>
        <v/>
      </c>
      <c r="E3267" s="8">
        <f>IF(DAY(D3267)=DAY($L$1+1),TRUNC((N3266),8),E3266)</f>
        <v/>
      </c>
      <c r="F3267" s="49">
        <f>TRUNC(((1+VLOOKUP(A3267,IPCA!$A$2:$C$140,3,0)))^(C3267/(EDATE(D3267-C3267,1)-(D3267-C3267))),8)</f>
        <v/>
      </c>
      <c r="G3267" s="49">
        <f>TRUNC((E3267*F3267),8)</f>
        <v/>
      </c>
      <c r="H3267" s="49">
        <f>ROUND(((1+$H$4)^(30/360))^(C3267/(EDATE(D3267-B3267,1)-(D3267-B3267))),9)</f>
        <v/>
      </c>
      <c r="I3267" s="49">
        <f>TRUNC((G3267*H3267-G3267),8)</f>
        <v/>
      </c>
      <c r="J3267" s="49">
        <f>G3267+I3267</f>
        <v/>
      </c>
      <c r="K3267" s="256" t="n"/>
      <c r="L3267" s="256" t="n"/>
      <c r="M3267" s="256" t="n"/>
      <c r="N3267" s="256" t="n"/>
      <c r="O3267" s="256" t="n"/>
      <c r="P3267" s="256" t="n"/>
      <c r="Q3267" s="256" t="n"/>
    </row>
    <row r="3268">
      <c r="A3268">
        <f>IF(DAY(D3268)=DAY($L$1+1),A3267+1,A3267)</f>
        <v/>
      </c>
      <c r="B3268" s="1">
        <f>IF(DAY(D3268)=DAY($L$1+1),1,B3267+1)</f>
        <v/>
      </c>
      <c r="C3268" s="46">
        <f>IF(DAY(D3268)=DAY($L$1+1),1,C3267+1)</f>
        <v/>
      </c>
      <c r="D3268" s="2">
        <f>D3267+1</f>
        <v/>
      </c>
      <c r="E3268" s="8">
        <f>IF(DAY(D3268)=DAY($L$1+1),TRUNC((N3267),8),E3267)</f>
        <v/>
      </c>
      <c r="F3268" s="49">
        <f>TRUNC(((1+VLOOKUP(A3268,IPCA!$A$2:$C$140,3,0)))^(C3268/(EDATE(D3268-C3268,1)-(D3268-C3268))),8)</f>
        <v/>
      </c>
      <c r="G3268" s="49">
        <f>TRUNC((E3268*F3268),8)</f>
        <v/>
      </c>
      <c r="H3268" s="49">
        <f>ROUND(((1+$H$4)^(30/360))^(C3268/(EDATE(D3268-B3268,1)-(D3268-B3268))),9)</f>
        <v/>
      </c>
      <c r="I3268" s="49">
        <f>TRUNC((G3268*H3268-G3268),8)</f>
        <v/>
      </c>
      <c r="J3268" s="49">
        <f>G3268+I3268</f>
        <v/>
      </c>
      <c r="K3268" s="256" t="n"/>
      <c r="L3268" s="256" t="n"/>
      <c r="M3268" s="256" t="n"/>
      <c r="N3268" s="256" t="n"/>
      <c r="O3268" s="256" t="n"/>
      <c r="P3268" s="256" t="n"/>
      <c r="Q3268" s="256" t="n"/>
    </row>
    <row r="3269">
      <c r="A3269">
        <f>IF(DAY(D3269)=DAY($L$1+1),A3268+1,A3268)</f>
        <v/>
      </c>
      <c r="B3269" s="1">
        <f>IF(DAY(D3269)=DAY($L$1+1),1,B3268+1)</f>
        <v/>
      </c>
      <c r="C3269" s="46">
        <f>IF(DAY(D3269)=DAY($L$1+1),1,C3268+1)</f>
        <v/>
      </c>
      <c r="D3269" s="2">
        <f>D3268+1</f>
        <v/>
      </c>
      <c r="E3269" s="8">
        <f>IF(DAY(D3269)=DAY($L$1+1),TRUNC((N3268),8),E3268)</f>
        <v/>
      </c>
      <c r="F3269" s="49">
        <f>TRUNC(((1+VLOOKUP(A3269,IPCA!$A$2:$C$140,3,0)))^(C3269/(EDATE(D3269-C3269,1)-(D3269-C3269))),8)</f>
        <v/>
      </c>
      <c r="G3269" s="49">
        <f>TRUNC((E3269*F3269),8)</f>
        <v/>
      </c>
      <c r="H3269" s="49">
        <f>ROUND(((1+$H$4)^(30/360))^(C3269/(EDATE(D3269-B3269,1)-(D3269-B3269))),9)</f>
        <v/>
      </c>
      <c r="I3269" s="49">
        <f>TRUNC((G3269*H3269-G3269),8)</f>
        <v/>
      </c>
      <c r="J3269" s="49">
        <f>G3269+I3269</f>
        <v/>
      </c>
      <c r="K3269" s="256" t="n"/>
      <c r="L3269" s="256" t="n"/>
      <c r="M3269" s="256" t="n"/>
      <c r="N3269" s="256" t="n"/>
      <c r="O3269" s="256" t="n"/>
      <c r="P3269" s="256" t="n"/>
      <c r="Q3269" s="256" t="n"/>
    </row>
    <row r="3270">
      <c r="A3270">
        <f>IF(DAY(D3270)=DAY($L$1+1),A3269+1,A3269)</f>
        <v/>
      </c>
      <c r="B3270" s="1">
        <f>IF(DAY(D3270)=DAY($L$1+1),1,B3269+1)</f>
        <v/>
      </c>
      <c r="C3270" s="46">
        <f>IF(DAY(D3270)=DAY($L$1+1),1,C3269+1)</f>
        <v/>
      </c>
      <c r="D3270" s="2">
        <f>D3269+1</f>
        <v/>
      </c>
      <c r="E3270" s="8">
        <f>IF(DAY(D3270)=DAY($L$1+1),TRUNC((N3269),8),E3269)</f>
        <v/>
      </c>
      <c r="F3270" s="49">
        <f>TRUNC(((1+VLOOKUP(A3270,IPCA!$A$2:$C$140,3,0)))^(C3270/(EDATE(D3270-C3270,1)-(D3270-C3270))),8)</f>
        <v/>
      </c>
      <c r="G3270" s="49">
        <f>TRUNC((E3270*F3270),8)</f>
        <v/>
      </c>
      <c r="H3270" s="49">
        <f>ROUND(((1+$H$4)^(30/360))^(C3270/(EDATE(D3270-B3270,1)-(D3270-B3270))),9)</f>
        <v/>
      </c>
      <c r="I3270" s="49">
        <f>TRUNC((G3270*H3270-G3270),8)</f>
        <v/>
      </c>
      <c r="J3270" s="49">
        <f>G3270+I3270</f>
        <v/>
      </c>
      <c r="K3270" s="256" t="n"/>
      <c r="L3270" s="256" t="n"/>
      <c r="M3270" s="256" t="n"/>
      <c r="N3270" s="256" t="n"/>
      <c r="O3270" s="256" t="n"/>
      <c r="P3270" s="256" t="n"/>
      <c r="Q3270" s="256" t="n"/>
    </row>
    <row r="3271">
      <c r="A3271">
        <f>IF(DAY(D3271)=DAY($L$1+1),A3270+1,A3270)</f>
        <v/>
      </c>
      <c r="B3271" s="1">
        <f>IF(DAY(D3271)=DAY($L$1+1),1,B3270+1)</f>
        <v/>
      </c>
      <c r="C3271" s="46">
        <f>IF(DAY(D3271)=DAY($L$1+1),1,C3270+1)</f>
        <v/>
      </c>
      <c r="D3271" s="2">
        <f>D3270+1</f>
        <v/>
      </c>
      <c r="E3271" s="8">
        <f>IF(DAY(D3271)=DAY($L$1+1),TRUNC((N3270),8),E3270)</f>
        <v/>
      </c>
      <c r="F3271" s="49">
        <f>TRUNC(((1+VLOOKUP(A3271,IPCA!$A$2:$C$140,3,0)))^(C3271/(EDATE(D3271-C3271,1)-(D3271-C3271))),8)</f>
        <v/>
      </c>
      <c r="G3271" s="49">
        <f>TRUNC((E3271*F3271),8)</f>
        <v/>
      </c>
      <c r="H3271" s="49">
        <f>ROUND(((1+$H$4)^(30/360))^(C3271/(EDATE(D3271-B3271,1)-(D3271-B3271))),9)</f>
        <v/>
      </c>
      <c r="I3271" s="49">
        <f>TRUNC((G3271*H3271-G3271),8)</f>
        <v/>
      </c>
      <c r="J3271" s="49">
        <f>G3271+I3271</f>
        <v/>
      </c>
      <c r="K3271" s="256" t="n"/>
      <c r="L3271" s="256" t="n"/>
      <c r="M3271" s="256" t="n"/>
      <c r="N3271" s="256" t="n"/>
      <c r="O3271" s="256" t="n"/>
      <c r="P3271" s="256" t="n"/>
      <c r="Q3271" s="256" t="n"/>
    </row>
    <row r="3272">
      <c r="A3272">
        <f>IF(DAY(D3272)=DAY($L$1+1),A3271+1,A3271)</f>
        <v/>
      </c>
      <c r="B3272" s="1">
        <f>IF(DAY(D3272)=DAY($L$1+1),1,B3271+1)</f>
        <v/>
      </c>
      <c r="C3272" s="46">
        <f>IF(DAY(D3272)=DAY($L$1+1),1,C3271+1)</f>
        <v/>
      </c>
      <c r="D3272" s="2">
        <f>D3271+1</f>
        <v/>
      </c>
      <c r="E3272" s="8">
        <f>IF(DAY(D3272)=DAY($L$1+1),TRUNC((N3271),8),E3271)</f>
        <v/>
      </c>
      <c r="F3272" s="49">
        <f>TRUNC(((1+VLOOKUP(A3272,IPCA!$A$2:$C$140,3,0)))^(C3272/(EDATE(D3272-C3272,1)-(D3272-C3272))),8)</f>
        <v/>
      </c>
      <c r="G3272" s="49">
        <f>TRUNC((E3272*F3272),8)</f>
        <v/>
      </c>
      <c r="H3272" s="49">
        <f>ROUND(((1+$H$4)^(30/360))^(C3272/(EDATE(D3272-B3272,1)-(D3272-B3272))),9)</f>
        <v/>
      </c>
      <c r="I3272" s="49">
        <f>TRUNC((G3272*H3272-G3272),8)</f>
        <v/>
      </c>
      <c r="J3272" s="49">
        <f>G3272+I3272</f>
        <v/>
      </c>
      <c r="K3272" s="256" t="n"/>
      <c r="L3272" s="256" t="n"/>
      <c r="M3272" s="256" t="n"/>
      <c r="N3272" s="256" t="n"/>
      <c r="O3272" s="256" t="n"/>
      <c r="P3272" s="256" t="n"/>
      <c r="Q3272" s="256" t="n"/>
    </row>
    <row r="3273">
      <c r="A3273">
        <f>IF(DAY(D3273)=DAY($L$1+1),A3272+1,A3272)</f>
        <v/>
      </c>
      <c r="B3273" s="1">
        <f>IF(DAY(D3273)=DAY($L$1+1),1,B3272+1)</f>
        <v/>
      </c>
      <c r="C3273" s="46">
        <f>IF(DAY(D3273)=DAY($L$1+1),1,C3272+1)</f>
        <v/>
      </c>
      <c r="D3273" s="2">
        <f>D3272+1</f>
        <v/>
      </c>
      <c r="E3273" s="8">
        <f>IF(DAY(D3273)=DAY($L$1+1),TRUNC((N3272),8),E3272)</f>
        <v/>
      </c>
      <c r="F3273" s="49">
        <f>TRUNC(((1+VLOOKUP(A3273,IPCA!$A$2:$C$140,3,0)))^(C3273/(EDATE(D3273-C3273,1)-(D3273-C3273))),8)</f>
        <v/>
      </c>
      <c r="G3273" s="49">
        <f>TRUNC((E3273*F3273),8)</f>
        <v/>
      </c>
      <c r="H3273" s="49">
        <f>ROUND(((1+$H$4)^(30/360))^(C3273/(EDATE(D3273-B3273,1)-(D3273-B3273))),9)</f>
        <v/>
      </c>
      <c r="I3273" s="49">
        <f>TRUNC((G3273*H3273-G3273),8)</f>
        <v/>
      </c>
      <c r="J3273" s="49">
        <f>G3273+I3273</f>
        <v/>
      </c>
      <c r="K3273" s="256" t="n"/>
      <c r="L3273" s="256" t="n"/>
      <c r="M3273" s="256" t="n"/>
      <c r="N3273" s="256" t="n"/>
      <c r="O3273" s="256" t="n"/>
      <c r="P3273" s="256" t="n"/>
      <c r="Q3273" s="256" t="n"/>
    </row>
    <row r="3274">
      <c r="A3274">
        <f>IF(DAY(D3274)=DAY($L$1+1),A3273+1,A3273)</f>
        <v/>
      </c>
      <c r="B3274" s="1">
        <f>IF(DAY(D3274)=DAY($L$1+1),1,B3273+1)</f>
        <v/>
      </c>
      <c r="C3274" s="46">
        <f>IF(DAY(D3274)=DAY($L$1+1),1,C3273+1)</f>
        <v/>
      </c>
      <c r="D3274" s="2">
        <f>D3273+1</f>
        <v/>
      </c>
      <c r="E3274" s="8">
        <f>IF(DAY(D3274)=DAY($L$1+1),TRUNC((N3273),8),E3273)</f>
        <v/>
      </c>
      <c r="F3274" s="49">
        <f>TRUNC(((1+VLOOKUP(A3274,IPCA!$A$2:$C$140,3,0)))^(C3274/(EDATE(D3274-C3274,1)-(D3274-C3274))),8)</f>
        <v/>
      </c>
      <c r="G3274" s="49">
        <f>TRUNC((E3274*F3274),8)</f>
        <v/>
      </c>
      <c r="H3274" s="49">
        <f>ROUND(((1+$H$4)^(30/360))^(C3274/(EDATE(D3274-B3274,1)-(D3274-B3274))),9)</f>
        <v/>
      </c>
      <c r="I3274" s="49">
        <f>TRUNC((G3274*H3274-G3274),8)</f>
        <v/>
      </c>
      <c r="J3274" s="49">
        <f>G3274+I3274</f>
        <v/>
      </c>
      <c r="K3274" s="256" t="inlineStr">
        <is>
          <t>Cri Integralizado</t>
        </is>
      </c>
      <c r="L3274" s="270">
        <f>L3243</f>
        <v/>
      </c>
      <c r="M3274" s="256" t="n"/>
      <c r="N3274" s="256" t="n"/>
      <c r="O3274" s="256" t="n"/>
      <c r="P3274" s="256" t="n"/>
      <c r="Q3274" s="256" t="n"/>
    </row>
    <row r="3275">
      <c r="A3275">
        <f>IF(DAY(D3275)=DAY($L$1+1),A3274+1,A3274)</f>
        <v/>
      </c>
      <c r="B3275" s="1">
        <f>IF(DAY(D3275)=DAY($L$1+1),1,B3274+1)</f>
        <v/>
      </c>
      <c r="C3275" s="46">
        <f>IF(DAY(D3275)=DAY($L$1+1),1,C3274+1)</f>
        <v/>
      </c>
      <c r="D3275" s="2">
        <f>D3274+1</f>
        <v/>
      </c>
      <c r="E3275" s="8">
        <f>IF(DAY(D3275)=DAY($L$1+1),TRUNC((N3274),8),E3274)</f>
        <v/>
      </c>
      <c r="F3275" s="49">
        <f>TRUNC(((1+VLOOKUP(A3275,IPCA!$A$2:$C$140,3,0)))^(C3275/(EDATE(D3275-C3275,1)-(D3275-C3275))),8)</f>
        <v/>
      </c>
      <c r="G3275" s="49">
        <f>TRUNC((E3275*F3275),8)</f>
        <v/>
      </c>
      <c r="H3275" s="49">
        <f>ROUND(((1+$H$4)^(30/360))^(C3275/(EDATE(D3275-B3275,1)-(D3275-B3275))),9)</f>
        <v/>
      </c>
      <c r="I3275" s="49">
        <f>TRUNC((G3275*H3275-G3275),8)</f>
        <v/>
      </c>
      <c r="J3275" s="49">
        <f>G3275+I3275</f>
        <v/>
      </c>
      <c r="K3275" s="137" t="inlineStr">
        <is>
          <t>JUROS</t>
        </is>
      </c>
      <c r="L3275" s="118" t="inlineStr">
        <is>
          <t>AMORTIZAÇÃO</t>
        </is>
      </c>
      <c r="M3275" s="118" t="inlineStr">
        <is>
          <t>AMEX</t>
        </is>
      </c>
      <c r="N3275" s="118" t="inlineStr">
        <is>
          <t>RESIDUAL</t>
        </is>
      </c>
      <c r="O3275" s="256" t="n"/>
      <c r="P3275" s="256" t="n"/>
      <c r="Q3275" s="256" t="n"/>
    </row>
    <row r="3276">
      <c r="A3276">
        <f>IF(DAY(D3276)=DAY($L$1+1),A3275+1,A3275)</f>
        <v/>
      </c>
      <c r="B3276" s="111">
        <f>IF(DAY(D3276)=DAY($L$1+1),1,B3275+1)</f>
        <v/>
      </c>
      <c r="C3276" s="111">
        <f>IF(DAY(D3276)=DAY($L$1+1),1,C3275+1)</f>
        <v/>
      </c>
      <c r="D3276" s="112">
        <f>D3275+1</f>
        <v/>
      </c>
      <c r="E3276" s="113">
        <f>IF(DAY(D3276)=DAY($L$1+1),TRUNC((N3275),8),E3275)</f>
        <v/>
      </c>
      <c r="F3276" s="114">
        <f>TRUNC(((1+VLOOKUP(A3276,IPCA!$A$2:$C$140,3,0)))^(C3276/(EDATE(D3276-C3276,1)-(D3276-C3276))),8)</f>
        <v/>
      </c>
      <c r="G3276" s="114">
        <f>TRUNC((E3276*F3276),8)</f>
        <v/>
      </c>
      <c r="H3276" s="114">
        <f>ROUND(((1+$H$4)^(30/360))^(C3276/(EDATE(D3276-B3276,1)-(D3276-B3276))),9)</f>
        <v/>
      </c>
      <c r="I3276" s="114">
        <f>TRUNC((G3276*H3276-G3276),8)</f>
        <v/>
      </c>
      <c r="J3276" s="114">
        <f>G3276+I3276</f>
        <v/>
      </c>
      <c r="K3276" s="119">
        <f>I3276</f>
        <v/>
      </c>
      <c r="L3276" s="120">
        <f>TRUNC(G3276*VLOOKUP(D3276,'Amort TS'!$G$3:$H$140,2,0),8)</f>
        <v/>
      </c>
      <c r="M3276" s="120" t="n"/>
      <c r="N3276" s="120">
        <f>J3276-K3276-L3276-M3276</f>
        <v/>
      </c>
      <c r="O3276" s="256" t="n"/>
      <c r="P3276" s="256" t="n"/>
      <c r="Q3276" s="256" t="n"/>
    </row>
    <row r="3277">
      <c r="A3277">
        <f>IF(DAY(D3277)=DAY($L$1+1),A3276+1,A3276)</f>
        <v/>
      </c>
      <c r="B3277" s="1">
        <f>IF(DAY(D3277)=DAY($L$1+1),1,B3276+1)</f>
        <v/>
      </c>
      <c r="C3277" s="46">
        <f>IF(DAY(D3277)=DAY($L$1+1),1,C3276+1)</f>
        <v/>
      </c>
      <c r="D3277" s="2">
        <f>D3276+1</f>
        <v/>
      </c>
      <c r="E3277" s="8">
        <f>IF(DAY(D3277)=DAY($L$1+1),TRUNC((N3276),8),E3276)</f>
        <v/>
      </c>
      <c r="F3277" s="49">
        <f>TRUNC(((1+VLOOKUP(A3277,IPCA!$A$2:$C$140,3,0)))^(C3277/(EDATE(D3277-C3277,1)-(D3277-C3277))),8)</f>
        <v/>
      </c>
      <c r="G3277" s="4">
        <f>TRUNC((E3277*F3277),8)</f>
        <v/>
      </c>
      <c r="H3277" s="4">
        <f>ROUND(((1+$H$4)^(30/360))^(C3277/(EDATE(D3277-B3277,1)-(D3277-B3277))),9)</f>
        <v/>
      </c>
      <c r="I3277" s="49">
        <f>TRUNC((G3277*H3277-G3277),8)</f>
        <v/>
      </c>
      <c r="J3277" s="4">
        <f>G3277+I3277</f>
        <v/>
      </c>
      <c r="K3277" s="121">
        <f>K3276*L3274</f>
        <v/>
      </c>
      <c r="L3277" s="121">
        <f>L3276*L3274</f>
        <v/>
      </c>
      <c r="M3277" s="121">
        <f>M3276*L3274</f>
        <v/>
      </c>
      <c r="N3277" s="121">
        <f>N3276*L3274</f>
        <v/>
      </c>
      <c r="O3277" s="256" t="n"/>
      <c r="P3277" s="256" t="n"/>
      <c r="Q3277" s="256" t="n"/>
    </row>
    <row r="3278">
      <c r="A3278">
        <f>IF(DAY(D3278)=DAY($L$1+1),A3277+1,A3277)</f>
        <v/>
      </c>
      <c r="B3278" s="46">
        <f>IF(DAY(D3278)=DAY($L$1+1),1,B3277+1)</f>
        <v/>
      </c>
      <c r="C3278" s="46">
        <f>IF(DAY(D3278)=DAY($L$1+1),1,C3277+1)</f>
        <v/>
      </c>
      <c r="D3278" s="2">
        <f>D3277+1</f>
        <v/>
      </c>
      <c r="E3278" s="8">
        <f>IF(DAY(D3278)=DAY($L$1+1),TRUNC((N3277),8),E3277)</f>
        <v/>
      </c>
      <c r="F3278" s="49">
        <f>TRUNC(((1+VLOOKUP(A3278,IPCA!$A$2:$C$140,3,0)))^(C3278/(EDATE(D3278-C3278,1)-(D3278-C3278))),8)</f>
        <v/>
      </c>
      <c r="G3278" s="4">
        <f>TRUNC((E3278*F3278),8)</f>
        <v/>
      </c>
      <c r="H3278" s="4">
        <f>ROUND(((1+$H$4)^(30/360))^(C3278/(EDATE(D3278-B3278,1)-(D3278-B3278))),9)</f>
        <v/>
      </c>
      <c r="I3278" s="49">
        <f>TRUNC((G3278*H3278-G3278),8)</f>
        <v/>
      </c>
      <c r="J3278" s="4">
        <f>G3278+I3278</f>
        <v/>
      </c>
      <c r="K3278" s="256" t="n"/>
      <c r="L3278" s="256" t="n"/>
      <c r="M3278" s="256" t="n"/>
      <c r="N3278" s="256" t="n"/>
      <c r="O3278" s="256" t="n"/>
      <c r="P3278" s="256" t="n"/>
      <c r="Q3278" s="256" t="n"/>
    </row>
    <row r="3279">
      <c r="A3279">
        <f>IF(DAY(D3279)=DAY($L$1+1),A3278+1,A3278)</f>
        <v/>
      </c>
      <c r="B3279" s="46">
        <f>IF(DAY(D3279)=DAY($L$1+1),1,B3278+1)</f>
        <v/>
      </c>
      <c r="C3279" s="46">
        <f>IF(DAY(D3279)=DAY($L$1+1),1,C3278+1)</f>
        <v/>
      </c>
      <c r="D3279" s="47">
        <f>D3278+1</f>
        <v/>
      </c>
      <c r="E3279" s="8">
        <f>IF(DAY(D3279)=DAY($L$1+1),TRUNC((#REF!),8),E3278)</f>
        <v/>
      </c>
      <c r="F3279" s="49">
        <f>TRUNC(((1+VLOOKUP(A3279,IPCA!$A$2:$C$140,3,0)))^(C3279/(EDATE(D3279-C3279,1)-(D3279-C3279))),8)</f>
        <v/>
      </c>
      <c r="G3279" s="4">
        <f>TRUNC((E3279*F3279),8)</f>
        <v/>
      </c>
      <c r="H3279" s="4">
        <f>ROUND(((1+$H$4)^(30/360))^(C3279/(EDATE(D3279-B3279,1)-(D3279-B3279))),9)</f>
        <v/>
      </c>
      <c r="I3279" s="49">
        <f>TRUNC((G3279*H3279-G3279),8)</f>
        <v/>
      </c>
      <c r="J3279" s="4">
        <f>G3279+I3279</f>
        <v/>
      </c>
      <c r="K3279" s="256" t="n"/>
      <c r="L3279" s="256" t="n"/>
      <c r="M3279" s="256" t="n"/>
      <c r="N3279" s="256" t="n"/>
      <c r="O3279" s="256" t="n"/>
      <c r="P3279" s="256" t="n"/>
      <c r="Q3279" s="256" t="n"/>
    </row>
    <row r="3280">
      <c r="A3280">
        <f>IF(DAY(D3280)=DAY($L$1+1),A3279+1,A3279)</f>
        <v/>
      </c>
      <c r="B3280" s="1">
        <f>IF(DAY(D3280)=DAY($L$1+1),1,B3279+1)</f>
        <v/>
      </c>
      <c r="C3280" s="1">
        <f>IF(DAY(D3280)=DAY($L$1+1),1,C3279+1)</f>
        <v/>
      </c>
      <c r="D3280" s="2">
        <f>D3279+1</f>
        <v/>
      </c>
      <c r="E3280" s="8">
        <f>IF(DAY(D3280)=DAY($L$1+1),TRUNC((#REF!),8),E3279)</f>
        <v/>
      </c>
      <c r="F3280" s="49">
        <f>TRUNC(((1+VLOOKUP(A3280,IPCA!$A$2:$C$140,3,0)))^(C3280/(EDATE(D3280-C3280,1)-(D3280-C3280))),8)</f>
        <v/>
      </c>
      <c r="G3280" s="4">
        <f>TRUNC((E3280*F3280),8)</f>
        <v/>
      </c>
      <c r="H3280" s="4">
        <f>ROUND(((1+$H$4)^(30/360))^(C3280/(EDATE(D3280-B3280,1)-(D3280-B3280))),9)</f>
        <v/>
      </c>
      <c r="I3280" s="49">
        <f>TRUNC((G3280*H3280-G3280),8)</f>
        <v/>
      </c>
      <c r="J3280" s="4">
        <f>G3280+I3280</f>
        <v/>
      </c>
      <c r="K3280" s="256" t="n"/>
      <c r="L3280" s="256" t="n"/>
      <c r="M3280" s="256" t="n"/>
      <c r="N3280" s="256" t="n"/>
      <c r="O3280" s="256" t="n"/>
      <c r="P3280" s="256" t="n"/>
      <c r="Q3280" s="256" t="n"/>
    </row>
    <row r="3281">
      <c r="A3281">
        <f>IF(DAY(D3281)=DAY($L$1+1),A3280+1,A3280)</f>
        <v/>
      </c>
      <c r="B3281" s="46">
        <f>IF(DAY(D3281)=DAY($L$1+1),1,B3280+1)</f>
        <v/>
      </c>
      <c r="C3281" s="46">
        <f>IF(DAY(D3281)=DAY($L$1+1),1,C3280+1)</f>
        <v/>
      </c>
      <c r="D3281" s="2">
        <f>D3280+1</f>
        <v/>
      </c>
      <c r="E3281" s="8">
        <f>IF(DAY(D3281)=DAY($L$1+1),TRUNC((#REF!),8),E3280)</f>
        <v/>
      </c>
      <c r="F3281" s="49">
        <f>TRUNC(((1+VLOOKUP(A3281,IPCA!$A$2:$C$140,3,0)))^(C3281/(EDATE(D3281-C3281,1)-(D3281-C3281))),8)</f>
        <v/>
      </c>
      <c r="G3281" s="4">
        <f>TRUNC((E3281*F3281),8)</f>
        <v/>
      </c>
      <c r="H3281" s="4">
        <f>ROUND(((1+$H$4)^(30/360))^(C3281/(EDATE(D3281-B3281,1)-(D3281-B3281))),9)</f>
        <v/>
      </c>
      <c r="I3281" s="49">
        <f>TRUNC((G3281*H3281-G3281),8)</f>
        <v/>
      </c>
      <c r="J3281" s="4">
        <f>G3281+I3281</f>
        <v/>
      </c>
      <c r="K3281" s="256" t="n"/>
      <c r="L3281" s="256" t="n"/>
      <c r="M3281" s="256" t="n"/>
      <c r="N3281" s="256" t="n"/>
      <c r="O3281" s="256" t="n"/>
      <c r="P3281" s="256" t="n"/>
      <c r="Q3281" s="256" t="n"/>
    </row>
    <row r="3282">
      <c r="A3282">
        <f>IF(DAY(D3282)=DAY($L$1+1),A3281+1,A3281)</f>
        <v/>
      </c>
      <c r="B3282" s="1">
        <f>IF(DAY(D3282)=DAY($L$1+1),1,B3281+1)</f>
        <v/>
      </c>
      <c r="C3282" s="1">
        <f>IF(DAY(D3282)=DAY($L$1+1),1,C3281+1)</f>
        <v/>
      </c>
      <c r="D3282" s="2">
        <f>D3281+1</f>
        <v/>
      </c>
      <c r="E3282" s="8">
        <f>IF(DAY(D3282)=DAY($L$1+1),TRUNC((#REF!),8),E3281)</f>
        <v/>
      </c>
      <c r="F3282" s="49">
        <f>TRUNC(((1+VLOOKUP(A3282,IPCA!$A$2:$C$140,3,0)))^(C3282/(EDATE(D3282-C3282,1)-(D3282-C3282))),8)</f>
        <v/>
      </c>
      <c r="G3282" s="4">
        <f>TRUNC((E3282*F3282),8)</f>
        <v/>
      </c>
      <c r="H3282" s="4">
        <f>ROUND(((1+$H$4)^(30/360))^(C3282/(EDATE(D3282-B3282,1)-(D3282-B3282))),9)</f>
        <v/>
      </c>
      <c r="I3282" s="49">
        <f>TRUNC((G3282*H3282-G3282),8)</f>
        <v/>
      </c>
      <c r="J3282" s="4">
        <f>G3282+I3282</f>
        <v/>
      </c>
      <c r="K3282" s="256" t="n"/>
      <c r="L3282" s="256" t="n"/>
      <c r="M3282" s="256" t="n"/>
      <c r="N3282" s="256" t="n"/>
      <c r="O3282" s="256" t="n"/>
      <c r="P3282" s="256" t="n"/>
      <c r="Q3282" s="256" t="n"/>
    </row>
    <row r="3283">
      <c r="A3283">
        <f>IF(DAY(D3283)=DAY($L$1+1),A3282+1,A3282)</f>
        <v/>
      </c>
      <c r="B3283" s="46">
        <f>IF(DAY(D3283)=DAY($L$1+1),1,B3282+1)</f>
        <v/>
      </c>
      <c r="C3283" s="46">
        <f>IF(DAY(D3283)=DAY($L$1+1),1,C3282+1)</f>
        <v/>
      </c>
      <c r="D3283" s="2">
        <f>D3282+1</f>
        <v/>
      </c>
      <c r="E3283" s="8">
        <f>IF(DAY(D3283)=DAY($L$1+1),TRUNC((#REF!),8),E3282)</f>
        <v/>
      </c>
      <c r="F3283" s="49">
        <f>TRUNC(((1+VLOOKUP(A3283,IPCA!$A$2:$C$140,3,0)))^(C3283/(EDATE(D3283-C3283,1)-(D3283-C3283))),8)</f>
        <v/>
      </c>
      <c r="G3283" s="4">
        <f>TRUNC((E3283*F3283),8)</f>
        <v/>
      </c>
      <c r="H3283" s="4">
        <f>ROUND(((1+$H$4)^(30/360))^(C3283/(EDATE(D3283-B3283,1)-(D3283-B3283))),9)</f>
        <v/>
      </c>
      <c r="I3283" s="49">
        <f>TRUNC((G3283*H3283-G3283),8)</f>
        <v/>
      </c>
      <c r="J3283" s="4">
        <f>G3283+I3283</f>
        <v/>
      </c>
      <c r="K3283" s="256" t="n"/>
      <c r="L3283" s="256" t="n"/>
      <c r="M3283" s="256" t="n"/>
      <c r="N3283" s="256" t="n"/>
      <c r="O3283" s="256" t="n"/>
      <c r="P3283" s="256" t="n"/>
      <c r="Q3283" s="256" t="n"/>
    </row>
    <row r="3284">
      <c r="A3284">
        <f>IF(DAY(D3284)=DAY($L$1+1),A3283+1,A3283)</f>
        <v/>
      </c>
      <c r="B3284" s="1">
        <f>IF(DAY(D3284)=DAY($L$1+1),1,B3283+1)</f>
        <v/>
      </c>
      <c r="C3284" s="1">
        <f>IF(DAY(D3284)=DAY($L$1+1),1,C3283+1)</f>
        <v/>
      </c>
      <c r="D3284" s="2">
        <f>D3283+1</f>
        <v/>
      </c>
      <c r="E3284" s="8">
        <f>IF(DAY(D3284)=DAY($L$1+1),TRUNC((#REF!),8),E3283)</f>
        <v/>
      </c>
      <c r="F3284" s="49">
        <f>TRUNC(((1+VLOOKUP(A3284,IPCA!$A$2:$C$140,3,0)))^(C3284/(EDATE(D3284-C3284,1)-(D3284-C3284))),8)</f>
        <v/>
      </c>
      <c r="G3284" s="4">
        <f>TRUNC((E3284*F3284),8)</f>
        <v/>
      </c>
      <c r="H3284" s="4">
        <f>ROUND(((1+$H$4)^(30/360))^(C3284/(EDATE(D3284-B3284,1)-(D3284-B3284))),9)</f>
        <v/>
      </c>
      <c r="I3284" s="49">
        <f>TRUNC((G3284*H3284-G3284),8)</f>
        <v/>
      </c>
      <c r="J3284" s="4">
        <f>G3284+I3284</f>
        <v/>
      </c>
      <c r="K3284" s="256" t="n"/>
      <c r="L3284" s="256" t="n"/>
      <c r="M3284" s="256" t="n"/>
      <c r="N3284" s="256" t="n"/>
      <c r="O3284" s="256" t="n"/>
      <c r="P3284" s="256" t="n"/>
      <c r="Q3284" s="256" t="n"/>
    </row>
    <row r="3285">
      <c r="A3285">
        <f>IF(DAY(D3285)=DAY($L$1+1),A3284+1,A3284)</f>
        <v/>
      </c>
      <c r="B3285" s="46">
        <f>IF(DAY(D3285)=DAY($L$1+1),1,B3284+1)</f>
        <v/>
      </c>
      <c r="C3285" s="46">
        <f>IF(DAY(D3285)=DAY($L$1+1),1,C3284+1)</f>
        <v/>
      </c>
      <c r="D3285" s="2">
        <f>D3284+1</f>
        <v/>
      </c>
      <c r="E3285" s="8">
        <f>IF(DAY(D3285)=DAY($L$1+1),TRUNC((#REF!),8),E3284)</f>
        <v/>
      </c>
      <c r="F3285" s="49">
        <f>TRUNC(((1+VLOOKUP(A3285,IPCA!$A$2:$C$140,3,0)))^(C3285/(EDATE(D3285-C3285,1)-(D3285-C3285))),8)</f>
        <v/>
      </c>
      <c r="G3285" s="4">
        <f>TRUNC((E3285*F3285),8)</f>
        <v/>
      </c>
      <c r="H3285" s="4">
        <f>ROUND(((1+$H$4)^(30/360))^(C3285/(EDATE(D3285-B3285,1)-(D3285-B3285))),9)</f>
        <v/>
      </c>
      <c r="I3285" s="49">
        <f>TRUNC((G3285*H3285-G3285),8)</f>
        <v/>
      </c>
      <c r="J3285" s="4">
        <f>G3285+I3285</f>
        <v/>
      </c>
      <c r="K3285" s="256" t="n"/>
      <c r="L3285" s="256" t="n"/>
      <c r="M3285" s="256" t="n"/>
      <c r="N3285" s="256" t="n"/>
      <c r="O3285" s="256" t="n"/>
      <c r="P3285" s="256" t="n"/>
      <c r="Q3285" s="256" t="n"/>
    </row>
    <row r="3286">
      <c r="A3286">
        <f>IF(DAY(D3286)=DAY($L$1+1),A3285+1,A3285)</f>
        <v/>
      </c>
      <c r="B3286" s="1">
        <f>IF(DAY(D3286)=DAY($L$1+1),1,B3285+1)</f>
        <v/>
      </c>
      <c r="C3286" s="1">
        <f>IF(DAY(D3286)=DAY($L$1+1),1,C3285+1)</f>
        <v/>
      </c>
      <c r="D3286" s="2">
        <f>D3285+1</f>
        <v/>
      </c>
      <c r="E3286" s="8">
        <f>IF(DAY(D3286)=DAY($L$1+1),TRUNC((#REF!),8),E3285)</f>
        <v/>
      </c>
      <c r="F3286" s="49">
        <f>TRUNC(((1+VLOOKUP(A3286,IPCA!$A$2:$C$140,3,0)))^(C3286/(EDATE(D3286-C3286,1)-(D3286-C3286))),8)</f>
        <v/>
      </c>
      <c r="G3286" s="4">
        <f>TRUNC((E3286*F3286),8)</f>
        <v/>
      </c>
      <c r="H3286" s="4">
        <f>ROUND(((1+$H$4)^(30/360))^(C3286/(EDATE(D3286-B3286,1)-(D3286-B3286))),9)</f>
        <v/>
      </c>
      <c r="I3286" s="49">
        <f>TRUNC((G3286*H3286-G3286),8)</f>
        <v/>
      </c>
      <c r="J3286" s="4">
        <f>G3286+I3286</f>
        <v/>
      </c>
      <c r="K3286" s="256" t="n"/>
      <c r="L3286" s="256" t="n"/>
      <c r="M3286" s="256" t="n"/>
      <c r="N3286" s="256" t="n"/>
      <c r="O3286" s="256" t="n"/>
      <c r="P3286" s="256" t="n"/>
      <c r="Q3286" s="256" t="n"/>
    </row>
    <row r="3287">
      <c r="A3287">
        <f>IF(DAY(D3287)=DAY($L$1+1),A3286+1,A3286)</f>
        <v/>
      </c>
      <c r="B3287" s="46">
        <f>IF(DAY(D3287)=DAY($L$1+1),1,B3286+1)</f>
        <v/>
      </c>
      <c r="C3287" s="46">
        <f>IF(DAY(D3287)=DAY($L$1+1),1,C3286+1)</f>
        <v/>
      </c>
      <c r="D3287" s="2">
        <f>D3286+1</f>
        <v/>
      </c>
      <c r="E3287" s="8">
        <f>IF(DAY(D3287)=DAY($L$1+1),TRUNC((#REF!),8),E3286)</f>
        <v/>
      </c>
      <c r="F3287" s="49">
        <f>TRUNC(((1+VLOOKUP(A3287,IPCA!$A$2:$C$140,3,0)))^(C3287/(EDATE(D3287-C3287,1)-(D3287-C3287))),8)</f>
        <v/>
      </c>
      <c r="G3287" s="4">
        <f>TRUNC((E3287*F3287),8)</f>
        <v/>
      </c>
      <c r="H3287" s="4">
        <f>ROUND(((1+$H$4)^(30/360))^(C3287/(EDATE(D3287-B3287,1)-(D3287-B3287))),9)</f>
        <v/>
      </c>
      <c r="I3287" s="49">
        <f>TRUNC((G3287*H3287-G3287),8)</f>
        <v/>
      </c>
      <c r="J3287" s="4">
        <f>G3287+I3287</f>
        <v/>
      </c>
      <c r="K3287" s="256" t="n"/>
      <c r="L3287" s="256" t="n"/>
      <c r="M3287" s="256" t="n"/>
      <c r="N3287" s="256" t="n"/>
      <c r="O3287" s="256" t="n"/>
      <c r="P3287" s="256" t="n"/>
      <c r="Q3287" s="256" t="n"/>
    </row>
    <row r="3288">
      <c r="A3288">
        <f>IF(DAY(D3288)=DAY($L$1+1),A3287+1,A3287)</f>
        <v/>
      </c>
      <c r="B3288" s="1">
        <f>IF(DAY(D3288)=DAY($L$1+1),1,B3287+1)</f>
        <v/>
      </c>
      <c r="C3288" s="1">
        <f>IF(DAY(D3288)=DAY($L$1+1),1,C3287+1)</f>
        <v/>
      </c>
      <c r="D3288" s="2">
        <f>D3287+1</f>
        <v/>
      </c>
      <c r="E3288" s="8">
        <f>IF(DAY(D3288)=DAY($L$1+1),TRUNC((#REF!),8),E3287)</f>
        <v/>
      </c>
      <c r="F3288" s="49">
        <f>TRUNC(((1+VLOOKUP(A3288,IPCA!$A$2:$C$140,3,0)))^(C3288/(EDATE(D3288-C3288,1)-(D3288-C3288))),8)</f>
        <v/>
      </c>
      <c r="G3288" s="4">
        <f>TRUNC((E3288*F3288),8)</f>
        <v/>
      </c>
      <c r="H3288" s="4">
        <f>ROUND(((1+$H$4)^(30/360))^(C3288/(EDATE(D3288-B3288,1)-(D3288-B3288))),9)</f>
        <v/>
      </c>
      <c r="I3288" s="49">
        <f>TRUNC((G3288*H3288-G3288),8)</f>
        <v/>
      </c>
      <c r="J3288" s="4">
        <f>G3288+I3288</f>
        <v/>
      </c>
      <c r="K3288" s="256" t="n"/>
      <c r="L3288" s="256" t="n"/>
      <c r="M3288" s="256" t="n"/>
      <c r="N3288" s="256" t="n"/>
      <c r="O3288" s="256" t="n"/>
      <c r="P3288" s="256" t="n"/>
      <c r="Q3288" s="256" t="n"/>
    </row>
    <row r="3289">
      <c r="A3289">
        <f>IF(DAY(D3289)=DAY($L$1+1),A3288+1,A3288)</f>
        <v/>
      </c>
      <c r="B3289" s="46">
        <f>IF(DAY(D3289)=DAY($L$1+1),1,B3288+1)</f>
        <v/>
      </c>
      <c r="C3289" s="46">
        <f>IF(DAY(D3289)=DAY($L$1+1),1,C3288+1)</f>
        <v/>
      </c>
      <c r="D3289" s="2">
        <f>D3288+1</f>
        <v/>
      </c>
      <c r="E3289" s="8">
        <f>IF(DAY(D3289)=DAY($L$1+1),TRUNC((#REF!),8),E3288)</f>
        <v/>
      </c>
      <c r="F3289" s="49">
        <f>TRUNC(((1+VLOOKUP(A3289,IPCA!$A$2:$C$140,3,0)))^(C3289/(EDATE(D3289-C3289,1)-(D3289-C3289))),8)</f>
        <v/>
      </c>
      <c r="G3289" s="4">
        <f>TRUNC((E3289*F3289),8)</f>
        <v/>
      </c>
      <c r="H3289" s="4">
        <f>ROUND(((1+$H$4)^(30/360))^(C3289/(EDATE(D3289-B3289,1)-(D3289-B3289))),9)</f>
        <v/>
      </c>
      <c r="I3289" s="49">
        <f>TRUNC((G3289*H3289-G3289),8)</f>
        <v/>
      </c>
      <c r="J3289" s="4">
        <f>G3289+I3289</f>
        <v/>
      </c>
      <c r="K3289" s="256" t="n"/>
      <c r="L3289" s="256" t="n"/>
      <c r="M3289" s="256" t="n"/>
      <c r="N3289" s="256" t="n"/>
      <c r="O3289" s="256" t="n"/>
      <c r="P3289" s="256" t="n"/>
      <c r="Q3289" s="256" t="n"/>
    </row>
    <row r="3290">
      <c r="A3290">
        <f>IF(DAY(D3290)=DAY($L$1+1),A3289+1,A3289)</f>
        <v/>
      </c>
      <c r="B3290" s="1">
        <f>IF(DAY(D3290)=DAY($L$1+1),1,B3289+1)</f>
        <v/>
      </c>
      <c r="C3290" s="1">
        <f>IF(DAY(D3290)=DAY($L$1+1),1,C3289+1)</f>
        <v/>
      </c>
      <c r="D3290" s="2">
        <f>D3289+1</f>
        <v/>
      </c>
      <c r="E3290" s="8">
        <f>IF(DAY(D3290)=DAY($L$1+1),TRUNC((#REF!),8),E3289)</f>
        <v/>
      </c>
      <c r="F3290" s="49">
        <f>TRUNC(((1+VLOOKUP(A3290,IPCA!$A$2:$C$140,3,0)))^(C3290/(EDATE(D3290-C3290,1)-(D3290-C3290))),8)</f>
        <v/>
      </c>
      <c r="G3290" s="4">
        <f>TRUNC((E3290*F3290),8)</f>
        <v/>
      </c>
      <c r="H3290" s="4">
        <f>ROUND(((1+$H$4)^(30/360))^(C3290/(EDATE(D3290-B3290,1)-(D3290-B3290))),9)</f>
        <v/>
      </c>
      <c r="I3290" s="49">
        <f>TRUNC((G3290*H3290-G3290),8)</f>
        <v/>
      </c>
      <c r="J3290" s="4">
        <f>G3290+I3290</f>
        <v/>
      </c>
      <c r="K3290" s="256" t="n"/>
      <c r="L3290" s="256" t="n"/>
      <c r="M3290" s="256" t="n"/>
      <c r="N3290" s="256" t="n"/>
      <c r="O3290" s="256" t="n"/>
      <c r="P3290" s="256" t="n"/>
      <c r="Q3290" s="256" t="n"/>
    </row>
    <row r="3291">
      <c r="A3291">
        <f>IF(DAY(D3291)=DAY($L$1+1),A3290+1,A3290)</f>
        <v/>
      </c>
      <c r="B3291" s="46">
        <f>IF(DAY(D3291)=DAY($L$1+1),1,B3290+1)</f>
        <v/>
      </c>
      <c r="C3291" s="46">
        <f>IF(DAY(D3291)=DAY($L$1+1),1,C3290+1)</f>
        <v/>
      </c>
      <c r="D3291" s="2">
        <f>D3290+1</f>
        <v/>
      </c>
      <c r="E3291" s="8">
        <f>IF(DAY(D3291)=DAY($L$1+1),TRUNC((#REF!),8),E3290)</f>
        <v/>
      </c>
      <c r="F3291" s="49">
        <f>TRUNC(((1+VLOOKUP(A3291,IPCA!$A$2:$C$140,3,0)))^(C3291/(EDATE(D3291-C3291,1)-(D3291-C3291))),8)</f>
        <v/>
      </c>
      <c r="G3291" s="4">
        <f>TRUNC((E3291*F3291),8)</f>
        <v/>
      </c>
      <c r="H3291" s="4">
        <f>ROUND(((1+$H$4)^(30/360))^(C3291/(EDATE(D3291-B3291,1)-(D3291-B3291))),9)</f>
        <v/>
      </c>
      <c r="I3291" s="49">
        <f>TRUNC((G3291*H3291-G3291),8)</f>
        <v/>
      </c>
      <c r="J3291" s="4">
        <f>G3291+I3291</f>
        <v/>
      </c>
      <c r="K3291" s="256" t="n"/>
      <c r="L3291" s="256" t="n"/>
      <c r="M3291" s="256" t="n"/>
      <c r="N3291" s="256" t="n"/>
      <c r="O3291" s="256" t="n"/>
      <c r="P3291" s="256" t="n"/>
      <c r="Q3291" s="256" t="n"/>
    </row>
    <row r="3292">
      <c r="A3292">
        <f>IF(DAY(D3292)=DAY($L$1+1),A3291+1,A3291)</f>
        <v/>
      </c>
      <c r="B3292" s="1">
        <f>IF(DAY(D3292)=DAY($L$1+1),1,B3291+1)</f>
        <v/>
      </c>
      <c r="C3292" s="1">
        <f>IF(DAY(D3292)=DAY($L$1+1),1,C3291+1)</f>
        <v/>
      </c>
      <c r="D3292" s="2">
        <f>D3291+1</f>
        <v/>
      </c>
      <c r="E3292" s="8">
        <f>IF(DAY(D3292)=DAY($L$1+1),TRUNC((#REF!),8),E3291)</f>
        <v/>
      </c>
      <c r="F3292" s="49">
        <f>TRUNC(((1+VLOOKUP(A3292,IPCA!$A$2:$C$140,3,0)))^(C3292/(EDATE(D3292-C3292,1)-(D3292-C3292))),8)</f>
        <v/>
      </c>
      <c r="G3292" s="4">
        <f>TRUNC((E3292*F3292),8)</f>
        <v/>
      </c>
      <c r="H3292" s="4">
        <f>ROUND(((1+$H$4)^(30/360))^(C3292/(EDATE(D3292-B3292,1)-(D3292-B3292))),9)</f>
        <v/>
      </c>
      <c r="I3292" s="49">
        <f>TRUNC((G3292*H3292-G3292),8)</f>
        <v/>
      </c>
      <c r="J3292" s="4">
        <f>G3292+I3292</f>
        <v/>
      </c>
      <c r="K3292" s="256" t="n"/>
      <c r="L3292" s="256" t="n"/>
      <c r="M3292" s="256" t="n"/>
      <c r="N3292" s="256" t="n"/>
      <c r="O3292" s="256" t="n"/>
      <c r="P3292" s="256" t="n"/>
      <c r="Q3292" s="256" t="n"/>
    </row>
    <row r="3293">
      <c r="A3293">
        <f>IF(DAY(D3293)=DAY($L$1+1),A3292+1,A3292)</f>
        <v/>
      </c>
      <c r="B3293" s="46">
        <f>IF(DAY(D3293)=DAY($L$1+1),1,B3292+1)</f>
        <v/>
      </c>
      <c r="C3293" s="46">
        <f>IF(DAY(D3293)=DAY($L$1+1),1,C3292+1)</f>
        <v/>
      </c>
      <c r="D3293" s="2">
        <f>D3292+1</f>
        <v/>
      </c>
      <c r="E3293" s="8">
        <f>IF(DAY(D3293)=DAY($L$1+1),TRUNC((N3292),8),E3292)</f>
        <v/>
      </c>
      <c r="F3293" s="49">
        <f>TRUNC(((1+VLOOKUP(A3293,IPCA!$A$2:$C$140,3,0)))^(C3293/(EDATE(D3293-C3293,1)-(D3293-C3293))),8)</f>
        <v/>
      </c>
      <c r="G3293" s="4">
        <f>TRUNC((E3293*F3293),8)</f>
        <v/>
      </c>
      <c r="H3293" s="4">
        <f>ROUND(((1+$H$4)^(30/360))^(C3293/(EDATE(D3293-B3293,1)-(D3293-B3293))),9)</f>
        <v/>
      </c>
      <c r="I3293" s="49">
        <f>TRUNC((G3293*H3293-G3293),8)</f>
        <v/>
      </c>
      <c r="J3293" s="4">
        <f>G3293+I3293</f>
        <v/>
      </c>
      <c r="K3293" s="256" t="n"/>
      <c r="L3293" s="256" t="n"/>
      <c r="M3293" s="256" t="n"/>
      <c r="N3293" s="256" t="n"/>
      <c r="O3293" s="256" t="n"/>
      <c r="P3293" s="256" t="n"/>
      <c r="Q3293" s="256" t="n"/>
    </row>
    <row r="3294">
      <c r="A3294">
        <f>IF(DAY(D3294)=DAY($L$1+1),A3293+1,A3293)</f>
        <v/>
      </c>
      <c r="B3294" s="1">
        <f>IF(DAY(D3294)=DAY($L$1+1),1,B3293+1)</f>
        <v/>
      </c>
      <c r="C3294" s="1">
        <f>IF(DAY(D3294)=DAY($L$1+1),1,C3293+1)</f>
        <v/>
      </c>
      <c r="D3294" s="2">
        <f>D3293+1</f>
        <v/>
      </c>
      <c r="E3294" s="8">
        <f>IF(DAY(D3294)=DAY($L$1+1),TRUNC((N3293),8),E3293)</f>
        <v/>
      </c>
      <c r="F3294" s="49">
        <f>TRUNC(((1+VLOOKUP(A3294,IPCA!$A$2:$C$140,3,0)))^(C3294/(EDATE(D3294-C3294,1)-(D3294-C3294))),8)</f>
        <v/>
      </c>
      <c r="G3294" s="4">
        <f>TRUNC((E3294*F3294),8)</f>
        <v/>
      </c>
      <c r="H3294" s="4">
        <f>ROUND(((1+$H$4)^(30/360))^(C3294/(EDATE(D3294-B3294,1)-(D3294-B3294))),9)</f>
        <v/>
      </c>
      <c r="I3294" s="49">
        <f>TRUNC((G3294*H3294-G3294),8)</f>
        <v/>
      </c>
      <c r="J3294" s="4">
        <f>G3294+I3294</f>
        <v/>
      </c>
      <c r="K3294" s="256" t="n"/>
      <c r="L3294" s="256" t="n"/>
      <c r="M3294" s="256" t="n"/>
      <c r="N3294" s="256" t="n"/>
      <c r="O3294" s="256" t="n"/>
      <c r="P3294" s="256" t="n"/>
      <c r="Q3294" s="256" t="n"/>
    </row>
    <row r="3295">
      <c r="A3295">
        <f>IF(DAY(D3295)=DAY($L$1+1),A3294+1,A3294)</f>
        <v/>
      </c>
      <c r="B3295" s="46">
        <f>IF(DAY(D3295)=DAY($L$1+1),1,B3294+1)</f>
        <v/>
      </c>
      <c r="C3295" s="46">
        <f>IF(DAY(D3295)=DAY($L$1+1),1,C3294+1)</f>
        <v/>
      </c>
      <c r="D3295" s="2">
        <f>D3294+1</f>
        <v/>
      </c>
      <c r="E3295" s="8">
        <f>IF(DAY(D3295)=DAY($L$1+1),TRUNC((N3294),8),E3294)</f>
        <v/>
      </c>
      <c r="F3295" s="49">
        <f>TRUNC(((1+VLOOKUP(A3295,IPCA!$A$2:$C$140,3,0)))^(C3295/(EDATE(D3295-C3295,1)-(D3295-C3295))),8)</f>
        <v/>
      </c>
      <c r="G3295" s="4">
        <f>TRUNC((E3295*F3295),8)</f>
        <v/>
      </c>
      <c r="H3295" s="4">
        <f>ROUND(((1+$H$4)^(30/360))^(C3295/(EDATE(D3295-B3295,1)-(D3295-B3295))),9)</f>
        <v/>
      </c>
      <c r="I3295" s="49">
        <f>TRUNC((G3295*H3295-G3295),8)</f>
        <v/>
      </c>
      <c r="J3295" s="4">
        <f>G3295+I3295</f>
        <v/>
      </c>
      <c r="K3295" s="256" t="n"/>
      <c r="L3295" s="256" t="n"/>
      <c r="M3295" s="256" t="n"/>
      <c r="N3295" s="256" t="n"/>
      <c r="O3295" s="256" t="n"/>
      <c r="P3295" s="256" t="n"/>
      <c r="Q3295" s="256" t="n"/>
    </row>
    <row r="3296">
      <c r="A3296">
        <f>IF(DAY(D3296)=DAY($L$1+1),A3295+1,A3295)</f>
        <v/>
      </c>
      <c r="B3296" s="1">
        <f>IF(DAY(D3296)=DAY($L$1+1),1,B3295+1)</f>
        <v/>
      </c>
      <c r="C3296" s="1">
        <f>IF(DAY(D3296)=DAY($L$1+1),1,C3295+1)</f>
        <v/>
      </c>
      <c r="D3296" s="2">
        <f>D3295+1</f>
        <v/>
      </c>
      <c r="E3296" s="8">
        <f>IF(DAY(D3296)=DAY($L$1+1),TRUNC((N3295),8),E3295)</f>
        <v/>
      </c>
      <c r="F3296" s="49">
        <f>TRUNC(((1+VLOOKUP(A3296,IPCA!$A$2:$C$140,3,0)))^(C3296/(EDATE(D3296-C3296,1)-(D3296-C3296))),8)</f>
        <v/>
      </c>
      <c r="G3296" s="4">
        <f>TRUNC((E3296*F3296),8)</f>
        <v/>
      </c>
      <c r="H3296" s="4">
        <f>ROUND(((1+$H$4)^(30/360))^(C3296/(EDATE(D3296-B3296,1)-(D3296-B3296))),9)</f>
        <v/>
      </c>
      <c r="I3296" s="49">
        <f>TRUNC((G3296*H3296-G3296),8)</f>
        <v/>
      </c>
      <c r="J3296" s="4">
        <f>G3296+I3296</f>
        <v/>
      </c>
      <c r="K3296" s="256" t="n"/>
      <c r="L3296" s="256" t="n"/>
      <c r="M3296" s="256" t="n"/>
      <c r="N3296" s="256" t="n"/>
      <c r="O3296" s="256" t="n"/>
      <c r="P3296" s="256" t="n"/>
      <c r="Q3296" s="256" t="n"/>
    </row>
    <row r="3297">
      <c r="A3297">
        <f>IF(DAY(D3297)=DAY($L$1+1),A3296+1,A3296)</f>
        <v/>
      </c>
      <c r="B3297" s="46">
        <f>IF(DAY(D3297)=DAY($L$1+1),1,B3296+1)</f>
        <v/>
      </c>
      <c r="C3297" s="46">
        <f>IF(DAY(D3297)=DAY($L$1+1),1,C3296+1)</f>
        <v/>
      </c>
      <c r="D3297" s="2">
        <f>D3296+1</f>
        <v/>
      </c>
      <c r="E3297" s="8">
        <f>IF(DAY(D3297)=DAY($L$1+1),TRUNC((N3296),8),E3296)</f>
        <v/>
      </c>
      <c r="F3297" s="49">
        <f>TRUNC(((1+VLOOKUP(A3297,IPCA!$A$2:$C$140,3,0)))^(C3297/(EDATE(D3297-C3297,1)-(D3297-C3297))),8)</f>
        <v/>
      </c>
      <c r="G3297" s="4">
        <f>TRUNC((E3297*F3297),8)</f>
        <v/>
      </c>
      <c r="H3297" s="4">
        <f>ROUND(((1+$H$4)^(30/360))^(C3297/(EDATE(D3297-B3297,1)-(D3297-B3297))),9)</f>
        <v/>
      </c>
      <c r="I3297" s="49">
        <f>TRUNC((G3297*H3297-G3297),8)</f>
        <v/>
      </c>
      <c r="J3297" s="4">
        <f>G3297+I3297</f>
        <v/>
      </c>
      <c r="K3297" s="256" t="n"/>
      <c r="L3297" s="256" t="n"/>
      <c r="M3297" s="256" t="n"/>
      <c r="N3297" s="256" t="n"/>
      <c r="O3297" s="256" t="n"/>
      <c r="P3297" s="256" t="n"/>
      <c r="Q3297" s="256" t="n"/>
    </row>
    <row r="3298">
      <c r="A3298">
        <f>IF(DAY(D3298)=DAY($L$1+1),A3297+1,A3297)</f>
        <v/>
      </c>
      <c r="B3298" s="1">
        <f>IF(DAY(D3298)=DAY($L$1+1),1,B3297+1)</f>
        <v/>
      </c>
      <c r="C3298" s="1">
        <f>IF(DAY(D3298)=DAY($L$1+1),1,C3297+1)</f>
        <v/>
      </c>
      <c r="D3298" s="2">
        <f>D3297+1</f>
        <v/>
      </c>
      <c r="E3298" s="8">
        <f>IF(DAY(D3298)=DAY($L$1+1),TRUNC((N3297),8),E3297)</f>
        <v/>
      </c>
      <c r="F3298" s="49">
        <f>TRUNC(((1+VLOOKUP(A3298,IPCA!$A$2:$C$140,3,0)))^(C3298/(EDATE(D3298-C3298,1)-(D3298-C3298))),8)</f>
        <v/>
      </c>
      <c r="G3298" s="4">
        <f>TRUNC((E3298*F3298),8)</f>
        <v/>
      </c>
      <c r="H3298" s="4">
        <f>ROUND(((1+$H$4)^(30/360))^(C3298/(EDATE(D3298-B3298,1)-(D3298-B3298))),9)</f>
        <v/>
      </c>
      <c r="I3298" s="49">
        <f>TRUNC((G3298*H3298-G3298),8)</f>
        <v/>
      </c>
      <c r="J3298" s="4">
        <f>G3298+I3298</f>
        <v/>
      </c>
      <c r="K3298" s="256" t="n"/>
      <c r="L3298" s="256" t="n"/>
      <c r="M3298" s="256" t="n"/>
      <c r="N3298" s="256" t="n"/>
      <c r="O3298" s="256" t="n"/>
      <c r="P3298" s="256" t="n"/>
      <c r="Q3298" s="256" t="n"/>
    </row>
    <row r="3299">
      <c r="A3299">
        <f>IF(DAY(D3299)=DAY($L$1+1),A3298+1,A3298)</f>
        <v/>
      </c>
      <c r="B3299" s="46">
        <f>IF(DAY(D3299)=DAY($L$1+1),1,B3298+1)</f>
        <v/>
      </c>
      <c r="C3299" s="46">
        <f>IF(DAY(D3299)=DAY($L$1+1),1,C3298+1)</f>
        <v/>
      </c>
      <c r="D3299" s="2">
        <f>D3298+1</f>
        <v/>
      </c>
      <c r="E3299" s="8">
        <f>IF(DAY(D3299)=DAY($L$1+1),TRUNC((N3298),8),E3298)</f>
        <v/>
      </c>
      <c r="F3299" s="49">
        <f>TRUNC(((1+VLOOKUP(A3299,IPCA!$A$2:$C$140,3,0)))^(C3299/(EDATE(D3299-C3299,1)-(D3299-C3299))),8)</f>
        <v/>
      </c>
      <c r="G3299" s="4">
        <f>TRUNC((E3299*F3299),8)</f>
        <v/>
      </c>
      <c r="H3299" s="4">
        <f>ROUND(((1+$H$4)^(30/360))^(C3299/(EDATE(D3299-B3299,1)-(D3299-B3299))),9)</f>
        <v/>
      </c>
      <c r="I3299" s="49">
        <f>TRUNC((G3299*H3299-G3299),8)</f>
        <v/>
      </c>
      <c r="J3299" s="4">
        <f>G3299+I3299</f>
        <v/>
      </c>
      <c r="K3299" s="256" t="n"/>
      <c r="L3299" s="256" t="n"/>
      <c r="M3299" s="256" t="n"/>
      <c r="N3299" s="256" t="n"/>
      <c r="O3299" s="256" t="n"/>
      <c r="P3299" s="256" t="n"/>
      <c r="Q3299" s="256" t="n"/>
    </row>
    <row r="3300">
      <c r="A3300">
        <f>IF(DAY(D3300)=DAY($L$1+1),A3299+1,A3299)</f>
        <v/>
      </c>
      <c r="B3300" s="1">
        <f>IF(DAY(D3300)=DAY($L$1+1),1,B3299+1)</f>
        <v/>
      </c>
      <c r="C3300" s="1">
        <f>IF(DAY(D3300)=DAY($L$1+1),1,C3299+1)</f>
        <v/>
      </c>
      <c r="D3300" s="2">
        <f>D3299+1</f>
        <v/>
      </c>
      <c r="E3300" s="8">
        <f>IF(DAY(D3300)=DAY($L$1+1),TRUNC((N3299),8),E3299)</f>
        <v/>
      </c>
      <c r="F3300" s="49">
        <f>TRUNC(((1+VLOOKUP(A3300,IPCA!$A$2:$C$140,3,0)))^(C3300/(EDATE(D3300-C3300,1)-(D3300-C3300))),8)</f>
        <v/>
      </c>
      <c r="G3300" s="4">
        <f>TRUNC((E3300*F3300),8)</f>
        <v/>
      </c>
      <c r="H3300" s="4">
        <f>ROUND(((1+$H$4)^(30/360))^(C3300/(EDATE(D3300-B3300,1)-(D3300-B3300))),9)</f>
        <v/>
      </c>
      <c r="I3300" s="49">
        <f>TRUNC((G3300*H3300-G3300),8)</f>
        <v/>
      </c>
      <c r="J3300" s="4">
        <f>G3300+I3300</f>
        <v/>
      </c>
      <c r="K3300" s="256" t="n"/>
      <c r="L3300" s="256" t="n"/>
      <c r="M3300" s="256" t="n"/>
      <c r="N3300" s="256" t="n"/>
      <c r="O3300" s="256" t="n"/>
      <c r="P3300" s="256" t="n"/>
      <c r="Q3300" s="256" t="n"/>
    </row>
    <row r="3301">
      <c r="A3301">
        <f>IF(DAY(D3301)=DAY($L$1+1),A3300+1,A3300)</f>
        <v/>
      </c>
      <c r="B3301" s="46">
        <f>IF(DAY(D3301)=DAY($L$1+1),1,B3300+1)</f>
        <v/>
      </c>
      <c r="C3301" s="46">
        <f>IF(DAY(D3301)=DAY($L$1+1),1,C3300+1)</f>
        <v/>
      </c>
      <c r="D3301" s="2">
        <f>D3300+1</f>
        <v/>
      </c>
      <c r="E3301" s="8">
        <f>IF(DAY(D3301)=DAY($L$1+1),TRUNC((N3300),8),E3300)</f>
        <v/>
      </c>
      <c r="F3301" s="49">
        <f>TRUNC(((1+VLOOKUP(A3301,IPCA!$A$2:$C$140,3,0)))^(C3301/(EDATE(D3301-C3301,1)-(D3301-C3301))),8)</f>
        <v/>
      </c>
      <c r="G3301" s="4">
        <f>TRUNC((E3301*F3301),8)</f>
        <v/>
      </c>
      <c r="H3301" s="4">
        <f>ROUND(((1+$H$4)^(30/360))^(C3301/(EDATE(D3301-B3301,1)-(D3301-B3301))),9)</f>
        <v/>
      </c>
      <c r="I3301" s="49">
        <f>TRUNC((G3301*H3301-G3301),8)</f>
        <v/>
      </c>
      <c r="J3301" s="4">
        <f>G3301+I3301</f>
        <v/>
      </c>
      <c r="K3301" s="256" t="n"/>
      <c r="L3301" s="256" t="n"/>
      <c r="M3301" s="256" t="n"/>
      <c r="N3301" s="256" t="n"/>
      <c r="O3301" s="256" t="n"/>
      <c r="P3301" s="256" t="n"/>
      <c r="Q3301" s="256" t="n"/>
    </row>
    <row r="3302">
      <c r="A3302">
        <f>IF(DAY(D3302)=DAY($L$1+1),A3301+1,A3301)</f>
        <v/>
      </c>
      <c r="B3302" s="1">
        <f>IF(DAY(D3302)=DAY($L$1+1),1,B3301+1)</f>
        <v/>
      </c>
      <c r="C3302" s="1">
        <f>IF(DAY(D3302)=DAY($L$1+1),1,C3301+1)</f>
        <v/>
      </c>
      <c r="D3302" s="2">
        <f>D3301+1</f>
        <v/>
      </c>
      <c r="E3302" s="8">
        <f>IF(DAY(D3302)=DAY($L$1+1),TRUNC((N3301),8),E3301)</f>
        <v/>
      </c>
      <c r="F3302" s="49">
        <f>TRUNC(((1+VLOOKUP(A3302,IPCA!$A$2:$C$140,3,0)))^(C3302/(EDATE(D3302-C3302,1)-(D3302-C3302))),8)</f>
        <v/>
      </c>
      <c r="G3302" s="4">
        <f>TRUNC((E3302*F3302),8)</f>
        <v/>
      </c>
      <c r="H3302" s="4">
        <f>ROUND(((1+$H$4)^(30/360))^(C3302/(EDATE(D3302-B3302,1)-(D3302-B3302))),9)</f>
        <v/>
      </c>
      <c r="I3302" s="49">
        <f>TRUNC((G3302*H3302-G3302),8)</f>
        <v/>
      </c>
      <c r="J3302" s="4">
        <f>G3302+I3302</f>
        <v/>
      </c>
      <c r="K3302" s="256" t="n"/>
      <c r="L3302" s="256" t="n"/>
      <c r="M3302" s="256" t="n"/>
      <c r="N3302" s="256" t="n"/>
      <c r="O3302" s="256" t="n"/>
      <c r="P3302" s="256" t="n"/>
      <c r="Q3302" s="256" t="n"/>
    </row>
    <row r="3303">
      <c r="A3303">
        <f>IF(DAY(D3303)=DAY($L$1+1),A3302+1,A3302)</f>
        <v/>
      </c>
      <c r="B3303" s="46">
        <f>IF(DAY(D3303)=DAY($L$1+1),1,B3302+1)</f>
        <v/>
      </c>
      <c r="C3303" s="46">
        <f>IF(DAY(D3303)=DAY($L$1+1),1,C3302+1)</f>
        <v/>
      </c>
      <c r="D3303" s="2">
        <f>D3302+1</f>
        <v/>
      </c>
      <c r="E3303" s="8">
        <f>IF(DAY(D3303)=DAY($L$1+1),TRUNC((N3302),8),E3302)</f>
        <v/>
      </c>
      <c r="F3303" s="49">
        <f>TRUNC(((1+VLOOKUP(A3303,IPCA!$A$2:$C$140,3,0)))^(C3303/(EDATE(D3303-C3303,1)-(D3303-C3303))),8)</f>
        <v/>
      </c>
      <c r="G3303" s="4">
        <f>TRUNC((E3303*F3303),8)</f>
        <v/>
      </c>
      <c r="H3303" s="4">
        <f>ROUND(((1+$H$4)^(30/360))^(C3303/(EDATE(D3303-B3303,1)-(D3303-B3303))),9)</f>
        <v/>
      </c>
      <c r="I3303" s="49">
        <f>TRUNC((G3303*H3303-G3303),8)</f>
        <v/>
      </c>
      <c r="J3303" s="4">
        <f>G3303+I3303</f>
        <v/>
      </c>
      <c r="K3303" s="256" t="n"/>
      <c r="L3303" s="256" t="n"/>
      <c r="M3303" s="256" t="n"/>
      <c r="N3303" s="256" t="n"/>
      <c r="O3303" s="256" t="n"/>
      <c r="P3303" s="256" t="n"/>
      <c r="Q3303" s="256" t="n"/>
    </row>
    <row r="3304">
      <c r="A3304">
        <f>IF(DAY(D3304)=DAY($L$1+1),A3303+1,A3303)</f>
        <v/>
      </c>
      <c r="B3304" s="1">
        <f>IF(DAY(D3304)=DAY($L$1+1),1,B3303+1)</f>
        <v/>
      </c>
      <c r="C3304" s="1">
        <f>IF(DAY(D3304)=DAY($L$1+1),1,C3303+1)</f>
        <v/>
      </c>
      <c r="D3304" s="2">
        <f>D3303+1</f>
        <v/>
      </c>
      <c r="E3304" s="8">
        <f>IF(DAY(D3304)=DAY($L$1+1),TRUNC((N3303),8),E3303)</f>
        <v/>
      </c>
      <c r="F3304" s="49">
        <f>TRUNC(((1+VLOOKUP(A3304,IPCA!$A$2:$C$140,3,0)))^(C3304/(EDATE(D3304-C3304,1)-(D3304-C3304))),8)</f>
        <v/>
      </c>
      <c r="G3304" s="4">
        <f>TRUNC((E3304*F3304),8)</f>
        <v/>
      </c>
      <c r="H3304" s="4">
        <f>ROUND(((1+$H$4)^(30/360))^(C3304/(EDATE(D3304-B3304,1)-(D3304-B3304))),9)</f>
        <v/>
      </c>
      <c r="I3304" s="49">
        <f>TRUNC((G3304*H3304-G3304),8)</f>
        <v/>
      </c>
      <c r="J3304" s="4">
        <f>G3304+I3304</f>
        <v/>
      </c>
      <c r="K3304" s="256" t="inlineStr">
        <is>
          <t>Cri Integralizado</t>
        </is>
      </c>
      <c r="L3304" s="270">
        <f>L3274</f>
        <v/>
      </c>
      <c r="M3304" s="256" t="n"/>
      <c r="N3304" s="256" t="n"/>
      <c r="O3304" s="256" t="n"/>
      <c r="P3304" s="256" t="n"/>
      <c r="Q3304" s="256" t="n"/>
    </row>
    <row r="3305">
      <c r="A3305">
        <f>IF(DAY(D3305)=DAY($L$1+1),A3304+1,A3304)</f>
        <v/>
      </c>
      <c r="B3305" s="46">
        <f>IF(DAY(D3305)=DAY($L$1+1),1,B3304+1)</f>
        <v/>
      </c>
      <c r="C3305" s="46">
        <f>IF(DAY(D3305)=DAY($L$1+1),1,C3304+1)</f>
        <v/>
      </c>
      <c r="D3305" s="2">
        <f>D3304+1</f>
        <v/>
      </c>
      <c r="E3305" s="8">
        <f>IF(DAY(D3305)=DAY($L$1+1),TRUNC((N3304),8),E3304)</f>
        <v/>
      </c>
      <c r="F3305" s="49">
        <f>TRUNC(((1+VLOOKUP(A3305,IPCA!$A$2:$C$140,3,0)))^(C3305/(EDATE(D3305-C3305,1)-(D3305-C3305))),8)</f>
        <v/>
      </c>
      <c r="G3305" s="4">
        <f>TRUNC((E3305*F3305),8)</f>
        <v/>
      </c>
      <c r="H3305" s="4">
        <f>ROUND(((1+$H$4)^(30/360))^(C3305/(EDATE(D3305-B3305,1)-(D3305-B3305))),9)</f>
        <v/>
      </c>
      <c r="I3305" s="49">
        <f>TRUNC((G3305*H3305-G3305),8)</f>
        <v/>
      </c>
      <c r="J3305" s="4">
        <f>G3305+I3305</f>
        <v/>
      </c>
      <c r="K3305" s="137" t="inlineStr">
        <is>
          <t>JUROS</t>
        </is>
      </c>
      <c r="L3305" s="118" t="inlineStr">
        <is>
          <t>AMORTIZAÇÃO</t>
        </is>
      </c>
      <c r="M3305" s="118" t="inlineStr">
        <is>
          <t>AMEX</t>
        </is>
      </c>
      <c r="N3305" s="118" t="inlineStr">
        <is>
          <t>RESIDUAL</t>
        </is>
      </c>
      <c r="O3305" s="256" t="n"/>
      <c r="P3305" s="256" t="n"/>
      <c r="Q3305" s="256" t="n"/>
    </row>
    <row r="3306">
      <c r="A3306">
        <f>IF(DAY(D3306)=DAY($L$1+1),A3305+1,A3305)</f>
        <v/>
      </c>
      <c r="B3306" s="111">
        <f>IF(DAY(D3306)=DAY($L$1+1),1,B3305+1)</f>
        <v/>
      </c>
      <c r="C3306" s="111">
        <f>IF(DAY(D3306)=DAY($L$1+1),1,C3305+1)</f>
        <v/>
      </c>
      <c r="D3306" s="112">
        <f>D3305+1</f>
        <v/>
      </c>
      <c r="E3306" s="113">
        <f>IF(DAY(D3306)=DAY($L$1+1),TRUNC((N3305),8),E3305)</f>
        <v/>
      </c>
      <c r="F3306" s="114">
        <f>TRUNC(((1+VLOOKUP(A3306,IPCA!$A$2:$C$140,3,0)))^(C3306/(EDATE(D3306-C3306,1)-(D3306-C3306))),8)</f>
        <v/>
      </c>
      <c r="G3306" s="114">
        <f>TRUNC((E3306*F3306),8)</f>
        <v/>
      </c>
      <c r="H3306" s="114">
        <f>ROUND(((1+$H$4)^(30/360))^(C3306/(EDATE(D3306-B3306,1)-(D3306-B3306))),9)</f>
        <v/>
      </c>
      <c r="I3306" s="114">
        <f>TRUNC((G3306*H3306-G3306),8)</f>
        <v/>
      </c>
      <c r="J3306" s="114">
        <f>G3306+I3306</f>
        <v/>
      </c>
      <c r="K3306" s="119">
        <f>I3306</f>
        <v/>
      </c>
      <c r="L3306" s="120">
        <f>TRUNC(G3306*VLOOKUP(D3306,'Amort TS'!$G$3:$H$140,2,0),8)</f>
        <v/>
      </c>
      <c r="M3306" s="120" t="n">
        <v>0</v>
      </c>
      <c r="N3306" s="120">
        <f>J3306-K3306-L3306-M3306</f>
        <v/>
      </c>
      <c r="O3306" s="256" t="n"/>
      <c r="P3306" s="256" t="n"/>
      <c r="Q3306" s="256" t="n"/>
    </row>
    <row r="3307">
      <c r="A3307">
        <f>IF(DAY(D3307)=DAY($L$1+1),A3306+1,A3306)</f>
        <v/>
      </c>
      <c r="B3307" s="46">
        <f>IF(DAY(D3307)=DAY($L$1+1),1,B3306+1)</f>
        <v/>
      </c>
      <c r="C3307" s="46">
        <f>IF(DAY(D3307)=DAY($L$1+1),1,C3306+1)</f>
        <v/>
      </c>
      <c r="D3307" s="47">
        <f>D3306+1</f>
        <v/>
      </c>
      <c r="E3307" s="8">
        <f>IF(DAY(D3307)=DAY($L$1+1),TRUNC((N3306),8),E3306)</f>
        <v/>
      </c>
      <c r="F3307" s="49">
        <f>TRUNC(((1+VLOOKUP(A3307,IPCA!$A$2:$C$140,3,0)))^(C3307/(EDATE(D3307-C3307,1)-(D3307-C3307))),8)</f>
        <v/>
      </c>
      <c r="G3307" s="4">
        <f>TRUNC((E3307*F3307),8)</f>
        <v/>
      </c>
      <c r="H3307" s="4">
        <f>ROUND(((1+$H$4)^(30/360))^(C3307/(EDATE(D3307-B3307,1)-(D3307-B3307))),9)</f>
        <v/>
      </c>
      <c r="I3307" s="49">
        <f>TRUNC((G3307*H3307-G3307),8)</f>
        <v/>
      </c>
      <c r="J3307" s="4">
        <f>G3307+I3307</f>
        <v/>
      </c>
      <c r="K3307" s="121">
        <f>K3306*L3304</f>
        <v/>
      </c>
      <c r="L3307" s="121">
        <f>L3306*L3304</f>
        <v/>
      </c>
      <c r="M3307" s="121">
        <f>M3306*L3304</f>
        <v/>
      </c>
      <c r="N3307" s="121">
        <f>N3306*L3304</f>
        <v/>
      </c>
      <c r="O3307" s="256" t="n"/>
      <c r="P3307" s="256" t="n"/>
      <c r="Q3307" s="256" t="n"/>
    </row>
    <row r="3308">
      <c r="A3308">
        <f>IF(DAY(D3308)=DAY($L$1+1),A3307+1,A3307)</f>
        <v/>
      </c>
      <c r="B3308" s="1">
        <f>IF(DAY(D3308)=DAY($L$1+1),1,B3307+1)</f>
        <v/>
      </c>
      <c r="C3308" s="46">
        <f>IF(DAY(D3308)=DAY($L$1+1),1,C3307+1)</f>
        <v/>
      </c>
      <c r="D3308" s="2">
        <f>D3307+1</f>
        <v/>
      </c>
      <c r="E3308" s="8">
        <f>IF(DAY(D3308)=DAY($L$1+1),TRUNC((N3307),8),E3307)</f>
        <v/>
      </c>
      <c r="F3308" s="49">
        <f>TRUNC(((1+VLOOKUP(A3308,IPCA!$A$2:$C$140,3,0)))^(C3308/(EDATE(D3308-C3308,1)-(D3308-C3308))),8)</f>
        <v/>
      </c>
      <c r="G3308" s="4">
        <f>TRUNC((E3308*F3308),8)</f>
        <v/>
      </c>
      <c r="H3308" s="4">
        <f>ROUND(((1+$H$4)^(30/360))^(C3308/(EDATE(D3308-B3308,1)-(D3308-B3308))),9)</f>
        <v/>
      </c>
      <c r="I3308" s="49">
        <f>TRUNC((G3308*H3308-G3308),8)</f>
        <v/>
      </c>
      <c r="J3308" s="4">
        <f>G3308+I3308</f>
        <v/>
      </c>
      <c r="K3308" s="256" t="n"/>
      <c r="L3308" s="256" t="n"/>
      <c r="M3308" s="256" t="n"/>
      <c r="N3308" s="256" t="n"/>
      <c r="O3308" s="256" t="n"/>
      <c r="P3308" s="256" t="n"/>
      <c r="Q3308" s="256" t="n"/>
    </row>
    <row r="3309">
      <c r="A3309">
        <f>IF(DAY(D3309)=DAY($L$1+1),A3308+1,A3308)</f>
        <v/>
      </c>
      <c r="B3309" s="46">
        <f>IF(DAY(D3309)=DAY($L$1+1),1,B3308+1)</f>
        <v/>
      </c>
      <c r="C3309" s="46">
        <f>IF(DAY(D3309)=DAY($L$1+1),1,C3308+1)</f>
        <v/>
      </c>
      <c r="D3309" s="2">
        <f>D3308+1</f>
        <v/>
      </c>
      <c r="E3309" s="8">
        <f>IF(DAY(D3309)=DAY($L$1+1),TRUNC((#REF!),8),E3308)</f>
        <v/>
      </c>
      <c r="F3309" s="49">
        <f>TRUNC(((1+VLOOKUP(A3309,IPCA!$A$2:$C$140,3,0)))^(C3309/(EDATE(D3309-C3309,1)-(D3309-C3309))),8)</f>
        <v/>
      </c>
      <c r="G3309" s="4">
        <f>TRUNC((E3309*F3309),8)</f>
        <v/>
      </c>
      <c r="H3309" s="4">
        <f>ROUND(((1+$H$4)^(30/360))^(C3309/(EDATE(D3309-B3309,1)-(D3309-B3309))),9)</f>
        <v/>
      </c>
      <c r="I3309" s="49">
        <f>TRUNC((G3309*H3309-G3309),8)</f>
        <v/>
      </c>
      <c r="J3309" s="4">
        <f>G3309+I3309</f>
        <v/>
      </c>
      <c r="K3309" s="256" t="n"/>
      <c r="L3309" s="256" t="n"/>
      <c r="M3309" s="256" t="n"/>
      <c r="N3309" s="256" t="n"/>
      <c r="O3309" s="256" t="n"/>
      <c r="P3309" s="256" t="n"/>
      <c r="Q3309" s="256" t="n"/>
    </row>
    <row r="3310">
      <c r="A3310">
        <f>IF(DAY(D3310)=DAY($L$1+1),A3309+1,A3309)</f>
        <v/>
      </c>
      <c r="B3310" s="46">
        <f>IF(DAY(D3310)=DAY($L$1+1),1,B3309+1)</f>
        <v/>
      </c>
      <c r="C3310" s="46">
        <f>IF(DAY(D3310)=DAY($L$1+1),1,C3309+1)</f>
        <v/>
      </c>
      <c r="D3310" s="47">
        <f>D3309+1</f>
        <v/>
      </c>
      <c r="E3310" s="8">
        <f>IF(DAY(D3310)=DAY($L$1+1),TRUNC((#REF!),8),E3309)</f>
        <v/>
      </c>
      <c r="F3310" s="49">
        <f>TRUNC(((1+VLOOKUP(A3310,IPCA!$A$2:$C$140,3,0)))^(C3310/(EDATE(D3310-C3310,1)-(D3310-C3310))),8)</f>
        <v/>
      </c>
      <c r="G3310" s="4">
        <f>TRUNC((E3310*F3310),8)</f>
        <v/>
      </c>
      <c r="H3310" s="4">
        <f>ROUND(((1+$H$4)^(30/360))^(C3310/(EDATE(D3310-B3310,1)-(D3310-B3310))),9)</f>
        <v/>
      </c>
      <c r="I3310" s="49">
        <f>TRUNC((G3310*H3310-G3310),8)</f>
        <v/>
      </c>
      <c r="J3310" s="4">
        <f>G3310+I3310</f>
        <v/>
      </c>
      <c r="K3310" s="256" t="n"/>
      <c r="L3310" s="256" t="n"/>
      <c r="M3310" s="256" t="n"/>
      <c r="N3310" s="256" t="n"/>
      <c r="O3310" s="256" t="n"/>
      <c r="P3310" s="256" t="n"/>
      <c r="Q3310" s="256" t="n"/>
    </row>
    <row r="3311">
      <c r="A3311">
        <f>IF(DAY(D3311)=DAY($L$1+1),A3310+1,A3310)</f>
        <v/>
      </c>
      <c r="B3311" s="46">
        <f>IF(DAY(D3311)=DAY($L$1+1),1,B3310+1)</f>
        <v/>
      </c>
      <c r="C3311" s="46">
        <f>IF(DAY(D3311)=DAY($L$1+1),1,C3310+1)</f>
        <v/>
      </c>
      <c r="D3311" s="2">
        <f>D3310+1</f>
        <v/>
      </c>
      <c r="E3311" s="8">
        <f>IF(DAY(D3311)=DAY($L$1+1),TRUNC((#REF!),8),E3310)</f>
        <v/>
      </c>
      <c r="F3311" s="49">
        <f>TRUNC(((1+VLOOKUP(A3311,IPCA!$A$2:$C$140,3,0)))^(C3311/(EDATE(D3311-C3311,1)-(D3311-C3311))),8)</f>
        <v/>
      </c>
      <c r="G3311" s="4">
        <f>TRUNC((E3311*F3311),8)</f>
        <v/>
      </c>
      <c r="H3311" s="4">
        <f>ROUND(((1+$H$4)^(30/360))^(C3311/(EDATE(D3311-B3311,1)-(D3311-B3311))),9)</f>
        <v/>
      </c>
      <c r="I3311" s="49">
        <f>TRUNC((G3311*H3311-G3311),8)</f>
        <v/>
      </c>
      <c r="J3311" s="4">
        <f>G3311+I3311</f>
        <v/>
      </c>
      <c r="K3311" s="256" t="n"/>
      <c r="L3311" s="256" t="n"/>
      <c r="M3311" s="256" t="n"/>
      <c r="N3311" s="256" t="n"/>
      <c r="O3311" s="256" t="n"/>
      <c r="P3311" s="256" t="n"/>
      <c r="Q3311" s="256" t="n"/>
    </row>
    <row r="3312">
      <c r="A3312">
        <f>IF(DAY(D3312)=DAY($L$1+1),A3311+1,A3311)</f>
        <v/>
      </c>
      <c r="B3312" s="1">
        <f>IF(DAY(D3312)=DAY($L$1+1),1,B3311+1)</f>
        <v/>
      </c>
      <c r="C3312" s="1">
        <f>IF(DAY(D3312)=DAY($L$1+1),1,C3311+1)</f>
        <v/>
      </c>
      <c r="D3312" s="2">
        <f>D3311+1</f>
        <v/>
      </c>
      <c r="E3312" s="8">
        <f>IF(DAY(D3312)=DAY($L$1+1),TRUNC((#REF!),8),E3311)</f>
        <v/>
      </c>
      <c r="F3312" s="49">
        <f>TRUNC(((1+VLOOKUP(A3312,IPCA!$A$2:$C$140,3,0)))^(C3312/(EDATE(D3312-C3312,1)-(D3312-C3312))),8)</f>
        <v/>
      </c>
      <c r="G3312" s="4">
        <f>TRUNC((E3312*F3312),8)</f>
        <v/>
      </c>
      <c r="H3312" s="4">
        <f>ROUND(((1+$H$4)^(30/360))^(C3312/(EDATE(D3312-B3312,1)-(D3312-B3312))),9)</f>
        <v/>
      </c>
      <c r="I3312" s="49">
        <f>TRUNC((G3312*H3312-G3312),8)</f>
        <v/>
      </c>
      <c r="J3312" s="4">
        <f>G3312+I3312</f>
        <v/>
      </c>
      <c r="K3312" s="256" t="n"/>
      <c r="L3312" s="256" t="n"/>
      <c r="M3312" s="256" t="n"/>
      <c r="N3312" s="256" t="n"/>
      <c r="O3312" s="256" t="n"/>
      <c r="P3312" s="256" t="n"/>
      <c r="Q3312" s="256" t="n"/>
    </row>
    <row r="3313">
      <c r="A3313">
        <f>IF(DAY(D3313)=DAY($L$1+1),A3312+1,A3312)</f>
        <v/>
      </c>
      <c r="B3313" s="46">
        <f>IF(DAY(D3313)=DAY($L$1+1),1,B3312+1)</f>
        <v/>
      </c>
      <c r="C3313" s="46">
        <f>IF(DAY(D3313)=DAY($L$1+1),1,C3312+1)</f>
        <v/>
      </c>
      <c r="D3313" s="2">
        <f>D3312+1</f>
        <v/>
      </c>
      <c r="E3313" s="8">
        <f>IF(DAY(D3313)=DAY($L$1+1),TRUNC((#REF!),8),E3312)</f>
        <v/>
      </c>
      <c r="F3313" s="49">
        <f>TRUNC(((1+VLOOKUP(A3313,IPCA!$A$2:$C$140,3,0)))^(C3313/(EDATE(D3313-C3313,1)-(D3313-C3313))),8)</f>
        <v/>
      </c>
      <c r="G3313" s="4">
        <f>TRUNC((E3313*F3313),8)</f>
        <v/>
      </c>
      <c r="H3313" s="4">
        <f>ROUND(((1+$H$4)^(30/360))^(C3313/(EDATE(D3313-B3313,1)-(D3313-B3313))),9)</f>
        <v/>
      </c>
      <c r="I3313" s="49">
        <f>TRUNC((G3313*H3313-G3313),8)</f>
        <v/>
      </c>
      <c r="J3313" s="4">
        <f>G3313+I3313</f>
        <v/>
      </c>
      <c r="K3313" s="256" t="n"/>
      <c r="L3313" s="256" t="n"/>
      <c r="M3313" s="256" t="n"/>
      <c r="N3313" s="256" t="n"/>
      <c r="O3313" s="256" t="n"/>
      <c r="P3313" s="256" t="n"/>
      <c r="Q3313" s="256" t="n"/>
    </row>
    <row r="3314">
      <c r="A3314">
        <f>IF(DAY(D3314)=DAY($L$1+1),A3313+1,A3313)</f>
        <v/>
      </c>
      <c r="B3314" s="1">
        <f>IF(DAY(D3314)=DAY($L$1+1),1,B3313+1)</f>
        <v/>
      </c>
      <c r="C3314" s="1">
        <f>IF(DAY(D3314)=DAY($L$1+1),1,C3313+1)</f>
        <v/>
      </c>
      <c r="D3314" s="2">
        <f>D3313+1</f>
        <v/>
      </c>
      <c r="E3314" s="8">
        <f>IF(DAY(D3314)=DAY($L$1+1),TRUNC((#REF!),8),E3313)</f>
        <v/>
      </c>
      <c r="F3314" s="49">
        <f>TRUNC(((1+VLOOKUP(A3314,IPCA!$A$2:$C$140,3,0)))^(C3314/(EDATE(D3314-C3314,1)-(D3314-C3314))),8)</f>
        <v/>
      </c>
      <c r="G3314" s="4">
        <f>TRUNC((E3314*F3314),8)</f>
        <v/>
      </c>
      <c r="H3314" s="4">
        <f>ROUND(((1+$H$4)^(30/360))^(C3314/(EDATE(D3314-B3314,1)-(D3314-B3314))),9)</f>
        <v/>
      </c>
      <c r="I3314" s="49">
        <f>TRUNC((G3314*H3314-G3314),8)</f>
        <v/>
      </c>
      <c r="J3314" s="4">
        <f>G3314+I3314</f>
        <v/>
      </c>
      <c r="K3314" s="256" t="n"/>
      <c r="L3314" s="256" t="n"/>
      <c r="M3314" s="256" t="n"/>
      <c r="N3314" s="256" t="n"/>
      <c r="O3314" s="256" t="n"/>
      <c r="P3314" s="256" t="n"/>
      <c r="Q3314" s="256" t="n"/>
    </row>
    <row r="3315">
      <c r="A3315">
        <f>IF(DAY(D3315)=DAY($L$1+1),A3314+1,A3314)</f>
        <v/>
      </c>
      <c r="B3315" s="46">
        <f>IF(DAY(D3315)=DAY($L$1+1),1,B3314+1)</f>
        <v/>
      </c>
      <c r="C3315" s="46">
        <f>IF(DAY(D3315)=DAY($L$1+1),1,C3314+1)</f>
        <v/>
      </c>
      <c r="D3315" s="2">
        <f>D3314+1</f>
        <v/>
      </c>
      <c r="E3315" s="8">
        <f>IF(DAY(D3315)=DAY($L$1+1),TRUNC((#REF!),8),E3314)</f>
        <v/>
      </c>
      <c r="F3315" s="49">
        <f>TRUNC(((1+VLOOKUP(A3315,IPCA!$A$2:$C$140,3,0)))^(C3315/(EDATE(D3315-C3315,1)-(D3315-C3315))),8)</f>
        <v/>
      </c>
      <c r="G3315" s="4">
        <f>TRUNC((E3315*F3315),8)</f>
        <v/>
      </c>
      <c r="H3315" s="4">
        <f>ROUND(((1+$H$4)^(30/360))^(C3315/(EDATE(D3315-B3315,1)-(D3315-B3315))),9)</f>
        <v/>
      </c>
      <c r="I3315" s="49">
        <f>TRUNC((G3315*H3315-G3315),8)</f>
        <v/>
      </c>
      <c r="J3315" s="4">
        <f>G3315+I3315</f>
        <v/>
      </c>
      <c r="K3315" s="256" t="n"/>
      <c r="L3315" s="256" t="n"/>
      <c r="M3315" s="256" t="n"/>
      <c r="N3315" s="256" t="n"/>
      <c r="O3315" s="256" t="n"/>
      <c r="P3315" s="256" t="n"/>
      <c r="Q3315" s="256" t="n"/>
    </row>
    <row r="3316">
      <c r="A3316">
        <f>IF(DAY(D3316)=DAY($L$1+1),A3315+1,A3315)</f>
        <v/>
      </c>
      <c r="B3316" s="1">
        <f>IF(DAY(D3316)=DAY($L$1+1),1,B3315+1)</f>
        <v/>
      </c>
      <c r="C3316" s="1">
        <f>IF(DAY(D3316)=DAY($L$1+1),1,C3315+1)</f>
        <v/>
      </c>
      <c r="D3316" s="2">
        <f>D3315+1</f>
        <v/>
      </c>
      <c r="E3316" s="8">
        <f>IF(DAY(D3316)=DAY($L$1+1),TRUNC((#REF!),8),E3315)</f>
        <v/>
      </c>
      <c r="F3316" s="49">
        <f>TRUNC(((1+VLOOKUP(A3316,IPCA!$A$2:$C$140,3,0)))^(C3316/(EDATE(D3316-C3316,1)-(D3316-C3316))),8)</f>
        <v/>
      </c>
      <c r="G3316" s="4">
        <f>TRUNC((E3316*F3316),8)</f>
        <v/>
      </c>
      <c r="H3316" s="4">
        <f>ROUND(((1+$H$4)^(30/360))^(C3316/(EDATE(D3316-B3316,1)-(D3316-B3316))),9)</f>
        <v/>
      </c>
      <c r="I3316" s="49">
        <f>TRUNC((G3316*H3316-G3316),8)</f>
        <v/>
      </c>
      <c r="J3316" s="4">
        <f>G3316+I3316</f>
        <v/>
      </c>
      <c r="K3316" s="256" t="n"/>
      <c r="L3316" s="256" t="n"/>
      <c r="M3316" s="256" t="n"/>
      <c r="N3316" s="256" t="n"/>
      <c r="O3316" s="256" t="n"/>
      <c r="P3316" s="256" t="n"/>
      <c r="Q3316" s="256" t="n"/>
    </row>
    <row r="3317">
      <c r="A3317">
        <f>IF(DAY(D3317)=DAY($L$1+1),A3316+1,A3316)</f>
        <v/>
      </c>
      <c r="B3317" s="46">
        <f>IF(DAY(D3317)=DAY($L$1+1),1,B3316+1)</f>
        <v/>
      </c>
      <c r="C3317" s="46">
        <f>IF(DAY(D3317)=DAY($L$1+1),1,C3316+1)</f>
        <v/>
      </c>
      <c r="D3317" s="2">
        <f>D3316+1</f>
        <v/>
      </c>
      <c r="E3317" s="8">
        <f>IF(DAY(D3317)=DAY($L$1+1),TRUNC((#REF!),8),E3316)</f>
        <v/>
      </c>
      <c r="F3317" s="49">
        <f>TRUNC(((1+VLOOKUP(A3317,IPCA!$A$2:$C$140,3,0)))^(C3317/(EDATE(D3317-C3317,1)-(D3317-C3317))),8)</f>
        <v/>
      </c>
      <c r="G3317" s="4">
        <f>TRUNC((E3317*F3317),8)</f>
        <v/>
      </c>
      <c r="H3317" s="4">
        <f>ROUND(((1+$H$4)^(30/360))^(C3317/(EDATE(D3317-B3317,1)-(D3317-B3317))),9)</f>
        <v/>
      </c>
      <c r="I3317" s="49">
        <f>TRUNC((G3317*H3317-G3317),8)</f>
        <v/>
      </c>
      <c r="J3317" s="4">
        <f>G3317+I3317</f>
        <v/>
      </c>
      <c r="K3317" s="256" t="n"/>
      <c r="L3317" s="256" t="n"/>
      <c r="M3317" s="256" t="n"/>
      <c r="N3317" s="256" t="n"/>
      <c r="O3317" s="256" t="n"/>
      <c r="P3317" s="256" t="n"/>
      <c r="Q3317" s="256" t="n"/>
    </row>
    <row r="3318">
      <c r="A3318">
        <f>IF(DAY(D3318)=DAY($L$1+1),A3317+1,A3317)</f>
        <v/>
      </c>
      <c r="B3318" s="1">
        <f>IF(DAY(D3318)=DAY($L$1+1),1,B3317+1)</f>
        <v/>
      </c>
      <c r="C3318" s="1">
        <f>IF(DAY(D3318)=DAY($L$1+1),1,C3317+1)</f>
        <v/>
      </c>
      <c r="D3318" s="2">
        <f>D3317+1</f>
        <v/>
      </c>
      <c r="E3318" s="8">
        <f>IF(DAY(D3318)=DAY($L$1+1),TRUNC((#REF!),8),E3317)</f>
        <v/>
      </c>
      <c r="F3318" s="49">
        <f>TRUNC(((1+VLOOKUP(A3318,IPCA!$A$2:$C$140,3,0)))^(C3318/(EDATE(D3318-C3318,1)-(D3318-C3318))),8)</f>
        <v/>
      </c>
      <c r="G3318" s="4">
        <f>TRUNC((E3318*F3318),8)</f>
        <v/>
      </c>
      <c r="H3318" s="4">
        <f>ROUND(((1+$H$4)^(30/360))^(C3318/(EDATE(D3318-B3318,1)-(D3318-B3318))),9)</f>
        <v/>
      </c>
      <c r="I3318" s="49">
        <f>TRUNC((G3318*H3318-G3318),8)</f>
        <v/>
      </c>
      <c r="J3318" s="4">
        <f>G3318+I3318</f>
        <v/>
      </c>
      <c r="K3318" s="256" t="n"/>
      <c r="L3318" s="256" t="n"/>
      <c r="M3318" s="256" t="n"/>
      <c r="N3318" s="256" t="n"/>
      <c r="O3318" s="256" t="n"/>
      <c r="P3318" s="256" t="n"/>
      <c r="Q3318" s="256" t="n"/>
    </row>
    <row r="3319">
      <c r="A3319">
        <f>IF(DAY(D3319)=DAY($L$1+1),A3318+1,A3318)</f>
        <v/>
      </c>
      <c r="B3319" s="46">
        <f>IF(DAY(D3319)=DAY($L$1+1),1,B3318+1)</f>
        <v/>
      </c>
      <c r="C3319" s="46">
        <f>IF(DAY(D3319)=DAY($L$1+1),1,C3318+1)</f>
        <v/>
      </c>
      <c r="D3319" s="2">
        <f>D3318+1</f>
        <v/>
      </c>
      <c r="E3319" s="8">
        <f>IF(DAY(D3319)=DAY($L$1+1),TRUNC((#REF!),8),E3318)</f>
        <v/>
      </c>
      <c r="F3319" s="49">
        <f>TRUNC(((1+VLOOKUP(A3319,IPCA!$A$2:$C$140,3,0)))^(C3319/(EDATE(D3319-C3319,1)-(D3319-C3319))),8)</f>
        <v/>
      </c>
      <c r="G3319" s="4">
        <f>TRUNC((E3319*F3319),8)</f>
        <v/>
      </c>
      <c r="H3319" s="4">
        <f>ROUND(((1+$H$4)^(30/360))^(C3319/(EDATE(D3319-B3319,1)-(D3319-B3319))),9)</f>
        <v/>
      </c>
      <c r="I3319" s="49">
        <f>TRUNC((G3319*H3319-G3319),8)</f>
        <v/>
      </c>
      <c r="J3319" s="4">
        <f>G3319+I3319</f>
        <v/>
      </c>
      <c r="K3319" s="256" t="n"/>
      <c r="L3319" s="256" t="n"/>
      <c r="M3319" s="256" t="n"/>
      <c r="N3319" s="256" t="n"/>
      <c r="O3319" s="256" t="n"/>
      <c r="P3319" s="256" t="n"/>
      <c r="Q3319" s="256" t="n"/>
    </row>
    <row r="3320">
      <c r="A3320">
        <f>IF(DAY(D3320)=DAY($L$1+1),A3319+1,A3319)</f>
        <v/>
      </c>
      <c r="B3320" s="1">
        <f>IF(DAY(D3320)=DAY($L$1+1),1,B3319+1)</f>
        <v/>
      </c>
      <c r="C3320" s="1">
        <f>IF(DAY(D3320)=DAY($L$1+1),1,C3319+1)</f>
        <v/>
      </c>
      <c r="D3320" s="2">
        <f>D3319+1</f>
        <v/>
      </c>
      <c r="E3320" s="8">
        <f>IF(DAY(D3320)=DAY($L$1+1),TRUNC((#REF!),8),E3319)</f>
        <v/>
      </c>
      <c r="F3320" s="49">
        <f>TRUNC(((1+VLOOKUP(A3320,IPCA!$A$2:$C$140,3,0)))^(C3320/(EDATE(D3320-C3320,1)-(D3320-C3320))),8)</f>
        <v/>
      </c>
      <c r="G3320" s="4">
        <f>TRUNC((E3320*F3320),8)</f>
        <v/>
      </c>
      <c r="H3320" s="4">
        <f>ROUND(((1+$H$4)^(30/360))^(C3320/(EDATE(D3320-B3320,1)-(D3320-B3320))),9)</f>
        <v/>
      </c>
      <c r="I3320" s="49">
        <f>TRUNC((G3320*H3320-G3320),8)</f>
        <v/>
      </c>
      <c r="J3320" s="4">
        <f>G3320+I3320</f>
        <v/>
      </c>
      <c r="K3320" s="256" t="n"/>
      <c r="L3320" s="256" t="n"/>
      <c r="M3320" s="256" t="n"/>
      <c r="N3320" s="256" t="n"/>
      <c r="O3320" s="256" t="n"/>
      <c r="P3320" s="256" t="n"/>
      <c r="Q3320" s="256" t="n"/>
    </row>
    <row r="3321">
      <c r="A3321">
        <f>IF(DAY(D3321)=DAY($L$1+1),A3320+1,A3320)</f>
        <v/>
      </c>
      <c r="B3321" s="46">
        <f>IF(DAY(D3321)=DAY($L$1+1),1,B3320+1)</f>
        <v/>
      </c>
      <c r="C3321" s="46">
        <f>IF(DAY(D3321)=DAY($L$1+1),1,C3320+1)</f>
        <v/>
      </c>
      <c r="D3321" s="2">
        <f>D3320+1</f>
        <v/>
      </c>
      <c r="E3321" s="8">
        <f>IF(DAY(D3321)=DAY($L$1+1),TRUNC((N3320),8),E3320)</f>
        <v/>
      </c>
      <c r="F3321" s="49">
        <f>TRUNC(((1+VLOOKUP(A3321,IPCA!$A$2:$C$140,3,0)))^(C3321/(EDATE(D3321-C3321,1)-(D3321-C3321))),8)</f>
        <v/>
      </c>
      <c r="G3321" s="4">
        <f>TRUNC((E3321*F3321),8)</f>
        <v/>
      </c>
      <c r="H3321" s="4">
        <f>ROUND(((1+$H$4)^(30/360))^(C3321/(EDATE(D3321-B3321,1)-(D3321-B3321))),9)</f>
        <v/>
      </c>
      <c r="I3321" s="49">
        <f>TRUNC((G3321*H3321-G3321),8)</f>
        <v/>
      </c>
      <c r="J3321" s="4">
        <f>G3321+I3321</f>
        <v/>
      </c>
      <c r="K3321" s="256" t="n"/>
      <c r="L3321" s="256" t="n"/>
      <c r="M3321" s="256" t="n"/>
      <c r="N3321" s="256" t="n"/>
      <c r="O3321" s="256" t="n"/>
      <c r="P3321" s="256" t="n"/>
      <c r="Q3321" s="256" t="n"/>
    </row>
    <row r="3322">
      <c r="A3322">
        <f>IF(DAY(D3322)=DAY($L$1+1),A3321+1,A3321)</f>
        <v/>
      </c>
      <c r="B3322" s="1">
        <f>IF(DAY(D3322)=DAY($L$1+1),1,B3321+1)</f>
        <v/>
      </c>
      <c r="C3322" s="1">
        <f>IF(DAY(D3322)=DAY($L$1+1),1,C3321+1)</f>
        <v/>
      </c>
      <c r="D3322" s="2">
        <f>D3321+1</f>
        <v/>
      </c>
      <c r="E3322" s="8">
        <f>IF(DAY(D3322)=DAY($L$1+1),TRUNC((N3321),8),E3321)</f>
        <v/>
      </c>
      <c r="F3322" s="49">
        <f>TRUNC(((1+VLOOKUP(A3322,IPCA!$A$2:$C$140,3,0)))^(C3322/(EDATE(D3322-C3322,1)-(D3322-C3322))),8)</f>
        <v/>
      </c>
      <c r="G3322" s="4">
        <f>TRUNC((E3322*F3322),8)</f>
        <v/>
      </c>
      <c r="H3322" s="4">
        <f>ROUND(((1+$H$4)^(30/360))^(C3322/(EDATE(D3322-B3322,1)-(D3322-B3322))),9)</f>
        <v/>
      </c>
      <c r="I3322" s="49">
        <f>TRUNC((G3322*H3322-G3322),8)</f>
        <v/>
      </c>
      <c r="J3322" s="4">
        <f>G3322+I3322</f>
        <v/>
      </c>
      <c r="K3322" s="256" t="n"/>
      <c r="L3322" s="256" t="n"/>
      <c r="M3322" s="256" t="n"/>
      <c r="N3322" s="256" t="n"/>
      <c r="O3322" s="256" t="n"/>
      <c r="P3322" s="256" t="n"/>
      <c r="Q3322" s="256" t="n"/>
    </row>
    <row r="3323">
      <c r="A3323">
        <f>IF(DAY(D3323)=DAY($L$1+1),A3322+1,A3322)</f>
        <v/>
      </c>
      <c r="B3323" s="46">
        <f>IF(DAY(D3323)=DAY($L$1+1),1,B3322+1)</f>
        <v/>
      </c>
      <c r="C3323" s="46">
        <f>IF(DAY(D3323)=DAY($L$1+1),1,C3322+1)</f>
        <v/>
      </c>
      <c r="D3323" s="2">
        <f>D3322+1</f>
        <v/>
      </c>
      <c r="E3323" s="8">
        <f>IF(DAY(D3323)=DAY($L$1+1),TRUNC((N3322),8),E3322)</f>
        <v/>
      </c>
      <c r="F3323" s="49">
        <f>TRUNC(((1+VLOOKUP(A3323,IPCA!$A$2:$C$140,3,0)))^(C3323/(EDATE(D3323-C3323,1)-(D3323-C3323))),8)</f>
        <v/>
      </c>
      <c r="G3323" s="4">
        <f>TRUNC((E3323*F3323),8)</f>
        <v/>
      </c>
      <c r="H3323" s="4">
        <f>ROUND(((1+$H$4)^(30/360))^(C3323/(EDATE(D3323-B3323,1)-(D3323-B3323))),9)</f>
        <v/>
      </c>
      <c r="I3323" s="49">
        <f>TRUNC((G3323*H3323-G3323),8)</f>
        <v/>
      </c>
      <c r="J3323" s="4">
        <f>G3323+I3323</f>
        <v/>
      </c>
      <c r="K3323" s="256" t="n"/>
      <c r="L3323" s="256" t="n"/>
      <c r="M3323" s="256" t="n"/>
      <c r="N3323" s="256" t="n"/>
      <c r="O3323" s="256" t="n"/>
      <c r="P3323" s="256" t="n"/>
      <c r="Q3323" s="256" t="n"/>
    </row>
    <row r="3324">
      <c r="A3324">
        <f>IF(DAY(D3324)=DAY($L$1+1),A3323+1,A3323)</f>
        <v/>
      </c>
      <c r="B3324" s="1">
        <f>IF(DAY(D3324)=DAY($L$1+1),1,B3323+1)</f>
        <v/>
      </c>
      <c r="C3324" s="1">
        <f>IF(DAY(D3324)=DAY($L$1+1),1,C3323+1)</f>
        <v/>
      </c>
      <c r="D3324" s="2">
        <f>D3323+1</f>
        <v/>
      </c>
      <c r="E3324" s="8">
        <f>IF(DAY(D3324)=DAY($L$1+1),TRUNC((N3323),8),E3323)</f>
        <v/>
      </c>
      <c r="F3324" s="49">
        <f>TRUNC(((1+VLOOKUP(A3324,IPCA!$A$2:$C$140,3,0)))^(C3324/(EDATE(D3324-C3324,1)-(D3324-C3324))),8)</f>
        <v/>
      </c>
      <c r="G3324" s="4">
        <f>TRUNC((E3324*F3324),8)</f>
        <v/>
      </c>
      <c r="H3324" s="4">
        <f>ROUND(((1+$H$4)^(30/360))^(C3324/(EDATE(D3324-B3324,1)-(D3324-B3324))),9)</f>
        <v/>
      </c>
      <c r="I3324" s="49">
        <f>TRUNC((G3324*H3324-G3324),8)</f>
        <v/>
      </c>
      <c r="J3324" s="4">
        <f>G3324+I3324</f>
        <v/>
      </c>
      <c r="K3324" s="256" t="n"/>
      <c r="L3324" s="256" t="n"/>
      <c r="M3324" s="256" t="n"/>
      <c r="N3324" s="256" t="n"/>
      <c r="O3324" s="256" t="n"/>
      <c r="P3324" s="256" t="n"/>
      <c r="Q3324" s="256" t="n"/>
    </row>
    <row r="3325">
      <c r="A3325">
        <f>IF(DAY(D3325)=DAY($L$1+1),A3324+1,A3324)</f>
        <v/>
      </c>
      <c r="B3325" s="46">
        <f>IF(DAY(D3325)=DAY($L$1+1),1,B3324+1)</f>
        <v/>
      </c>
      <c r="C3325" s="46">
        <f>IF(DAY(D3325)=DAY($L$1+1),1,C3324+1)</f>
        <v/>
      </c>
      <c r="D3325" s="2">
        <f>D3324+1</f>
        <v/>
      </c>
      <c r="E3325" s="8">
        <f>IF(DAY(D3325)=DAY($L$1+1),TRUNC((N3324),8),E3324)</f>
        <v/>
      </c>
      <c r="F3325" s="49">
        <f>TRUNC(((1+VLOOKUP(A3325,IPCA!$A$2:$C$140,3,0)))^(C3325/(EDATE(D3325-C3325,1)-(D3325-C3325))),8)</f>
        <v/>
      </c>
      <c r="G3325" s="4">
        <f>TRUNC((E3325*F3325),8)</f>
        <v/>
      </c>
      <c r="H3325" s="4">
        <f>ROUND(((1+$H$4)^(30/360))^(C3325/(EDATE(D3325-B3325,1)-(D3325-B3325))),9)</f>
        <v/>
      </c>
      <c r="I3325" s="49">
        <f>TRUNC((G3325*H3325-G3325),8)</f>
        <v/>
      </c>
      <c r="J3325" s="4">
        <f>G3325+I3325</f>
        <v/>
      </c>
      <c r="K3325" s="256" t="n"/>
      <c r="L3325" s="256" t="n"/>
      <c r="M3325" s="256" t="n"/>
      <c r="N3325" s="256" t="n"/>
      <c r="O3325" s="256" t="n"/>
      <c r="P3325" s="256" t="n"/>
      <c r="Q3325" s="256" t="n"/>
    </row>
    <row r="3326">
      <c r="A3326">
        <f>IF(DAY(D3326)=DAY($L$1+1),A3325+1,A3325)</f>
        <v/>
      </c>
      <c r="B3326" s="1">
        <f>IF(DAY(D3326)=DAY($L$1+1),1,B3325+1)</f>
        <v/>
      </c>
      <c r="C3326" s="1">
        <f>IF(DAY(D3326)=DAY($L$1+1),1,C3325+1)</f>
        <v/>
      </c>
      <c r="D3326" s="2">
        <f>D3325+1</f>
        <v/>
      </c>
      <c r="E3326" s="8">
        <f>IF(DAY(D3326)=DAY($L$1+1),TRUNC((N3325),8),E3325)</f>
        <v/>
      </c>
      <c r="F3326" s="49">
        <f>TRUNC(((1+VLOOKUP(A3326,IPCA!$A$2:$C$140,3,0)))^(C3326/(EDATE(D3326-C3326,1)-(D3326-C3326))),8)</f>
        <v/>
      </c>
      <c r="G3326" s="4">
        <f>TRUNC((E3326*F3326),8)</f>
        <v/>
      </c>
      <c r="H3326" s="4">
        <f>ROUND(((1+$H$4)^(30/360))^(C3326/(EDATE(D3326-B3326,1)-(D3326-B3326))),9)</f>
        <v/>
      </c>
      <c r="I3326" s="49">
        <f>TRUNC((G3326*H3326-G3326),8)</f>
        <v/>
      </c>
      <c r="J3326" s="4">
        <f>G3326+I3326</f>
        <v/>
      </c>
      <c r="K3326" s="256" t="n"/>
      <c r="L3326" s="256" t="n"/>
      <c r="M3326" s="256" t="n"/>
      <c r="N3326" s="256" t="n"/>
      <c r="O3326" s="256" t="n"/>
      <c r="P3326" s="256" t="n"/>
      <c r="Q3326" s="256" t="n"/>
    </row>
    <row r="3327">
      <c r="A3327">
        <f>IF(DAY(D3327)=DAY($L$1+1),A3326+1,A3326)</f>
        <v/>
      </c>
      <c r="B3327" s="46">
        <f>IF(DAY(D3327)=DAY($L$1+1),1,B3326+1)</f>
        <v/>
      </c>
      <c r="C3327" s="46">
        <f>IF(DAY(D3327)=DAY($L$1+1),1,C3326+1)</f>
        <v/>
      </c>
      <c r="D3327" s="2">
        <f>D3326+1</f>
        <v/>
      </c>
      <c r="E3327" s="8">
        <f>IF(DAY(D3327)=DAY($L$1+1),TRUNC((N3326),8),E3326)</f>
        <v/>
      </c>
      <c r="F3327" s="49">
        <f>TRUNC(((1+VLOOKUP(A3327,IPCA!$A$2:$C$140,3,0)))^(C3327/(EDATE(D3327-C3327,1)-(D3327-C3327))),8)</f>
        <v/>
      </c>
      <c r="G3327" s="4">
        <f>TRUNC((E3327*F3327),8)</f>
        <v/>
      </c>
      <c r="H3327" s="4">
        <f>ROUND(((1+$H$4)^(30/360))^(C3327/(EDATE(D3327-B3327,1)-(D3327-B3327))),9)</f>
        <v/>
      </c>
      <c r="I3327" s="49">
        <f>TRUNC((G3327*H3327-G3327),8)</f>
        <v/>
      </c>
      <c r="J3327" s="4">
        <f>G3327+I3327</f>
        <v/>
      </c>
      <c r="K3327" s="256" t="n"/>
      <c r="L3327" s="256" t="n"/>
      <c r="M3327" s="256" t="n"/>
      <c r="N3327" s="256" t="n"/>
      <c r="O3327" s="256" t="n"/>
      <c r="P3327" s="256" t="n"/>
      <c r="Q3327" s="256" t="n"/>
    </row>
    <row r="3328">
      <c r="A3328">
        <f>IF(DAY(D3328)=DAY($L$1+1),A3327+1,A3327)</f>
        <v/>
      </c>
      <c r="B3328" s="1">
        <f>IF(DAY(D3328)=DAY($L$1+1),1,B3327+1)</f>
        <v/>
      </c>
      <c r="C3328" s="1">
        <f>IF(DAY(D3328)=DAY($L$1+1),1,C3327+1)</f>
        <v/>
      </c>
      <c r="D3328" s="2">
        <f>D3327+1</f>
        <v/>
      </c>
      <c r="E3328" s="8">
        <f>IF(DAY(D3328)=DAY($L$1+1),TRUNC((N3327),8),E3327)</f>
        <v/>
      </c>
      <c r="F3328" s="49">
        <f>TRUNC(((1+VLOOKUP(A3328,IPCA!$A$2:$C$140,3,0)))^(C3328/(EDATE(D3328-C3328,1)-(D3328-C3328))),8)</f>
        <v/>
      </c>
      <c r="G3328" s="4">
        <f>TRUNC((E3328*F3328),8)</f>
        <v/>
      </c>
      <c r="H3328" s="4">
        <f>ROUND(((1+$H$4)^(30/360))^(C3328/(EDATE(D3328-B3328,1)-(D3328-B3328))),9)</f>
        <v/>
      </c>
      <c r="I3328" s="49">
        <f>TRUNC((G3328*H3328-G3328),8)</f>
        <v/>
      </c>
      <c r="J3328" s="4">
        <f>G3328+I3328</f>
        <v/>
      </c>
      <c r="K3328" s="256" t="n"/>
      <c r="L3328" s="256" t="n"/>
      <c r="M3328" s="256" t="n"/>
      <c r="N3328" s="256" t="n"/>
      <c r="O3328" s="256" t="n"/>
      <c r="P3328" s="256" t="n"/>
      <c r="Q3328" s="256" t="n"/>
    </row>
    <row r="3329">
      <c r="A3329">
        <f>IF(DAY(D3329)=DAY($L$1+1),A3328+1,A3328)</f>
        <v/>
      </c>
      <c r="B3329" s="46">
        <f>IF(DAY(D3329)=DAY($L$1+1),1,B3328+1)</f>
        <v/>
      </c>
      <c r="C3329" s="46">
        <f>IF(DAY(D3329)=DAY($L$1+1),1,C3328+1)</f>
        <v/>
      </c>
      <c r="D3329" s="2">
        <f>D3328+1</f>
        <v/>
      </c>
      <c r="E3329" s="8">
        <f>IF(DAY(D3329)=DAY($L$1+1),TRUNC((N3328),8),E3328)</f>
        <v/>
      </c>
      <c r="F3329" s="49">
        <f>TRUNC(((1+VLOOKUP(A3329,IPCA!$A$2:$C$140,3,0)))^(C3329/(EDATE(D3329-C3329,1)-(D3329-C3329))),8)</f>
        <v/>
      </c>
      <c r="G3329" s="4">
        <f>TRUNC((E3329*F3329),8)</f>
        <v/>
      </c>
      <c r="H3329" s="4">
        <f>ROUND(((1+$H$4)^(30/360))^(C3329/(EDATE(D3329-B3329,1)-(D3329-B3329))),9)</f>
        <v/>
      </c>
      <c r="I3329" s="49">
        <f>TRUNC((G3329*H3329-G3329),8)</f>
        <v/>
      </c>
      <c r="J3329" s="4">
        <f>G3329+I3329</f>
        <v/>
      </c>
      <c r="K3329" s="256" t="n"/>
      <c r="L3329" s="256" t="n"/>
      <c r="M3329" s="256" t="n"/>
      <c r="N3329" s="256" t="n"/>
      <c r="O3329" s="256" t="n"/>
      <c r="P3329" s="256" t="n"/>
      <c r="Q3329" s="256" t="n"/>
    </row>
    <row r="3330">
      <c r="A3330">
        <f>IF(DAY(D3330)=DAY($L$1+1),A3329+1,A3329)</f>
        <v/>
      </c>
      <c r="B3330" s="1">
        <f>IF(DAY(D3330)=DAY($L$1+1),1,B3329+1)</f>
        <v/>
      </c>
      <c r="C3330" s="1">
        <f>IF(DAY(D3330)=DAY($L$1+1),1,C3329+1)</f>
        <v/>
      </c>
      <c r="D3330" s="2">
        <f>D3329+1</f>
        <v/>
      </c>
      <c r="E3330" s="8">
        <f>IF(DAY(D3330)=DAY($L$1+1),TRUNC((N3329),8),E3329)</f>
        <v/>
      </c>
      <c r="F3330" s="49">
        <f>TRUNC(((1+VLOOKUP(A3330,IPCA!$A$2:$C$140,3,0)))^(C3330/(EDATE(D3330-C3330,1)-(D3330-C3330))),8)</f>
        <v/>
      </c>
      <c r="G3330" s="4">
        <f>TRUNC((E3330*F3330),8)</f>
        <v/>
      </c>
      <c r="H3330" s="4">
        <f>ROUND(((1+$H$4)^(30/360))^(C3330/(EDATE(D3330-B3330,1)-(D3330-B3330))),9)</f>
        <v/>
      </c>
      <c r="I3330" s="49">
        <f>TRUNC((G3330*H3330-G3330),8)</f>
        <v/>
      </c>
      <c r="J3330" s="4">
        <f>G3330+I3330</f>
        <v/>
      </c>
      <c r="K3330" s="256" t="n"/>
      <c r="L3330" s="256" t="n"/>
      <c r="M3330" s="256" t="n"/>
      <c r="N3330" s="256" t="n"/>
      <c r="O3330" s="256" t="n"/>
      <c r="P3330" s="256" t="n"/>
      <c r="Q3330" s="256" t="n"/>
    </row>
    <row r="3331">
      <c r="A3331">
        <f>IF(DAY(D3331)=DAY($L$1+1),A3330+1,A3330)</f>
        <v/>
      </c>
      <c r="B3331" s="46">
        <f>IF(DAY(D3331)=DAY($L$1+1),1,B3330+1)</f>
        <v/>
      </c>
      <c r="C3331" s="46">
        <f>IF(DAY(D3331)=DAY($L$1+1),1,C3330+1)</f>
        <v/>
      </c>
      <c r="D3331" s="2">
        <f>D3330+1</f>
        <v/>
      </c>
      <c r="E3331" s="8">
        <f>IF(DAY(D3331)=DAY($L$1+1),TRUNC((N3330),8),E3330)</f>
        <v/>
      </c>
      <c r="F3331" s="49">
        <f>TRUNC(((1+VLOOKUP(A3331,IPCA!$A$2:$C$140,3,0)))^(C3331/(EDATE(D3331-C3331,1)-(D3331-C3331))),8)</f>
        <v/>
      </c>
      <c r="G3331" s="4">
        <f>TRUNC((E3331*F3331),8)</f>
        <v/>
      </c>
      <c r="H3331" s="4">
        <f>ROUND(((1+$H$4)^(30/360))^(C3331/(EDATE(D3331-B3331,1)-(D3331-B3331))),9)</f>
        <v/>
      </c>
      <c r="I3331" s="49">
        <f>TRUNC((G3331*H3331-G3331),8)</f>
        <v/>
      </c>
      <c r="J3331" s="4">
        <f>G3331+I3331</f>
        <v/>
      </c>
      <c r="K3331" s="256" t="n"/>
      <c r="L3331" s="256" t="n"/>
      <c r="M3331" s="256" t="n"/>
      <c r="N3331" s="256" t="n"/>
      <c r="O3331" s="256" t="n"/>
      <c r="P3331" s="256" t="n"/>
      <c r="Q3331" s="256" t="n"/>
    </row>
    <row r="3332">
      <c r="A3332">
        <f>IF(DAY(D3332)=DAY($L$1+1),A3331+1,A3331)</f>
        <v/>
      </c>
      <c r="B3332" s="1">
        <f>IF(DAY(D3332)=DAY($L$1+1),1,B3331+1)</f>
        <v/>
      </c>
      <c r="C3332" s="1">
        <f>IF(DAY(D3332)=DAY($L$1+1),1,C3331+1)</f>
        <v/>
      </c>
      <c r="D3332" s="2">
        <f>D3331+1</f>
        <v/>
      </c>
      <c r="E3332" s="8">
        <f>IF(DAY(D3332)=DAY($L$1+1),TRUNC((N3331),8),E3331)</f>
        <v/>
      </c>
      <c r="F3332" s="49">
        <f>TRUNC(((1+VLOOKUP(A3332,IPCA!$A$2:$C$140,3,0)))^(C3332/(EDATE(D3332-C3332,1)-(D3332-C3332))),8)</f>
        <v/>
      </c>
      <c r="G3332" s="4">
        <f>TRUNC((E3332*F3332),8)</f>
        <v/>
      </c>
      <c r="H3332" s="4">
        <f>ROUND(((1+$H$4)^(30/360))^(C3332/(EDATE(D3332-B3332,1)-(D3332-B3332))),9)</f>
        <v/>
      </c>
      <c r="I3332" s="49">
        <f>TRUNC((G3332*H3332-G3332),8)</f>
        <v/>
      </c>
      <c r="J3332" s="4">
        <f>G3332+I3332</f>
        <v/>
      </c>
      <c r="K3332" s="256" t="n"/>
      <c r="L3332" s="256" t="n"/>
      <c r="M3332" s="256" t="n"/>
      <c r="N3332" s="256" t="n"/>
      <c r="O3332" s="256" t="n"/>
      <c r="P3332" s="256" t="n"/>
      <c r="Q3332" s="256" t="n"/>
    </row>
    <row r="3333">
      <c r="A3333">
        <f>IF(DAY(D3333)=DAY($L$1+1),A3332+1,A3332)</f>
        <v/>
      </c>
      <c r="B3333" s="46">
        <f>IF(DAY(D3333)=DAY($L$1+1),1,B3332+1)</f>
        <v/>
      </c>
      <c r="C3333" s="46">
        <f>IF(DAY(D3333)=DAY($L$1+1),1,C3332+1)</f>
        <v/>
      </c>
      <c r="D3333" s="2">
        <f>D3332+1</f>
        <v/>
      </c>
      <c r="E3333" s="8">
        <f>IF(DAY(D3333)=DAY($L$1+1),TRUNC((N3332),8),E3332)</f>
        <v/>
      </c>
      <c r="F3333" s="49">
        <f>TRUNC(((1+VLOOKUP(A3333,IPCA!$A$2:$C$140,3,0)))^(C3333/(EDATE(D3333-C3333,1)-(D3333-C3333))),8)</f>
        <v/>
      </c>
      <c r="G3333" s="4">
        <f>TRUNC((E3333*F3333),8)</f>
        <v/>
      </c>
      <c r="H3333" s="4">
        <f>ROUND(((1+$H$4)^(30/360))^(C3333/(EDATE(D3333-B3333,1)-(D3333-B3333))),9)</f>
        <v/>
      </c>
      <c r="I3333" s="49">
        <f>TRUNC((G3333*H3333-G3333),8)</f>
        <v/>
      </c>
      <c r="J3333" s="4">
        <f>G3333+I3333</f>
        <v/>
      </c>
      <c r="K3333" s="256" t="n"/>
      <c r="L3333" s="256" t="n"/>
      <c r="M3333" s="256" t="n"/>
      <c r="N3333" s="256" t="n"/>
      <c r="O3333" s="256" t="n"/>
      <c r="P3333" s="256" t="n"/>
      <c r="Q3333" s="256" t="n"/>
    </row>
    <row r="3334">
      <c r="A3334">
        <f>IF(DAY(D3334)=DAY($L$1+1),A3333+1,A3333)</f>
        <v/>
      </c>
      <c r="B3334" s="1">
        <f>IF(DAY(D3334)=DAY($L$1+1),1,B3333+1)</f>
        <v/>
      </c>
      <c r="C3334" s="1">
        <f>IF(DAY(D3334)=DAY($L$1+1),1,C3333+1)</f>
        <v/>
      </c>
      <c r="D3334" s="2">
        <f>D3333+1</f>
        <v/>
      </c>
      <c r="E3334" s="8">
        <f>IF(DAY(D3334)=DAY($L$1+1),TRUNC((N3333),8),E3333)</f>
        <v/>
      </c>
      <c r="F3334" s="49">
        <f>TRUNC(((1+VLOOKUP(A3334,IPCA!$A$2:$C$140,3,0)))^(C3334/(EDATE(D3334-C3334,1)-(D3334-C3334))),8)</f>
        <v/>
      </c>
      <c r="G3334" s="4">
        <f>TRUNC((E3334*F3334),8)</f>
        <v/>
      </c>
      <c r="H3334" s="4">
        <f>ROUND(((1+$H$4)^(30/360))^(C3334/(EDATE(D3334-B3334,1)-(D3334-B3334))),9)</f>
        <v/>
      </c>
      <c r="I3334" s="49">
        <f>TRUNC((G3334*H3334-G3334),8)</f>
        <v/>
      </c>
      <c r="J3334" s="4">
        <f>G3334+I3334</f>
        <v/>
      </c>
      <c r="K3334" s="256" t="n"/>
      <c r="L3334" s="256" t="n"/>
      <c r="M3334" s="256" t="n"/>
      <c r="N3334" s="256" t="n"/>
      <c r="O3334" s="256" t="n"/>
      <c r="P3334" s="256" t="n"/>
      <c r="Q3334" s="256" t="n"/>
    </row>
    <row r="3335">
      <c r="A3335">
        <f>IF(DAY(D3335)=DAY($L$1+1),A3334+1,A3334)</f>
        <v/>
      </c>
      <c r="B3335" s="46">
        <f>IF(DAY(D3335)=DAY($L$1+1),1,B3334+1)</f>
        <v/>
      </c>
      <c r="C3335" s="46">
        <f>IF(DAY(D3335)=DAY($L$1+1),1,C3334+1)</f>
        <v/>
      </c>
      <c r="D3335" s="2">
        <f>D3334+1</f>
        <v/>
      </c>
      <c r="E3335" s="8">
        <f>IF(DAY(D3335)=DAY($L$1+1),TRUNC((N3334),8),E3334)</f>
        <v/>
      </c>
      <c r="F3335" s="49">
        <f>TRUNC(((1+VLOOKUP(A3335,IPCA!$A$2:$C$140,3,0)))^(C3335/(EDATE(D3335-C3335,1)-(D3335-C3335))),8)</f>
        <v/>
      </c>
      <c r="G3335" s="4">
        <f>TRUNC((E3335*F3335),8)</f>
        <v/>
      </c>
      <c r="H3335" s="4">
        <f>ROUND(((1+$H$4)^(30/360))^(C3335/(EDATE(D3335-B3335,1)-(D3335-B3335))),9)</f>
        <v/>
      </c>
      <c r="I3335" s="49">
        <f>TRUNC((G3335*H3335-G3335),8)</f>
        <v/>
      </c>
      <c r="J3335" s="4">
        <f>G3335+I3335</f>
        <v/>
      </c>
      <c r="K3335" s="256" t="inlineStr">
        <is>
          <t>Cri Integralizado</t>
        </is>
      </c>
      <c r="L3335" s="270">
        <f>L3304</f>
        <v/>
      </c>
      <c r="M3335" s="256" t="n"/>
      <c r="N3335" s="256" t="n"/>
      <c r="O3335" s="256" t="n"/>
      <c r="P3335" s="256" t="n"/>
      <c r="Q3335" s="256" t="n"/>
    </row>
    <row r="3336">
      <c r="A3336">
        <f>IF(DAY(D3336)=DAY($L$1+1),A3335+1,A3335)</f>
        <v/>
      </c>
      <c r="B3336" s="46">
        <f>IF(DAY(D3336)=DAY($L$1+1),1,B3335+1)</f>
        <v/>
      </c>
      <c r="C3336" s="46">
        <f>IF(DAY(D3336)=DAY($L$1+1),1,C3335+1)</f>
        <v/>
      </c>
      <c r="D3336" s="2">
        <f>D3335+1</f>
        <v/>
      </c>
      <c r="E3336" s="8">
        <f>IF(DAY(D3336)=DAY($L$1+1),TRUNC((N3335),8),E3335)</f>
        <v/>
      </c>
      <c r="F3336" s="49">
        <f>TRUNC(((1+VLOOKUP(A3336,IPCA!$A$2:$C$140,3,0)))^(C3336/(EDATE(D3336-C3336,1)-(D3336-C3336))),8)</f>
        <v/>
      </c>
      <c r="G3336" s="4">
        <f>TRUNC((E3336*F3336),8)</f>
        <v/>
      </c>
      <c r="H3336" s="4">
        <f>ROUND(((1+$H$4)^(30/360))^(C3336/(EDATE(D3336-B3336,1)-(D3336-B3336))),9)</f>
        <v/>
      </c>
      <c r="I3336" s="49">
        <f>TRUNC((G3336*H3336-G3336),8)</f>
        <v/>
      </c>
      <c r="J3336" s="4">
        <f>G3336+I3336</f>
        <v/>
      </c>
      <c r="K3336" s="137" t="inlineStr">
        <is>
          <t>JUROS</t>
        </is>
      </c>
      <c r="L3336" s="118" t="inlineStr">
        <is>
          <t>AMORTIZAÇÃO</t>
        </is>
      </c>
      <c r="M3336" s="118" t="inlineStr">
        <is>
          <t>AMEX</t>
        </is>
      </c>
      <c r="N3336" s="118" t="inlineStr">
        <is>
          <t>RESIDUAL</t>
        </is>
      </c>
      <c r="O3336" s="256" t="n"/>
      <c r="P3336" s="256" t="n"/>
      <c r="Q3336" s="256" t="n"/>
    </row>
    <row r="3337">
      <c r="A3337">
        <f>IF(DAY(D3337)=DAY($L$1+1),A3336+1,A3336)</f>
        <v/>
      </c>
      <c r="B3337" s="111">
        <f>IF(DAY(D3337)=DAY($L$1+1),1,B3336+1)</f>
        <v/>
      </c>
      <c r="C3337" s="111">
        <f>IF(DAY(D3337)=DAY($L$1+1),1,C3336+1)</f>
        <v/>
      </c>
      <c r="D3337" s="112">
        <f>D3336+1</f>
        <v/>
      </c>
      <c r="E3337" s="113">
        <f>IF(DAY(D3337)=DAY($L$1+1),TRUNC((N3336),8),E3336)</f>
        <v/>
      </c>
      <c r="F3337" s="114">
        <f>TRUNC(((1+VLOOKUP(A3337,IPCA!$A$2:$C$140,3,0)))^(C3337/(EDATE(D3337-C3337,1)-(D3337-C3337))),8)</f>
        <v/>
      </c>
      <c r="G3337" s="114">
        <f>TRUNC((E3337*F3337),8)</f>
        <v/>
      </c>
      <c r="H3337" s="114">
        <f>ROUND(((1+$H$4)^(30/360))^(C3337/(EDATE(D3337-B3337,1)-(D3337-B3337))),9)</f>
        <v/>
      </c>
      <c r="I3337" s="114">
        <f>TRUNC((G3337*H3337-G3337),8)</f>
        <v/>
      </c>
      <c r="J3337" s="114">
        <f>G3337+I3337</f>
        <v/>
      </c>
      <c r="K3337" s="119">
        <f>I3337</f>
        <v/>
      </c>
      <c r="L3337" s="120">
        <f>TRUNC(G3337*VLOOKUP(D3337,'Amort TS'!$G$3:$H$140,2,0),8)</f>
        <v/>
      </c>
      <c r="M3337" s="120" t="n">
        <v>0</v>
      </c>
      <c r="N3337" s="120">
        <f>J3337-K3337-L3337-M3337</f>
        <v/>
      </c>
      <c r="O3337" s="256" t="n"/>
      <c r="P3337" s="256" t="n"/>
      <c r="Q3337" s="256" t="n"/>
    </row>
    <row r="3338">
      <c r="A3338">
        <f>IF(DAY(D3338)=DAY($L$1+1),A3337+1,A3337)</f>
        <v/>
      </c>
      <c r="B3338" s="1">
        <f>IF(DAY(D3338)=DAY($L$1+1),1,B3337+1)</f>
        <v/>
      </c>
      <c r="C3338" s="46">
        <f>IF(DAY(D3338)=DAY($L$1+1),1,C3337+1)</f>
        <v/>
      </c>
      <c r="D3338" s="2">
        <f>D3337+1</f>
        <v/>
      </c>
      <c r="E3338" s="8">
        <f>IF(DAY(D3338)=DAY($L$1+1),TRUNC((N3337),8),E3337)</f>
        <v/>
      </c>
      <c r="F3338" s="49">
        <f>TRUNC(((1+VLOOKUP(A3338,IPCA!$A$2:$C$140,3,0)))^(C3338/(EDATE(D3338-C3338,1)-(D3338-C3338))),8)</f>
        <v/>
      </c>
      <c r="G3338" s="4">
        <f>TRUNC((E3338*F3338),8)</f>
        <v/>
      </c>
      <c r="H3338" s="4">
        <f>ROUND(((1+$H$4)^(30/360))^(C3338/(EDATE(D3338-B3338,1)-(D3338-B3338))),9)</f>
        <v/>
      </c>
      <c r="I3338" s="49">
        <f>TRUNC((G3338*H3338-G3338),8)</f>
        <v/>
      </c>
      <c r="J3338" s="4">
        <f>G3338+I3338</f>
        <v/>
      </c>
      <c r="K3338" s="121">
        <f>K3337*L3335</f>
        <v/>
      </c>
      <c r="L3338" s="121">
        <f>L3337*L3335</f>
        <v/>
      </c>
      <c r="M3338" s="121">
        <f>M3337*L3335</f>
        <v/>
      </c>
      <c r="N3338" s="121">
        <f>N3337*L3335</f>
        <v/>
      </c>
      <c r="O3338" s="256" t="n"/>
      <c r="P3338" s="256" t="n"/>
      <c r="Q3338" s="256" t="n"/>
    </row>
    <row r="3339">
      <c r="A3339">
        <f>IF(DAY(D3339)=DAY($L$1+1),A3338+1,A3338)</f>
        <v/>
      </c>
      <c r="B3339" s="46">
        <f>IF(DAY(D3339)=DAY($L$1+1),1,B3338+1)</f>
        <v/>
      </c>
      <c r="C3339" s="46">
        <f>IF(DAY(D3339)=DAY($L$1+1),1,C3338+1)</f>
        <v/>
      </c>
      <c r="D3339" s="2">
        <f>D3338+1</f>
        <v/>
      </c>
      <c r="E3339" s="8">
        <f>IF(DAY(D3339)=DAY($L$1+1),TRUNC((N3338),8),E3338)</f>
        <v/>
      </c>
      <c r="F3339" s="49">
        <f>TRUNC(((1+VLOOKUP(A3339,IPCA!$A$2:$C$140,3,0)))^(C3339/(EDATE(D3339-C3339,1)-(D3339-C3339))),8)</f>
        <v/>
      </c>
      <c r="G3339" s="4">
        <f>TRUNC((E3339*F3339),8)</f>
        <v/>
      </c>
      <c r="H3339" s="4">
        <f>ROUND(((1+$H$4)^(30/360))^(C3339/(EDATE(D3339-B3339,1)-(D3339-B3339))),9)</f>
        <v/>
      </c>
      <c r="I3339" s="49">
        <f>TRUNC((G3339*H3339-G3339),8)</f>
        <v/>
      </c>
      <c r="J3339" s="4">
        <f>G3339+I3339</f>
        <v/>
      </c>
      <c r="K3339" s="256" t="n"/>
      <c r="L3339" s="256" t="n"/>
      <c r="M3339" s="256" t="n"/>
      <c r="N3339" s="256" t="n"/>
      <c r="O3339" s="256" t="n"/>
      <c r="P3339" s="256" t="n"/>
      <c r="Q3339" s="256" t="n"/>
    </row>
    <row r="3340">
      <c r="A3340">
        <f>IF(DAY(D3340)=DAY($L$1+1),A3339+1,A3339)</f>
        <v/>
      </c>
      <c r="B3340" s="46">
        <f>IF(DAY(D3340)=DAY($L$1+1),1,B3339+1)</f>
        <v/>
      </c>
      <c r="C3340" s="46">
        <f>IF(DAY(D3340)=DAY($L$1+1),1,C3339+1)</f>
        <v/>
      </c>
      <c r="D3340" s="47">
        <f>D3339+1</f>
        <v/>
      </c>
      <c r="E3340" s="8">
        <f>IF(DAY(D3340)=DAY($L$1+1),TRUNC((#REF!),8),E3339)</f>
        <v/>
      </c>
      <c r="F3340" s="49">
        <f>TRUNC(((1+VLOOKUP(A3340,IPCA!$A$2:$C$140,3,0)))^(C3340/(EDATE(D3340-C3340,1)-(D3340-C3340))),8)</f>
        <v/>
      </c>
      <c r="G3340" s="4">
        <f>TRUNC((E3340*F3340),8)</f>
        <v/>
      </c>
      <c r="H3340" s="4">
        <f>ROUND(((1+$H$4)^(30/360))^(C3340/(EDATE(D3340-B3340,1)-(D3340-B3340))),9)</f>
        <v/>
      </c>
      <c r="I3340" s="49">
        <f>TRUNC((G3340*H3340-G3340),8)</f>
        <v/>
      </c>
      <c r="J3340" s="4">
        <f>G3340+I3340</f>
        <v/>
      </c>
      <c r="K3340" s="256" t="n"/>
      <c r="L3340" s="256" t="n"/>
      <c r="M3340" s="256" t="n"/>
      <c r="N3340" s="256" t="n"/>
      <c r="O3340" s="256" t="n"/>
      <c r="P3340" s="256" t="n"/>
      <c r="Q3340" s="256" t="n"/>
    </row>
    <row r="3341">
      <c r="A3341">
        <f>IF(DAY(D3341)=DAY($L$1+1),A3340+1,A3340)</f>
        <v/>
      </c>
      <c r="B3341" s="46">
        <f>IF(DAY(D3341)=DAY($L$1+1),1,B3340+1)</f>
        <v/>
      </c>
      <c r="C3341" s="46">
        <f>IF(DAY(D3341)=DAY($L$1+1),1,C3340+1)</f>
        <v/>
      </c>
      <c r="D3341" s="2">
        <f>D3340+1</f>
        <v/>
      </c>
      <c r="E3341" s="8">
        <f>IF(DAY(D3341)=DAY($L$1+1),TRUNC((#REF!),8),E3340)</f>
        <v/>
      </c>
      <c r="F3341" s="49">
        <f>TRUNC(((1+VLOOKUP(A3341,IPCA!$A$2:$C$140,3,0)))^(C3341/(EDATE(D3341-C3341,1)-(D3341-C3341))),8)</f>
        <v/>
      </c>
      <c r="G3341" s="4">
        <f>TRUNC((E3341*F3341),8)</f>
        <v/>
      </c>
      <c r="H3341" s="4">
        <f>ROUND(((1+$H$4)^(30/360))^(C3341/(EDATE(D3341-B3341,1)-(D3341-B3341))),9)</f>
        <v/>
      </c>
      <c r="I3341" s="49">
        <f>TRUNC((G3341*H3341-G3341),8)</f>
        <v/>
      </c>
      <c r="J3341" s="4">
        <f>G3341+I3341</f>
        <v/>
      </c>
      <c r="K3341" s="256" t="n"/>
      <c r="L3341" s="256" t="n"/>
      <c r="M3341" s="256" t="n"/>
      <c r="N3341" s="256" t="n"/>
      <c r="O3341" s="256" t="n"/>
      <c r="P3341" s="256" t="n"/>
      <c r="Q3341" s="256" t="n"/>
    </row>
    <row r="3342">
      <c r="A3342">
        <f>IF(DAY(D3342)=DAY($L$1+1),A3341+1,A3341)</f>
        <v/>
      </c>
      <c r="B3342" s="1">
        <f>IF(DAY(D3342)=DAY($L$1+1),1,B3341+1)</f>
        <v/>
      </c>
      <c r="C3342" s="1">
        <f>IF(DAY(D3342)=DAY($L$1+1),1,C3341+1)</f>
        <v/>
      </c>
      <c r="D3342" s="2">
        <f>D3341+1</f>
        <v/>
      </c>
      <c r="E3342" s="8">
        <f>IF(DAY(D3342)=DAY($L$1+1),TRUNC((#REF!),8),E3341)</f>
        <v/>
      </c>
      <c r="F3342" s="49">
        <f>TRUNC(((1+VLOOKUP(A3342,IPCA!$A$2:$C$140,3,0)))^(C3342/(EDATE(D3342-C3342,1)-(D3342-C3342))),8)</f>
        <v/>
      </c>
      <c r="G3342" s="4">
        <f>TRUNC((E3342*F3342),8)</f>
        <v/>
      </c>
      <c r="H3342" s="4">
        <f>ROUND(((1+$H$4)^(30/360))^(C3342/(EDATE(D3342-B3342,1)-(D3342-B3342))),9)</f>
        <v/>
      </c>
      <c r="I3342" s="49">
        <f>TRUNC((G3342*H3342-G3342),8)</f>
        <v/>
      </c>
      <c r="J3342" s="4">
        <f>G3342+I3342</f>
        <v/>
      </c>
      <c r="K3342" s="256" t="n"/>
      <c r="L3342" s="256" t="n"/>
      <c r="M3342" s="256" t="n"/>
      <c r="N3342" s="256" t="n"/>
      <c r="O3342" s="256" t="n"/>
      <c r="P3342" s="256" t="n"/>
      <c r="Q3342" s="256" t="n"/>
    </row>
    <row r="3343">
      <c r="A3343">
        <f>IF(DAY(D3343)=DAY($L$1+1),A3342+1,A3342)</f>
        <v/>
      </c>
      <c r="B3343" s="46">
        <f>IF(DAY(D3343)=DAY($L$1+1),1,B3342+1)</f>
        <v/>
      </c>
      <c r="C3343" s="46">
        <f>IF(DAY(D3343)=DAY($L$1+1),1,C3342+1)</f>
        <v/>
      </c>
      <c r="D3343" s="2">
        <f>D3342+1</f>
        <v/>
      </c>
      <c r="E3343" s="8">
        <f>IF(DAY(D3343)=DAY($L$1+1),TRUNC((#REF!),8),E3342)</f>
        <v/>
      </c>
      <c r="F3343" s="49">
        <f>TRUNC(((1+VLOOKUP(A3343,IPCA!$A$2:$C$140,3,0)))^(C3343/(EDATE(D3343-C3343,1)-(D3343-C3343))),8)</f>
        <v/>
      </c>
      <c r="G3343" s="4">
        <f>TRUNC((E3343*F3343),8)</f>
        <v/>
      </c>
      <c r="H3343" s="4">
        <f>ROUND(((1+$H$4)^(30/360))^(C3343/(EDATE(D3343-B3343,1)-(D3343-B3343))),9)</f>
        <v/>
      </c>
      <c r="I3343" s="49">
        <f>TRUNC((G3343*H3343-G3343),8)</f>
        <v/>
      </c>
      <c r="J3343" s="4">
        <f>G3343+I3343</f>
        <v/>
      </c>
      <c r="K3343" s="256" t="n"/>
      <c r="L3343" s="256" t="n"/>
      <c r="M3343" s="256" t="n"/>
      <c r="N3343" s="256" t="n"/>
      <c r="O3343" s="256" t="n"/>
      <c r="P3343" s="256" t="n"/>
      <c r="Q3343" s="256" t="n"/>
    </row>
    <row r="3344">
      <c r="A3344">
        <f>IF(DAY(D3344)=DAY($L$1+1),A3343+1,A3343)</f>
        <v/>
      </c>
      <c r="B3344" s="1">
        <f>IF(DAY(D3344)=DAY($L$1+1),1,B3343+1)</f>
        <v/>
      </c>
      <c r="C3344" s="1">
        <f>IF(DAY(D3344)=DAY($L$1+1),1,C3343+1)</f>
        <v/>
      </c>
      <c r="D3344" s="2">
        <f>D3343+1</f>
        <v/>
      </c>
      <c r="E3344" s="8">
        <f>IF(DAY(D3344)=DAY($L$1+1),TRUNC((#REF!),8),E3343)</f>
        <v/>
      </c>
      <c r="F3344" s="49">
        <f>TRUNC(((1+VLOOKUP(A3344,IPCA!$A$2:$C$140,3,0)))^(C3344/(EDATE(D3344-C3344,1)-(D3344-C3344))),8)</f>
        <v/>
      </c>
      <c r="G3344" s="4">
        <f>TRUNC((E3344*F3344),8)</f>
        <v/>
      </c>
      <c r="H3344" s="4">
        <f>ROUND(((1+$H$4)^(30/360))^(C3344/(EDATE(D3344-B3344,1)-(D3344-B3344))),9)</f>
        <v/>
      </c>
      <c r="I3344" s="49">
        <f>TRUNC((G3344*H3344-G3344),8)</f>
        <v/>
      </c>
      <c r="J3344" s="4">
        <f>G3344+I3344</f>
        <v/>
      </c>
      <c r="K3344" s="256" t="n"/>
      <c r="L3344" s="256" t="n"/>
      <c r="M3344" s="256" t="n"/>
      <c r="N3344" s="256" t="n"/>
      <c r="O3344" s="256" t="n"/>
      <c r="P3344" s="256" t="n"/>
      <c r="Q3344" s="256" t="n"/>
    </row>
    <row r="3345">
      <c r="A3345">
        <f>IF(DAY(D3345)=DAY($L$1+1),A3344+1,A3344)</f>
        <v/>
      </c>
      <c r="B3345" s="46">
        <f>IF(DAY(D3345)=DAY($L$1+1),1,B3344+1)</f>
        <v/>
      </c>
      <c r="C3345" s="46">
        <f>IF(DAY(D3345)=DAY($L$1+1),1,C3344+1)</f>
        <v/>
      </c>
      <c r="D3345" s="2">
        <f>D3344+1</f>
        <v/>
      </c>
      <c r="E3345" s="8">
        <f>IF(DAY(D3345)=DAY($L$1+1),TRUNC((#REF!),8),E3344)</f>
        <v/>
      </c>
      <c r="F3345" s="49">
        <f>TRUNC(((1+VLOOKUP(A3345,IPCA!$A$2:$C$140,3,0)))^(C3345/(EDATE(D3345-C3345,1)-(D3345-C3345))),8)</f>
        <v/>
      </c>
      <c r="G3345" s="4">
        <f>TRUNC((E3345*F3345),8)</f>
        <v/>
      </c>
      <c r="H3345" s="4">
        <f>ROUND(((1+$H$4)^(30/360))^(C3345/(EDATE(D3345-B3345,1)-(D3345-B3345))),9)</f>
        <v/>
      </c>
      <c r="I3345" s="49">
        <f>TRUNC((G3345*H3345-G3345),8)</f>
        <v/>
      </c>
      <c r="J3345" s="4">
        <f>G3345+I3345</f>
        <v/>
      </c>
      <c r="K3345" s="256" t="n"/>
      <c r="L3345" s="256" t="n"/>
      <c r="M3345" s="256" t="n"/>
      <c r="N3345" s="256" t="n"/>
      <c r="O3345" s="256" t="n"/>
      <c r="P3345" s="256" t="n"/>
      <c r="Q3345" s="256" t="n"/>
    </row>
    <row r="3346">
      <c r="A3346">
        <f>IF(DAY(D3346)=DAY($L$1+1),A3345+1,A3345)</f>
        <v/>
      </c>
      <c r="B3346" s="1">
        <f>IF(DAY(D3346)=DAY($L$1+1),1,B3345+1)</f>
        <v/>
      </c>
      <c r="C3346" s="1">
        <f>IF(DAY(D3346)=DAY($L$1+1),1,C3345+1)</f>
        <v/>
      </c>
      <c r="D3346" s="2">
        <f>D3345+1</f>
        <v/>
      </c>
      <c r="E3346" s="8">
        <f>IF(DAY(D3346)=DAY($L$1+1),TRUNC((#REF!),8),E3345)</f>
        <v/>
      </c>
      <c r="F3346" s="49">
        <f>TRUNC(((1+VLOOKUP(A3346,IPCA!$A$2:$C$140,3,0)))^(C3346/(EDATE(D3346-C3346,1)-(D3346-C3346))),8)</f>
        <v/>
      </c>
      <c r="G3346" s="4">
        <f>TRUNC((E3346*F3346),8)</f>
        <v/>
      </c>
      <c r="H3346" s="4">
        <f>ROUND(((1+$H$4)^(30/360))^(C3346/(EDATE(D3346-B3346,1)-(D3346-B3346))),9)</f>
        <v/>
      </c>
      <c r="I3346" s="49">
        <f>TRUNC((G3346*H3346-G3346),8)</f>
        <v/>
      </c>
      <c r="J3346" s="4">
        <f>G3346+I3346</f>
        <v/>
      </c>
      <c r="K3346" s="256" t="n"/>
      <c r="L3346" s="256" t="n"/>
      <c r="M3346" s="256" t="n"/>
      <c r="N3346" s="256" t="n"/>
      <c r="O3346" s="256" t="n"/>
      <c r="P3346" s="256" t="n"/>
      <c r="Q3346" s="256" t="n"/>
    </row>
    <row r="3347">
      <c r="A3347">
        <f>IF(DAY(D3347)=DAY($L$1+1),A3346+1,A3346)</f>
        <v/>
      </c>
      <c r="B3347" s="46">
        <f>IF(DAY(D3347)=DAY($L$1+1),1,B3346+1)</f>
        <v/>
      </c>
      <c r="C3347" s="46">
        <f>IF(DAY(D3347)=DAY($L$1+1),1,C3346+1)</f>
        <v/>
      </c>
      <c r="D3347" s="2">
        <f>D3346+1</f>
        <v/>
      </c>
      <c r="E3347" s="8">
        <f>IF(DAY(D3347)=DAY($L$1+1),TRUNC((#REF!),8),E3346)</f>
        <v/>
      </c>
      <c r="F3347" s="49">
        <f>TRUNC(((1+VLOOKUP(A3347,IPCA!$A$2:$C$140,3,0)))^(C3347/(EDATE(D3347-C3347,1)-(D3347-C3347))),8)</f>
        <v/>
      </c>
      <c r="G3347" s="4">
        <f>TRUNC((E3347*F3347),8)</f>
        <v/>
      </c>
      <c r="H3347" s="4">
        <f>ROUND(((1+$H$4)^(30/360))^(C3347/(EDATE(D3347-B3347,1)-(D3347-B3347))),9)</f>
        <v/>
      </c>
      <c r="I3347" s="49">
        <f>TRUNC((G3347*H3347-G3347),8)</f>
        <v/>
      </c>
      <c r="J3347" s="4">
        <f>G3347+I3347</f>
        <v/>
      </c>
      <c r="K3347" s="256" t="n"/>
      <c r="L3347" s="256" t="n"/>
      <c r="M3347" s="256" t="n"/>
      <c r="N3347" s="256" t="n"/>
      <c r="O3347" s="256" t="n"/>
      <c r="P3347" s="256" t="n"/>
      <c r="Q3347" s="256" t="n"/>
    </row>
    <row r="3348">
      <c r="A3348">
        <f>IF(DAY(D3348)=DAY($L$1+1),A3347+1,A3347)</f>
        <v/>
      </c>
      <c r="B3348" s="1">
        <f>IF(DAY(D3348)=DAY($L$1+1),1,B3347+1)</f>
        <v/>
      </c>
      <c r="C3348" s="1">
        <f>IF(DAY(D3348)=DAY($L$1+1),1,C3347+1)</f>
        <v/>
      </c>
      <c r="D3348" s="2">
        <f>D3347+1</f>
        <v/>
      </c>
      <c r="E3348" s="8">
        <f>IF(DAY(D3348)=DAY($L$1+1),TRUNC((#REF!),8),E3347)</f>
        <v/>
      </c>
      <c r="F3348" s="49">
        <f>TRUNC(((1+VLOOKUP(A3348,IPCA!$A$2:$C$140,3,0)))^(C3348/(EDATE(D3348-C3348,1)-(D3348-C3348))),8)</f>
        <v/>
      </c>
      <c r="G3348" s="4">
        <f>TRUNC((E3348*F3348),8)</f>
        <v/>
      </c>
      <c r="H3348" s="4">
        <f>ROUND(((1+$H$4)^(30/360))^(C3348/(EDATE(D3348-B3348,1)-(D3348-B3348))),9)</f>
        <v/>
      </c>
      <c r="I3348" s="49">
        <f>TRUNC((G3348*H3348-G3348),8)</f>
        <v/>
      </c>
      <c r="J3348" s="4">
        <f>G3348+I3348</f>
        <v/>
      </c>
      <c r="K3348" s="256" t="n"/>
      <c r="L3348" s="256" t="n"/>
      <c r="M3348" s="256" t="n"/>
      <c r="N3348" s="256" t="n"/>
      <c r="O3348" s="256" t="n"/>
      <c r="P3348" s="256" t="n"/>
      <c r="Q3348" s="256" t="n"/>
    </row>
    <row r="3349">
      <c r="A3349">
        <f>IF(DAY(D3349)=DAY($L$1+1),A3348+1,A3348)</f>
        <v/>
      </c>
      <c r="B3349" s="46">
        <f>IF(DAY(D3349)=DAY($L$1+1),1,B3348+1)</f>
        <v/>
      </c>
      <c r="C3349" s="46">
        <f>IF(DAY(D3349)=DAY($L$1+1),1,C3348+1)</f>
        <v/>
      </c>
      <c r="D3349" s="2">
        <f>D3348+1</f>
        <v/>
      </c>
      <c r="E3349" s="8">
        <f>IF(DAY(D3349)=DAY($L$1+1),TRUNC((#REF!),8),E3348)</f>
        <v/>
      </c>
      <c r="F3349" s="49">
        <f>TRUNC(((1+VLOOKUP(A3349,IPCA!$A$2:$C$140,3,0)))^(C3349/(EDATE(D3349-C3349,1)-(D3349-C3349))),8)</f>
        <v/>
      </c>
      <c r="G3349" s="4">
        <f>TRUNC((E3349*F3349),8)</f>
        <v/>
      </c>
      <c r="H3349" s="4">
        <f>ROUND(((1+$H$4)^(30/360))^(C3349/(EDATE(D3349-B3349,1)-(D3349-B3349))),9)</f>
        <v/>
      </c>
      <c r="I3349" s="49">
        <f>TRUNC((G3349*H3349-G3349),8)</f>
        <v/>
      </c>
      <c r="J3349" s="4">
        <f>G3349+I3349</f>
        <v/>
      </c>
      <c r="K3349" s="256" t="n"/>
      <c r="L3349" s="256" t="n"/>
      <c r="M3349" s="256" t="n"/>
      <c r="N3349" s="256" t="n"/>
      <c r="O3349" s="256" t="n"/>
      <c r="P3349" s="256" t="n"/>
      <c r="Q3349" s="256" t="n"/>
    </row>
    <row r="3350">
      <c r="A3350">
        <f>IF(DAY(D3350)=DAY($L$1+1),A3349+1,A3349)</f>
        <v/>
      </c>
      <c r="B3350" s="1">
        <f>IF(DAY(D3350)=DAY($L$1+1),1,B3349+1)</f>
        <v/>
      </c>
      <c r="C3350" s="1">
        <f>IF(DAY(D3350)=DAY($L$1+1),1,C3349+1)</f>
        <v/>
      </c>
      <c r="D3350" s="2">
        <f>D3349+1</f>
        <v/>
      </c>
      <c r="E3350" s="8">
        <f>IF(DAY(D3350)=DAY($L$1+1),TRUNC((#REF!),8),E3349)</f>
        <v/>
      </c>
      <c r="F3350" s="49">
        <f>TRUNC(((1+VLOOKUP(A3350,IPCA!$A$2:$C$140,3,0)))^(C3350/(EDATE(D3350-C3350,1)-(D3350-C3350))),8)</f>
        <v/>
      </c>
      <c r="G3350" s="4">
        <f>TRUNC((E3350*F3350),8)</f>
        <v/>
      </c>
      <c r="H3350" s="4">
        <f>ROUND(((1+$H$4)^(30/360))^(C3350/(EDATE(D3350-B3350,1)-(D3350-B3350))),9)</f>
        <v/>
      </c>
      <c r="I3350" s="49">
        <f>TRUNC((G3350*H3350-G3350),8)</f>
        <v/>
      </c>
      <c r="J3350" s="4">
        <f>G3350+I3350</f>
        <v/>
      </c>
      <c r="K3350" s="256" t="n"/>
      <c r="L3350" s="256" t="n"/>
      <c r="M3350" s="256" t="n"/>
      <c r="N3350" s="256" t="n"/>
      <c r="O3350" s="256" t="n"/>
      <c r="P3350" s="256" t="n"/>
      <c r="Q3350" s="256" t="n"/>
    </row>
    <row r="3351">
      <c r="A3351">
        <f>IF(DAY(D3351)=DAY($L$1+1),A3350+1,A3350)</f>
        <v/>
      </c>
      <c r="B3351" s="46">
        <f>IF(DAY(D3351)=DAY($L$1+1),1,B3350+1)</f>
        <v/>
      </c>
      <c r="C3351" s="46">
        <f>IF(DAY(D3351)=DAY($L$1+1),1,C3350+1)</f>
        <v/>
      </c>
      <c r="D3351" s="2">
        <f>D3350+1</f>
        <v/>
      </c>
      <c r="E3351" s="8">
        <f>IF(DAY(D3351)=DAY($L$1+1),TRUNC((#REF!),8),E3350)</f>
        <v/>
      </c>
      <c r="F3351" s="49">
        <f>TRUNC(((1+VLOOKUP(A3351,IPCA!$A$2:$C$140,3,0)))^(C3351/(EDATE(D3351-C3351,1)-(D3351-C3351))),8)</f>
        <v/>
      </c>
      <c r="G3351" s="4">
        <f>TRUNC((E3351*F3351),8)</f>
        <v/>
      </c>
      <c r="H3351" s="4">
        <f>ROUND(((1+$H$4)^(30/360))^(C3351/(EDATE(D3351-B3351,1)-(D3351-B3351))),9)</f>
        <v/>
      </c>
      <c r="I3351" s="49">
        <f>TRUNC((G3351*H3351-G3351),8)</f>
        <v/>
      </c>
      <c r="J3351" s="4">
        <f>G3351+I3351</f>
        <v/>
      </c>
      <c r="K3351" s="256" t="n"/>
      <c r="L3351" s="256" t="n"/>
      <c r="M3351" s="256" t="n"/>
      <c r="N3351" s="256" t="n"/>
      <c r="O3351" s="256" t="n"/>
      <c r="P3351" s="256" t="n"/>
      <c r="Q3351" s="256" t="n"/>
    </row>
    <row r="3352">
      <c r="A3352">
        <f>IF(DAY(D3352)=DAY($L$1+1),A3351+1,A3351)</f>
        <v/>
      </c>
      <c r="B3352" s="1">
        <f>IF(DAY(D3352)=DAY($L$1+1),1,B3351+1)</f>
        <v/>
      </c>
      <c r="C3352" s="1">
        <f>IF(DAY(D3352)=DAY($L$1+1),1,C3351+1)</f>
        <v/>
      </c>
      <c r="D3352" s="2">
        <f>D3351+1</f>
        <v/>
      </c>
      <c r="E3352" s="8">
        <f>IF(DAY(D3352)=DAY($L$1+1),TRUNC((#REF!),8),E3351)</f>
        <v/>
      </c>
      <c r="F3352" s="49">
        <f>TRUNC(((1+VLOOKUP(A3352,IPCA!$A$2:$C$140,3,0)))^(C3352/(EDATE(D3352-C3352,1)-(D3352-C3352))),8)</f>
        <v/>
      </c>
      <c r="G3352" s="4">
        <f>TRUNC((E3352*F3352),8)</f>
        <v/>
      </c>
      <c r="H3352" s="4">
        <f>ROUND(((1+$H$4)^(30/360))^(C3352/(EDATE(D3352-B3352,1)-(D3352-B3352))),9)</f>
        <v/>
      </c>
      <c r="I3352" s="49">
        <f>TRUNC((G3352*H3352-G3352),8)</f>
        <v/>
      </c>
      <c r="J3352" s="4">
        <f>G3352+I3352</f>
        <v/>
      </c>
      <c r="K3352" s="256" t="n"/>
      <c r="L3352" s="256" t="n"/>
      <c r="M3352" s="256" t="n"/>
      <c r="N3352" s="256" t="n"/>
      <c r="O3352" s="256" t="n"/>
      <c r="P3352" s="256" t="n"/>
      <c r="Q3352" s="256" t="n"/>
    </row>
    <row r="3353">
      <c r="A3353">
        <f>IF(DAY(D3353)=DAY($L$1+1),A3352+1,A3352)</f>
        <v/>
      </c>
      <c r="B3353" s="46">
        <f>IF(DAY(D3353)=DAY($L$1+1),1,B3352+1)</f>
        <v/>
      </c>
      <c r="C3353" s="46">
        <f>IF(DAY(D3353)=DAY($L$1+1),1,C3352+1)</f>
        <v/>
      </c>
      <c r="D3353" s="2">
        <f>D3352+1</f>
        <v/>
      </c>
      <c r="E3353" s="8">
        <f>IF(DAY(D3353)=DAY($L$1+1),TRUNC((#REF!),8),E3352)</f>
        <v/>
      </c>
      <c r="F3353" s="49">
        <f>TRUNC(((1+VLOOKUP(A3353,IPCA!$A$2:$C$140,3,0)))^(C3353/(EDATE(D3353-C3353,1)-(D3353-C3353))),8)</f>
        <v/>
      </c>
      <c r="G3353" s="4">
        <f>TRUNC((E3353*F3353),8)</f>
        <v/>
      </c>
      <c r="H3353" s="4">
        <f>ROUND(((1+$H$4)^(30/360))^(C3353/(EDATE(D3353-B3353,1)-(D3353-B3353))),9)</f>
        <v/>
      </c>
      <c r="I3353" s="49">
        <f>TRUNC((G3353*H3353-G3353),8)</f>
        <v/>
      </c>
      <c r="J3353" s="4">
        <f>G3353+I3353</f>
        <v/>
      </c>
      <c r="K3353" s="256" t="n"/>
      <c r="L3353" s="256" t="n"/>
      <c r="M3353" s="256" t="n"/>
      <c r="N3353" s="256" t="n"/>
      <c r="O3353" s="256" t="n"/>
      <c r="P3353" s="256" t="n"/>
      <c r="Q3353" s="256" t="n"/>
    </row>
    <row r="3354">
      <c r="A3354">
        <f>IF(DAY(D3354)=DAY($L$1+1),A3353+1,A3353)</f>
        <v/>
      </c>
      <c r="B3354" s="1">
        <f>IF(DAY(D3354)=DAY($L$1+1),1,B3353+1)</f>
        <v/>
      </c>
      <c r="C3354" s="1">
        <f>IF(DAY(D3354)=DAY($L$1+1),1,C3353+1)</f>
        <v/>
      </c>
      <c r="D3354" s="2">
        <f>D3353+1</f>
        <v/>
      </c>
      <c r="E3354" s="8">
        <f>IF(DAY(D3354)=DAY($L$1+1),TRUNC((#REF!),8),E3353)</f>
        <v/>
      </c>
      <c r="F3354" s="49">
        <f>TRUNC(((1+VLOOKUP(A3354,IPCA!$A$2:$C$140,3,0)))^(C3354/(EDATE(D3354-C3354,1)-(D3354-C3354))),8)</f>
        <v/>
      </c>
      <c r="G3354" s="4">
        <f>TRUNC((E3354*F3354),8)</f>
        <v/>
      </c>
      <c r="H3354" s="4">
        <f>ROUND(((1+$H$4)^(30/360))^(C3354/(EDATE(D3354-B3354,1)-(D3354-B3354))),9)</f>
        <v/>
      </c>
      <c r="I3354" s="49">
        <f>TRUNC((G3354*H3354-G3354),8)</f>
        <v/>
      </c>
      <c r="J3354" s="4">
        <f>G3354+I3354</f>
        <v/>
      </c>
      <c r="K3354" s="256" t="n"/>
      <c r="L3354" s="256" t="n"/>
      <c r="M3354" s="256" t="n"/>
      <c r="N3354" s="256" t="n"/>
      <c r="O3354" s="256" t="n"/>
      <c r="P3354" s="256" t="n"/>
      <c r="Q3354" s="256" t="n"/>
    </row>
    <row r="3355">
      <c r="A3355">
        <f>IF(DAY(D3355)=DAY($L$1+1),A3354+1,A3354)</f>
        <v/>
      </c>
      <c r="B3355" s="46">
        <f>IF(DAY(D3355)=DAY($L$1+1),1,B3354+1)</f>
        <v/>
      </c>
      <c r="C3355" s="46">
        <f>IF(DAY(D3355)=DAY($L$1+1),1,C3354+1)</f>
        <v/>
      </c>
      <c r="D3355" s="2">
        <f>D3354+1</f>
        <v/>
      </c>
      <c r="E3355" s="8">
        <f>IF(DAY(D3355)=DAY($L$1+1),TRUNC((#REF!),8),E3354)</f>
        <v/>
      </c>
      <c r="F3355" s="49">
        <f>TRUNC(((1+VLOOKUP(A3355,IPCA!$A$2:$C$140,3,0)))^(C3355/(EDATE(D3355-C3355,1)-(D3355-C3355))),8)</f>
        <v/>
      </c>
      <c r="G3355" s="4">
        <f>TRUNC((E3355*F3355),8)</f>
        <v/>
      </c>
      <c r="H3355" s="4">
        <f>ROUND(((1+$H$4)^(30/360))^(C3355/(EDATE(D3355-B3355,1)-(D3355-B3355))),9)</f>
        <v/>
      </c>
      <c r="I3355" s="49">
        <f>TRUNC((G3355*H3355-G3355),8)</f>
        <v/>
      </c>
      <c r="J3355" s="4">
        <f>G3355+I3355</f>
        <v/>
      </c>
      <c r="K3355" s="256" t="n"/>
      <c r="L3355" s="256" t="n"/>
      <c r="M3355" s="256" t="n"/>
      <c r="N3355" s="256" t="n"/>
      <c r="O3355" s="256" t="n"/>
      <c r="P3355" s="256" t="n"/>
      <c r="Q3355" s="256" t="n"/>
    </row>
    <row r="3356">
      <c r="A3356">
        <f>IF(DAY(D3356)=DAY($L$1+1),A3355+1,A3355)</f>
        <v/>
      </c>
      <c r="B3356" s="1">
        <f>IF(DAY(D3356)=DAY($L$1+1),1,B3355+1)</f>
        <v/>
      </c>
      <c r="C3356" s="1">
        <f>IF(DAY(D3356)=DAY($L$1+1),1,C3355+1)</f>
        <v/>
      </c>
      <c r="D3356" s="2">
        <f>D3355+1</f>
        <v/>
      </c>
      <c r="E3356" s="8">
        <f>IF(DAY(D3356)=DAY($L$1+1),TRUNC((N3355),8),E3355)</f>
        <v/>
      </c>
      <c r="F3356" s="49">
        <f>TRUNC(((1+VLOOKUP(A3356,IPCA!$A$2:$C$140,3,0)))^(C3356/(EDATE(D3356-C3356,1)-(D3356-C3356))),8)</f>
        <v/>
      </c>
      <c r="G3356" s="4">
        <f>TRUNC((E3356*F3356),8)</f>
        <v/>
      </c>
      <c r="H3356" s="4">
        <f>ROUND(((1+$H$4)^(30/360))^(C3356/(EDATE(D3356-B3356,1)-(D3356-B3356))),9)</f>
        <v/>
      </c>
      <c r="I3356" s="49">
        <f>TRUNC((G3356*H3356-G3356),8)</f>
        <v/>
      </c>
      <c r="J3356" s="4">
        <f>G3356+I3356</f>
        <v/>
      </c>
      <c r="K3356" s="256" t="n"/>
      <c r="L3356" s="256" t="n"/>
      <c r="M3356" s="256" t="n"/>
      <c r="N3356" s="256" t="n"/>
      <c r="O3356" s="256" t="n"/>
      <c r="P3356" s="256" t="n"/>
      <c r="Q3356" s="256" t="n"/>
    </row>
    <row r="3357">
      <c r="A3357">
        <f>IF(DAY(D3357)=DAY($L$1+1),A3356+1,A3356)</f>
        <v/>
      </c>
      <c r="B3357" s="46">
        <f>IF(DAY(D3357)=DAY($L$1+1),1,B3356+1)</f>
        <v/>
      </c>
      <c r="C3357" s="46">
        <f>IF(DAY(D3357)=DAY($L$1+1),1,C3356+1)</f>
        <v/>
      </c>
      <c r="D3357" s="2">
        <f>D3356+1</f>
        <v/>
      </c>
      <c r="E3357" s="8">
        <f>IF(DAY(D3357)=DAY($L$1+1),TRUNC((N3356),8),E3356)</f>
        <v/>
      </c>
      <c r="F3357" s="49">
        <f>TRUNC(((1+VLOOKUP(A3357,IPCA!$A$2:$C$140,3,0)))^(C3357/(EDATE(D3357-C3357,1)-(D3357-C3357))),8)</f>
        <v/>
      </c>
      <c r="G3357" s="4">
        <f>TRUNC((E3357*F3357),8)</f>
        <v/>
      </c>
      <c r="H3357" s="4">
        <f>ROUND(((1+$H$4)^(30/360))^(C3357/(EDATE(D3357-B3357,1)-(D3357-B3357))),9)</f>
        <v/>
      </c>
      <c r="I3357" s="49">
        <f>TRUNC((G3357*H3357-G3357),8)</f>
        <v/>
      </c>
      <c r="J3357" s="4">
        <f>G3357+I3357</f>
        <v/>
      </c>
      <c r="K3357" s="256" t="n"/>
      <c r="L3357" s="256" t="n"/>
      <c r="M3357" s="256" t="n"/>
      <c r="N3357" s="256" t="n"/>
      <c r="O3357" s="256" t="n"/>
      <c r="P3357" s="256" t="n"/>
      <c r="Q3357" s="256" t="n"/>
    </row>
    <row r="3358">
      <c r="A3358">
        <f>IF(DAY(D3358)=DAY($L$1+1),A3357+1,A3357)</f>
        <v/>
      </c>
      <c r="B3358" s="1">
        <f>IF(DAY(D3358)=DAY($L$1+1),1,B3357+1)</f>
        <v/>
      </c>
      <c r="C3358" s="1">
        <f>IF(DAY(D3358)=DAY($L$1+1),1,C3357+1)</f>
        <v/>
      </c>
      <c r="D3358" s="2">
        <f>D3357+1</f>
        <v/>
      </c>
      <c r="E3358" s="8">
        <f>IF(DAY(D3358)=DAY($L$1+1),TRUNC((N3357),8),E3357)</f>
        <v/>
      </c>
      <c r="F3358" s="49">
        <f>TRUNC(((1+VLOOKUP(A3358,IPCA!$A$2:$C$140,3,0)))^(C3358/(EDATE(D3358-C3358,1)-(D3358-C3358))),8)</f>
        <v/>
      </c>
      <c r="G3358" s="4">
        <f>TRUNC((E3358*F3358),8)</f>
        <v/>
      </c>
      <c r="H3358" s="4">
        <f>ROUND(((1+$H$4)^(30/360))^(C3358/(EDATE(D3358-B3358,1)-(D3358-B3358))),9)</f>
        <v/>
      </c>
      <c r="I3358" s="49">
        <f>TRUNC((G3358*H3358-G3358),8)</f>
        <v/>
      </c>
      <c r="J3358" s="4">
        <f>G3358+I3358</f>
        <v/>
      </c>
      <c r="K3358" s="256" t="n"/>
      <c r="L3358" s="256" t="n"/>
      <c r="M3358" s="256" t="n"/>
      <c r="N3358" s="256" t="n"/>
      <c r="O3358" s="256" t="n"/>
      <c r="P3358" s="256" t="n"/>
      <c r="Q3358" s="256" t="n"/>
    </row>
    <row r="3359">
      <c r="A3359">
        <f>IF(DAY(D3359)=DAY($L$1+1),A3358+1,A3358)</f>
        <v/>
      </c>
      <c r="B3359" s="46">
        <f>IF(DAY(D3359)=DAY($L$1+1),1,B3358+1)</f>
        <v/>
      </c>
      <c r="C3359" s="46">
        <f>IF(DAY(D3359)=DAY($L$1+1),1,C3358+1)</f>
        <v/>
      </c>
      <c r="D3359" s="2">
        <f>D3358+1</f>
        <v/>
      </c>
      <c r="E3359" s="8">
        <f>IF(DAY(D3359)=DAY($L$1+1),TRUNC((N3358),8),E3358)</f>
        <v/>
      </c>
      <c r="F3359" s="49">
        <f>TRUNC(((1+VLOOKUP(A3359,IPCA!$A$2:$C$140,3,0)))^(C3359/(EDATE(D3359-C3359,1)-(D3359-C3359))),8)</f>
        <v/>
      </c>
      <c r="G3359" s="4">
        <f>TRUNC((E3359*F3359),8)</f>
        <v/>
      </c>
      <c r="H3359" s="4">
        <f>ROUND(((1+$H$4)^(30/360))^(C3359/(EDATE(D3359-B3359,1)-(D3359-B3359))),9)</f>
        <v/>
      </c>
      <c r="I3359" s="49">
        <f>TRUNC((G3359*H3359-G3359),8)</f>
        <v/>
      </c>
      <c r="J3359" s="4">
        <f>G3359+I3359</f>
        <v/>
      </c>
      <c r="K3359" s="256" t="n"/>
      <c r="L3359" s="256" t="n"/>
      <c r="M3359" s="256" t="n"/>
      <c r="N3359" s="256" t="n"/>
      <c r="O3359" s="256" t="n"/>
      <c r="P3359" s="256" t="n"/>
      <c r="Q3359" s="256" t="n"/>
    </row>
    <row r="3360">
      <c r="A3360">
        <f>IF(DAY(D3360)=DAY($L$1+1),A3359+1,A3359)</f>
        <v/>
      </c>
      <c r="B3360" s="1">
        <f>IF(DAY(D3360)=DAY($L$1+1),1,B3359+1)</f>
        <v/>
      </c>
      <c r="C3360" s="1">
        <f>IF(DAY(D3360)=DAY($L$1+1),1,C3359+1)</f>
        <v/>
      </c>
      <c r="D3360" s="2">
        <f>D3359+1</f>
        <v/>
      </c>
      <c r="E3360" s="8">
        <f>IF(DAY(D3360)=DAY($L$1+1),TRUNC((N3359),8),E3359)</f>
        <v/>
      </c>
      <c r="F3360" s="49">
        <f>TRUNC(((1+VLOOKUP(A3360,IPCA!$A$2:$C$140,3,0)))^(C3360/(EDATE(D3360-C3360,1)-(D3360-C3360))),8)</f>
        <v/>
      </c>
      <c r="G3360" s="4">
        <f>TRUNC((E3360*F3360),8)</f>
        <v/>
      </c>
      <c r="H3360" s="4">
        <f>ROUND(((1+$H$4)^(30/360))^(C3360/(EDATE(D3360-B3360,1)-(D3360-B3360))),9)</f>
        <v/>
      </c>
      <c r="I3360" s="49">
        <f>TRUNC((G3360*H3360-G3360),8)</f>
        <v/>
      </c>
      <c r="J3360" s="4">
        <f>G3360+I3360</f>
        <v/>
      </c>
      <c r="K3360" s="256" t="n"/>
      <c r="L3360" s="256" t="n"/>
      <c r="M3360" s="256" t="n"/>
      <c r="N3360" s="256" t="n"/>
      <c r="O3360" s="256" t="n"/>
      <c r="P3360" s="256" t="n"/>
      <c r="Q3360" s="256" t="n"/>
    </row>
    <row r="3361">
      <c r="A3361">
        <f>IF(DAY(D3361)=DAY($L$1+1),A3360+1,A3360)</f>
        <v/>
      </c>
      <c r="B3361" s="46">
        <f>IF(DAY(D3361)=DAY($L$1+1),1,B3360+1)</f>
        <v/>
      </c>
      <c r="C3361" s="46">
        <f>IF(DAY(D3361)=DAY($L$1+1),1,C3360+1)</f>
        <v/>
      </c>
      <c r="D3361" s="2">
        <f>D3360+1</f>
        <v/>
      </c>
      <c r="E3361" s="8">
        <f>IF(DAY(D3361)=DAY($L$1+1),TRUNC((N3360),8),E3360)</f>
        <v/>
      </c>
      <c r="F3361" s="49">
        <f>TRUNC(((1+VLOOKUP(A3361,IPCA!$A$2:$C$140,3,0)))^(C3361/(EDATE(D3361-C3361,1)-(D3361-C3361))),8)</f>
        <v/>
      </c>
      <c r="G3361" s="4">
        <f>TRUNC((E3361*F3361),8)</f>
        <v/>
      </c>
      <c r="H3361" s="4">
        <f>ROUND(((1+$H$4)^(30/360))^(C3361/(EDATE(D3361-B3361,1)-(D3361-B3361))),9)</f>
        <v/>
      </c>
      <c r="I3361" s="49">
        <f>TRUNC((G3361*H3361-G3361),8)</f>
        <v/>
      </c>
      <c r="J3361" s="4">
        <f>G3361+I3361</f>
        <v/>
      </c>
      <c r="K3361" s="256" t="n"/>
      <c r="L3361" s="256" t="n"/>
      <c r="M3361" s="256" t="n"/>
      <c r="N3361" s="256" t="n"/>
      <c r="O3361" s="256" t="n"/>
      <c r="P3361" s="256" t="n"/>
      <c r="Q3361" s="256" t="n"/>
    </row>
    <row r="3362">
      <c r="A3362">
        <f>IF(DAY(D3362)=DAY($L$1+1),A3361+1,A3361)</f>
        <v/>
      </c>
      <c r="B3362" s="1">
        <f>IF(DAY(D3362)=DAY($L$1+1),1,B3361+1)</f>
        <v/>
      </c>
      <c r="C3362" s="1">
        <f>IF(DAY(D3362)=DAY($L$1+1),1,C3361+1)</f>
        <v/>
      </c>
      <c r="D3362" s="2">
        <f>D3361+1</f>
        <v/>
      </c>
      <c r="E3362" s="8">
        <f>IF(DAY(D3362)=DAY($L$1+1),TRUNC((N3361),8),E3361)</f>
        <v/>
      </c>
      <c r="F3362" s="49">
        <f>TRUNC(((1+VLOOKUP(A3362,IPCA!$A$2:$C$140,3,0)))^(C3362/(EDATE(D3362-C3362,1)-(D3362-C3362))),8)</f>
        <v/>
      </c>
      <c r="G3362" s="4">
        <f>TRUNC((E3362*F3362),8)</f>
        <v/>
      </c>
      <c r="H3362" s="4">
        <f>ROUND(((1+$H$4)^(30/360))^(C3362/(EDATE(D3362-B3362,1)-(D3362-B3362))),9)</f>
        <v/>
      </c>
      <c r="I3362" s="49">
        <f>TRUNC((G3362*H3362-G3362),8)</f>
        <v/>
      </c>
      <c r="J3362" s="4">
        <f>G3362+I3362</f>
        <v/>
      </c>
      <c r="K3362" s="256" t="n"/>
      <c r="L3362" s="256" t="n"/>
      <c r="M3362" s="256" t="n"/>
      <c r="N3362" s="256" t="n"/>
      <c r="O3362" s="256" t="n"/>
      <c r="P3362" s="256" t="n"/>
      <c r="Q3362" s="256" t="n"/>
    </row>
    <row r="3363">
      <c r="A3363">
        <f>IF(DAY(D3363)=DAY($L$1+1),A3362+1,A3362)</f>
        <v/>
      </c>
      <c r="B3363" s="46">
        <f>IF(DAY(D3363)=DAY($L$1+1),1,B3362+1)</f>
        <v/>
      </c>
      <c r="C3363" s="46">
        <f>IF(DAY(D3363)=DAY($L$1+1),1,C3362+1)</f>
        <v/>
      </c>
      <c r="D3363" s="2">
        <f>D3362+1</f>
        <v/>
      </c>
      <c r="E3363" s="8">
        <f>IF(DAY(D3363)=DAY($L$1+1),TRUNC((N3362),8),E3362)</f>
        <v/>
      </c>
      <c r="F3363" s="49">
        <f>TRUNC(((1+VLOOKUP(A3363,IPCA!$A$2:$C$140,3,0)))^(C3363/(EDATE(D3363-C3363,1)-(D3363-C3363))),8)</f>
        <v/>
      </c>
      <c r="G3363" s="4">
        <f>TRUNC((E3363*F3363),8)</f>
        <v/>
      </c>
      <c r="H3363" s="4">
        <f>ROUND(((1+$H$4)^(30/360))^(C3363/(EDATE(D3363-B3363,1)-(D3363-B3363))),9)</f>
        <v/>
      </c>
      <c r="I3363" s="49">
        <f>TRUNC((G3363*H3363-G3363),8)</f>
        <v/>
      </c>
      <c r="J3363" s="4">
        <f>G3363+I3363</f>
        <v/>
      </c>
      <c r="K3363" s="256" t="n"/>
      <c r="L3363" s="256" t="n"/>
      <c r="M3363" s="256" t="n"/>
      <c r="N3363" s="256" t="n"/>
      <c r="O3363" s="256" t="n"/>
      <c r="P3363" s="256" t="n"/>
      <c r="Q3363" s="256" t="n"/>
    </row>
    <row r="3364">
      <c r="A3364">
        <f>IF(DAY(D3364)=DAY($L$1+1),A3363+1,A3363)</f>
        <v/>
      </c>
      <c r="B3364" s="1">
        <f>IF(DAY(D3364)=DAY($L$1+1),1,B3363+1)</f>
        <v/>
      </c>
      <c r="C3364" s="1">
        <f>IF(DAY(D3364)=DAY($L$1+1),1,C3363+1)</f>
        <v/>
      </c>
      <c r="D3364" s="2">
        <f>D3363+1</f>
        <v/>
      </c>
      <c r="E3364" s="8">
        <f>IF(DAY(D3364)=DAY($L$1+1),TRUNC((N3363),8),E3363)</f>
        <v/>
      </c>
      <c r="F3364" s="49">
        <f>TRUNC(((1+VLOOKUP(A3364,IPCA!$A$2:$C$140,3,0)))^(C3364/(EDATE(D3364-C3364,1)-(D3364-C3364))),8)</f>
        <v/>
      </c>
      <c r="G3364" s="4">
        <f>TRUNC((E3364*F3364),8)</f>
        <v/>
      </c>
      <c r="H3364" s="4">
        <f>ROUND(((1+$H$4)^(30/360))^(C3364/(EDATE(D3364-B3364,1)-(D3364-B3364))),9)</f>
        <v/>
      </c>
      <c r="I3364" s="49">
        <f>TRUNC((G3364*H3364-G3364),8)</f>
        <v/>
      </c>
      <c r="J3364" s="4">
        <f>G3364+I3364</f>
        <v/>
      </c>
      <c r="K3364" s="256" t="n"/>
      <c r="L3364" s="256" t="n"/>
      <c r="M3364" s="256" t="n"/>
      <c r="N3364" s="256" t="n"/>
      <c r="O3364" s="256" t="n"/>
      <c r="P3364" s="256" t="n"/>
      <c r="Q3364" s="256" t="n"/>
    </row>
    <row r="3365">
      <c r="A3365">
        <f>IF(DAY(D3365)=DAY($L$1+1),A3364+1,A3364)</f>
        <v/>
      </c>
      <c r="B3365" s="46">
        <f>IF(DAY(D3365)=DAY($L$1+1),1,B3364+1)</f>
        <v/>
      </c>
      <c r="C3365" s="46">
        <f>IF(DAY(D3365)=DAY($L$1+1),1,C3364+1)</f>
        <v/>
      </c>
      <c r="D3365" s="2">
        <f>D3364+1</f>
        <v/>
      </c>
      <c r="E3365" s="8">
        <f>IF(DAY(D3365)=DAY($L$1+1),TRUNC((N3364),8),E3364)</f>
        <v/>
      </c>
      <c r="F3365" s="49">
        <f>TRUNC(((1+VLOOKUP(A3365,IPCA!$A$2:$C$140,3,0)))^(C3365/(EDATE(D3365-C3365,1)-(D3365-C3365))),8)</f>
        <v/>
      </c>
      <c r="G3365" s="4">
        <f>TRUNC((E3365*F3365),8)</f>
        <v/>
      </c>
      <c r="H3365" s="4">
        <f>ROUND(((1+$H$4)^(30/360))^(C3365/(EDATE(D3365-B3365,1)-(D3365-B3365))),9)</f>
        <v/>
      </c>
      <c r="I3365" s="49">
        <f>TRUNC((G3365*H3365-G3365),8)</f>
        <v/>
      </c>
      <c r="J3365" s="4">
        <f>G3365+I3365</f>
        <v/>
      </c>
      <c r="K3365" s="256" t="n"/>
      <c r="L3365" s="256" t="n"/>
      <c r="M3365" s="256" t="n"/>
      <c r="N3365" s="256" t="n"/>
      <c r="O3365" s="256" t="n"/>
      <c r="P3365" s="256" t="n"/>
      <c r="Q3365" s="256" t="n"/>
    </row>
    <row r="3366">
      <c r="A3366">
        <f>IF(DAY(D3366)=DAY($L$1+1),A3365+1,A3365)</f>
        <v/>
      </c>
      <c r="B3366" s="1">
        <f>IF(DAY(D3366)=DAY($L$1+1),1,B3365+1)</f>
        <v/>
      </c>
      <c r="C3366" s="1">
        <f>IF(DAY(D3366)=DAY($L$1+1),1,C3365+1)</f>
        <v/>
      </c>
      <c r="D3366" s="2">
        <f>D3365+1</f>
        <v/>
      </c>
      <c r="E3366" s="8">
        <f>IF(DAY(D3366)=DAY($L$1+1),TRUNC((N3365),8),E3365)</f>
        <v/>
      </c>
      <c r="F3366" s="49">
        <f>TRUNC(((1+VLOOKUP(A3366,IPCA!$A$2:$C$140,3,0)))^(C3366/(EDATE(D3366-C3366,1)-(D3366-C3366))),8)</f>
        <v/>
      </c>
      <c r="G3366" s="4">
        <f>TRUNC((E3366*F3366),8)</f>
        <v/>
      </c>
      <c r="H3366" s="4">
        <f>ROUND(((1+$H$4)^(30/360))^(C3366/(EDATE(D3366-B3366,1)-(D3366-B3366))),9)</f>
        <v/>
      </c>
      <c r="I3366" s="49">
        <f>TRUNC((G3366*H3366-G3366),8)</f>
        <v/>
      </c>
      <c r="J3366" s="4">
        <f>G3366+I3366</f>
        <v/>
      </c>
      <c r="K3366" s="256" t="inlineStr">
        <is>
          <t>Cri Integralizado</t>
        </is>
      </c>
      <c r="L3366" s="270">
        <f>L3335</f>
        <v/>
      </c>
      <c r="M3366" s="256" t="n"/>
      <c r="N3366" s="256" t="n"/>
      <c r="O3366" s="256" t="n"/>
      <c r="P3366" s="256" t="n"/>
      <c r="Q3366" s="256" t="n"/>
    </row>
    <row r="3367">
      <c r="A3367">
        <f>IF(DAY(D3367)=DAY($L$1+1),A3366+1,A3366)</f>
        <v/>
      </c>
      <c r="B3367" s="46">
        <f>IF(DAY(D3367)=DAY($L$1+1),1,B3366+1)</f>
        <v/>
      </c>
      <c r="C3367" s="46">
        <f>IF(DAY(D3367)=DAY($L$1+1),1,C3366+1)</f>
        <v/>
      </c>
      <c r="D3367" s="2">
        <f>D3366+1</f>
        <v/>
      </c>
      <c r="E3367" s="8">
        <f>IF(DAY(D3367)=DAY($L$1+1),TRUNC((N3366),8),E3366)</f>
        <v/>
      </c>
      <c r="F3367" s="49">
        <f>TRUNC(((1+VLOOKUP(A3367,IPCA!$A$2:$C$140,3,0)))^(C3367/(EDATE(D3367-C3367,1)-(D3367-C3367))),8)</f>
        <v/>
      </c>
      <c r="G3367" s="4">
        <f>TRUNC((E3367*F3367),8)</f>
        <v/>
      </c>
      <c r="H3367" s="4">
        <f>ROUND(((1+$H$4)^(30/360))^(C3367/(EDATE(D3367-B3367,1)-(D3367-B3367))),9)</f>
        <v/>
      </c>
      <c r="I3367" s="49">
        <f>TRUNC((G3367*H3367-G3367),8)</f>
        <v/>
      </c>
      <c r="J3367" s="4">
        <f>G3367+I3367</f>
        <v/>
      </c>
      <c r="K3367" s="137" t="inlineStr">
        <is>
          <t>JUROS</t>
        </is>
      </c>
      <c r="L3367" s="118" t="inlineStr">
        <is>
          <t>AMORTIZAÇÃO</t>
        </is>
      </c>
      <c r="M3367" s="118" t="inlineStr">
        <is>
          <t>AMEX</t>
        </is>
      </c>
      <c r="N3367" s="118" t="inlineStr">
        <is>
          <t>RESIDUAL</t>
        </is>
      </c>
      <c r="O3367" s="256" t="n"/>
      <c r="P3367" s="256" t="n"/>
      <c r="Q3367" s="256" t="n"/>
    </row>
    <row r="3368">
      <c r="A3368">
        <f>IF(DAY(D3368)=DAY($L$1+1),A3367+1,A3367)</f>
        <v/>
      </c>
      <c r="B3368" s="111">
        <f>IF(DAY(D3368)=DAY($L$1+1),1,B3367+1)</f>
        <v/>
      </c>
      <c r="C3368" s="111">
        <f>IF(DAY(D3368)=DAY($L$1+1),1,C3367+1)</f>
        <v/>
      </c>
      <c r="D3368" s="112">
        <f>D3367+1</f>
        <v/>
      </c>
      <c r="E3368" s="113">
        <f>IF(DAY(D3368)=DAY($L$1+1),TRUNC((N3367),8),E3367)</f>
        <v/>
      </c>
      <c r="F3368" s="114">
        <f>TRUNC(((1+VLOOKUP(A3368,IPCA!$A$2:$C$140,3,0)))^(C3368/(EDATE(D3368-C3368,1)-(D3368-C3368))),8)</f>
        <v/>
      </c>
      <c r="G3368" s="114">
        <f>TRUNC((E3368*F3368),8)</f>
        <v/>
      </c>
      <c r="H3368" s="114">
        <f>ROUND(((1+$H$4)^(30/360))^(C3368/(EDATE(D3368-B3368,1)-(D3368-B3368))),9)</f>
        <v/>
      </c>
      <c r="I3368" s="114">
        <f>TRUNC((G3368*H3368-G3368),8)</f>
        <v/>
      </c>
      <c r="J3368" s="114">
        <f>G3368+I3368</f>
        <v/>
      </c>
      <c r="K3368" s="119">
        <f>I3368</f>
        <v/>
      </c>
      <c r="L3368" s="120">
        <f>TRUNC(G3368*VLOOKUP(D3368,'Amort TS'!$G$3:$H$140,2,0),8)</f>
        <v/>
      </c>
      <c r="M3368" s="120" t="n">
        <v>0</v>
      </c>
      <c r="N3368" s="120">
        <f>J3368-K3368-L3368-M3368</f>
        <v/>
      </c>
      <c r="O3368" s="256" t="n"/>
      <c r="P3368" s="256" t="n"/>
      <c r="Q3368" s="256" t="n"/>
    </row>
    <row r="3369">
      <c r="A3369">
        <f>IF(DAY(D3369)=DAY($L$1+1),A3368+1,A3368)</f>
        <v/>
      </c>
      <c r="B3369" s="1">
        <f>IF(DAY(D3369)=DAY($L$1+1),1,B3368+1)</f>
        <v/>
      </c>
      <c r="C3369" s="46">
        <f>IF(DAY(D3369)=DAY($L$1+1),1,C3368+1)</f>
        <v/>
      </c>
      <c r="D3369" s="2">
        <f>D3368+1</f>
        <v/>
      </c>
      <c r="E3369" s="8">
        <f>IF(DAY(D3369)=DAY($L$1+1),TRUNC((N3368),8),E3368)</f>
        <v/>
      </c>
      <c r="F3369" s="49">
        <f>TRUNC(((1+VLOOKUP(A3369,IPCA!$A$2:$C$140,3,0)))^(C3369/(EDATE(D3369-C3369,1)-(D3369-C3369))),8)</f>
        <v/>
      </c>
      <c r="G3369" s="4">
        <f>TRUNC((E3369*F3369),8)</f>
        <v/>
      </c>
      <c r="H3369" s="4">
        <f>ROUND(((1+$H$4)^(30/360))^(C3369/(EDATE(D3369-B3369,1)-(D3369-B3369))),9)</f>
        <v/>
      </c>
      <c r="I3369" s="49">
        <f>TRUNC((G3369*H3369-G3369),8)</f>
        <v/>
      </c>
      <c r="J3369" s="4">
        <f>G3369+I3369</f>
        <v/>
      </c>
      <c r="K3369" s="121">
        <f>K3368*L3366</f>
        <v/>
      </c>
      <c r="L3369" s="121">
        <f>L3368*L3366</f>
        <v/>
      </c>
      <c r="M3369" s="121">
        <f>M3368*L3366</f>
        <v/>
      </c>
      <c r="N3369" s="121">
        <f>N3368*L3366</f>
        <v/>
      </c>
      <c r="O3369" s="256" t="n"/>
      <c r="P3369" s="256" t="n"/>
      <c r="Q3369" s="256" t="n"/>
    </row>
    <row r="3370">
      <c r="A3370">
        <f>IF(DAY(D3370)=DAY($L$1+1),A3369+1,A3369)</f>
        <v/>
      </c>
      <c r="B3370" s="46">
        <f>IF(DAY(D3370)=DAY($L$1+1),1,B3369+1)</f>
        <v/>
      </c>
      <c r="C3370" s="46">
        <f>IF(DAY(D3370)=DAY($L$1+1),1,C3369+1)</f>
        <v/>
      </c>
      <c r="D3370" s="2">
        <f>D3369+1</f>
        <v/>
      </c>
      <c r="E3370" s="8">
        <f>IF(DAY(D3370)=DAY($L$1+1),TRUNC((N3369),8),E3369)</f>
        <v/>
      </c>
      <c r="F3370" s="49">
        <f>TRUNC(((1+VLOOKUP(A3370,IPCA!$A$2:$C$140,3,0)))^(C3370/(EDATE(D3370-C3370,1)-(D3370-C3370))),8)</f>
        <v/>
      </c>
      <c r="G3370" s="4">
        <f>TRUNC((E3370*F3370),8)</f>
        <v/>
      </c>
      <c r="H3370" s="4">
        <f>ROUND(((1+$H$4)^(30/360))^(C3370/(EDATE(D3370-B3370,1)-(D3370-B3370))),9)</f>
        <v/>
      </c>
      <c r="I3370" s="49">
        <f>TRUNC((G3370*H3370-G3370),8)</f>
        <v/>
      </c>
      <c r="J3370" s="4">
        <f>G3370+I3370</f>
        <v/>
      </c>
      <c r="K3370" s="256" t="n"/>
      <c r="L3370" s="256" t="n"/>
      <c r="M3370" s="256" t="n"/>
      <c r="N3370" s="256" t="n"/>
      <c r="O3370" s="256" t="n"/>
      <c r="P3370" s="256" t="n"/>
      <c r="Q3370" s="256" t="n"/>
    </row>
    <row r="3371">
      <c r="A3371">
        <f>IF(DAY(D3371)=DAY($L$1+1),A3370+1,A3370)</f>
        <v/>
      </c>
      <c r="B3371" s="46">
        <f>IF(DAY(D3371)=DAY($L$1+1),1,B3370+1)</f>
        <v/>
      </c>
      <c r="C3371" s="46">
        <f>IF(DAY(D3371)=DAY($L$1+1),1,C3370+1)</f>
        <v/>
      </c>
      <c r="D3371" s="47">
        <f>D3370+1</f>
        <v/>
      </c>
      <c r="E3371" s="8">
        <f>IF(DAY(D3371)=DAY($L$1+1),TRUNC((#REF!),8),E3370)</f>
        <v/>
      </c>
      <c r="F3371" s="49">
        <f>TRUNC(((1+VLOOKUP(A3371,IPCA!$A$2:$C$140,3,0)))^(C3371/(EDATE(D3371-C3371,1)-(D3371-C3371))),8)</f>
        <v/>
      </c>
      <c r="G3371" s="4">
        <f>TRUNC((E3371*F3371),8)</f>
        <v/>
      </c>
      <c r="H3371" s="4">
        <f>ROUND(((1+$H$4)^(30/360))^(C3371/(EDATE(D3371-B3371,1)-(D3371-B3371))),9)</f>
        <v/>
      </c>
      <c r="I3371" s="49">
        <f>TRUNC((G3371*H3371-G3371),8)</f>
        <v/>
      </c>
      <c r="J3371" s="4">
        <f>G3371+I3371</f>
        <v/>
      </c>
      <c r="K3371" s="256" t="n"/>
      <c r="L3371" s="256" t="n"/>
      <c r="M3371" s="256" t="n"/>
      <c r="N3371" s="256" t="n"/>
      <c r="O3371" s="256" t="n"/>
      <c r="P3371" s="256" t="n"/>
      <c r="Q3371" s="256" t="n"/>
    </row>
    <row r="3372">
      <c r="A3372">
        <f>IF(DAY(D3372)=DAY($L$1+1),A3371+1,A3371)</f>
        <v/>
      </c>
      <c r="B3372" s="1">
        <f>IF(DAY(D3372)=DAY($L$1+1),1,B3371+1)</f>
        <v/>
      </c>
      <c r="C3372" s="1">
        <f>IF(DAY(D3372)=DAY($L$1+1),1,C3371+1)</f>
        <v/>
      </c>
      <c r="D3372" s="2">
        <f>D3371+1</f>
        <v/>
      </c>
      <c r="E3372" s="8">
        <f>IF(DAY(D3372)=DAY($L$1+1),TRUNC((#REF!),8),E3371)</f>
        <v/>
      </c>
      <c r="F3372" s="49">
        <f>TRUNC(((1+VLOOKUP(A3372,IPCA!$A$2:$C$140,3,0)))^(C3372/(EDATE(D3372-C3372,1)-(D3372-C3372))),8)</f>
        <v/>
      </c>
      <c r="G3372" s="4">
        <f>TRUNC((E3372*F3372),8)</f>
        <v/>
      </c>
      <c r="H3372" s="4">
        <f>ROUND(((1+$H$4)^(30/360))^(C3372/(EDATE(D3372-B3372,1)-(D3372-B3372))),9)</f>
        <v/>
      </c>
      <c r="I3372" s="49">
        <f>TRUNC((G3372*H3372-G3372),8)</f>
        <v/>
      </c>
      <c r="J3372" s="4">
        <f>G3372+I3372</f>
        <v/>
      </c>
      <c r="K3372" s="256" t="n"/>
      <c r="L3372" s="256" t="n"/>
      <c r="M3372" s="256" t="n"/>
      <c r="N3372" s="256" t="n"/>
      <c r="O3372" s="256" t="n"/>
      <c r="P3372" s="256" t="n"/>
      <c r="Q3372" s="256" t="n"/>
    </row>
    <row r="3373">
      <c r="A3373">
        <f>IF(DAY(D3373)=DAY($L$1+1),A3372+1,A3372)</f>
        <v/>
      </c>
      <c r="B3373" s="46">
        <f>IF(DAY(D3373)=DAY($L$1+1),1,B3372+1)</f>
        <v/>
      </c>
      <c r="C3373" s="46">
        <f>IF(DAY(D3373)=DAY($L$1+1),1,C3372+1)</f>
        <v/>
      </c>
      <c r="D3373" s="2">
        <f>D3372+1</f>
        <v/>
      </c>
      <c r="E3373" s="8">
        <f>IF(DAY(D3373)=DAY($L$1+1),TRUNC((#REF!),8),E3372)</f>
        <v/>
      </c>
      <c r="F3373" s="49">
        <f>TRUNC(((1+VLOOKUP(A3373,IPCA!$A$2:$C$140,3,0)))^(C3373/(EDATE(D3373-C3373,1)-(D3373-C3373))),8)</f>
        <v/>
      </c>
      <c r="G3373" s="4">
        <f>TRUNC((E3373*F3373),8)</f>
        <v/>
      </c>
      <c r="H3373" s="4">
        <f>ROUND(((1+$H$4)^(30/360))^(C3373/(EDATE(D3373-B3373,1)-(D3373-B3373))),9)</f>
        <v/>
      </c>
      <c r="I3373" s="49">
        <f>TRUNC((G3373*H3373-G3373),8)</f>
        <v/>
      </c>
      <c r="J3373" s="4">
        <f>G3373+I3373</f>
        <v/>
      </c>
      <c r="K3373" s="256" t="n"/>
      <c r="L3373" s="256" t="n"/>
      <c r="M3373" s="256" t="n"/>
      <c r="N3373" s="256" t="n"/>
      <c r="O3373" s="256" t="n"/>
      <c r="P3373" s="256" t="n"/>
      <c r="Q3373" s="256" t="n"/>
    </row>
    <row r="3374">
      <c r="A3374">
        <f>IF(DAY(D3374)=DAY($L$1+1),A3373+1,A3373)</f>
        <v/>
      </c>
      <c r="B3374" s="1">
        <f>IF(DAY(D3374)=DAY($L$1+1),1,B3373+1)</f>
        <v/>
      </c>
      <c r="C3374" s="1">
        <f>IF(DAY(D3374)=DAY($L$1+1),1,C3373+1)</f>
        <v/>
      </c>
      <c r="D3374" s="2">
        <f>D3373+1</f>
        <v/>
      </c>
      <c r="E3374" s="8">
        <f>IF(DAY(D3374)=DAY($L$1+1),TRUNC((#REF!),8),E3373)</f>
        <v/>
      </c>
      <c r="F3374" s="49">
        <f>TRUNC(((1+VLOOKUP(A3374,IPCA!$A$2:$C$140,3,0)))^(C3374/(EDATE(D3374-C3374,1)-(D3374-C3374))),8)</f>
        <v/>
      </c>
      <c r="G3374" s="4">
        <f>TRUNC((E3374*F3374),8)</f>
        <v/>
      </c>
      <c r="H3374" s="4">
        <f>ROUND(((1+$H$4)^(30/360))^(C3374/(EDATE(D3374-B3374,1)-(D3374-B3374))),9)</f>
        <v/>
      </c>
      <c r="I3374" s="49">
        <f>TRUNC((G3374*H3374-G3374),8)</f>
        <v/>
      </c>
      <c r="J3374" s="4">
        <f>G3374+I3374</f>
        <v/>
      </c>
      <c r="K3374" s="256" t="n"/>
      <c r="L3374" s="256" t="n"/>
      <c r="M3374" s="256" t="n"/>
      <c r="N3374" s="256" t="n"/>
      <c r="O3374" s="256" t="n"/>
      <c r="P3374" s="256" t="n"/>
      <c r="Q3374" s="256" t="n"/>
    </row>
    <row r="3375">
      <c r="A3375">
        <f>IF(DAY(D3375)=DAY($L$1+1),A3374+1,A3374)</f>
        <v/>
      </c>
      <c r="B3375" s="46">
        <f>IF(DAY(D3375)=DAY($L$1+1),1,B3374+1)</f>
        <v/>
      </c>
      <c r="C3375" s="46">
        <f>IF(DAY(D3375)=DAY($L$1+1),1,C3374+1)</f>
        <v/>
      </c>
      <c r="D3375" s="2">
        <f>D3374+1</f>
        <v/>
      </c>
      <c r="E3375" s="8">
        <f>IF(DAY(D3375)=DAY($L$1+1),TRUNC((#REF!),8),E3374)</f>
        <v/>
      </c>
      <c r="F3375" s="49">
        <f>TRUNC(((1+VLOOKUP(A3375,IPCA!$A$2:$C$140,3,0)))^(C3375/(EDATE(D3375-C3375,1)-(D3375-C3375))),8)</f>
        <v/>
      </c>
      <c r="G3375" s="4">
        <f>TRUNC((E3375*F3375),8)</f>
        <v/>
      </c>
      <c r="H3375" s="4">
        <f>ROUND(((1+$H$4)^(30/360))^(C3375/(EDATE(D3375-B3375,1)-(D3375-B3375))),9)</f>
        <v/>
      </c>
      <c r="I3375" s="49">
        <f>TRUNC((G3375*H3375-G3375),8)</f>
        <v/>
      </c>
      <c r="J3375" s="4">
        <f>G3375+I3375</f>
        <v/>
      </c>
      <c r="K3375" s="256" t="n"/>
      <c r="L3375" s="256" t="n"/>
      <c r="M3375" s="256" t="n"/>
      <c r="N3375" s="256" t="n"/>
      <c r="O3375" s="256" t="n"/>
      <c r="P3375" s="256" t="n"/>
      <c r="Q3375" s="256" t="n"/>
    </row>
    <row r="3376">
      <c r="A3376">
        <f>IF(DAY(D3376)=DAY($L$1+1),A3375+1,A3375)</f>
        <v/>
      </c>
      <c r="B3376" s="1">
        <f>IF(DAY(D3376)=DAY($L$1+1),1,B3375+1)</f>
        <v/>
      </c>
      <c r="C3376" s="1">
        <f>IF(DAY(D3376)=DAY($L$1+1),1,C3375+1)</f>
        <v/>
      </c>
      <c r="D3376" s="2">
        <f>D3375+1</f>
        <v/>
      </c>
      <c r="E3376" s="8">
        <f>IF(DAY(D3376)=DAY($L$1+1),TRUNC((#REF!),8),E3375)</f>
        <v/>
      </c>
      <c r="F3376" s="49">
        <f>TRUNC(((1+VLOOKUP(A3376,IPCA!$A$2:$C$140,3,0)))^(C3376/(EDATE(D3376-C3376,1)-(D3376-C3376))),8)</f>
        <v/>
      </c>
      <c r="G3376" s="4">
        <f>TRUNC((E3376*F3376),8)</f>
        <v/>
      </c>
      <c r="H3376" s="4">
        <f>ROUND(((1+$H$4)^(30/360))^(C3376/(EDATE(D3376-B3376,1)-(D3376-B3376))),9)</f>
        <v/>
      </c>
      <c r="I3376" s="49">
        <f>TRUNC((G3376*H3376-G3376),8)</f>
        <v/>
      </c>
      <c r="J3376" s="4">
        <f>G3376+I3376</f>
        <v/>
      </c>
      <c r="K3376" s="256" t="n"/>
      <c r="L3376" s="256" t="n"/>
      <c r="M3376" s="256" t="n"/>
      <c r="N3376" s="256" t="n"/>
      <c r="O3376" s="256" t="n"/>
      <c r="P3376" s="256" t="n"/>
      <c r="Q3376" s="256" t="n"/>
    </row>
    <row r="3377">
      <c r="A3377">
        <f>IF(DAY(D3377)=DAY($L$1+1),A3376+1,A3376)</f>
        <v/>
      </c>
      <c r="B3377" s="46">
        <f>IF(DAY(D3377)=DAY($L$1+1),1,B3376+1)</f>
        <v/>
      </c>
      <c r="C3377" s="46">
        <f>IF(DAY(D3377)=DAY($L$1+1),1,C3376+1)</f>
        <v/>
      </c>
      <c r="D3377" s="2">
        <f>D3376+1</f>
        <v/>
      </c>
      <c r="E3377" s="8">
        <f>IF(DAY(D3377)=DAY($L$1+1),TRUNC((#REF!),8),E3376)</f>
        <v/>
      </c>
      <c r="F3377" s="49">
        <f>TRUNC(((1+VLOOKUP(A3377,IPCA!$A$2:$C$140,3,0)))^(C3377/(EDATE(D3377-C3377,1)-(D3377-C3377))),8)</f>
        <v/>
      </c>
      <c r="G3377" s="4">
        <f>TRUNC((E3377*F3377),8)</f>
        <v/>
      </c>
      <c r="H3377" s="4">
        <f>ROUND(((1+$H$4)^(30/360))^(C3377/(EDATE(D3377-B3377,1)-(D3377-B3377))),9)</f>
        <v/>
      </c>
      <c r="I3377" s="49">
        <f>TRUNC((G3377*H3377-G3377),8)</f>
        <v/>
      </c>
      <c r="J3377" s="4">
        <f>G3377+I3377</f>
        <v/>
      </c>
      <c r="K3377" s="256" t="n"/>
      <c r="L3377" s="256" t="n"/>
      <c r="M3377" s="256" t="n"/>
      <c r="N3377" s="256" t="n"/>
      <c r="O3377" s="256" t="n"/>
      <c r="P3377" s="256" t="n"/>
      <c r="Q3377" s="256" t="n"/>
    </row>
    <row r="3378">
      <c r="A3378">
        <f>IF(DAY(D3378)=DAY($L$1+1),A3377+1,A3377)</f>
        <v/>
      </c>
      <c r="B3378" s="1">
        <f>IF(DAY(D3378)=DAY($L$1+1),1,B3377+1)</f>
        <v/>
      </c>
      <c r="C3378" s="1">
        <f>IF(DAY(D3378)=DAY($L$1+1),1,C3377+1)</f>
        <v/>
      </c>
      <c r="D3378" s="2">
        <f>D3377+1</f>
        <v/>
      </c>
      <c r="E3378" s="8">
        <f>IF(DAY(D3378)=DAY($L$1+1),TRUNC((#REF!),8),E3377)</f>
        <v/>
      </c>
      <c r="F3378" s="49">
        <f>TRUNC(((1+VLOOKUP(A3378,IPCA!$A$2:$C$140,3,0)))^(C3378/(EDATE(D3378-C3378,1)-(D3378-C3378))),8)</f>
        <v/>
      </c>
      <c r="G3378" s="4">
        <f>TRUNC((E3378*F3378),8)</f>
        <v/>
      </c>
      <c r="H3378" s="4">
        <f>ROUND(((1+$H$4)^(30/360))^(C3378/(EDATE(D3378-B3378,1)-(D3378-B3378))),9)</f>
        <v/>
      </c>
      <c r="I3378" s="49">
        <f>TRUNC((G3378*H3378-G3378),8)</f>
        <v/>
      </c>
      <c r="J3378" s="4">
        <f>G3378+I3378</f>
        <v/>
      </c>
      <c r="K3378" s="256" t="n"/>
      <c r="L3378" s="256" t="n"/>
      <c r="M3378" s="256" t="n"/>
      <c r="N3378" s="256" t="n"/>
      <c r="O3378" s="256" t="n"/>
      <c r="P3378" s="256" t="n"/>
      <c r="Q3378" s="256" t="n"/>
    </row>
    <row r="3379">
      <c r="A3379">
        <f>IF(DAY(D3379)=DAY($L$1+1),A3378+1,A3378)</f>
        <v/>
      </c>
      <c r="B3379" s="46">
        <f>IF(DAY(D3379)=DAY($L$1+1),1,B3378+1)</f>
        <v/>
      </c>
      <c r="C3379" s="46">
        <f>IF(DAY(D3379)=DAY($L$1+1),1,C3378+1)</f>
        <v/>
      </c>
      <c r="D3379" s="2">
        <f>D3378+1</f>
        <v/>
      </c>
      <c r="E3379" s="8">
        <f>IF(DAY(D3379)=DAY($L$1+1),TRUNC((#REF!),8),E3378)</f>
        <v/>
      </c>
      <c r="F3379" s="49">
        <f>TRUNC(((1+VLOOKUP(A3379,IPCA!$A$2:$C$140,3,0)))^(C3379/(EDATE(D3379-C3379,1)-(D3379-C3379))),8)</f>
        <v/>
      </c>
      <c r="G3379" s="4">
        <f>TRUNC((E3379*F3379),8)</f>
        <v/>
      </c>
      <c r="H3379" s="4">
        <f>ROUND(((1+$H$4)^(30/360))^(C3379/(EDATE(D3379-B3379,1)-(D3379-B3379))),9)</f>
        <v/>
      </c>
      <c r="I3379" s="49">
        <f>TRUNC((G3379*H3379-G3379),8)</f>
        <v/>
      </c>
      <c r="J3379" s="4">
        <f>G3379+I3379</f>
        <v/>
      </c>
      <c r="K3379" s="256" t="n"/>
      <c r="L3379" s="256" t="n"/>
      <c r="M3379" s="256" t="n"/>
      <c r="N3379" s="256" t="n"/>
      <c r="O3379" s="256" t="n"/>
      <c r="P3379" s="256" t="n"/>
      <c r="Q3379" s="256" t="n"/>
    </row>
    <row r="3380">
      <c r="A3380">
        <f>IF(DAY(D3380)=DAY($L$1+1),A3379+1,A3379)</f>
        <v/>
      </c>
      <c r="B3380" s="1">
        <f>IF(DAY(D3380)=DAY($L$1+1),1,B3379+1)</f>
        <v/>
      </c>
      <c r="C3380" s="1">
        <f>IF(DAY(D3380)=DAY($L$1+1),1,C3379+1)</f>
        <v/>
      </c>
      <c r="D3380" s="2">
        <f>D3379+1</f>
        <v/>
      </c>
      <c r="E3380" s="8">
        <f>IF(DAY(D3380)=DAY($L$1+1),TRUNC((#REF!),8),E3379)</f>
        <v/>
      </c>
      <c r="F3380" s="49">
        <f>TRUNC(((1+VLOOKUP(A3380,IPCA!$A$2:$C$140,3,0)))^(C3380/(EDATE(D3380-C3380,1)-(D3380-C3380))),8)</f>
        <v/>
      </c>
      <c r="G3380" s="4">
        <f>TRUNC((E3380*F3380),8)</f>
        <v/>
      </c>
      <c r="H3380" s="4">
        <f>ROUND(((1+$H$4)^(30/360))^(C3380/(EDATE(D3380-B3380,1)-(D3380-B3380))),9)</f>
        <v/>
      </c>
      <c r="I3380" s="49">
        <f>TRUNC((G3380*H3380-G3380),8)</f>
        <v/>
      </c>
      <c r="J3380" s="4">
        <f>G3380+I3380</f>
        <v/>
      </c>
      <c r="K3380" s="256" t="n"/>
      <c r="L3380" s="256" t="n"/>
      <c r="M3380" s="256" t="n"/>
      <c r="N3380" s="256" t="n"/>
      <c r="O3380" s="256" t="n"/>
      <c r="P3380" s="256" t="n"/>
      <c r="Q3380" s="256" t="n"/>
    </row>
    <row r="3381">
      <c r="A3381">
        <f>IF(DAY(D3381)=DAY($L$1+1),A3380+1,A3380)</f>
        <v/>
      </c>
      <c r="B3381" s="46">
        <f>IF(DAY(D3381)=DAY($L$1+1),1,B3380+1)</f>
        <v/>
      </c>
      <c r="C3381" s="46">
        <f>IF(DAY(D3381)=DAY($L$1+1),1,C3380+1)</f>
        <v/>
      </c>
      <c r="D3381" s="2">
        <f>D3380+1</f>
        <v/>
      </c>
      <c r="E3381" s="8">
        <f>IF(DAY(D3381)=DAY($L$1+1),TRUNC((#REF!),8),E3380)</f>
        <v/>
      </c>
      <c r="F3381" s="49">
        <f>TRUNC(((1+VLOOKUP(A3381,IPCA!$A$2:$C$140,3,0)))^(C3381/(EDATE(D3381-C3381,1)-(D3381-C3381))),8)</f>
        <v/>
      </c>
      <c r="G3381" s="4">
        <f>TRUNC((E3381*F3381),8)</f>
        <v/>
      </c>
      <c r="H3381" s="4">
        <f>ROUND(((1+$H$4)^(30/360))^(C3381/(EDATE(D3381-B3381,1)-(D3381-B3381))),9)</f>
        <v/>
      </c>
      <c r="I3381" s="49">
        <f>TRUNC((G3381*H3381-G3381),8)</f>
        <v/>
      </c>
      <c r="J3381" s="4">
        <f>G3381+I3381</f>
        <v/>
      </c>
      <c r="K3381" s="256" t="n"/>
      <c r="L3381" s="256" t="n"/>
      <c r="M3381" s="256" t="n"/>
      <c r="N3381" s="256" t="n"/>
      <c r="O3381" s="256" t="n"/>
      <c r="P3381" s="256" t="n"/>
      <c r="Q3381" s="256" t="n"/>
    </row>
    <row r="3382">
      <c r="A3382">
        <f>IF(DAY(D3382)=DAY($L$1+1),A3381+1,A3381)</f>
        <v/>
      </c>
      <c r="B3382" s="1">
        <f>IF(DAY(D3382)=DAY($L$1+1),1,B3381+1)</f>
        <v/>
      </c>
      <c r="C3382" s="1">
        <f>IF(DAY(D3382)=DAY($L$1+1),1,C3381+1)</f>
        <v/>
      </c>
      <c r="D3382" s="2">
        <f>D3381+1</f>
        <v/>
      </c>
      <c r="E3382" s="8">
        <f>IF(DAY(D3382)=DAY($L$1+1),TRUNC((#REF!),8),E3381)</f>
        <v/>
      </c>
      <c r="F3382" s="49">
        <f>TRUNC(((1+VLOOKUP(A3382,IPCA!$A$2:$C$140,3,0)))^(C3382/(EDATE(D3382-C3382,1)-(D3382-C3382))),8)</f>
        <v/>
      </c>
      <c r="G3382" s="4">
        <f>TRUNC((E3382*F3382),8)</f>
        <v/>
      </c>
      <c r="H3382" s="4">
        <f>ROUND(((1+$H$4)^(30/360))^(C3382/(EDATE(D3382-B3382,1)-(D3382-B3382))),9)</f>
        <v/>
      </c>
      <c r="I3382" s="49">
        <f>TRUNC((G3382*H3382-G3382),8)</f>
        <v/>
      </c>
      <c r="J3382" s="4">
        <f>G3382+I3382</f>
        <v/>
      </c>
      <c r="K3382" s="256" t="n"/>
      <c r="L3382" s="256" t="n"/>
      <c r="M3382" s="256" t="n"/>
      <c r="N3382" s="256" t="n"/>
      <c r="O3382" s="256" t="n"/>
      <c r="P3382" s="256" t="n"/>
      <c r="Q3382" s="256" t="n"/>
    </row>
    <row r="3383">
      <c r="A3383">
        <f>IF(DAY(D3383)=DAY($L$1+1),A3382+1,A3382)</f>
        <v/>
      </c>
      <c r="B3383" s="46">
        <f>IF(DAY(D3383)=DAY($L$1+1),1,B3382+1)</f>
        <v/>
      </c>
      <c r="C3383" s="46">
        <f>IF(DAY(D3383)=DAY($L$1+1),1,C3382+1)</f>
        <v/>
      </c>
      <c r="D3383" s="2">
        <f>D3382+1</f>
        <v/>
      </c>
      <c r="E3383" s="8">
        <f>IF(DAY(D3383)=DAY($L$1+1),TRUNC((#REF!),8),E3382)</f>
        <v/>
      </c>
      <c r="F3383" s="49">
        <f>TRUNC(((1+VLOOKUP(A3383,IPCA!$A$2:$C$140,3,0)))^(C3383/(EDATE(D3383-C3383,1)-(D3383-C3383))),8)</f>
        <v/>
      </c>
      <c r="G3383" s="4">
        <f>TRUNC((E3383*F3383),8)</f>
        <v/>
      </c>
      <c r="H3383" s="4">
        <f>ROUND(((1+$H$4)^(30/360))^(C3383/(EDATE(D3383-B3383,1)-(D3383-B3383))),9)</f>
        <v/>
      </c>
      <c r="I3383" s="49">
        <f>TRUNC((G3383*H3383-G3383),8)</f>
        <v/>
      </c>
      <c r="J3383" s="4">
        <f>G3383+I3383</f>
        <v/>
      </c>
      <c r="K3383" s="256" t="n"/>
      <c r="L3383" s="256" t="n"/>
      <c r="M3383" s="256" t="n"/>
      <c r="N3383" s="256" t="n"/>
      <c r="O3383" s="256" t="n"/>
      <c r="P3383" s="256" t="n"/>
      <c r="Q3383" s="256" t="n"/>
    </row>
    <row r="3384">
      <c r="A3384">
        <f>IF(DAY(D3384)=DAY($L$1+1),A3383+1,A3383)</f>
        <v/>
      </c>
      <c r="B3384" s="1">
        <f>IF(DAY(D3384)=DAY($L$1+1),1,B3383+1)</f>
        <v/>
      </c>
      <c r="C3384" s="1">
        <f>IF(DAY(D3384)=DAY($L$1+1),1,C3383+1)</f>
        <v/>
      </c>
      <c r="D3384" s="2">
        <f>D3383+1</f>
        <v/>
      </c>
      <c r="E3384" s="8">
        <f>IF(DAY(D3384)=DAY($L$1+1),TRUNC((#REF!),8),E3383)</f>
        <v/>
      </c>
      <c r="F3384" s="49">
        <f>TRUNC(((1+VLOOKUP(A3384,IPCA!$A$2:$C$140,3,0)))^(C3384/(EDATE(D3384-C3384,1)-(D3384-C3384))),8)</f>
        <v/>
      </c>
      <c r="G3384" s="4">
        <f>TRUNC((E3384*F3384),8)</f>
        <v/>
      </c>
      <c r="H3384" s="4">
        <f>ROUND(((1+$H$4)^(30/360))^(C3384/(EDATE(D3384-B3384,1)-(D3384-B3384))),9)</f>
        <v/>
      </c>
      <c r="I3384" s="49">
        <f>TRUNC((G3384*H3384-G3384),8)</f>
        <v/>
      </c>
      <c r="J3384" s="4">
        <f>G3384+I3384</f>
        <v/>
      </c>
      <c r="K3384" s="256" t="n"/>
      <c r="L3384" s="256" t="n"/>
      <c r="M3384" s="256" t="n"/>
      <c r="N3384" s="256" t="n"/>
      <c r="O3384" s="256" t="n"/>
      <c r="P3384" s="256" t="n"/>
      <c r="Q3384" s="256" t="n"/>
    </row>
    <row r="3385">
      <c r="A3385">
        <f>IF(DAY(D3385)=DAY($L$1+1),A3384+1,A3384)</f>
        <v/>
      </c>
      <c r="B3385" s="46">
        <f>IF(DAY(D3385)=DAY($L$1+1),1,B3384+1)</f>
        <v/>
      </c>
      <c r="C3385" s="46">
        <f>IF(DAY(D3385)=DAY($L$1+1),1,C3384+1)</f>
        <v/>
      </c>
      <c r="D3385" s="2">
        <f>D3384+1</f>
        <v/>
      </c>
      <c r="E3385" s="8">
        <f>IF(DAY(D3385)=DAY($L$1+1),TRUNC((#REF!),8),E3384)</f>
        <v/>
      </c>
      <c r="F3385" s="49">
        <f>TRUNC(((1+VLOOKUP(A3385,IPCA!$A$2:$C$140,3,0)))^(C3385/(EDATE(D3385-C3385,1)-(D3385-C3385))),8)</f>
        <v/>
      </c>
      <c r="G3385" s="4">
        <f>TRUNC((E3385*F3385),8)</f>
        <v/>
      </c>
      <c r="H3385" s="4">
        <f>ROUND(((1+$H$4)^(30/360))^(C3385/(EDATE(D3385-B3385,1)-(D3385-B3385))),9)</f>
        <v/>
      </c>
      <c r="I3385" s="49">
        <f>TRUNC((G3385*H3385-G3385),8)</f>
        <v/>
      </c>
      <c r="J3385" s="4">
        <f>G3385+I3385</f>
        <v/>
      </c>
      <c r="K3385" s="256" t="n"/>
      <c r="L3385" s="256" t="n"/>
      <c r="M3385" s="256" t="n"/>
      <c r="N3385" s="256" t="n"/>
      <c r="O3385" s="256" t="n"/>
      <c r="P3385" s="256" t="n"/>
      <c r="Q3385" s="256" t="n"/>
    </row>
    <row r="3386">
      <c r="A3386">
        <f>IF(DAY(D3386)=DAY($L$1+1),A3385+1,A3385)</f>
        <v/>
      </c>
      <c r="B3386" s="1">
        <f>IF(DAY(D3386)=DAY($L$1+1),1,B3385+1)</f>
        <v/>
      </c>
      <c r="C3386" s="1">
        <f>IF(DAY(D3386)=DAY($L$1+1),1,C3385+1)</f>
        <v/>
      </c>
      <c r="D3386" s="2">
        <f>D3385+1</f>
        <v/>
      </c>
      <c r="E3386" s="8">
        <f>IF(DAY(D3386)=DAY($L$1+1),TRUNC((#REF!),8),E3385)</f>
        <v/>
      </c>
      <c r="F3386" s="49">
        <f>TRUNC(((1+VLOOKUP(A3386,IPCA!$A$2:$C$140,3,0)))^(C3386/(EDATE(D3386-C3386,1)-(D3386-C3386))),8)</f>
        <v/>
      </c>
      <c r="G3386" s="4">
        <f>TRUNC((E3386*F3386),8)</f>
        <v/>
      </c>
      <c r="H3386" s="4">
        <f>ROUND(((1+$H$4)^(30/360))^(C3386/(EDATE(D3386-B3386,1)-(D3386-B3386))),9)</f>
        <v/>
      </c>
      <c r="I3386" s="49">
        <f>TRUNC((G3386*H3386-G3386),8)</f>
        <v/>
      </c>
      <c r="J3386" s="4">
        <f>G3386+I3386</f>
        <v/>
      </c>
      <c r="K3386" s="256" t="n"/>
      <c r="L3386" s="256" t="n"/>
      <c r="M3386" s="256" t="n"/>
      <c r="N3386" s="256" t="n"/>
      <c r="O3386" s="256" t="n"/>
      <c r="P3386" s="256" t="n"/>
      <c r="Q3386" s="256" t="n"/>
    </row>
    <row r="3387">
      <c r="A3387">
        <f>IF(DAY(D3387)=DAY($L$1+1),A3386+1,A3386)</f>
        <v/>
      </c>
      <c r="B3387" s="46">
        <f>IF(DAY(D3387)=DAY($L$1+1),1,B3386+1)</f>
        <v/>
      </c>
      <c r="C3387" s="46">
        <f>IF(DAY(D3387)=DAY($L$1+1),1,C3386+1)</f>
        <v/>
      </c>
      <c r="D3387" s="2">
        <f>D3386+1</f>
        <v/>
      </c>
      <c r="E3387" s="8">
        <f>IF(DAY(D3387)=DAY($L$1+1),TRUNC((#REF!),8),E3386)</f>
        <v/>
      </c>
      <c r="F3387" s="49">
        <f>TRUNC(((1+VLOOKUP(A3387,IPCA!$A$2:$C$140,3,0)))^(C3387/(EDATE(D3387-C3387,1)-(D3387-C3387))),8)</f>
        <v/>
      </c>
      <c r="G3387" s="4">
        <f>TRUNC((E3387*F3387),8)</f>
        <v/>
      </c>
      <c r="H3387" s="4">
        <f>ROUND(((1+$H$4)^(30/360))^(C3387/(EDATE(D3387-B3387,1)-(D3387-B3387))),9)</f>
        <v/>
      </c>
      <c r="I3387" s="49">
        <f>TRUNC((G3387*H3387-G3387),8)</f>
        <v/>
      </c>
      <c r="J3387" s="4">
        <f>G3387+I3387</f>
        <v/>
      </c>
      <c r="K3387" s="256" t="n"/>
      <c r="L3387" s="256" t="n"/>
      <c r="M3387" s="256" t="n"/>
      <c r="N3387" s="256" t="n"/>
      <c r="O3387" s="256" t="n"/>
      <c r="P3387" s="256" t="n"/>
      <c r="Q3387" s="256" t="n"/>
    </row>
    <row r="3388">
      <c r="A3388">
        <f>IF(DAY(D3388)=DAY($L$1+1),A3387+1,A3387)</f>
        <v/>
      </c>
      <c r="B3388" s="1">
        <f>IF(DAY(D3388)=DAY($L$1+1),1,B3387+1)</f>
        <v/>
      </c>
      <c r="C3388" s="1">
        <f>IF(DAY(D3388)=DAY($L$1+1),1,C3387+1)</f>
        <v/>
      </c>
      <c r="D3388" s="2">
        <f>D3387+1</f>
        <v/>
      </c>
      <c r="E3388" s="8">
        <f>IF(DAY(D3388)=DAY($L$1+1),TRUNC((#REF!),8),E3387)</f>
        <v/>
      </c>
      <c r="F3388" s="49">
        <f>TRUNC(((1+VLOOKUP(A3388,IPCA!$A$2:$C$140,3,0)))^(C3388/(EDATE(D3388-C3388,1)-(D3388-C3388))),8)</f>
        <v/>
      </c>
      <c r="G3388" s="4">
        <f>TRUNC((E3388*F3388),8)</f>
        <v/>
      </c>
      <c r="H3388" s="4">
        <f>ROUND(((1+$H$4)^(30/360))^(C3388/(EDATE(D3388-B3388,1)-(D3388-B3388))),9)</f>
        <v/>
      </c>
      <c r="I3388" s="49">
        <f>TRUNC((G3388*H3388-G3388),8)</f>
        <v/>
      </c>
      <c r="J3388" s="4">
        <f>G3388+I3388</f>
        <v/>
      </c>
      <c r="K3388" s="256" t="n"/>
      <c r="L3388" s="256" t="n"/>
      <c r="M3388" s="256" t="n"/>
      <c r="N3388" s="256" t="n"/>
      <c r="O3388" s="256" t="n"/>
      <c r="P3388" s="256" t="n"/>
      <c r="Q3388" s="256" t="n"/>
    </row>
    <row r="3389">
      <c r="A3389">
        <f>IF(DAY(D3389)=DAY($L$1+1),A3388+1,A3388)</f>
        <v/>
      </c>
      <c r="B3389" s="46">
        <f>IF(DAY(D3389)=DAY($L$1+1),1,B3388+1)</f>
        <v/>
      </c>
      <c r="C3389" s="46">
        <f>IF(DAY(D3389)=DAY($L$1+1),1,C3388+1)</f>
        <v/>
      </c>
      <c r="D3389" s="2">
        <f>D3388+1</f>
        <v/>
      </c>
      <c r="E3389" s="8">
        <f>IF(DAY(D3389)=DAY($L$1+1),TRUNC((#REF!),8),E3388)</f>
        <v/>
      </c>
      <c r="F3389" s="49">
        <f>TRUNC(((1+VLOOKUP(A3389,IPCA!$A$2:$C$140,3,0)))^(C3389/(EDATE(D3389-C3389,1)-(D3389-C3389))),8)</f>
        <v/>
      </c>
      <c r="G3389" s="4">
        <f>TRUNC((E3389*F3389),8)</f>
        <v/>
      </c>
      <c r="H3389" s="4">
        <f>ROUND(((1+$H$4)^(30/360))^(C3389/(EDATE(D3389-B3389,1)-(D3389-B3389))),9)</f>
        <v/>
      </c>
      <c r="I3389" s="49">
        <f>TRUNC((G3389*H3389-G3389),8)</f>
        <v/>
      </c>
      <c r="J3389" s="4">
        <f>G3389+I3389</f>
        <v/>
      </c>
      <c r="K3389" s="256" t="n"/>
      <c r="L3389" s="256" t="n"/>
      <c r="M3389" s="256" t="n"/>
      <c r="N3389" s="256" t="n"/>
      <c r="O3389" s="256" t="n"/>
      <c r="P3389" s="256" t="n"/>
      <c r="Q3389" s="256" t="n"/>
    </row>
    <row r="3390">
      <c r="A3390">
        <f>IF(DAY(D3390)=DAY($L$1+1),A3389+1,A3389)</f>
        <v/>
      </c>
      <c r="B3390" s="1">
        <f>IF(DAY(D3390)=DAY($L$1+1),1,B3389+1)</f>
        <v/>
      </c>
      <c r="C3390" s="1">
        <f>IF(DAY(D3390)=DAY($L$1+1),1,C3389+1)</f>
        <v/>
      </c>
      <c r="D3390" s="2">
        <f>D3389+1</f>
        <v/>
      </c>
      <c r="E3390" s="8">
        <f>IF(DAY(D3390)=DAY($L$1+1),TRUNC((#REF!),8),E3389)</f>
        <v/>
      </c>
      <c r="F3390" s="49">
        <f>TRUNC(((1+VLOOKUP(A3390,IPCA!$A$2:$C$140,3,0)))^(C3390/(EDATE(D3390-C3390,1)-(D3390-C3390))),8)</f>
        <v/>
      </c>
      <c r="G3390" s="4">
        <f>TRUNC((E3390*F3390),8)</f>
        <v/>
      </c>
      <c r="H3390" s="4">
        <f>ROUND(((1+$H$4)^(30/360))^(C3390/(EDATE(D3390-B3390,1)-(D3390-B3390))),9)</f>
        <v/>
      </c>
      <c r="I3390" s="49">
        <f>TRUNC((G3390*H3390-G3390),8)</f>
        <v/>
      </c>
      <c r="J3390" s="4">
        <f>G3390+I3390</f>
        <v/>
      </c>
      <c r="K3390" s="256" t="n"/>
      <c r="L3390" s="256" t="n"/>
      <c r="M3390" s="256" t="n"/>
      <c r="N3390" s="256" t="n"/>
      <c r="O3390" s="256" t="n"/>
      <c r="P3390" s="256" t="n"/>
      <c r="Q3390" s="256" t="n"/>
    </row>
    <row r="3391">
      <c r="A3391">
        <f>IF(DAY(D3391)=DAY($L$1+1),A3390+1,A3390)</f>
        <v/>
      </c>
      <c r="B3391" s="46">
        <f>IF(DAY(D3391)=DAY($L$1+1),1,B3390+1)</f>
        <v/>
      </c>
      <c r="C3391" s="46">
        <f>IF(DAY(D3391)=DAY($L$1+1),1,C3390+1)</f>
        <v/>
      </c>
      <c r="D3391" s="2">
        <f>D3390+1</f>
        <v/>
      </c>
      <c r="E3391" s="8">
        <f>IF(DAY(D3391)=DAY($L$1+1),TRUNC((#REF!),8),E3390)</f>
        <v/>
      </c>
      <c r="F3391" s="49">
        <f>TRUNC(((1+VLOOKUP(A3391,IPCA!$A$2:$C$140,3,0)))^(C3391/(EDATE(D3391-C3391,1)-(D3391-C3391))),8)</f>
        <v/>
      </c>
      <c r="G3391" s="4">
        <f>TRUNC((E3391*F3391),8)</f>
        <v/>
      </c>
      <c r="H3391" s="4">
        <f>ROUND(((1+$H$4)^(30/360))^(C3391/(EDATE(D3391-B3391,1)-(D3391-B3391))),9)</f>
        <v/>
      </c>
      <c r="I3391" s="49">
        <f>TRUNC((G3391*H3391-G3391),8)</f>
        <v/>
      </c>
      <c r="J3391" s="4">
        <f>G3391+I3391</f>
        <v/>
      </c>
      <c r="K3391" s="256" t="n"/>
      <c r="L3391" s="256" t="n"/>
      <c r="M3391" s="256" t="n"/>
      <c r="N3391" s="256" t="n"/>
      <c r="O3391" s="256" t="n"/>
      <c r="P3391" s="256" t="n"/>
      <c r="Q3391" s="256" t="n"/>
    </row>
    <row r="3392">
      <c r="A3392">
        <f>IF(DAY(D3392)=DAY($L$1+1),A3391+1,A3391)</f>
        <v/>
      </c>
      <c r="B3392" s="1">
        <f>IF(DAY(D3392)=DAY($L$1+1),1,B3391+1)</f>
        <v/>
      </c>
      <c r="C3392" s="1">
        <f>IF(DAY(D3392)=DAY($L$1+1),1,C3391+1)</f>
        <v/>
      </c>
      <c r="D3392" s="2">
        <f>D3391+1</f>
        <v/>
      </c>
      <c r="E3392" s="8">
        <f>IF(DAY(D3392)=DAY($L$1+1),TRUNC((#REF!),8),E3391)</f>
        <v/>
      </c>
      <c r="F3392" s="49">
        <f>TRUNC(((1+VLOOKUP(A3392,IPCA!$A$2:$C$140,3,0)))^(C3392/(EDATE(D3392-C3392,1)-(D3392-C3392))),8)</f>
        <v/>
      </c>
      <c r="G3392" s="4">
        <f>TRUNC((E3392*F3392),8)</f>
        <v/>
      </c>
      <c r="H3392" s="4">
        <f>ROUND(((1+$H$4)^(30/360))^(C3392/(EDATE(D3392-B3392,1)-(D3392-B3392))),9)</f>
        <v/>
      </c>
      <c r="I3392" s="49">
        <f>TRUNC((G3392*H3392-G3392),8)</f>
        <v/>
      </c>
      <c r="J3392" s="4">
        <f>G3392+I3392</f>
        <v/>
      </c>
      <c r="K3392" s="256" t="n"/>
      <c r="L3392" s="256" t="n"/>
      <c r="M3392" s="256" t="n"/>
      <c r="N3392" s="256" t="n"/>
      <c r="O3392" s="256" t="n"/>
      <c r="P3392" s="256" t="n"/>
      <c r="Q3392" s="256" t="n"/>
    </row>
    <row r="3393">
      <c r="A3393">
        <f>IF(DAY(D3393)=DAY($L$1+1),A3392+1,A3392)</f>
        <v/>
      </c>
      <c r="B3393" s="46">
        <f>IF(DAY(D3393)=DAY($L$1+1),1,B3392+1)</f>
        <v/>
      </c>
      <c r="C3393" s="46">
        <f>IF(DAY(D3393)=DAY($L$1+1),1,C3392+1)</f>
        <v/>
      </c>
      <c r="D3393" s="2">
        <f>D3392+1</f>
        <v/>
      </c>
      <c r="E3393" s="8">
        <f>IF(DAY(D3393)=DAY($L$1+1),TRUNC((#REF!),8),E3392)</f>
        <v/>
      </c>
      <c r="F3393" s="49">
        <f>TRUNC(((1+VLOOKUP(A3393,IPCA!$A$2:$C$140,3,0)))^(C3393/(EDATE(D3393-C3393,1)-(D3393-C3393))),8)</f>
        <v/>
      </c>
      <c r="G3393" s="4">
        <f>TRUNC((E3393*F3393),8)</f>
        <v/>
      </c>
      <c r="H3393" s="4">
        <f>ROUND(((1+$H$4)^(30/360))^(C3393/(EDATE(D3393-B3393,1)-(D3393-B3393))),9)</f>
        <v/>
      </c>
      <c r="I3393" s="49">
        <f>TRUNC((G3393*H3393-G3393),8)</f>
        <v/>
      </c>
      <c r="J3393" s="4">
        <f>G3393+I3393</f>
        <v/>
      </c>
      <c r="K3393" s="256" t="n"/>
      <c r="L3393" s="256" t="n"/>
      <c r="M3393" s="256" t="n"/>
      <c r="N3393" s="256" t="n"/>
      <c r="O3393" s="256" t="n"/>
      <c r="P3393" s="256" t="n"/>
      <c r="Q3393" s="256" t="n"/>
    </row>
    <row r="3394">
      <c r="A3394">
        <f>IF(DAY(D3394)=DAY($L$1+1),A3393+1,A3393)</f>
        <v/>
      </c>
      <c r="B3394" s="1">
        <f>IF(DAY(D3394)=DAY($L$1+1),1,B3393+1)</f>
        <v/>
      </c>
      <c r="C3394" s="1">
        <f>IF(DAY(D3394)=DAY($L$1+1),1,C3393+1)</f>
        <v/>
      </c>
      <c r="D3394" s="2">
        <f>D3393+1</f>
        <v/>
      </c>
      <c r="E3394" s="8">
        <f>IF(DAY(D3394)=DAY($L$1+1),TRUNC((N3393),8),E3393)</f>
        <v/>
      </c>
      <c r="F3394" s="49">
        <f>TRUNC(((1+VLOOKUP(A3394,IPCA!$A$2:$C$140,3,0)))^(C3394/(EDATE(D3394-C3394,1)-(D3394-C3394))),8)</f>
        <v/>
      </c>
      <c r="G3394" s="4">
        <f>TRUNC((E3394*F3394),8)</f>
        <v/>
      </c>
      <c r="H3394" s="4">
        <f>ROUND(((1+$H$4)^(30/360))^(C3394/(EDATE(D3394-B3394,1)-(D3394-B3394))),9)</f>
        <v/>
      </c>
      <c r="I3394" s="49">
        <f>TRUNC((G3394*H3394-G3394),8)</f>
        <v/>
      </c>
      <c r="J3394" s="4">
        <f>G3394+I3394</f>
        <v/>
      </c>
      <c r="K3394" s="256" t="n"/>
      <c r="L3394" s="256" t="n"/>
      <c r="M3394" s="256" t="n"/>
      <c r="N3394" s="256" t="n"/>
      <c r="O3394" s="256" t="n"/>
      <c r="P3394" s="256" t="n"/>
      <c r="Q3394" s="256" t="n"/>
    </row>
    <row r="3395">
      <c r="A3395">
        <f>IF(DAY(D3395)=DAY($L$1+1),A3394+1,A3394)</f>
        <v/>
      </c>
      <c r="B3395" s="46">
        <f>IF(DAY(D3395)=DAY($L$1+1),1,B3394+1)</f>
        <v/>
      </c>
      <c r="C3395" s="46">
        <f>IF(DAY(D3395)=DAY($L$1+1),1,C3394+1)</f>
        <v/>
      </c>
      <c r="D3395" s="2">
        <f>D3394+1</f>
        <v/>
      </c>
      <c r="E3395" s="8">
        <f>IF(DAY(D3395)=DAY($L$1+1),TRUNC((N3394),8),E3394)</f>
        <v/>
      </c>
      <c r="F3395" s="49">
        <f>TRUNC(((1+VLOOKUP(A3395,IPCA!$A$2:$C$140,3,0)))^(C3395/(EDATE(D3395-C3395,1)-(D3395-C3395))),8)</f>
        <v/>
      </c>
      <c r="G3395" s="4">
        <f>TRUNC((E3395*F3395),8)</f>
        <v/>
      </c>
      <c r="H3395" s="4">
        <f>ROUND(((1+$H$4)^(30/360))^(C3395/(EDATE(D3395-B3395,1)-(D3395-B3395))),9)</f>
        <v/>
      </c>
      <c r="I3395" s="49">
        <f>TRUNC((G3395*H3395-G3395),8)</f>
        <v/>
      </c>
      <c r="J3395" s="4">
        <f>G3395+I3395</f>
        <v/>
      </c>
      <c r="K3395" s="256" t="n"/>
      <c r="L3395" s="256" t="n"/>
      <c r="M3395" s="256" t="n"/>
      <c r="N3395" s="256" t="n"/>
      <c r="O3395" s="256" t="n"/>
      <c r="P3395" s="256" t="n"/>
      <c r="Q3395" s="256" t="n"/>
    </row>
    <row r="3396">
      <c r="A3396">
        <f>IF(DAY(D3396)=DAY($L$1+1),A3395+1,A3395)</f>
        <v/>
      </c>
      <c r="B3396" s="1">
        <f>IF(DAY(D3396)=DAY($L$1+1),1,B3395+1)</f>
        <v/>
      </c>
      <c r="C3396" s="1">
        <f>IF(DAY(D3396)=DAY($L$1+1),1,C3395+1)</f>
        <v/>
      </c>
      <c r="D3396" s="2">
        <f>D3395+1</f>
        <v/>
      </c>
      <c r="E3396" s="8">
        <f>IF(DAY(D3396)=DAY($L$1+1),TRUNC((N3395),8),E3395)</f>
        <v/>
      </c>
      <c r="F3396" s="49">
        <f>TRUNC(((1+VLOOKUP(A3396,IPCA!$A$2:$C$140,3,0)))^(C3396/(EDATE(D3396-C3396,1)-(D3396-C3396))),8)</f>
        <v/>
      </c>
      <c r="G3396" s="4">
        <f>TRUNC((E3396*F3396),8)</f>
        <v/>
      </c>
      <c r="H3396" s="4">
        <f>ROUND(((1+$H$4)^(30/360))^(C3396/(EDATE(D3396-B3396,1)-(D3396-B3396))),9)</f>
        <v/>
      </c>
      <c r="I3396" s="49">
        <f>TRUNC((G3396*H3396-G3396),8)</f>
        <v/>
      </c>
      <c r="J3396" s="4">
        <f>G3396+I3396</f>
        <v/>
      </c>
      <c r="K3396" s="256" t="inlineStr">
        <is>
          <t>Cri Integralizado</t>
        </is>
      </c>
      <c r="L3396" s="270">
        <f>L3366</f>
        <v/>
      </c>
      <c r="M3396" s="256" t="n"/>
      <c r="N3396" s="256" t="n"/>
      <c r="O3396" s="256" t="n"/>
      <c r="P3396" s="256" t="n"/>
      <c r="Q3396" s="256" t="n"/>
    </row>
    <row r="3397">
      <c r="A3397">
        <f>IF(DAY(D3397)=DAY($L$1+1),A3396+1,A3396)</f>
        <v/>
      </c>
      <c r="B3397" s="46">
        <f>IF(DAY(D3397)=DAY($L$1+1),1,B3396+1)</f>
        <v/>
      </c>
      <c r="C3397" s="46">
        <f>IF(DAY(D3397)=DAY($L$1+1),1,C3396+1)</f>
        <v/>
      </c>
      <c r="D3397" s="2">
        <f>D3396+1</f>
        <v/>
      </c>
      <c r="E3397" s="8">
        <f>IF(DAY(D3397)=DAY($L$1+1),TRUNC((N3396),8),E3396)</f>
        <v/>
      </c>
      <c r="F3397" s="49">
        <f>TRUNC(((1+VLOOKUP(A3397,IPCA!$A$2:$C$140,3,0)))^(C3397/(EDATE(D3397-C3397,1)-(D3397-C3397))),8)</f>
        <v/>
      </c>
      <c r="G3397" s="4">
        <f>TRUNC((E3397*F3397),8)</f>
        <v/>
      </c>
      <c r="H3397" s="4">
        <f>ROUND(((1+$H$4)^(30/360))^(C3397/(EDATE(D3397-B3397,1)-(D3397-B3397))),9)</f>
        <v/>
      </c>
      <c r="I3397" s="49">
        <f>TRUNC((G3397*H3397-G3397),8)</f>
        <v/>
      </c>
      <c r="J3397" s="4">
        <f>G3397+I3397</f>
        <v/>
      </c>
      <c r="K3397" s="137" t="inlineStr">
        <is>
          <t>JUROS</t>
        </is>
      </c>
      <c r="L3397" s="118" t="inlineStr">
        <is>
          <t>AMORTIZAÇÃO</t>
        </is>
      </c>
      <c r="M3397" s="118" t="inlineStr">
        <is>
          <t>AMEX</t>
        </is>
      </c>
      <c r="N3397" s="118" t="inlineStr">
        <is>
          <t>RESIDUAL</t>
        </is>
      </c>
      <c r="O3397" s="256" t="n"/>
      <c r="P3397" s="256" t="n"/>
      <c r="Q3397" s="256" t="n"/>
    </row>
    <row r="3398">
      <c r="A3398">
        <f>IF(DAY(D3398)=DAY($L$1+1),A3397+1,A3397)</f>
        <v/>
      </c>
      <c r="B3398" s="111">
        <f>IF(DAY(D3398)=DAY($L$1+1),1,B3397+1)</f>
        <v/>
      </c>
      <c r="C3398" s="111">
        <f>IF(DAY(D3398)=DAY($L$1+1),1,C3397+1)</f>
        <v/>
      </c>
      <c r="D3398" s="112">
        <f>D3397+1</f>
        <v/>
      </c>
      <c r="E3398" s="113">
        <f>IF(DAY(D3398)=DAY($L$1+1),TRUNC((N3397),8),E3397)</f>
        <v/>
      </c>
      <c r="F3398" s="114">
        <f>TRUNC(((1+VLOOKUP(A3398,IPCA!$A$2:$C$140,3,0)))^(C3398/(EDATE(D3398-C3398,1)-(D3398-C3398))),8)</f>
        <v/>
      </c>
      <c r="G3398" s="114">
        <f>TRUNC((E3398*F3398),8)</f>
        <v/>
      </c>
      <c r="H3398" s="114">
        <f>ROUND(((1+$H$4)^(30/360))^(C3398/(EDATE(D3398-B3398,1)-(D3398-B3398))),9)</f>
        <v/>
      </c>
      <c r="I3398" s="114">
        <f>TRUNC((G3398*H3398-G3398),8)</f>
        <v/>
      </c>
      <c r="J3398" s="114">
        <f>G3398+I3398</f>
        <v/>
      </c>
      <c r="K3398" s="119">
        <f>I3398</f>
        <v/>
      </c>
      <c r="L3398" s="120">
        <f>TRUNC(G3398*VLOOKUP(D3398,'Amort TS'!$G$3:$H$140,2,0),8)</f>
        <v/>
      </c>
      <c r="M3398" s="120" t="n">
        <v>0</v>
      </c>
      <c r="N3398" s="120">
        <f>J3398-K3398-L3398-M3398</f>
        <v/>
      </c>
      <c r="O3398" s="256" t="n"/>
      <c r="P3398" s="256" t="n"/>
      <c r="Q3398" s="256" t="n"/>
    </row>
    <row r="3399">
      <c r="A3399">
        <f>IF(DAY(D3399)=DAY($L$1+1),A3398+1,A3398)</f>
        <v/>
      </c>
      <c r="B3399" s="46">
        <f>IF(DAY(D3399)=DAY($L$1+1),1,B3398+1)</f>
        <v/>
      </c>
      <c r="C3399" s="46">
        <f>IF(DAY(D3399)=DAY($L$1+1),1,C3398+1)</f>
        <v/>
      </c>
      <c r="D3399" s="47">
        <f>D3398+1</f>
        <v/>
      </c>
      <c r="E3399" s="8">
        <f>IF(DAY(D3399)=DAY($L$1+1),TRUNC((N3398),8),E3398)</f>
        <v/>
      </c>
      <c r="F3399" s="49">
        <f>TRUNC(((1+VLOOKUP(A3399,IPCA!$A$2:$C$140,3,0)))^(C3399/(EDATE(D3399-C3399,1)-(D3399-C3399))),8)</f>
        <v/>
      </c>
      <c r="G3399" s="4">
        <f>TRUNC((E3399*F3399),8)</f>
        <v/>
      </c>
      <c r="H3399" s="4">
        <f>ROUND(((1+$H$4)^(30/360))^(C3399/(EDATE(D3399-B3399,1)-(D3399-B3399))),9)</f>
        <v/>
      </c>
      <c r="I3399" s="49">
        <f>TRUNC((G3399*H3399-G3399),8)</f>
        <v/>
      </c>
      <c r="J3399" s="4">
        <f>G3399+I3399</f>
        <v/>
      </c>
      <c r="K3399" s="121">
        <f>K3398*L3396</f>
        <v/>
      </c>
      <c r="L3399" s="121">
        <f>L3398*L3396</f>
        <v/>
      </c>
      <c r="M3399" s="121">
        <f>M3398*L3396</f>
        <v/>
      </c>
      <c r="N3399" s="121">
        <f>N3398*L3396</f>
        <v/>
      </c>
      <c r="O3399" s="256" t="n"/>
      <c r="P3399" s="256" t="n"/>
      <c r="Q3399" s="256" t="n"/>
    </row>
    <row r="3400">
      <c r="A3400">
        <f>IF(DAY(D3400)=DAY($L$1+1),A3399+1,A3399)</f>
        <v/>
      </c>
      <c r="B3400" s="1">
        <f>IF(DAY(D3400)=DAY($L$1+1),1,B3399+1)</f>
        <v/>
      </c>
      <c r="C3400" s="46">
        <f>IF(DAY(D3400)=DAY($L$1+1),1,C3399+1)</f>
        <v/>
      </c>
      <c r="D3400" s="2">
        <f>D3399+1</f>
        <v/>
      </c>
      <c r="E3400" s="8">
        <f>IF(DAY(D3400)=DAY($L$1+1),TRUNC((N3399),8),E3399)</f>
        <v/>
      </c>
      <c r="F3400" s="49">
        <f>TRUNC(((1+VLOOKUP(A3400,IPCA!$A$2:$C$140,3,0)))^(C3400/(EDATE(D3400-C3400,1)-(D3400-C3400))),8)</f>
        <v/>
      </c>
      <c r="G3400" s="4">
        <f>TRUNC((E3400*F3400),8)</f>
        <v/>
      </c>
      <c r="H3400" s="4">
        <f>ROUND(((1+$H$4)^(30/360))^(C3400/(EDATE(D3400-B3400,1)-(D3400-B3400))),9)</f>
        <v/>
      </c>
      <c r="I3400" s="49">
        <f>TRUNC((G3400*H3400-G3400),8)</f>
        <v/>
      </c>
      <c r="J3400" s="4">
        <f>G3400+I3400</f>
        <v/>
      </c>
      <c r="K3400" s="256" t="n"/>
      <c r="L3400" s="256" t="n"/>
      <c r="M3400" s="256" t="n"/>
      <c r="N3400" s="256" t="n"/>
      <c r="O3400" s="256" t="n"/>
      <c r="P3400" s="256" t="n"/>
      <c r="Q3400" s="256" t="n"/>
    </row>
    <row r="3401">
      <c r="A3401">
        <f>IF(DAY(D3401)=DAY($L$1+1),A3400+1,A3400)</f>
        <v/>
      </c>
      <c r="B3401" s="46">
        <f>IF(DAY(D3401)=DAY($L$1+1),1,B3400+1)</f>
        <v/>
      </c>
      <c r="C3401" s="46">
        <f>IF(DAY(D3401)=DAY($L$1+1),1,C3400+1)</f>
        <v/>
      </c>
      <c r="D3401" s="2">
        <f>D3400+1</f>
        <v/>
      </c>
      <c r="E3401" s="8">
        <f>IF(DAY(D3401)=DAY($L$1+1),TRUNC((#REF!),8),E3400)</f>
        <v/>
      </c>
      <c r="F3401" s="49">
        <f>TRUNC(((1+VLOOKUP(A3401,IPCA!$A$2:$C$140,3,0)))^(C3401/(EDATE(D3401-C3401,1)-(D3401-C3401))),8)</f>
        <v/>
      </c>
      <c r="G3401" s="4">
        <f>TRUNC((E3401*F3401),8)</f>
        <v/>
      </c>
      <c r="H3401" s="4">
        <f>ROUND(((1+$H$4)^(30/360))^(C3401/(EDATE(D3401-B3401,1)-(D3401-B3401))),9)</f>
        <v/>
      </c>
      <c r="I3401" s="49">
        <f>TRUNC((G3401*H3401-G3401),8)</f>
        <v/>
      </c>
      <c r="J3401" s="4">
        <f>G3401+I3401</f>
        <v/>
      </c>
      <c r="K3401" s="256" t="n"/>
      <c r="L3401" s="256" t="n"/>
      <c r="M3401" s="256" t="n"/>
      <c r="N3401" s="256" t="n"/>
      <c r="O3401" s="256" t="n"/>
      <c r="P3401" s="256" t="n"/>
      <c r="Q3401" s="256" t="n"/>
    </row>
    <row r="3402">
      <c r="A3402">
        <f>IF(DAY(D3402)=DAY($L$1+1),A3401+1,A3401)</f>
        <v/>
      </c>
      <c r="B3402" s="46">
        <f>IF(DAY(D3402)=DAY($L$1+1),1,B3401+1)</f>
        <v/>
      </c>
      <c r="C3402" s="46">
        <f>IF(DAY(D3402)=DAY($L$1+1),1,C3401+1)</f>
        <v/>
      </c>
      <c r="D3402" s="47">
        <f>D3401+1</f>
        <v/>
      </c>
      <c r="E3402" s="8">
        <f>IF(DAY(D3402)=DAY($L$1+1),TRUNC((#REF!),8),E3401)</f>
        <v/>
      </c>
      <c r="F3402" s="49">
        <f>TRUNC(((1+VLOOKUP(A3402,IPCA!$A$2:$C$140,3,0)))^(C3402/(EDATE(D3402-C3402,1)-(D3402-C3402))),8)</f>
        <v/>
      </c>
      <c r="G3402" s="4">
        <f>TRUNC((E3402*F3402),8)</f>
        <v/>
      </c>
      <c r="H3402" s="4">
        <f>ROUND(((1+$H$4)^(30/360))^(C3402/(EDATE(D3402-B3402,1)-(D3402-B3402))),9)</f>
        <v/>
      </c>
      <c r="I3402" s="49">
        <f>TRUNC((G3402*H3402-G3402),8)</f>
        <v/>
      </c>
      <c r="J3402" s="4">
        <f>G3402+I3402</f>
        <v/>
      </c>
      <c r="K3402" s="256" t="n"/>
      <c r="L3402" s="256" t="n"/>
      <c r="M3402" s="256" t="n"/>
      <c r="N3402" s="256" t="n"/>
      <c r="O3402" s="256" t="n"/>
      <c r="P3402" s="256" t="n"/>
      <c r="Q3402" s="256" t="n"/>
    </row>
    <row r="3403">
      <c r="A3403">
        <f>IF(DAY(D3403)=DAY($L$1+1),A3402+1,A3402)</f>
        <v/>
      </c>
      <c r="B3403" s="46">
        <f>IF(DAY(D3403)=DAY($L$1+1),1,B3402+1)</f>
        <v/>
      </c>
      <c r="C3403" s="46">
        <f>IF(DAY(D3403)=DAY($L$1+1),1,C3402+1)</f>
        <v/>
      </c>
      <c r="D3403" s="2">
        <f>D3402+1</f>
        <v/>
      </c>
      <c r="E3403" s="8">
        <f>IF(DAY(D3403)=DAY($L$1+1),TRUNC((#REF!),8),E3402)</f>
        <v/>
      </c>
      <c r="F3403" s="49">
        <f>TRUNC(((1+VLOOKUP(A3403,IPCA!$A$2:$C$140,3,0)))^(C3403/(EDATE(D3403-C3403,1)-(D3403-C3403))),8)</f>
        <v/>
      </c>
      <c r="G3403" s="4">
        <f>TRUNC((E3403*F3403),8)</f>
        <v/>
      </c>
      <c r="H3403" s="4">
        <f>ROUND(((1+$H$4)^(30/360))^(C3403/(EDATE(D3403-B3403,1)-(D3403-B3403))),9)</f>
        <v/>
      </c>
      <c r="I3403" s="49">
        <f>TRUNC((G3403*H3403-G3403),8)</f>
        <v/>
      </c>
      <c r="J3403" s="4">
        <f>G3403+I3403</f>
        <v/>
      </c>
      <c r="K3403" s="256" t="n"/>
      <c r="L3403" s="256" t="n"/>
      <c r="M3403" s="256" t="n"/>
      <c r="N3403" s="256" t="n"/>
      <c r="O3403" s="256" t="n"/>
      <c r="P3403" s="256" t="n"/>
      <c r="Q3403" s="256" t="n"/>
    </row>
    <row r="3404">
      <c r="A3404">
        <f>IF(DAY(D3404)=DAY($L$1+1),A3403+1,A3403)</f>
        <v/>
      </c>
      <c r="B3404" s="1">
        <f>IF(DAY(D3404)=DAY($L$1+1),1,B3403+1)</f>
        <v/>
      </c>
      <c r="C3404" s="1">
        <f>IF(DAY(D3404)=DAY($L$1+1),1,C3403+1)</f>
        <v/>
      </c>
      <c r="D3404" s="2">
        <f>D3403+1</f>
        <v/>
      </c>
      <c r="E3404" s="8">
        <f>IF(DAY(D3404)=DAY($L$1+1),TRUNC((#REF!),8),E3403)</f>
        <v/>
      </c>
      <c r="F3404" s="49">
        <f>TRUNC(((1+VLOOKUP(A3404,IPCA!$A$2:$C$140,3,0)))^(C3404/(EDATE(D3404-C3404,1)-(D3404-C3404))),8)</f>
        <v/>
      </c>
      <c r="G3404" s="4">
        <f>TRUNC((E3404*F3404),8)</f>
        <v/>
      </c>
      <c r="H3404" s="4">
        <f>ROUND(((1+$H$4)^(30/360))^(C3404/(EDATE(D3404-B3404,1)-(D3404-B3404))),9)</f>
        <v/>
      </c>
      <c r="I3404" s="49">
        <f>TRUNC((G3404*H3404-G3404),8)</f>
        <v/>
      </c>
      <c r="J3404" s="4">
        <f>G3404+I3404</f>
        <v/>
      </c>
      <c r="K3404" s="256" t="n"/>
      <c r="L3404" s="256" t="n"/>
      <c r="M3404" s="256" t="n"/>
      <c r="N3404" s="256" t="n"/>
      <c r="O3404" s="256" t="n"/>
      <c r="P3404" s="256" t="n"/>
      <c r="Q3404" s="256" t="n"/>
    </row>
    <row r="3405">
      <c r="A3405">
        <f>IF(DAY(D3405)=DAY($L$1+1),A3404+1,A3404)</f>
        <v/>
      </c>
      <c r="B3405" s="46">
        <f>IF(DAY(D3405)=DAY($L$1+1),1,B3404+1)</f>
        <v/>
      </c>
      <c r="C3405" s="46">
        <f>IF(DAY(D3405)=DAY($L$1+1),1,C3404+1)</f>
        <v/>
      </c>
      <c r="D3405" s="2">
        <f>D3404+1</f>
        <v/>
      </c>
      <c r="E3405" s="8">
        <f>IF(DAY(D3405)=DAY($L$1+1),TRUNC((#REF!),8),E3404)</f>
        <v/>
      </c>
      <c r="F3405" s="49">
        <f>TRUNC(((1+VLOOKUP(A3405,IPCA!$A$2:$C$140,3,0)))^(C3405/(EDATE(D3405-C3405,1)-(D3405-C3405))),8)</f>
        <v/>
      </c>
      <c r="G3405" s="4">
        <f>TRUNC((E3405*F3405),8)</f>
        <v/>
      </c>
      <c r="H3405" s="4">
        <f>ROUND(((1+$H$4)^(30/360))^(C3405/(EDATE(D3405-B3405,1)-(D3405-B3405))),9)</f>
        <v/>
      </c>
      <c r="I3405" s="49">
        <f>TRUNC((G3405*H3405-G3405),8)</f>
        <v/>
      </c>
      <c r="J3405" s="4">
        <f>G3405+I3405</f>
        <v/>
      </c>
      <c r="K3405" s="256" t="n"/>
      <c r="L3405" s="256" t="n"/>
      <c r="M3405" s="256" t="n"/>
      <c r="N3405" s="256" t="n"/>
      <c r="O3405" s="256" t="n"/>
      <c r="P3405" s="256" t="n"/>
      <c r="Q3405" s="256" t="n"/>
    </row>
    <row r="3406">
      <c r="A3406">
        <f>IF(DAY(D3406)=DAY($L$1+1),A3405+1,A3405)</f>
        <v/>
      </c>
      <c r="B3406" s="1">
        <f>IF(DAY(D3406)=DAY($L$1+1),1,B3405+1)</f>
        <v/>
      </c>
      <c r="C3406" s="1">
        <f>IF(DAY(D3406)=DAY($L$1+1),1,C3405+1)</f>
        <v/>
      </c>
      <c r="D3406" s="2">
        <f>D3405+1</f>
        <v/>
      </c>
      <c r="E3406" s="8">
        <f>IF(DAY(D3406)=DAY($L$1+1),TRUNC((#REF!),8),E3405)</f>
        <v/>
      </c>
      <c r="F3406" s="49">
        <f>TRUNC(((1+VLOOKUP(A3406,IPCA!$A$2:$C$140,3,0)))^(C3406/(EDATE(D3406-C3406,1)-(D3406-C3406))),8)</f>
        <v/>
      </c>
      <c r="G3406" s="4">
        <f>TRUNC((E3406*F3406),8)</f>
        <v/>
      </c>
      <c r="H3406" s="4">
        <f>ROUND(((1+$H$4)^(30/360))^(C3406/(EDATE(D3406-B3406,1)-(D3406-B3406))),9)</f>
        <v/>
      </c>
      <c r="I3406" s="49">
        <f>TRUNC((G3406*H3406-G3406),8)</f>
        <v/>
      </c>
      <c r="J3406" s="4">
        <f>G3406+I3406</f>
        <v/>
      </c>
      <c r="K3406" s="256" t="n"/>
      <c r="L3406" s="256" t="n"/>
      <c r="M3406" s="256" t="n"/>
      <c r="N3406" s="256" t="n"/>
      <c r="O3406" s="256" t="n"/>
      <c r="P3406" s="256" t="n"/>
      <c r="Q3406" s="256" t="n"/>
    </row>
    <row r="3407">
      <c r="A3407">
        <f>IF(DAY(D3407)=DAY($L$1+1),A3406+1,A3406)</f>
        <v/>
      </c>
      <c r="B3407" s="46">
        <f>IF(DAY(D3407)=DAY($L$1+1),1,B3406+1)</f>
        <v/>
      </c>
      <c r="C3407" s="46">
        <f>IF(DAY(D3407)=DAY($L$1+1),1,C3406+1)</f>
        <v/>
      </c>
      <c r="D3407" s="2">
        <f>D3406+1</f>
        <v/>
      </c>
      <c r="E3407" s="8">
        <f>IF(DAY(D3407)=DAY($L$1+1),TRUNC((#REF!),8),E3406)</f>
        <v/>
      </c>
      <c r="F3407" s="49">
        <f>TRUNC(((1+VLOOKUP(A3407,IPCA!$A$2:$C$140,3,0)))^(C3407/(EDATE(D3407-C3407,1)-(D3407-C3407))),8)</f>
        <v/>
      </c>
      <c r="G3407" s="4">
        <f>TRUNC((E3407*F3407),8)</f>
        <v/>
      </c>
      <c r="H3407" s="4">
        <f>ROUND(((1+$H$4)^(30/360))^(C3407/(EDATE(D3407-B3407,1)-(D3407-B3407))),9)</f>
        <v/>
      </c>
      <c r="I3407" s="49">
        <f>TRUNC((G3407*H3407-G3407),8)</f>
        <v/>
      </c>
      <c r="J3407" s="4">
        <f>G3407+I3407</f>
        <v/>
      </c>
      <c r="K3407" s="256" t="n"/>
      <c r="L3407" s="256" t="n"/>
      <c r="M3407" s="256" t="n"/>
      <c r="N3407" s="256" t="n"/>
      <c r="O3407" s="256" t="n"/>
      <c r="P3407" s="256" t="n"/>
      <c r="Q3407" s="256" t="n"/>
    </row>
    <row r="3408">
      <c r="A3408">
        <f>IF(DAY(D3408)=DAY($L$1+1),A3407+1,A3407)</f>
        <v/>
      </c>
      <c r="B3408" s="1">
        <f>IF(DAY(D3408)=DAY($L$1+1),1,B3407+1)</f>
        <v/>
      </c>
      <c r="C3408" s="1">
        <f>IF(DAY(D3408)=DAY($L$1+1),1,C3407+1)</f>
        <v/>
      </c>
      <c r="D3408" s="2">
        <f>D3407+1</f>
        <v/>
      </c>
      <c r="E3408" s="8">
        <f>IF(DAY(D3408)=DAY($L$1+1),TRUNC((#REF!),8),E3407)</f>
        <v/>
      </c>
      <c r="F3408" s="49">
        <f>TRUNC(((1+VLOOKUP(A3408,IPCA!$A$2:$C$140,3,0)))^(C3408/(EDATE(D3408-C3408,1)-(D3408-C3408))),8)</f>
        <v/>
      </c>
      <c r="G3408" s="4">
        <f>TRUNC((E3408*F3408),8)</f>
        <v/>
      </c>
      <c r="H3408" s="4">
        <f>ROUND(((1+$H$4)^(30/360))^(C3408/(EDATE(D3408-B3408,1)-(D3408-B3408))),9)</f>
        <v/>
      </c>
      <c r="I3408" s="49">
        <f>TRUNC((G3408*H3408-G3408),8)</f>
        <v/>
      </c>
      <c r="J3408" s="4">
        <f>G3408+I3408</f>
        <v/>
      </c>
      <c r="K3408" s="256" t="n"/>
      <c r="L3408" s="256" t="n"/>
      <c r="M3408" s="256" t="n"/>
      <c r="N3408" s="256" t="n"/>
      <c r="O3408" s="256" t="n"/>
      <c r="P3408" s="256" t="n"/>
      <c r="Q3408" s="256" t="n"/>
    </row>
    <row r="3409">
      <c r="A3409">
        <f>IF(DAY(D3409)=DAY($L$1+1),A3408+1,A3408)</f>
        <v/>
      </c>
      <c r="B3409" s="46">
        <f>IF(DAY(D3409)=DAY($L$1+1),1,B3408+1)</f>
        <v/>
      </c>
      <c r="C3409" s="46">
        <f>IF(DAY(D3409)=DAY($L$1+1),1,C3408+1)</f>
        <v/>
      </c>
      <c r="D3409" s="2">
        <f>D3408+1</f>
        <v/>
      </c>
      <c r="E3409" s="8">
        <f>IF(DAY(D3409)=DAY($L$1+1),TRUNC((#REF!),8),E3408)</f>
        <v/>
      </c>
      <c r="F3409" s="49">
        <f>TRUNC(((1+VLOOKUP(A3409,IPCA!$A$2:$C$140,3,0)))^(C3409/(EDATE(D3409-C3409,1)-(D3409-C3409))),8)</f>
        <v/>
      </c>
      <c r="G3409" s="4">
        <f>TRUNC((E3409*F3409),8)</f>
        <v/>
      </c>
      <c r="H3409" s="4">
        <f>ROUND(((1+$H$4)^(30/360))^(C3409/(EDATE(D3409-B3409,1)-(D3409-B3409))),9)</f>
        <v/>
      </c>
      <c r="I3409" s="49">
        <f>TRUNC((G3409*H3409-G3409),8)</f>
        <v/>
      </c>
      <c r="J3409" s="4">
        <f>G3409+I3409</f>
        <v/>
      </c>
      <c r="K3409" s="256" t="n"/>
      <c r="L3409" s="256" t="n"/>
      <c r="M3409" s="256" t="n"/>
      <c r="N3409" s="256" t="n"/>
      <c r="O3409" s="256" t="n"/>
      <c r="P3409" s="256" t="n"/>
      <c r="Q3409" s="256" t="n"/>
    </row>
    <row r="3410">
      <c r="A3410">
        <f>IF(DAY(D3410)=DAY($L$1+1),A3409+1,A3409)</f>
        <v/>
      </c>
      <c r="B3410" s="1">
        <f>IF(DAY(D3410)=DAY($L$1+1),1,B3409+1)</f>
        <v/>
      </c>
      <c r="C3410" s="1">
        <f>IF(DAY(D3410)=DAY($L$1+1),1,C3409+1)</f>
        <v/>
      </c>
      <c r="D3410" s="2">
        <f>D3409+1</f>
        <v/>
      </c>
      <c r="E3410" s="8">
        <f>IF(DAY(D3410)=DAY($L$1+1),TRUNC((#REF!),8),E3409)</f>
        <v/>
      </c>
      <c r="F3410" s="49">
        <f>TRUNC(((1+VLOOKUP(A3410,IPCA!$A$2:$C$140,3,0)))^(C3410/(EDATE(D3410-C3410,1)-(D3410-C3410))),8)</f>
        <v/>
      </c>
      <c r="G3410" s="4">
        <f>TRUNC((E3410*F3410),8)</f>
        <v/>
      </c>
      <c r="H3410" s="4">
        <f>ROUND(((1+$H$4)^(30/360))^(C3410/(EDATE(D3410-B3410,1)-(D3410-B3410))),9)</f>
        <v/>
      </c>
      <c r="I3410" s="49">
        <f>TRUNC((G3410*H3410-G3410),8)</f>
        <v/>
      </c>
      <c r="J3410" s="4">
        <f>G3410+I3410</f>
        <v/>
      </c>
      <c r="K3410" s="256" t="n"/>
      <c r="L3410" s="256" t="n"/>
      <c r="M3410" s="256" t="n"/>
      <c r="N3410" s="256" t="n"/>
      <c r="O3410" s="256" t="n"/>
      <c r="P3410" s="256" t="n"/>
      <c r="Q3410" s="256" t="n"/>
    </row>
    <row r="3411">
      <c r="A3411">
        <f>IF(DAY(D3411)=DAY($L$1+1),A3410+1,A3410)</f>
        <v/>
      </c>
      <c r="B3411" s="46">
        <f>IF(DAY(D3411)=DAY($L$1+1),1,B3410+1)</f>
        <v/>
      </c>
      <c r="C3411" s="46">
        <f>IF(DAY(D3411)=DAY($L$1+1),1,C3410+1)</f>
        <v/>
      </c>
      <c r="D3411" s="2">
        <f>D3410+1</f>
        <v/>
      </c>
      <c r="E3411" s="8">
        <f>IF(DAY(D3411)=DAY($L$1+1),TRUNC((#REF!),8),E3410)</f>
        <v/>
      </c>
      <c r="F3411" s="49">
        <f>TRUNC(((1+VLOOKUP(A3411,IPCA!$A$2:$C$140,3,0)))^(C3411/(EDATE(D3411-C3411,1)-(D3411-C3411))),8)</f>
        <v/>
      </c>
      <c r="G3411" s="4">
        <f>TRUNC((E3411*F3411),8)</f>
        <v/>
      </c>
      <c r="H3411" s="4">
        <f>ROUND(((1+$H$4)^(30/360))^(C3411/(EDATE(D3411-B3411,1)-(D3411-B3411))),9)</f>
        <v/>
      </c>
      <c r="I3411" s="49">
        <f>TRUNC((G3411*H3411-G3411),8)</f>
        <v/>
      </c>
      <c r="J3411" s="4">
        <f>G3411+I3411</f>
        <v/>
      </c>
      <c r="K3411" s="256" t="n"/>
      <c r="L3411" s="256" t="n"/>
      <c r="M3411" s="256" t="n"/>
      <c r="N3411" s="256" t="n"/>
      <c r="O3411" s="256" t="n"/>
      <c r="P3411" s="256" t="n"/>
      <c r="Q3411" s="256" t="n"/>
    </row>
    <row r="3412">
      <c r="A3412">
        <f>IF(DAY(D3412)=DAY($L$1+1),A3411+1,A3411)</f>
        <v/>
      </c>
      <c r="B3412" s="1">
        <f>IF(DAY(D3412)=DAY($L$1+1),1,B3411+1)</f>
        <v/>
      </c>
      <c r="C3412" s="1">
        <f>IF(DAY(D3412)=DAY($L$1+1),1,C3411+1)</f>
        <v/>
      </c>
      <c r="D3412" s="2">
        <f>D3411+1</f>
        <v/>
      </c>
      <c r="E3412" s="8">
        <f>IF(DAY(D3412)=DAY($L$1+1),TRUNC((#REF!),8),E3411)</f>
        <v/>
      </c>
      <c r="F3412" s="49">
        <f>TRUNC(((1+VLOOKUP(A3412,IPCA!$A$2:$C$140,3,0)))^(C3412/(EDATE(D3412-C3412,1)-(D3412-C3412))),8)</f>
        <v/>
      </c>
      <c r="G3412" s="4">
        <f>TRUNC((E3412*F3412),8)</f>
        <v/>
      </c>
      <c r="H3412" s="4">
        <f>ROUND(((1+$H$4)^(30/360))^(C3412/(EDATE(D3412-B3412,1)-(D3412-B3412))),9)</f>
        <v/>
      </c>
      <c r="I3412" s="49">
        <f>TRUNC((G3412*H3412-G3412),8)</f>
        <v/>
      </c>
      <c r="J3412" s="4">
        <f>G3412+I3412</f>
        <v/>
      </c>
      <c r="K3412" s="256" t="n"/>
      <c r="L3412" s="256" t="n"/>
      <c r="M3412" s="256" t="n"/>
      <c r="N3412" s="256" t="n"/>
      <c r="O3412" s="256" t="n"/>
      <c r="P3412" s="256" t="n"/>
      <c r="Q3412" s="256" t="n"/>
    </row>
    <row r="3413">
      <c r="A3413">
        <f>IF(DAY(D3413)=DAY($L$1+1),A3412+1,A3412)</f>
        <v/>
      </c>
      <c r="B3413" s="46">
        <f>IF(DAY(D3413)=DAY($L$1+1),1,B3412+1)</f>
        <v/>
      </c>
      <c r="C3413" s="46">
        <f>IF(DAY(D3413)=DAY($L$1+1),1,C3412+1)</f>
        <v/>
      </c>
      <c r="D3413" s="2">
        <f>D3412+1</f>
        <v/>
      </c>
      <c r="E3413" s="8">
        <f>IF(DAY(D3413)=DAY($L$1+1),TRUNC((#REF!),8),E3412)</f>
        <v/>
      </c>
      <c r="F3413" s="49">
        <f>TRUNC(((1+VLOOKUP(A3413,IPCA!$A$2:$C$140,3,0)))^(C3413/(EDATE(D3413-C3413,1)-(D3413-C3413))),8)</f>
        <v/>
      </c>
      <c r="G3413" s="4">
        <f>TRUNC((E3413*F3413),8)</f>
        <v/>
      </c>
      <c r="H3413" s="4">
        <f>ROUND(((1+$H$4)^(30/360))^(C3413/(EDATE(D3413-B3413,1)-(D3413-B3413))),9)</f>
        <v/>
      </c>
      <c r="I3413" s="49">
        <f>TRUNC((G3413*H3413-G3413),8)</f>
        <v/>
      </c>
      <c r="J3413" s="4">
        <f>G3413+I3413</f>
        <v/>
      </c>
      <c r="K3413" s="256" t="n"/>
      <c r="L3413" s="256" t="n"/>
      <c r="M3413" s="256" t="n"/>
      <c r="N3413" s="256" t="n"/>
      <c r="O3413" s="256" t="n"/>
      <c r="P3413" s="256" t="n"/>
      <c r="Q3413" s="256" t="n"/>
    </row>
    <row r="3414">
      <c r="A3414">
        <f>IF(DAY(D3414)=DAY($L$1+1),A3413+1,A3413)</f>
        <v/>
      </c>
      <c r="B3414" s="1">
        <f>IF(DAY(D3414)=DAY($L$1+1),1,B3413+1)</f>
        <v/>
      </c>
      <c r="C3414" s="1">
        <f>IF(DAY(D3414)=DAY($L$1+1),1,C3413+1)</f>
        <v/>
      </c>
      <c r="D3414" s="2">
        <f>D3413+1</f>
        <v/>
      </c>
      <c r="E3414" s="8">
        <f>IF(DAY(D3414)=DAY($L$1+1),TRUNC((#REF!),8),E3413)</f>
        <v/>
      </c>
      <c r="F3414" s="49">
        <f>TRUNC(((1+VLOOKUP(A3414,IPCA!$A$2:$C$140,3,0)))^(C3414/(EDATE(D3414-C3414,1)-(D3414-C3414))),8)</f>
        <v/>
      </c>
      <c r="G3414" s="4">
        <f>TRUNC((E3414*F3414),8)</f>
        <v/>
      </c>
      <c r="H3414" s="4">
        <f>ROUND(((1+$H$4)^(30/360))^(C3414/(EDATE(D3414-B3414,1)-(D3414-B3414))),9)</f>
        <v/>
      </c>
      <c r="I3414" s="49">
        <f>TRUNC((G3414*H3414-G3414),8)</f>
        <v/>
      </c>
      <c r="J3414" s="4">
        <f>G3414+I3414</f>
        <v/>
      </c>
      <c r="K3414" s="256" t="n"/>
      <c r="L3414" s="256" t="n"/>
      <c r="M3414" s="256" t="n"/>
      <c r="N3414" s="256" t="n"/>
      <c r="O3414" s="256" t="n"/>
      <c r="P3414" s="256" t="n"/>
      <c r="Q3414" s="256" t="n"/>
    </row>
    <row r="3415">
      <c r="A3415">
        <f>IF(DAY(D3415)=DAY($L$1+1),A3414+1,A3414)</f>
        <v/>
      </c>
      <c r="B3415" s="46">
        <f>IF(DAY(D3415)=DAY($L$1+1),1,B3414+1)</f>
        <v/>
      </c>
      <c r="C3415" s="46">
        <f>IF(DAY(D3415)=DAY($L$1+1),1,C3414+1)</f>
        <v/>
      </c>
      <c r="D3415" s="2">
        <f>D3414+1</f>
        <v/>
      </c>
      <c r="E3415" s="8">
        <f>IF(DAY(D3415)=DAY($L$1+1),TRUNC((#REF!),8),E3414)</f>
        <v/>
      </c>
      <c r="F3415" s="49">
        <f>TRUNC(((1+VLOOKUP(A3415,IPCA!$A$2:$C$140,3,0)))^(C3415/(EDATE(D3415-C3415,1)-(D3415-C3415))),8)</f>
        <v/>
      </c>
      <c r="G3415" s="4">
        <f>TRUNC((E3415*F3415),8)</f>
        <v/>
      </c>
      <c r="H3415" s="4">
        <f>ROUND(((1+$H$4)^(30/360))^(C3415/(EDATE(D3415-B3415,1)-(D3415-B3415))),9)</f>
        <v/>
      </c>
      <c r="I3415" s="49">
        <f>TRUNC((G3415*H3415-G3415),8)</f>
        <v/>
      </c>
      <c r="J3415" s="4">
        <f>G3415+I3415</f>
        <v/>
      </c>
      <c r="K3415" s="256" t="n"/>
      <c r="L3415" s="256" t="n"/>
      <c r="M3415" s="256" t="n"/>
      <c r="N3415" s="256" t="n"/>
      <c r="O3415" s="256" t="n"/>
      <c r="P3415" s="256" t="n"/>
      <c r="Q3415" s="256" t="n"/>
    </row>
    <row r="3416">
      <c r="A3416">
        <f>IF(DAY(D3416)=DAY($L$1+1),A3415+1,A3415)</f>
        <v/>
      </c>
      <c r="B3416" s="1">
        <f>IF(DAY(D3416)=DAY($L$1+1),1,B3415+1)</f>
        <v/>
      </c>
      <c r="C3416" s="1">
        <f>IF(DAY(D3416)=DAY($L$1+1),1,C3415+1)</f>
        <v/>
      </c>
      <c r="D3416" s="2">
        <f>D3415+1</f>
        <v/>
      </c>
      <c r="E3416" s="8">
        <f>IF(DAY(D3416)=DAY($L$1+1),TRUNC((#REF!),8),E3415)</f>
        <v/>
      </c>
      <c r="F3416" s="49">
        <f>TRUNC(((1+VLOOKUP(A3416,IPCA!$A$2:$C$140,3,0)))^(C3416/(EDATE(D3416-C3416,1)-(D3416-C3416))),8)</f>
        <v/>
      </c>
      <c r="G3416" s="4">
        <f>TRUNC((E3416*F3416),8)</f>
        <v/>
      </c>
      <c r="H3416" s="4">
        <f>ROUND(((1+$H$4)^(30/360))^(C3416/(EDATE(D3416-B3416,1)-(D3416-B3416))),9)</f>
        <v/>
      </c>
      <c r="I3416" s="49">
        <f>TRUNC((G3416*H3416-G3416),8)</f>
        <v/>
      </c>
      <c r="J3416" s="4">
        <f>G3416+I3416</f>
        <v/>
      </c>
      <c r="K3416" s="256" t="n"/>
      <c r="L3416" s="256" t="n"/>
      <c r="M3416" s="256" t="n"/>
      <c r="N3416" s="256" t="n"/>
      <c r="O3416" s="256" t="n"/>
      <c r="P3416" s="256" t="n"/>
      <c r="Q3416" s="256" t="n"/>
    </row>
    <row r="3417">
      <c r="A3417">
        <f>IF(DAY(D3417)=DAY($L$1+1),A3416+1,A3416)</f>
        <v/>
      </c>
      <c r="B3417" s="46">
        <f>IF(DAY(D3417)=DAY($L$1+1),1,B3416+1)</f>
        <v/>
      </c>
      <c r="C3417" s="46">
        <f>IF(DAY(D3417)=DAY($L$1+1),1,C3416+1)</f>
        <v/>
      </c>
      <c r="D3417" s="2">
        <f>D3416+1</f>
        <v/>
      </c>
      <c r="E3417" s="8">
        <f>IF(DAY(D3417)=DAY($L$1+1),TRUNC((#REF!),8),E3416)</f>
        <v/>
      </c>
      <c r="F3417" s="49">
        <f>TRUNC(((1+VLOOKUP(A3417,IPCA!$A$2:$C$140,3,0)))^(C3417/(EDATE(D3417-C3417,1)-(D3417-C3417))),8)</f>
        <v/>
      </c>
      <c r="G3417" s="4">
        <f>TRUNC((E3417*F3417),8)</f>
        <v/>
      </c>
      <c r="H3417" s="4">
        <f>ROUND(((1+$H$4)^(30/360))^(C3417/(EDATE(D3417-B3417,1)-(D3417-B3417))),9)</f>
        <v/>
      </c>
      <c r="I3417" s="49">
        <f>TRUNC((G3417*H3417-G3417),8)</f>
        <v/>
      </c>
      <c r="J3417" s="4">
        <f>G3417+I3417</f>
        <v/>
      </c>
      <c r="K3417" s="256" t="n"/>
      <c r="L3417" s="256" t="n"/>
      <c r="M3417" s="256" t="n"/>
      <c r="N3417" s="256" t="n"/>
      <c r="O3417" s="256" t="n"/>
      <c r="P3417" s="256" t="n"/>
      <c r="Q3417" s="256" t="n"/>
    </row>
    <row r="3418">
      <c r="A3418">
        <f>IF(DAY(D3418)=DAY($L$1+1),A3417+1,A3417)</f>
        <v/>
      </c>
      <c r="B3418" s="1">
        <f>IF(DAY(D3418)=DAY($L$1+1),1,B3417+1)</f>
        <v/>
      </c>
      <c r="C3418" s="1">
        <f>IF(DAY(D3418)=DAY($L$1+1),1,C3417+1)</f>
        <v/>
      </c>
      <c r="D3418" s="2">
        <f>D3417+1</f>
        <v/>
      </c>
      <c r="E3418" s="8">
        <f>IF(DAY(D3418)=DAY($L$1+1),TRUNC((#REF!),8),E3417)</f>
        <v/>
      </c>
      <c r="F3418" s="49">
        <f>TRUNC(((1+VLOOKUP(A3418,IPCA!$A$2:$C$140,3,0)))^(C3418/(EDATE(D3418-C3418,1)-(D3418-C3418))),8)</f>
        <v/>
      </c>
      <c r="G3418" s="4">
        <f>TRUNC((E3418*F3418),8)</f>
        <v/>
      </c>
      <c r="H3418" s="4">
        <f>ROUND(((1+$H$4)^(30/360))^(C3418/(EDATE(D3418-B3418,1)-(D3418-B3418))),9)</f>
        <v/>
      </c>
      <c r="I3418" s="49">
        <f>TRUNC((G3418*H3418-G3418),8)</f>
        <v/>
      </c>
      <c r="J3418" s="4">
        <f>G3418+I3418</f>
        <v/>
      </c>
      <c r="K3418" s="256" t="n"/>
      <c r="L3418" s="256" t="n"/>
      <c r="M3418" s="256" t="n"/>
      <c r="N3418" s="256" t="n"/>
      <c r="O3418" s="256" t="n"/>
      <c r="P3418" s="256" t="n"/>
      <c r="Q3418" s="256" t="n"/>
    </row>
    <row r="3419">
      <c r="A3419">
        <f>IF(DAY(D3419)=DAY($L$1+1),A3418+1,A3418)</f>
        <v/>
      </c>
      <c r="B3419" s="46">
        <f>IF(DAY(D3419)=DAY($L$1+1),1,B3418+1)</f>
        <v/>
      </c>
      <c r="C3419" s="46">
        <f>IF(DAY(D3419)=DAY($L$1+1),1,C3418+1)</f>
        <v/>
      </c>
      <c r="D3419" s="2">
        <f>D3418+1</f>
        <v/>
      </c>
      <c r="E3419" s="8">
        <f>IF(DAY(D3419)=DAY($L$1+1),TRUNC((#REF!),8),E3418)</f>
        <v/>
      </c>
      <c r="F3419" s="49">
        <f>TRUNC(((1+VLOOKUP(A3419,IPCA!$A$2:$C$140,3,0)))^(C3419/(EDATE(D3419-C3419,1)-(D3419-C3419))),8)</f>
        <v/>
      </c>
      <c r="G3419" s="4">
        <f>TRUNC((E3419*F3419),8)</f>
        <v/>
      </c>
      <c r="H3419" s="4">
        <f>ROUND(((1+$H$4)^(30/360))^(C3419/(EDATE(D3419-B3419,1)-(D3419-B3419))),9)</f>
        <v/>
      </c>
      <c r="I3419" s="49">
        <f>TRUNC((G3419*H3419-G3419),8)</f>
        <v/>
      </c>
      <c r="J3419" s="4">
        <f>G3419+I3419</f>
        <v/>
      </c>
      <c r="K3419" s="256" t="n"/>
      <c r="L3419" s="256" t="n"/>
      <c r="M3419" s="256" t="n"/>
      <c r="N3419" s="256" t="n"/>
      <c r="O3419" s="256" t="n"/>
      <c r="P3419" s="256" t="n"/>
      <c r="Q3419" s="256" t="n"/>
    </row>
    <row r="3420">
      <c r="A3420">
        <f>IF(DAY(D3420)=DAY($L$1+1),A3419+1,A3419)</f>
        <v/>
      </c>
      <c r="B3420" s="1">
        <f>IF(DAY(D3420)=DAY($L$1+1),1,B3419+1)</f>
        <v/>
      </c>
      <c r="C3420" s="1">
        <f>IF(DAY(D3420)=DAY($L$1+1),1,C3419+1)</f>
        <v/>
      </c>
      <c r="D3420" s="2">
        <f>D3419+1</f>
        <v/>
      </c>
      <c r="E3420" s="8">
        <f>IF(DAY(D3420)=DAY($L$1+1),TRUNC((#REF!),8),E3419)</f>
        <v/>
      </c>
      <c r="F3420" s="49">
        <f>TRUNC(((1+VLOOKUP(A3420,IPCA!$A$2:$C$140,3,0)))^(C3420/(EDATE(D3420-C3420,1)-(D3420-C3420))),8)</f>
        <v/>
      </c>
      <c r="G3420" s="4">
        <f>TRUNC((E3420*F3420),8)</f>
        <v/>
      </c>
      <c r="H3420" s="4">
        <f>ROUND(((1+$H$4)^(30/360))^(C3420/(EDATE(D3420-B3420,1)-(D3420-B3420))),9)</f>
        <v/>
      </c>
      <c r="I3420" s="49">
        <f>TRUNC((G3420*H3420-G3420),8)</f>
        <v/>
      </c>
      <c r="J3420" s="4">
        <f>G3420+I3420</f>
        <v/>
      </c>
      <c r="K3420" s="256" t="n"/>
      <c r="L3420" s="256" t="n"/>
      <c r="M3420" s="256" t="n"/>
      <c r="N3420" s="256" t="n"/>
      <c r="O3420" s="256" t="n"/>
      <c r="P3420" s="256" t="n"/>
      <c r="Q3420" s="256" t="n"/>
    </row>
    <row r="3421">
      <c r="A3421">
        <f>IF(DAY(D3421)=DAY($L$1+1),A3420+1,A3420)</f>
        <v/>
      </c>
      <c r="B3421" s="46">
        <f>IF(DAY(D3421)=DAY($L$1+1),1,B3420+1)</f>
        <v/>
      </c>
      <c r="C3421" s="46">
        <f>IF(DAY(D3421)=DAY($L$1+1),1,C3420+1)</f>
        <v/>
      </c>
      <c r="D3421" s="2">
        <f>D3420+1</f>
        <v/>
      </c>
      <c r="E3421" s="8">
        <f>IF(DAY(D3421)=DAY($L$1+1),TRUNC((N3420),8),E3420)</f>
        <v/>
      </c>
      <c r="F3421" s="49">
        <f>TRUNC(((1+VLOOKUP(A3421,IPCA!$A$2:$C$140,3,0)))^(C3421/(EDATE(D3421-C3421,1)-(D3421-C3421))),8)</f>
        <v/>
      </c>
      <c r="G3421" s="4">
        <f>TRUNC((E3421*F3421),8)</f>
        <v/>
      </c>
      <c r="H3421" s="4">
        <f>ROUND(((1+$H$4)^(30/360))^(C3421/(EDATE(D3421-B3421,1)-(D3421-B3421))),9)</f>
        <v/>
      </c>
      <c r="I3421" s="49">
        <f>TRUNC((G3421*H3421-G3421),8)</f>
        <v/>
      </c>
      <c r="J3421" s="4">
        <f>G3421+I3421</f>
        <v/>
      </c>
      <c r="K3421" s="256" t="n"/>
      <c r="L3421" s="256" t="n"/>
      <c r="M3421" s="256" t="n"/>
      <c r="N3421" s="256" t="n"/>
      <c r="O3421" s="256" t="n"/>
      <c r="P3421" s="256" t="n"/>
      <c r="Q3421" s="256" t="n"/>
    </row>
    <row r="3422">
      <c r="A3422">
        <f>IF(DAY(D3422)=DAY($L$1+1),A3421+1,A3421)</f>
        <v/>
      </c>
      <c r="B3422" s="1">
        <f>IF(DAY(D3422)=DAY($L$1+1),1,B3421+1)</f>
        <v/>
      </c>
      <c r="C3422" s="1">
        <f>IF(DAY(D3422)=DAY($L$1+1),1,C3421+1)</f>
        <v/>
      </c>
      <c r="D3422" s="2">
        <f>D3421+1</f>
        <v/>
      </c>
      <c r="E3422" s="8">
        <f>IF(DAY(D3422)=DAY($L$1+1),TRUNC((N3421),8),E3421)</f>
        <v/>
      </c>
      <c r="F3422" s="49">
        <f>TRUNC(((1+VLOOKUP(A3422,IPCA!$A$2:$C$140,3,0)))^(C3422/(EDATE(D3422-C3422,1)-(D3422-C3422))),8)</f>
        <v/>
      </c>
      <c r="G3422" s="4">
        <f>TRUNC((E3422*F3422),8)</f>
        <v/>
      </c>
      <c r="H3422" s="4">
        <f>ROUND(((1+$H$4)^(30/360))^(C3422/(EDATE(D3422-B3422,1)-(D3422-B3422))),9)</f>
        <v/>
      </c>
      <c r="I3422" s="49">
        <f>TRUNC((G3422*H3422-G3422),8)</f>
        <v/>
      </c>
      <c r="J3422" s="4">
        <f>G3422+I3422</f>
        <v/>
      </c>
      <c r="K3422" s="256" t="n"/>
      <c r="L3422" s="256" t="n"/>
      <c r="M3422" s="256" t="n"/>
      <c r="N3422" s="256" t="n"/>
      <c r="O3422" s="256" t="n"/>
      <c r="P3422" s="256" t="n"/>
      <c r="Q3422" s="256" t="n"/>
    </row>
    <row r="3423">
      <c r="A3423">
        <f>IF(DAY(D3423)=DAY($L$1+1),A3422+1,A3422)</f>
        <v/>
      </c>
      <c r="B3423" s="46">
        <f>IF(DAY(D3423)=DAY($L$1+1),1,B3422+1)</f>
        <v/>
      </c>
      <c r="C3423" s="46">
        <f>IF(DAY(D3423)=DAY($L$1+1),1,C3422+1)</f>
        <v/>
      </c>
      <c r="D3423" s="2">
        <f>D3422+1</f>
        <v/>
      </c>
      <c r="E3423" s="8">
        <f>IF(DAY(D3423)=DAY($L$1+1),TRUNC((N3422),8),E3422)</f>
        <v/>
      </c>
      <c r="F3423" s="49">
        <f>TRUNC(((1+VLOOKUP(A3423,IPCA!$A$2:$C$140,3,0)))^(C3423/(EDATE(D3423-C3423,1)-(D3423-C3423))),8)</f>
        <v/>
      </c>
      <c r="G3423" s="4">
        <f>TRUNC((E3423*F3423),8)</f>
        <v/>
      </c>
      <c r="H3423" s="4">
        <f>ROUND(((1+$H$4)^(30/360))^(C3423/(EDATE(D3423-B3423,1)-(D3423-B3423))),9)</f>
        <v/>
      </c>
      <c r="I3423" s="49">
        <f>TRUNC((G3423*H3423-G3423),8)</f>
        <v/>
      </c>
      <c r="J3423" s="4">
        <f>G3423+I3423</f>
        <v/>
      </c>
      <c r="K3423" s="256" t="n"/>
      <c r="L3423" s="256" t="n"/>
      <c r="M3423" s="256" t="n"/>
      <c r="N3423" s="256" t="n"/>
      <c r="O3423" s="256" t="n"/>
      <c r="P3423" s="256" t="n"/>
      <c r="Q3423" s="256" t="n"/>
    </row>
    <row r="3424">
      <c r="A3424">
        <f>IF(DAY(D3424)=DAY($L$1+1),A3423+1,A3423)</f>
        <v/>
      </c>
      <c r="B3424" s="1">
        <f>IF(DAY(D3424)=DAY($L$1+1),1,B3423+1)</f>
        <v/>
      </c>
      <c r="C3424" s="1">
        <f>IF(DAY(D3424)=DAY($L$1+1),1,C3423+1)</f>
        <v/>
      </c>
      <c r="D3424" s="2">
        <f>D3423+1</f>
        <v/>
      </c>
      <c r="E3424" s="8">
        <f>IF(DAY(D3424)=DAY($L$1+1),TRUNC((N3423),8),E3423)</f>
        <v/>
      </c>
      <c r="F3424" s="49">
        <f>TRUNC(((1+VLOOKUP(A3424,IPCA!$A$2:$C$140,3,0)))^(C3424/(EDATE(D3424-C3424,1)-(D3424-C3424))),8)</f>
        <v/>
      </c>
      <c r="G3424" s="4">
        <f>TRUNC((E3424*F3424),8)</f>
        <v/>
      </c>
      <c r="H3424" s="4">
        <f>ROUND(((1+$H$4)^(30/360))^(C3424/(EDATE(D3424-B3424,1)-(D3424-B3424))),9)</f>
        <v/>
      </c>
      <c r="I3424" s="49">
        <f>TRUNC((G3424*H3424-G3424),8)</f>
        <v/>
      </c>
      <c r="J3424" s="4">
        <f>G3424+I3424</f>
        <v/>
      </c>
      <c r="K3424" s="256" t="n"/>
      <c r="L3424" s="256" t="n"/>
      <c r="M3424" s="256" t="n"/>
      <c r="N3424" s="256" t="n"/>
      <c r="O3424" s="256" t="n"/>
      <c r="P3424" s="256" t="n"/>
      <c r="Q3424" s="256" t="n"/>
    </row>
    <row r="3425">
      <c r="A3425">
        <f>IF(DAY(D3425)=DAY($L$1+1),A3424+1,A3424)</f>
        <v/>
      </c>
      <c r="B3425" s="46">
        <f>IF(DAY(D3425)=DAY($L$1+1),1,B3424+1)</f>
        <v/>
      </c>
      <c r="C3425" s="46">
        <f>IF(DAY(D3425)=DAY($L$1+1),1,C3424+1)</f>
        <v/>
      </c>
      <c r="D3425" s="2">
        <f>D3424+1</f>
        <v/>
      </c>
      <c r="E3425" s="8">
        <f>IF(DAY(D3425)=DAY($L$1+1),TRUNC((N3424),8),E3424)</f>
        <v/>
      </c>
      <c r="F3425" s="49">
        <f>TRUNC(((1+VLOOKUP(A3425,IPCA!$A$2:$C$140,3,0)))^(C3425/(EDATE(D3425-C3425,1)-(D3425-C3425))),8)</f>
        <v/>
      </c>
      <c r="G3425" s="4">
        <f>TRUNC((E3425*F3425),8)</f>
        <v/>
      </c>
      <c r="H3425" s="4">
        <f>ROUND(((1+$H$4)^(30/360))^(C3425/(EDATE(D3425-B3425,1)-(D3425-B3425))),9)</f>
        <v/>
      </c>
      <c r="I3425" s="49">
        <f>TRUNC((G3425*H3425-G3425),8)</f>
        <v/>
      </c>
      <c r="J3425" s="4">
        <f>G3425+I3425</f>
        <v/>
      </c>
      <c r="K3425" s="256" t="n"/>
      <c r="L3425" s="256" t="n"/>
      <c r="M3425" s="256" t="n"/>
      <c r="N3425" s="256" t="n"/>
      <c r="O3425" s="256" t="n"/>
      <c r="P3425" s="256" t="n"/>
      <c r="Q3425" s="256" t="n"/>
    </row>
    <row r="3426">
      <c r="A3426">
        <f>IF(DAY(D3426)=DAY($L$1+1),A3425+1,A3425)</f>
        <v/>
      </c>
      <c r="B3426" s="1">
        <f>IF(DAY(D3426)=DAY($L$1+1),1,B3425+1)</f>
        <v/>
      </c>
      <c r="C3426" s="1">
        <f>IF(DAY(D3426)=DAY($L$1+1),1,C3425+1)</f>
        <v/>
      </c>
      <c r="D3426" s="2">
        <f>D3425+1</f>
        <v/>
      </c>
      <c r="E3426" s="8">
        <f>IF(DAY(D3426)=DAY($L$1+1),TRUNC((N3425),8),E3425)</f>
        <v/>
      </c>
      <c r="F3426" s="49">
        <f>TRUNC(((1+VLOOKUP(A3426,IPCA!$A$2:$C$140,3,0)))^(C3426/(EDATE(D3426-C3426,1)-(D3426-C3426))),8)</f>
        <v/>
      </c>
      <c r="G3426" s="4">
        <f>TRUNC((E3426*F3426),8)</f>
        <v/>
      </c>
      <c r="H3426" s="4">
        <f>ROUND(((1+$H$4)^(30/360))^(C3426/(EDATE(D3426-B3426,1)-(D3426-B3426))),9)</f>
        <v/>
      </c>
      <c r="I3426" s="49">
        <f>TRUNC((G3426*H3426-G3426),8)</f>
        <v/>
      </c>
      <c r="J3426" s="4">
        <f>G3426+I3426</f>
        <v/>
      </c>
      <c r="K3426" s="256" t="n"/>
      <c r="L3426" s="256" t="n"/>
      <c r="M3426" s="256" t="n"/>
      <c r="N3426" s="256" t="n"/>
      <c r="O3426" s="256" t="n"/>
      <c r="P3426" s="256" t="n"/>
      <c r="Q3426" s="256" t="n"/>
    </row>
    <row r="3427">
      <c r="A3427">
        <f>IF(DAY(D3427)=DAY($L$1+1),A3426+1,A3426)</f>
        <v/>
      </c>
      <c r="B3427" s="46">
        <f>IF(DAY(D3427)=DAY($L$1+1),1,B3426+1)</f>
        <v/>
      </c>
      <c r="C3427" s="46">
        <f>IF(DAY(D3427)=DAY($L$1+1),1,C3426+1)</f>
        <v/>
      </c>
      <c r="D3427" s="2">
        <f>D3426+1</f>
        <v/>
      </c>
      <c r="E3427" s="8">
        <f>IF(DAY(D3427)=DAY($L$1+1),TRUNC((N3426),8),E3426)</f>
        <v/>
      </c>
      <c r="F3427" s="49">
        <f>TRUNC(((1+VLOOKUP(A3427,IPCA!$A$2:$C$140,3,0)))^(C3427/(EDATE(D3427-C3427,1)-(D3427-C3427))),8)</f>
        <v/>
      </c>
      <c r="G3427" s="4">
        <f>TRUNC((E3427*F3427),8)</f>
        <v/>
      </c>
      <c r="H3427" s="4">
        <f>ROUND(((1+$H$4)^(30/360))^(C3427/(EDATE(D3427-B3427,1)-(D3427-B3427))),9)</f>
        <v/>
      </c>
      <c r="I3427" s="49">
        <f>TRUNC((G3427*H3427-G3427),8)</f>
        <v/>
      </c>
      <c r="J3427" s="4">
        <f>G3427+I3427</f>
        <v/>
      </c>
      <c r="K3427" s="256" t="inlineStr">
        <is>
          <t>Cri Integralizado</t>
        </is>
      </c>
      <c r="L3427" s="270">
        <f>L3396</f>
        <v/>
      </c>
      <c r="M3427" s="256" t="n"/>
      <c r="N3427" s="256" t="n"/>
      <c r="O3427" s="256" t="n"/>
      <c r="P3427" s="256" t="n"/>
      <c r="Q3427" s="256" t="n"/>
    </row>
    <row r="3428">
      <c r="A3428">
        <f>IF(DAY(D3428)=DAY($L$1+1),A3427+1,A3427)</f>
        <v/>
      </c>
      <c r="B3428" s="46">
        <f>IF(DAY(D3428)=DAY($L$1+1),1,B3427+1)</f>
        <v/>
      </c>
      <c r="C3428" s="46">
        <f>IF(DAY(D3428)=DAY($L$1+1),1,C3427+1)</f>
        <v/>
      </c>
      <c r="D3428" s="2">
        <f>D3427+1</f>
        <v/>
      </c>
      <c r="E3428" s="8">
        <f>IF(DAY(D3428)=DAY($L$1+1),TRUNC((N3427),8),E3427)</f>
        <v/>
      </c>
      <c r="F3428" s="49">
        <f>TRUNC(((1+VLOOKUP(A3428,IPCA!$A$2:$C$140,3,0)))^(C3428/(EDATE(D3428-C3428,1)-(D3428-C3428))),8)</f>
        <v/>
      </c>
      <c r="G3428" s="4">
        <f>TRUNC((E3428*F3428),8)</f>
        <v/>
      </c>
      <c r="H3428" s="4">
        <f>ROUND(((1+$H$4)^(30/360))^(C3428/(EDATE(D3428-B3428,1)-(D3428-B3428))),9)</f>
        <v/>
      </c>
      <c r="I3428" s="49">
        <f>TRUNC((G3428*H3428-G3428),8)</f>
        <v/>
      </c>
      <c r="J3428" s="4">
        <f>G3428+I3428</f>
        <v/>
      </c>
      <c r="K3428" s="137" t="inlineStr">
        <is>
          <t>JUROS</t>
        </is>
      </c>
      <c r="L3428" s="118" t="inlineStr">
        <is>
          <t>AMORTIZAÇÃO</t>
        </is>
      </c>
      <c r="M3428" s="118" t="inlineStr">
        <is>
          <t>AMEX</t>
        </is>
      </c>
      <c r="N3428" s="118" t="inlineStr">
        <is>
          <t>RESIDUAL</t>
        </is>
      </c>
      <c r="O3428" s="256" t="n"/>
      <c r="P3428" s="256" t="n"/>
      <c r="Q3428" s="256" t="n"/>
    </row>
    <row r="3429">
      <c r="A3429">
        <f>IF(DAY(D3429)=DAY($L$1+1),A3428+1,A3428)</f>
        <v/>
      </c>
      <c r="B3429" s="111">
        <f>IF(DAY(D3429)=DAY($L$1+1),1,B3428+1)</f>
        <v/>
      </c>
      <c r="C3429" s="111">
        <f>IF(DAY(D3429)=DAY($L$1+1),1,C3428+1)</f>
        <v/>
      </c>
      <c r="D3429" s="112">
        <f>D3428+1</f>
        <v/>
      </c>
      <c r="E3429" s="113">
        <f>IF(DAY(D3429)=DAY($L$1+1),TRUNC((N3428),8),E3428)</f>
        <v/>
      </c>
      <c r="F3429" s="114">
        <f>TRUNC(((1+VLOOKUP(A3429,IPCA!$A$2:$C$140,3,0)))^(C3429/(EDATE(D3429-C3429,1)-(D3429-C3429))),8)</f>
        <v/>
      </c>
      <c r="G3429" s="114">
        <f>TRUNC((E3429*F3429),8)</f>
        <v/>
      </c>
      <c r="H3429" s="114">
        <f>ROUND(((1+$H$4)^(30/360))^(C3429/(EDATE(D3429-B3429,1)-(D3429-B3429))),9)</f>
        <v/>
      </c>
      <c r="I3429" s="114">
        <f>TRUNC((G3429*H3429-G3429),8)</f>
        <v/>
      </c>
      <c r="J3429" s="114">
        <f>G3429+I3429</f>
        <v/>
      </c>
      <c r="K3429" s="119">
        <f>I3429</f>
        <v/>
      </c>
      <c r="L3429" s="120">
        <f>TRUNC(G3429*VLOOKUP(D3429,'Amort TS'!$G$3:$H$140,2,0),8)</f>
        <v/>
      </c>
      <c r="M3429" s="120" t="n">
        <v>0</v>
      </c>
      <c r="N3429" s="120">
        <f>J3429-K3429-L3429-M3429</f>
        <v/>
      </c>
      <c r="O3429" s="256" t="n"/>
      <c r="P3429" s="256" t="n"/>
      <c r="Q3429" s="256" t="n"/>
    </row>
    <row r="3430">
      <c r="A3430">
        <f>IF(DAY(D3430)=DAY($L$1+1),A3429+1,A3429)</f>
        <v/>
      </c>
      <c r="B3430" s="1">
        <f>IF(DAY(D3430)=DAY($L$1+1),1,B3429+1)</f>
        <v/>
      </c>
      <c r="C3430" s="46">
        <f>IF(DAY(D3430)=DAY($L$1+1),1,C3429+1)</f>
        <v/>
      </c>
      <c r="D3430" s="2">
        <f>D3429+1</f>
        <v/>
      </c>
      <c r="E3430" s="8">
        <f>IF(DAY(D3430)=DAY($L$1+1),TRUNC((N3429),8),E3429)</f>
        <v/>
      </c>
      <c r="F3430" s="49">
        <f>TRUNC(((1+VLOOKUP(A3430,IPCA!$A$2:$C$140,3,0)))^(C3430/(EDATE(D3430-C3430,1)-(D3430-C3430))),8)</f>
        <v/>
      </c>
      <c r="G3430" s="4">
        <f>TRUNC((E3430*F3430),8)</f>
        <v/>
      </c>
      <c r="H3430" s="4">
        <f>ROUND(((1+$H$4)^(30/360))^(C3430/(EDATE(D3430-B3430,1)-(D3430-B3430))),9)</f>
        <v/>
      </c>
      <c r="I3430" s="49">
        <f>TRUNC((G3430*H3430-G3430),8)</f>
        <v/>
      </c>
      <c r="J3430" s="4">
        <f>G3430+I3430</f>
        <v/>
      </c>
      <c r="K3430" s="121">
        <f>K3429*L3427</f>
        <v/>
      </c>
      <c r="L3430" s="121">
        <f>L3429*L3427</f>
        <v/>
      </c>
      <c r="M3430" s="121">
        <f>M3429*L3427</f>
        <v/>
      </c>
      <c r="N3430" s="121">
        <f>N3429*L3427</f>
        <v/>
      </c>
      <c r="O3430" s="256" t="n"/>
      <c r="P3430" s="256" t="n"/>
      <c r="Q3430" s="256" t="n"/>
    </row>
    <row r="3431">
      <c r="A3431">
        <f>IF(DAY(D3431)=DAY($L$1+1),A3430+1,A3430)</f>
        <v/>
      </c>
      <c r="B3431" s="46">
        <f>IF(DAY(D3431)=DAY($L$1+1),1,B3430+1)</f>
        <v/>
      </c>
      <c r="C3431" s="46">
        <f>IF(DAY(D3431)=DAY($L$1+1),1,C3430+1)</f>
        <v/>
      </c>
      <c r="D3431" s="2">
        <f>D3430+1</f>
        <v/>
      </c>
      <c r="E3431" s="8">
        <f>IF(DAY(D3431)=DAY($L$1+1),TRUNC((N3430),8),E3430)</f>
        <v/>
      </c>
      <c r="F3431" s="49">
        <f>TRUNC(((1+VLOOKUP(A3431,IPCA!$A$2:$C$140,3,0)))^(C3431/(EDATE(D3431-C3431,1)-(D3431-C3431))),8)</f>
        <v/>
      </c>
      <c r="G3431" s="4">
        <f>TRUNC((E3431*F3431),8)</f>
        <v/>
      </c>
      <c r="H3431" s="4">
        <f>ROUND(((1+$H$4)^(30/360))^(C3431/(EDATE(D3431-B3431,1)-(D3431-B3431))),9)</f>
        <v/>
      </c>
      <c r="I3431" s="49">
        <f>TRUNC((G3431*H3431-G3431),8)</f>
        <v/>
      </c>
      <c r="J3431" s="4">
        <f>G3431+I3431</f>
        <v/>
      </c>
      <c r="K3431" s="256" t="n"/>
      <c r="L3431" s="256" t="n"/>
      <c r="M3431" s="256" t="n"/>
      <c r="N3431" s="256" t="n"/>
      <c r="O3431" s="256" t="n"/>
      <c r="P3431" s="256" t="n"/>
      <c r="Q3431" s="256" t="n"/>
    </row>
    <row r="3432">
      <c r="A3432">
        <f>IF(DAY(D3432)=DAY($L$1+1),A3431+1,A3431)</f>
        <v/>
      </c>
      <c r="B3432" s="46">
        <f>IF(DAY(D3432)=DAY($L$1+1),1,B3431+1)</f>
        <v/>
      </c>
      <c r="C3432" s="46">
        <f>IF(DAY(D3432)=DAY($L$1+1),1,C3431+1)</f>
        <v/>
      </c>
      <c r="D3432" s="47">
        <f>D3431+1</f>
        <v/>
      </c>
      <c r="E3432" s="8">
        <f>IF(DAY(D3432)=DAY($L$1+1),TRUNC((#REF!),8),E3431)</f>
        <v/>
      </c>
      <c r="F3432" s="49">
        <f>TRUNC(((1+VLOOKUP(A3432,IPCA!$A$2:$C$140,3,0)))^(C3432/(EDATE(D3432-C3432,1)-(D3432-C3432))),8)</f>
        <v/>
      </c>
      <c r="G3432" s="4">
        <f>TRUNC((E3432*F3432),8)</f>
        <v/>
      </c>
      <c r="H3432" s="4">
        <f>ROUND(((1+$H$4)^(30/360))^(C3432/(EDATE(D3432-B3432,1)-(D3432-B3432))),9)</f>
        <v/>
      </c>
      <c r="I3432" s="49">
        <f>TRUNC((G3432*H3432-G3432),8)</f>
        <v/>
      </c>
      <c r="J3432" s="4">
        <f>G3432+I3432</f>
        <v/>
      </c>
      <c r="K3432" s="256" t="n"/>
      <c r="L3432" s="256" t="n"/>
      <c r="M3432" s="256" t="n"/>
      <c r="N3432" s="256" t="n"/>
      <c r="O3432" s="256" t="n"/>
      <c r="P3432" s="256" t="n"/>
      <c r="Q3432" s="256" t="n"/>
    </row>
    <row r="3433">
      <c r="A3433">
        <f>IF(DAY(D3433)=DAY($L$1+1),A3432+1,A3432)</f>
        <v/>
      </c>
      <c r="B3433" s="46">
        <f>IF(DAY(D3433)=DAY($L$1+1),1,B3432+1)</f>
        <v/>
      </c>
      <c r="C3433" s="46">
        <f>IF(DAY(D3433)=DAY($L$1+1),1,C3432+1)</f>
        <v/>
      </c>
      <c r="D3433" s="2">
        <f>D3432+1</f>
        <v/>
      </c>
      <c r="E3433" s="8">
        <f>IF(DAY(D3433)=DAY($L$1+1),TRUNC((#REF!),8),E3432)</f>
        <v/>
      </c>
      <c r="F3433" s="49">
        <f>TRUNC(((1+VLOOKUP(A3433,IPCA!$A$2:$C$140,3,0)))^(C3433/(EDATE(D3433-C3433,1)-(D3433-C3433))),8)</f>
        <v/>
      </c>
      <c r="G3433" s="4">
        <f>TRUNC((E3433*F3433),8)</f>
        <v/>
      </c>
      <c r="H3433" s="4">
        <f>ROUND(((1+$H$4)^(30/360))^(C3433/(EDATE(D3433-B3433,1)-(D3433-B3433))),9)</f>
        <v/>
      </c>
      <c r="I3433" s="49">
        <f>TRUNC((G3433*H3433-G3433),8)</f>
        <v/>
      </c>
      <c r="J3433" s="4">
        <f>G3433+I3433</f>
        <v/>
      </c>
      <c r="K3433" s="256" t="n"/>
      <c r="L3433" s="256" t="n"/>
      <c r="M3433" s="256" t="n"/>
      <c r="N3433" s="256" t="n"/>
      <c r="O3433" s="256" t="n"/>
      <c r="P3433" s="256" t="n"/>
      <c r="Q3433" s="256" t="n"/>
    </row>
    <row r="3434">
      <c r="A3434">
        <f>IF(DAY(D3434)=DAY($L$1+1),A3433+1,A3433)</f>
        <v/>
      </c>
      <c r="B3434" s="1">
        <f>IF(DAY(D3434)=DAY($L$1+1),1,B3433+1)</f>
        <v/>
      </c>
      <c r="C3434" s="1">
        <f>IF(DAY(D3434)=DAY($L$1+1),1,C3433+1)</f>
        <v/>
      </c>
      <c r="D3434" s="2">
        <f>D3433+1</f>
        <v/>
      </c>
      <c r="E3434" s="8">
        <f>IF(DAY(D3434)=DAY($L$1+1),TRUNC((#REF!),8),E3433)</f>
        <v/>
      </c>
      <c r="F3434" s="49">
        <f>TRUNC(((1+VLOOKUP(A3434,IPCA!$A$2:$C$140,3,0)))^(C3434/(EDATE(D3434-C3434,1)-(D3434-C3434))),8)</f>
        <v/>
      </c>
      <c r="G3434" s="4">
        <f>TRUNC((E3434*F3434),8)</f>
        <v/>
      </c>
      <c r="H3434" s="4">
        <f>ROUND(((1+$H$4)^(30/360))^(C3434/(EDATE(D3434-B3434,1)-(D3434-B3434))),9)</f>
        <v/>
      </c>
      <c r="I3434" s="49">
        <f>TRUNC((G3434*H3434-G3434),8)</f>
        <v/>
      </c>
      <c r="J3434" s="4">
        <f>G3434+I3434</f>
        <v/>
      </c>
      <c r="K3434" s="256" t="n"/>
      <c r="L3434" s="256" t="n"/>
      <c r="M3434" s="256" t="n"/>
      <c r="N3434" s="256" t="n"/>
      <c r="O3434" s="256" t="n"/>
      <c r="P3434" s="256" t="n"/>
      <c r="Q3434" s="256" t="n"/>
    </row>
    <row r="3435">
      <c r="A3435">
        <f>IF(DAY(D3435)=DAY($L$1+1),A3434+1,A3434)</f>
        <v/>
      </c>
      <c r="B3435" s="46">
        <f>IF(DAY(D3435)=DAY($L$1+1),1,B3434+1)</f>
        <v/>
      </c>
      <c r="C3435" s="46">
        <f>IF(DAY(D3435)=DAY($L$1+1),1,C3434+1)</f>
        <v/>
      </c>
      <c r="D3435" s="2">
        <f>D3434+1</f>
        <v/>
      </c>
      <c r="E3435" s="8">
        <f>IF(DAY(D3435)=DAY($L$1+1),TRUNC((#REF!),8),E3434)</f>
        <v/>
      </c>
      <c r="F3435" s="49">
        <f>TRUNC(((1+VLOOKUP(A3435,IPCA!$A$2:$C$140,3,0)))^(C3435/(EDATE(D3435-C3435,1)-(D3435-C3435))),8)</f>
        <v/>
      </c>
      <c r="G3435" s="4">
        <f>TRUNC((E3435*F3435),8)</f>
        <v/>
      </c>
      <c r="H3435" s="4">
        <f>ROUND(((1+$H$4)^(30/360))^(C3435/(EDATE(D3435-B3435,1)-(D3435-B3435))),9)</f>
        <v/>
      </c>
      <c r="I3435" s="49">
        <f>TRUNC((G3435*H3435-G3435),8)</f>
        <v/>
      </c>
      <c r="J3435" s="4">
        <f>G3435+I3435</f>
        <v/>
      </c>
      <c r="K3435" s="256" t="n"/>
      <c r="L3435" s="256" t="n"/>
      <c r="M3435" s="256" t="n"/>
      <c r="N3435" s="256" t="n"/>
      <c r="O3435" s="256" t="n"/>
      <c r="P3435" s="256" t="n"/>
      <c r="Q3435" s="256" t="n"/>
    </row>
    <row r="3436">
      <c r="A3436">
        <f>IF(DAY(D3436)=DAY($L$1+1),A3435+1,A3435)</f>
        <v/>
      </c>
      <c r="B3436" s="1">
        <f>IF(DAY(D3436)=DAY($L$1+1),1,B3435+1)</f>
        <v/>
      </c>
      <c r="C3436" s="1">
        <f>IF(DAY(D3436)=DAY($L$1+1),1,C3435+1)</f>
        <v/>
      </c>
      <c r="D3436" s="2">
        <f>D3435+1</f>
        <v/>
      </c>
      <c r="E3436" s="8">
        <f>IF(DAY(D3436)=DAY($L$1+1),TRUNC((#REF!),8),E3435)</f>
        <v/>
      </c>
      <c r="F3436" s="49">
        <f>TRUNC(((1+VLOOKUP(A3436,IPCA!$A$2:$C$140,3,0)))^(C3436/(EDATE(D3436-C3436,1)-(D3436-C3436))),8)</f>
        <v/>
      </c>
      <c r="G3436" s="4">
        <f>TRUNC((E3436*F3436),8)</f>
        <v/>
      </c>
      <c r="H3436" s="4">
        <f>ROUND(((1+$H$4)^(30/360))^(C3436/(EDATE(D3436-B3436,1)-(D3436-B3436))),9)</f>
        <v/>
      </c>
      <c r="I3436" s="49">
        <f>TRUNC((G3436*H3436-G3436),8)</f>
        <v/>
      </c>
      <c r="J3436" s="4">
        <f>G3436+I3436</f>
        <v/>
      </c>
      <c r="K3436" s="256" t="n"/>
      <c r="L3436" s="256" t="n"/>
      <c r="M3436" s="256" t="n"/>
      <c r="N3436" s="256" t="n"/>
      <c r="O3436" s="256" t="n"/>
      <c r="P3436" s="256" t="n"/>
      <c r="Q3436" s="256" t="n"/>
    </row>
    <row r="3437">
      <c r="A3437">
        <f>IF(DAY(D3437)=DAY($L$1+1),A3436+1,A3436)</f>
        <v/>
      </c>
      <c r="B3437" s="46">
        <f>IF(DAY(D3437)=DAY($L$1+1),1,B3436+1)</f>
        <v/>
      </c>
      <c r="C3437" s="46">
        <f>IF(DAY(D3437)=DAY($L$1+1),1,C3436+1)</f>
        <v/>
      </c>
      <c r="D3437" s="2">
        <f>D3436+1</f>
        <v/>
      </c>
      <c r="E3437" s="8">
        <f>IF(DAY(D3437)=DAY($L$1+1),TRUNC((#REF!),8),E3436)</f>
        <v/>
      </c>
      <c r="F3437" s="49">
        <f>TRUNC(((1+VLOOKUP(A3437,IPCA!$A$2:$C$140,3,0)))^(C3437/(EDATE(D3437-C3437,1)-(D3437-C3437))),8)</f>
        <v/>
      </c>
      <c r="G3437" s="4">
        <f>TRUNC((E3437*F3437),8)</f>
        <v/>
      </c>
      <c r="H3437" s="4">
        <f>ROUND(((1+$H$4)^(30/360))^(C3437/(EDATE(D3437-B3437,1)-(D3437-B3437))),9)</f>
        <v/>
      </c>
      <c r="I3437" s="49">
        <f>TRUNC((G3437*H3437-G3437),8)</f>
        <v/>
      </c>
      <c r="J3437" s="4">
        <f>G3437+I3437</f>
        <v/>
      </c>
      <c r="K3437" s="256" t="n"/>
      <c r="L3437" s="256" t="n"/>
      <c r="M3437" s="256" t="n"/>
      <c r="N3437" s="256" t="n"/>
      <c r="O3437" s="256" t="n"/>
      <c r="P3437" s="256" t="n"/>
      <c r="Q3437" s="256" t="n"/>
    </row>
    <row r="3438">
      <c r="A3438">
        <f>IF(DAY(D3438)=DAY($L$1+1),A3437+1,A3437)</f>
        <v/>
      </c>
      <c r="B3438" s="1">
        <f>IF(DAY(D3438)=DAY($L$1+1),1,B3437+1)</f>
        <v/>
      </c>
      <c r="C3438" s="1">
        <f>IF(DAY(D3438)=DAY($L$1+1),1,C3437+1)</f>
        <v/>
      </c>
      <c r="D3438" s="2">
        <f>D3437+1</f>
        <v/>
      </c>
      <c r="E3438" s="8">
        <f>IF(DAY(D3438)=DAY($L$1+1),TRUNC((#REF!),8),E3437)</f>
        <v/>
      </c>
      <c r="F3438" s="49">
        <f>TRUNC(((1+VLOOKUP(A3438,IPCA!$A$2:$C$140,3,0)))^(C3438/(EDATE(D3438-C3438,1)-(D3438-C3438))),8)</f>
        <v/>
      </c>
      <c r="G3438" s="4">
        <f>TRUNC((E3438*F3438),8)</f>
        <v/>
      </c>
      <c r="H3438" s="4">
        <f>ROUND(((1+$H$4)^(30/360))^(C3438/(EDATE(D3438-B3438,1)-(D3438-B3438))),9)</f>
        <v/>
      </c>
      <c r="I3438" s="49">
        <f>TRUNC((G3438*H3438-G3438),8)</f>
        <v/>
      </c>
      <c r="J3438" s="4">
        <f>G3438+I3438</f>
        <v/>
      </c>
      <c r="K3438" s="256" t="n"/>
      <c r="L3438" s="256" t="n"/>
      <c r="M3438" s="256" t="n"/>
      <c r="N3438" s="256" t="n"/>
      <c r="O3438" s="256" t="n"/>
      <c r="P3438" s="256" t="n"/>
      <c r="Q3438" s="256" t="n"/>
    </row>
    <row r="3439">
      <c r="A3439">
        <f>IF(DAY(D3439)=DAY($L$1+1),A3438+1,A3438)</f>
        <v/>
      </c>
      <c r="B3439" s="46">
        <f>IF(DAY(D3439)=DAY($L$1+1),1,B3438+1)</f>
        <v/>
      </c>
      <c r="C3439" s="46">
        <f>IF(DAY(D3439)=DAY($L$1+1),1,C3438+1)</f>
        <v/>
      </c>
      <c r="D3439" s="2">
        <f>D3438+1</f>
        <v/>
      </c>
      <c r="E3439" s="8">
        <f>IF(DAY(D3439)=DAY($L$1+1),TRUNC((#REF!),8),E3438)</f>
        <v/>
      </c>
      <c r="F3439" s="49">
        <f>TRUNC(((1+VLOOKUP(A3439,IPCA!$A$2:$C$140,3,0)))^(C3439/(EDATE(D3439-C3439,1)-(D3439-C3439))),8)</f>
        <v/>
      </c>
      <c r="G3439" s="4">
        <f>TRUNC((E3439*F3439),8)</f>
        <v/>
      </c>
      <c r="H3439" s="4">
        <f>ROUND(((1+$H$4)^(30/360))^(C3439/(EDATE(D3439-B3439,1)-(D3439-B3439))),9)</f>
        <v/>
      </c>
      <c r="I3439" s="49">
        <f>TRUNC((G3439*H3439-G3439),8)</f>
        <v/>
      </c>
      <c r="J3439" s="4">
        <f>G3439+I3439</f>
        <v/>
      </c>
      <c r="K3439" s="256" t="n"/>
      <c r="L3439" s="256" t="n"/>
      <c r="M3439" s="256" t="n"/>
      <c r="N3439" s="256" t="n"/>
      <c r="O3439" s="256" t="n"/>
      <c r="P3439" s="256" t="n"/>
      <c r="Q3439" s="256" t="n"/>
    </row>
    <row r="3440">
      <c r="A3440">
        <f>IF(DAY(D3440)=DAY($L$1+1),A3439+1,A3439)</f>
        <v/>
      </c>
      <c r="B3440" s="1">
        <f>IF(DAY(D3440)=DAY($L$1+1),1,B3439+1)</f>
        <v/>
      </c>
      <c r="C3440" s="1">
        <f>IF(DAY(D3440)=DAY($L$1+1),1,C3439+1)</f>
        <v/>
      </c>
      <c r="D3440" s="2">
        <f>D3439+1</f>
        <v/>
      </c>
      <c r="E3440" s="8">
        <f>IF(DAY(D3440)=DAY($L$1+1),TRUNC((#REF!),8),E3439)</f>
        <v/>
      </c>
      <c r="F3440" s="49">
        <f>TRUNC(((1+VLOOKUP(A3440,IPCA!$A$2:$C$140,3,0)))^(C3440/(EDATE(D3440-C3440,1)-(D3440-C3440))),8)</f>
        <v/>
      </c>
      <c r="G3440" s="4">
        <f>TRUNC((E3440*F3440),8)</f>
        <v/>
      </c>
      <c r="H3440" s="4">
        <f>ROUND(((1+$H$4)^(30/360))^(C3440/(EDATE(D3440-B3440,1)-(D3440-B3440))),9)</f>
        <v/>
      </c>
      <c r="I3440" s="49">
        <f>TRUNC((G3440*H3440-G3440),8)</f>
        <v/>
      </c>
      <c r="J3440" s="4">
        <f>G3440+I3440</f>
        <v/>
      </c>
      <c r="K3440" s="256" t="n"/>
      <c r="L3440" s="256" t="n"/>
      <c r="M3440" s="256" t="n"/>
      <c r="N3440" s="256" t="n"/>
      <c r="O3440" s="256" t="n"/>
      <c r="P3440" s="256" t="n"/>
      <c r="Q3440" s="256" t="n"/>
    </row>
    <row r="3441">
      <c r="A3441">
        <f>IF(DAY(D3441)=DAY($L$1+1),A3440+1,A3440)</f>
        <v/>
      </c>
      <c r="B3441" s="46">
        <f>IF(DAY(D3441)=DAY($L$1+1),1,B3440+1)</f>
        <v/>
      </c>
      <c r="C3441" s="46">
        <f>IF(DAY(D3441)=DAY($L$1+1),1,C3440+1)</f>
        <v/>
      </c>
      <c r="D3441" s="2">
        <f>D3440+1</f>
        <v/>
      </c>
      <c r="E3441" s="8">
        <f>IF(DAY(D3441)=DAY($L$1+1),TRUNC((#REF!),8),E3440)</f>
        <v/>
      </c>
      <c r="F3441" s="49">
        <f>TRUNC(((1+VLOOKUP(A3441,IPCA!$A$2:$C$140,3,0)))^(C3441/(EDATE(D3441-C3441,1)-(D3441-C3441))),8)</f>
        <v/>
      </c>
      <c r="G3441" s="4">
        <f>TRUNC((E3441*F3441),8)</f>
        <v/>
      </c>
      <c r="H3441" s="4">
        <f>ROUND(((1+$H$4)^(30/360))^(C3441/(EDATE(D3441-B3441,1)-(D3441-B3441))),9)</f>
        <v/>
      </c>
      <c r="I3441" s="49">
        <f>TRUNC((G3441*H3441-G3441),8)</f>
        <v/>
      </c>
      <c r="J3441" s="4">
        <f>G3441+I3441</f>
        <v/>
      </c>
      <c r="K3441" s="256" t="n"/>
      <c r="L3441" s="256" t="n"/>
      <c r="M3441" s="256" t="n"/>
      <c r="N3441" s="256" t="n"/>
      <c r="O3441" s="256" t="n"/>
      <c r="P3441" s="256" t="n"/>
      <c r="Q3441" s="256" t="n"/>
    </row>
    <row r="3442">
      <c r="A3442">
        <f>IF(DAY(D3442)=DAY($L$1+1),A3441+1,A3441)</f>
        <v/>
      </c>
      <c r="B3442" s="1">
        <f>IF(DAY(D3442)=DAY($L$1+1),1,B3441+1)</f>
        <v/>
      </c>
      <c r="C3442" s="1">
        <f>IF(DAY(D3442)=DAY($L$1+1),1,C3441+1)</f>
        <v/>
      </c>
      <c r="D3442" s="2">
        <f>D3441+1</f>
        <v/>
      </c>
      <c r="E3442" s="8">
        <f>IF(DAY(D3442)=DAY($L$1+1),TRUNC((#REF!),8),E3441)</f>
        <v/>
      </c>
      <c r="F3442" s="49">
        <f>TRUNC(((1+VLOOKUP(A3442,IPCA!$A$2:$C$140,3,0)))^(C3442/(EDATE(D3442-C3442,1)-(D3442-C3442))),8)</f>
        <v/>
      </c>
      <c r="G3442" s="4">
        <f>TRUNC((E3442*F3442),8)</f>
        <v/>
      </c>
      <c r="H3442" s="4">
        <f>ROUND(((1+$H$4)^(30/360))^(C3442/(EDATE(D3442-B3442,1)-(D3442-B3442))),9)</f>
        <v/>
      </c>
      <c r="I3442" s="49">
        <f>TRUNC((G3442*H3442-G3442),8)</f>
        <v/>
      </c>
      <c r="J3442" s="4">
        <f>G3442+I3442</f>
        <v/>
      </c>
      <c r="K3442" s="256" t="n"/>
      <c r="L3442" s="256" t="n"/>
      <c r="M3442" s="256" t="n"/>
      <c r="N3442" s="256" t="n"/>
      <c r="O3442" s="256" t="n"/>
      <c r="P3442" s="256" t="n"/>
      <c r="Q3442" s="256" t="n"/>
    </row>
    <row r="3443">
      <c r="A3443">
        <f>IF(DAY(D3443)=DAY($L$1+1),A3442+1,A3442)</f>
        <v/>
      </c>
      <c r="B3443" s="46">
        <f>IF(DAY(D3443)=DAY($L$1+1),1,B3442+1)</f>
        <v/>
      </c>
      <c r="C3443" s="46">
        <f>IF(DAY(D3443)=DAY($L$1+1),1,C3442+1)</f>
        <v/>
      </c>
      <c r="D3443" s="2">
        <f>D3442+1</f>
        <v/>
      </c>
      <c r="E3443" s="8">
        <f>IF(DAY(D3443)=DAY($L$1+1),TRUNC((#REF!),8),E3442)</f>
        <v/>
      </c>
      <c r="F3443" s="49">
        <f>TRUNC(((1+VLOOKUP(A3443,IPCA!$A$2:$C$140,3,0)))^(C3443/(EDATE(D3443-C3443,1)-(D3443-C3443))),8)</f>
        <v/>
      </c>
      <c r="G3443" s="4">
        <f>TRUNC((E3443*F3443),8)</f>
        <v/>
      </c>
      <c r="H3443" s="4">
        <f>ROUND(((1+$H$4)^(30/360))^(C3443/(EDATE(D3443-B3443,1)-(D3443-B3443))),9)</f>
        <v/>
      </c>
      <c r="I3443" s="49">
        <f>TRUNC((G3443*H3443-G3443),8)</f>
        <v/>
      </c>
      <c r="J3443" s="4">
        <f>G3443+I3443</f>
        <v/>
      </c>
      <c r="K3443" s="256" t="n"/>
      <c r="L3443" s="256" t="n"/>
      <c r="M3443" s="256" t="n"/>
      <c r="N3443" s="256" t="n"/>
      <c r="O3443" s="256" t="n"/>
      <c r="P3443" s="256" t="n"/>
      <c r="Q3443" s="256" t="n"/>
    </row>
    <row r="3444">
      <c r="A3444">
        <f>IF(DAY(D3444)=DAY($L$1+1),A3443+1,A3443)</f>
        <v/>
      </c>
      <c r="B3444" s="1">
        <f>IF(DAY(D3444)=DAY($L$1+1),1,B3443+1)</f>
        <v/>
      </c>
      <c r="C3444" s="1">
        <f>IF(DAY(D3444)=DAY($L$1+1),1,C3443+1)</f>
        <v/>
      </c>
      <c r="D3444" s="2">
        <f>D3443+1</f>
        <v/>
      </c>
      <c r="E3444" s="8">
        <f>IF(DAY(D3444)=DAY($L$1+1),TRUNC((#REF!),8),E3443)</f>
        <v/>
      </c>
      <c r="F3444" s="49">
        <f>TRUNC(((1+VLOOKUP(A3444,IPCA!$A$2:$C$140,3,0)))^(C3444/(EDATE(D3444-C3444,1)-(D3444-C3444))),8)</f>
        <v/>
      </c>
      <c r="G3444" s="4">
        <f>TRUNC((E3444*F3444),8)</f>
        <v/>
      </c>
      <c r="H3444" s="4">
        <f>ROUND(((1+$H$4)^(30/360))^(C3444/(EDATE(D3444-B3444,1)-(D3444-B3444))),9)</f>
        <v/>
      </c>
      <c r="I3444" s="49">
        <f>TRUNC((G3444*H3444-G3444),8)</f>
        <v/>
      </c>
      <c r="J3444" s="4">
        <f>G3444+I3444</f>
        <v/>
      </c>
      <c r="K3444" s="256" t="n"/>
      <c r="L3444" s="256" t="n"/>
      <c r="M3444" s="256" t="n"/>
      <c r="N3444" s="256" t="n"/>
      <c r="O3444" s="256" t="n"/>
      <c r="P3444" s="256" t="n"/>
      <c r="Q3444" s="256" t="n"/>
    </row>
    <row r="3445">
      <c r="A3445">
        <f>IF(DAY(D3445)=DAY($L$1+1),A3444+1,A3444)</f>
        <v/>
      </c>
      <c r="B3445" s="46">
        <f>IF(DAY(D3445)=DAY($L$1+1),1,B3444+1)</f>
        <v/>
      </c>
      <c r="C3445" s="46">
        <f>IF(DAY(D3445)=DAY($L$1+1),1,C3444+1)</f>
        <v/>
      </c>
      <c r="D3445" s="2">
        <f>D3444+1</f>
        <v/>
      </c>
      <c r="E3445" s="8">
        <f>IF(DAY(D3445)=DAY($L$1+1),TRUNC((#REF!),8),E3444)</f>
        <v/>
      </c>
      <c r="F3445" s="49">
        <f>TRUNC(((1+VLOOKUP(A3445,IPCA!$A$2:$C$140,3,0)))^(C3445/(EDATE(D3445-C3445,1)-(D3445-C3445))),8)</f>
        <v/>
      </c>
      <c r="G3445" s="4">
        <f>TRUNC((E3445*F3445),8)</f>
        <v/>
      </c>
      <c r="H3445" s="4">
        <f>ROUND(((1+$H$4)^(30/360))^(C3445/(EDATE(D3445-B3445,1)-(D3445-B3445))),9)</f>
        <v/>
      </c>
      <c r="I3445" s="49">
        <f>TRUNC((G3445*H3445-G3445),8)</f>
        <v/>
      </c>
      <c r="J3445" s="4">
        <f>G3445+I3445</f>
        <v/>
      </c>
      <c r="K3445" s="256" t="n"/>
      <c r="L3445" s="256" t="n"/>
      <c r="M3445" s="256" t="n"/>
      <c r="N3445" s="256" t="n"/>
      <c r="O3445" s="256" t="n"/>
      <c r="P3445" s="256" t="n"/>
      <c r="Q3445" s="256" t="n"/>
    </row>
    <row r="3446">
      <c r="A3446">
        <f>IF(DAY(D3446)=DAY($L$1+1),A3445+1,A3445)</f>
        <v/>
      </c>
      <c r="B3446" s="1">
        <f>IF(DAY(D3446)=DAY($L$1+1),1,B3445+1)</f>
        <v/>
      </c>
      <c r="C3446" s="1">
        <f>IF(DAY(D3446)=DAY($L$1+1),1,C3445+1)</f>
        <v/>
      </c>
      <c r="D3446" s="2">
        <f>D3445+1</f>
        <v/>
      </c>
      <c r="E3446" s="8">
        <f>IF(DAY(D3446)=DAY($L$1+1),TRUNC((#REF!),8),E3445)</f>
        <v/>
      </c>
      <c r="F3446" s="49">
        <f>TRUNC(((1+VLOOKUP(A3446,IPCA!$A$2:$C$140,3,0)))^(C3446/(EDATE(D3446-C3446,1)-(D3446-C3446))),8)</f>
        <v/>
      </c>
      <c r="G3446" s="4">
        <f>TRUNC((E3446*F3446),8)</f>
        <v/>
      </c>
      <c r="H3446" s="4">
        <f>ROUND(((1+$H$4)^(30/360))^(C3446/(EDATE(D3446-B3446,1)-(D3446-B3446))),9)</f>
        <v/>
      </c>
      <c r="I3446" s="49">
        <f>TRUNC((G3446*H3446-G3446),8)</f>
        <v/>
      </c>
      <c r="J3446" s="4">
        <f>G3446+I3446</f>
        <v/>
      </c>
      <c r="K3446" s="256" t="n"/>
      <c r="L3446" s="256" t="n"/>
      <c r="M3446" s="256" t="n"/>
      <c r="N3446" s="256" t="n"/>
      <c r="O3446" s="256" t="n"/>
      <c r="P3446" s="256" t="n"/>
      <c r="Q3446" s="256" t="n"/>
    </row>
    <row r="3447">
      <c r="A3447">
        <f>IF(DAY(D3447)=DAY($L$1+1),A3446+1,A3446)</f>
        <v/>
      </c>
      <c r="B3447" s="46">
        <f>IF(DAY(D3447)=DAY($L$1+1),1,B3446+1)</f>
        <v/>
      </c>
      <c r="C3447" s="46">
        <f>IF(DAY(D3447)=DAY($L$1+1),1,C3446+1)</f>
        <v/>
      </c>
      <c r="D3447" s="2">
        <f>D3446+1</f>
        <v/>
      </c>
      <c r="E3447" s="8">
        <f>IF(DAY(D3447)=DAY($L$1+1),TRUNC((#REF!),8),E3446)</f>
        <v/>
      </c>
      <c r="F3447" s="49">
        <f>TRUNC(((1+VLOOKUP(A3447,IPCA!$A$2:$C$140,3,0)))^(C3447/(EDATE(D3447-C3447,1)-(D3447-C3447))),8)</f>
        <v/>
      </c>
      <c r="G3447" s="4">
        <f>TRUNC((E3447*F3447),8)</f>
        <v/>
      </c>
      <c r="H3447" s="4">
        <f>ROUND(((1+$H$4)^(30/360))^(C3447/(EDATE(D3447-B3447,1)-(D3447-B3447))),9)</f>
        <v/>
      </c>
      <c r="I3447" s="49">
        <f>TRUNC((G3447*H3447-G3447),8)</f>
        <v/>
      </c>
      <c r="J3447" s="4">
        <f>G3447+I3447</f>
        <v/>
      </c>
      <c r="K3447" s="256" t="n"/>
      <c r="L3447" s="256" t="n"/>
      <c r="M3447" s="256" t="n"/>
      <c r="N3447" s="256" t="n"/>
      <c r="O3447" s="256" t="n"/>
      <c r="P3447" s="256" t="n"/>
      <c r="Q3447" s="256" t="n"/>
    </row>
    <row r="3448">
      <c r="A3448">
        <f>IF(DAY(D3448)=DAY($L$1+1),A3447+1,A3447)</f>
        <v/>
      </c>
      <c r="B3448" s="1">
        <f>IF(DAY(D3448)=DAY($L$1+1),1,B3447+1)</f>
        <v/>
      </c>
      <c r="C3448" s="1">
        <f>IF(DAY(D3448)=DAY($L$1+1),1,C3447+1)</f>
        <v/>
      </c>
      <c r="D3448" s="2">
        <f>D3447+1</f>
        <v/>
      </c>
      <c r="E3448" s="8">
        <f>IF(DAY(D3448)=DAY($L$1+1),TRUNC((#REF!),8),E3447)</f>
        <v/>
      </c>
      <c r="F3448" s="49">
        <f>TRUNC(((1+VLOOKUP(A3448,IPCA!$A$2:$C$140,3,0)))^(C3448/(EDATE(D3448-C3448,1)-(D3448-C3448))),8)</f>
        <v/>
      </c>
      <c r="G3448" s="4">
        <f>TRUNC((E3448*F3448),8)</f>
        <v/>
      </c>
      <c r="H3448" s="4">
        <f>ROUND(((1+$H$4)^(30/360))^(C3448/(EDATE(D3448-B3448,1)-(D3448-B3448))),9)</f>
        <v/>
      </c>
      <c r="I3448" s="49">
        <f>TRUNC((G3448*H3448-G3448),8)</f>
        <v/>
      </c>
      <c r="J3448" s="4">
        <f>G3448+I3448</f>
        <v/>
      </c>
      <c r="K3448" s="256" t="n"/>
      <c r="L3448" s="256" t="n"/>
      <c r="M3448" s="256" t="n"/>
      <c r="N3448" s="256" t="n"/>
      <c r="O3448" s="256" t="n"/>
      <c r="P3448" s="256" t="n"/>
      <c r="Q3448" s="256" t="n"/>
    </row>
    <row r="3449">
      <c r="A3449">
        <f>IF(DAY(D3449)=DAY($L$1+1),A3448+1,A3448)</f>
        <v/>
      </c>
      <c r="B3449" s="46">
        <f>IF(DAY(D3449)=DAY($L$1+1),1,B3448+1)</f>
        <v/>
      </c>
      <c r="C3449" s="46">
        <f>IF(DAY(D3449)=DAY($L$1+1),1,C3448+1)</f>
        <v/>
      </c>
      <c r="D3449" s="2">
        <f>D3448+1</f>
        <v/>
      </c>
      <c r="E3449" s="8">
        <f>IF(DAY(D3449)=DAY($L$1+1),TRUNC((N3448),8),E3448)</f>
        <v/>
      </c>
      <c r="F3449" s="49">
        <f>TRUNC(((1+VLOOKUP(A3449,IPCA!$A$2:$C$140,3,0)))^(C3449/(EDATE(D3449-C3449,1)-(D3449-C3449))),8)</f>
        <v/>
      </c>
      <c r="G3449" s="4">
        <f>TRUNC((E3449*F3449),8)</f>
        <v/>
      </c>
      <c r="H3449" s="4">
        <f>ROUND(((1+$H$4)^(30/360))^(C3449/(EDATE(D3449-B3449,1)-(D3449-B3449))),9)</f>
        <v/>
      </c>
      <c r="I3449" s="49">
        <f>TRUNC((G3449*H3449-G3449),8)</f>
        <v/>
      </c>
      <c r="J3449" s="4">
        <f>G3449+I3449</f>
        <v/>
      </c>
      <c r="K3449" s="256" t="n"/>
      <c r="L3449" s="256" t="n"/>
      <c r="M3449" s="256" t="n"/>
      <c r="N3449" s="256" t="n"/>
      <c r="O3449" s="256" t="n"/>
      <c r="P3449" s="256" t="n"/>
      <c r="Q3449" s="256" t="n"/>
    </row>
    <row r="3450">
      <c r="A3450">
        <f>IF(DAY(D3450)=DAY($L$1+1),A3449+1,A3449)</f>
        <v/>
      </c>
      <c r="B3450" s="1">
        <f>IF(DAY(D3450)=DAY($L$1+1),1,B3449+1)</f>
        <v/>
      </c>
      <c r="C3450" s="1">
        <f>IF(DAY(D3450)=DAY($L$1+1),1,C3449+1)</f>
        <v/>
      </c>
      <c r="D3450" s="2">
        <f>D3449+1</f>
        <v/>
      </c>
      <c r="E3450" s="8">
        <f>IF(DAY(D3450)=DAY($L$1+1),TRUNC((N3449),8),E3449)</f>
        <v/>
      </c>
      <c r="F3450" s="49">
        <f>TRUNC(((1+VLOOKUP(A3450,IPCA!$A$2:$C$140,3,0)))^(C3450/(EDATE(D3450-C3450,1)-(D3450-C3450))),8)</f>
        <v/>
      </c>
      <c r="G3450" s="4">
        <f>TRUNC((E3450*F3450),8)</f>
        <v/>
      </c>
      <c r="H3450" s="4">
        <f>ROUND(((1+$H$4)^(30/360))^(C3450/(EDATE(D3450-B3450,1)-(D3450-B3450))),9)</f>
        <v/>
      </c>
      <c r="I3450" s="49">
        <f>TRUNC((G3450*H3450-G3450),8)</f>
        <v/>
      </c>
      <c r="J3450" s="4">
        <f>G3450+I3450</f>
        <v/>
      </c>
      <c r="K3450" s="256" t="n"/>
      <c r="L3450" s="256" t="n"/>
      <c r="M3450" s="256" t="n"/>
      <c r="N3450" s="256" t="n"/>
      <c r="O3450" s="256" t="n"/>
      <c r="P3450" s="256" t="n"/>
      <c r="Q3450" s="256" t="n"/>
    </row>
    <row r="3451">
      <c r="A3451">
        <f>IF(DAY(D3451)=DAY($L$1+1),A3450+1,A3450)</f>
        <v/>
      </c>
      <c r="B3451" s="46">
        <f>IF(DAY(D3451)=DAY($L$1+1),1,B3450+1)</f>
        <v/>
      </c>
      <c r="C3451" s="46">
        <f>IF(DAY(D3451)=DAY($L$1+1),1,C3450+1)</f>
        <v/>
      </c>
      <c r="D3451" s="2">
        <f>D3450+1</f>
        <v/>
      </c>
      <c r="E3451" s="8">
        <f>IF(DAY(D3451)=DAY($L$1+1),TRUNC((N3450),8),E3450)</f>
        <v/>
      </c>
      <c r="F3451" s="49">
        <f>TRUNC(((1+VLOOKUP(A3451,IPCA!$A$2:$C$140,3,0)))^(C3451/(EDATE(D3451-C3451,1)-(D3451-C3451))),8)</f>
        <v/>
      </c>
      <c r="G3451" s="4">
        <f>TRUNC((E3451*F3451),8)</f>
        <v/>
      </c>
      <c r="H3451" s="4">
        <f>ROUND(((1+$H$4)^(30/360))^(C3451/(EDATE(D3451-B3451,1)-(D3451-B3451))),9)</f>
        <v/>
      </c>
      <c r="I3451" s="49">
        <f>TRUNC((G3451*H3451-G3451),8)</f>
        <v/>
      </c>
      <c r="J3451" s="4">
        <f>G3451+I3451</f>
        <v/>
      </c>
      <c r="K3451" s="256" t="n"/>
      <c r="L3451" s="256" t="n"/>
      <c r="M3451" s="256" t="n"/>
      <c r="N3451" s="256" t="n"/>
      <c r="O3451" s="256" t="n"/>
      <c r="P3451" s="256" t="n"/>
      <c r="Q3451" s="256" t="n"/>
    </row>
    <row r="3452">
      <c r="A3452">
        <f>IF(DAY(D3452)=DAY($L$1+1),A3451+1,A3451)</f>
        <v/>
      </c>
      <c r="B3452" s="1">
        <f>IF(DAY(D3452)=DAY($L$1+1),1,B3451+1)</f>
        <v/>
      </c>
      <c r="C3452" s="1">
        <f>IF(DAY(D3452)=DAY($L$1+1),1,C3451+1)</f>
        <v/>
      </c>
      <c r="D3452" s="2">
        <f>D3451+1</f>
        <v/>
      </c>
      <c r="E3452" s="8">
        <f>IF(DAY(D3452)=DAY($L$1+1),TRUNC((N3451),8),E3451)</f>
        <v/>
      </c>
      <c r="F3452" s="49">
        <f>TRUNC(((1+VLOOKUP(A3452,IPCA!$A$2:$C$140,3,0)))^(C3452/(EDATE(D3452-C3452,1)-(D3452-C3452))),8)</f>
        <v/>
      </c>
      <c r="G3452" s="4">
        <f>TRUNC((E3452*F3452),8)</f>
        <v/>
      </c>
      <c r="H3452" s="4">
        <f>ROUND(((1+$H$4)^(30/360))^(C3452/(EDATE(D3452-B3452,1)-(D3452-B3452))),9)</f>
        <v/>
      </c>
      <c r="I3452" s="49">
        <f>TRUNC((G3452*H3452-G3452),8)</f>
        <v/>
      </c>
      <c r="J3452" s="4">
        <f>G3452+I3452</f>
        <v/>
      </c>
      <c r="K3452" s="256" t="n"/>
      <c r="L3452" s="256" t="n"/>
      <c r="M3452" s="256" t="n"/>
      <c r="N3452" s="256" t="n"/>
      <c r="O3452" s="256" t="n"/>
      <c r="P3452" s="256" t="n"/>
      <c r="Q3452" s="256" t="n"/>
    </row>
    <row r="3453">
      <c r="A3453">
        <f>IF(DAY(D3453)=DAY($L$1+1),A3452+1,A3452)</f>
        <v/>
      </c>
      <c r="B3453" s="46">
        <f>IF(DAY(D3453)=DAY($L$1+1),1,B3452+1)</f>
        <v/>
      </c>
      <c r="C3453" s="46">
        <f>IF(DAY(D3453)=DAY($L$1+1),1,C3452+1)</f>
        <v/>
      </c>
      <c r="D3453" s="2">
        <f>D3452+1</f>
        <v/>
      </c>
      <c r="E3453" s="8">
        <f>IF(DAY(D3453)=DAY($L$1+1),TRUNC((N3452),8),E3452)</f>
        <v/>
      </c>
      <c r="F3453" s="49">
        <f>TRUNC(((1+VLOOKUP(A3453,IPCA!$A$2:$C$140,3,0)))^(C3453/(EDATE(D3453-C3453,1)-(D3453-C3453))),8)</f>
        <v/>
      </c>
      <c r="G3453" s="4">
        <f>TRUNC((E3453*F3453),8)</f>
        <v/>
      </c>
      <c r="H3453" s="4">
        <f>ROUND(((1+$H$4)^(30/360))^(C3453/(EDATE(D3453-B3453,1)-(D3453-B3453))),9)</f>
        <v/>
      </c>
      <c r="I3453" s="49">
        <f>TRUNC((G3453*H3453-G3453),8)</f>
        <v/>
      </c>
      <c r="J3453" s="4">
        <f>G3453+I3453</f>
        <v/>
      </c>
      <c r="K3453" s="256" t="n"/>
      <c r="L3453" s="256" t="n"/>
      <c r="M3453" s="256" t="n"/>
      <c r="N3453" s="256" t="n"/>
      <c r="O3453" s="256" t="n"/>
      <c r="P3453" s="256" t="n"/>
      <c r="Q3453" s="256" t="n"/>
    </row>
    <row r="3454">
      <c r="A3454">
        <f>IF(DAY(D3454)=DAY($L$1+1),A3453+1,A3453)</f>
        <v/>
      </c>
      <c r="B3454" s="1">
        <f>IF(DAY(D3454)=DAY($L$1+1),1,B3453+1)</f>
        <v/>
      </c>
      <c r="C3454" s="1">
        <f>IF(DAY(D3454)=DAY($L$1+1),1,C3453+1)</f>
        <v/>
      </c>
      <c r="D3454" s="2">
        <f>D3453+1</f>
        <v/>
      </c>
      <c r="E3454" s="8">
        <f>IF(DAY(D3454)=DAY($L$1+1),TRUNC((N3453),8),E3453)</f>
        <v/>
      </c>
      <c r="F3454" s="49">
        <f>TRUNC(((1+VLOOKUP(A3454,IPCA!$A$2:$C$140,3,0)))^(C3454/(EDATE(D3454-C3454,1)-(D3454-C3454))),8)</f>
        <v/>
      </c>
      <c r="G3454" s="4">
        <f>TRUNC((E3454*F3454),8)</f>
        <v/>
      </c>
      <c r="H3454" s="4">
        <f>ROUND(((1+$H$4)^(30/360))^(C3454/(EDATE(D3454-B3454,1)-(D3454-B3454))),9)</f>
        <v/>
      </c>
      <c r="I3454" s="49">
        <f>TRUNC((G3454*H3454-G3454),8)</f>
        <v/>
      </c>
      <c r="J3454" s="4">
        <f>G3454+I3454</f>
        <v/>
      </c>
      <c r="K3454" s="256" t="n"/>
      <c r="L3454" s="256" t="n"/>
      <c r="M3454" s="256" t="n"/>
      <c r="N3454" s="256" t="n"/>
      <c r="O3454" s="256" t="n"/>
      <c r="P3454" s="256" t="n"/>
      <c r="Q3454" s="256" t="n"/>
    </row>
    <row r="3455">
      <c r="A3455">
        <f>IF(DAY(D3455)=DAY($L$1+1),A3454+1,A3454)</f>
        <v/>
      </c>
      <c r="B3455" s="46">
        <f>IF(DAY(D3455)=DAY($L$1+1),1,B3454+1)</f>
        <v/>
      </c>
      <c r="C3455" s="46">
        <f>IF(DAY(D3455)=DAY($L$1+1),1,C3454+1)</f>
        <v/>
      </c>
      <c r="D3455" s="2">
        <f>D3454+1</f>
        <v/>
      </c>
      <c r="E3455" s="8">
        <f>IF(DAY(D3455)=DAY($L$1+1),TRUNC((N3454),8),E3454)</f>
        <v/>
      </c>
      <c r="F3455" s="49">
        <f>TRUNC(((1+VLOOKUP(A3455,IPCA!$A$2:$C$140,3,0)))^(C3455/(EDATE(D3455-C3455,1)-(D3455-C3455))),8)</f>
        <v/>
      </c>
      <c r="G3455" s="4">
        <f>TRUNC((E3455*F3455),8)</f>
        <v/>
      </c>
      <c r="H3455" s="4">
        <f>ROUND(((1+$H$4)^(30/360))^(C3455/(EDATE(D3455-B3455,1)-(D3455-B3455))),9)</f>
        <v/>
      </c>
      <c r="I3455" s="49">
        <f>TRUNC((G3455*H3455-G3455),8)</f>
        <v/>
      </c>
      <c r="J3455" s="4">
        <f>G3455+I3455</f>
        <v/>
      </c>
      <c r="K3455" s="256" t="n"/>
      <c r="L3455" s="256" t="n"/>
      <c r="M3455" s="256" t="n"/>
      <c r="N3455" s="256" t="n"/>
      <c r="O3455" s="256" t="n"/>
      <c r="P3455" s="256" t="n"/>
      <c r="Q3455" s="256" t="n"/>
    </row>
    <row r="3456">
      <c r="A3456">
        <f>IF(DAY(D3456)=DAY($L$1+1),A3455+1,A3455)</f>
        <v/>
      </c>
      <c r="B3456" s="1">
        <f>IF(DAY(D3456)=DAY($L$1+1),1,B3455+1)</f>
        <v/>
      </c>
      <c r="C3456" s="1">
        <f>IF(DAY(D3456)=DAY($L$1+1),1,C3455+1)</f>
        <v/>
      </c>
      <c r="D3456" s="2">
        <f>D3455+1</f>
        <v/>
      </c>
      <c r="E3456" s="8">
        <f>IF(DAY(D3456)=DAY($L$1+1),TRUNC((N3455),8),E3455)</f>
        <v/>
      </c>
      <c r="F3456" s="49">
        <f>TRUNC(((1+VLOOKUP(A3456,IPCA!$A$2:$C$140,3,0)))^(C3456/(EDATE(D3456-C3456,1)-(D3456-C3456))),8)</f>
        <v/>
      </c>
      <c r="G3456" s="4">
        <f>TRUNC((E3456*F3456),8)</f>
        <v/>
      </c>
      <c r="H3456" s="4">
        <f>ROUND(((1+$H$4)^(30/360))^(C3456/(EDATE(D3456-B3456,1)-(D3456-B3456))),9)</f>
        <v/>
      </c>
      <c r="I3456" s="49">
        <f>TRUNC((G3456*H3456-G3456),8)</f>
        <v/>
      </c>
      <c r="J3456" s="4">
        <f>G3456+I3456</f>
        <v/>
      </c>
      <c r="K3456" s="256" t="n"/>
      <c r="L3456" s="256" t="n"/>
      <c r="M3456" s="256" t="n"/>
      <c r="N3456" s="256" t="n"/>
      <c r="O3456" s="256" t="n"/>
      <c r="P3456" s="256" t="n"/>
      <c r="Q3456" s="256" t="n"/>
    </row>
    <row r="3457">
      <c r="A3457">
        <f>IF(DAY(D3457)=DAY($L$1+1),A3456+1,A3456)</f>
        <v/>
      </c>
      <c r="B3457" s="46">
        <f>IF(DAY(D3457)=DAY($L$1+1),1,B3456+1)</f>
        <v/>
      </c>
      <c r="C3457" s="46">
        <f>IF(DAY(D3457)=DAY($L$1+1),1,C3456+1)</f>
        <v/>
      </c>
      <c r="D3457" s="2">
        <f>D3456+1</f>
        <v/>
      </c>
      <c r="E3457" s="8">
        <f>IF(DAY(D3457)=DAY($L$1+1),TRUNC((N3456),8),E3456)</f>
        <v/>
      </c>
      <c r="F3457" s="49">
        <f>TRUNC(((1+VLOOKUP(A3457,IPCA!$A$2:$C$140,3,0)))^(C3457/(EDATE(D3457-C3457,1)-(D3457-C3457))),8)</f>
        <v/>
      </c>
      <c r="G3457" s="4">
        <f>TRUNC((E3457*F3457),8)</f>
        <v/>
      </c>
      <c r="H3457" s="4">
        <f>ROUND(((1+$H$4)^(30/360))^(C3457/(EDATE(D3457-B3457,1)-(D3457-B3457))),9)</f>
        <v/>
      </c>
      <c r="I3457" s="49">
        <f>TRUNC((G3457*H3457-G3457),8)</f>
        <v/>
      </c>
      <c r="J3457" s="4">
        <f>G3457+I3457</f>
        <v/>
      </c>
      <c r="K3457" s="256" t="inlineStr">
        <is>
          <t>Cri Integralizado</t>
        </is>
      </c>
      <c r="L3457" s="270">
        <f>L3427</f>
        <v/>
      </c>
      <c r="M3457" s="256" t="n"/>
      <c r="N3457" s="256" t="n"/>
      <c r="O3457" s="256" t="n"/>
      <c r="P3457" s="256" t="n"/>
      <c r="Q3457" s="256" t="n"/>
    </row>
    <row r="3458">
      <c r="A3458">
        <f>IF(DAY(D3458)=DAY($L$1+1),A3457+1,A3457)</f>
        <v/>
      </c>
      <c r="B3458" s="1">
        <f>IF(DAY(D3458)=DAY($L$1+1),1,B3457+1)</f>
        <v/>
      </c>
      <c r="C3458" s="1">
        <f>IF(DAY(D3458)=DAY($L$1+1),1,C3457+1)</f>
        <v/>
      </c>
      <c r="D3458" s="2">
        <f>D3457+1</f>
        <v/>
      </c>
      <c r="E3458" s="8">
        <f>IF(DAY(D3458)=DAY($L$1+1),TRUNC((N3457),8),E3457)</f>
        <v/>
      </c>
      <c r="F3458" s="49">
        <f>TRUNC(((1+VLOOKUP(A3458,IPCA!$A$2:$C$140,3,0)))^(C3458/(EDATE(D3458-C3458,1)-(D3458-C3458))),8)</f>
        <v/>
      </c>
      <c r="G3458" s="4">
        <f>TRUNC((E3458*F3458),8)</f>
        <v/>
      </c>
      <c r="H3458" s="4">
        <f>ROUND(((1+$H$4)^(30/360))^(C3458/(EDATE(D3458-B3458,1)-(D3458-B3458))),9)</f>
        <v/>
      </c>
      <c r="I3458" s="49">
        <f>TRUNC((G3458*H3458-G3458),8)</f>
        <v/>
      </c>
      <c r="J3458" s="4">
        <f>G3458+I3458</f>
        <v/>
      </c>
      <c r="K3458" s="137" t="inlineStr">
        <is>
          <t>JUROS</t>
        </is>
      </c>
      <c r="L3458" s="118" t="inlineStr">
        <is>
          <t>AMORTIZAÇÃO</t>
        </is>
      </c>
      <c r="M3458" s="118" t="inlineStr">
        <is>
          <t>AMEX</t>
        </is>
      </c>
      <c r="N3458" s="118" t="inlineStr">
        <is>
          <t>RESIDUAL</t>
        </is>
      </c>
      <c r="O3458" s="256" t="n"/>
      <c r="P3458" s="256" t="n"/>
      <c r="Q3458" s="256" t="n"/>
    </row>
    <row r="3459">
      <c r="A3459">
        <f>IF(DAY(D3459)=DAY($L$1+1),A3458+1,A3458)</f>
        <v/>
      </c>
      <c r="B3459" s="111">
        <f>IF(DAY(D3459)=DAY($L$1+1),1,B3458+1)</f>
        <v/>
      </c>
      <c r="C3459" s="111">
        <f>IF(DAY(D3459)=DAY($L$1+1),1,C3458+1)</f>
        <v/>
      </c>
      <c r="D3459" s="112">
        <f>D3458+1</f>
        <v/>
      </c>
      <c r="E3459" s="113">
        <f>IF(DAY(D3459)=DAY($L$1+1),TRUNC((N3458),8),E3458)</f>
        <v/>
      </c>
      <c r="F3459" s="114">
        <f>TRUNC(((1+VLOOKUP(A3459,IPCA!$A$2:$C$140,3,0)))^(C3459/(EDATE(D3459-C3459,1)-(D3459-C3459))),8)</f>
        <v/>
      </c>
      <c r="G3459" s="114">
        <f>TRUNC((E3459*F3459),8)</f>
        <v/>
      </c>
      <c r="H3459" s="114">
        <f>ROUND(((1+$H$4)^(30/360))^(C3459/(EDATE(D3459-B3459,1)-(D3459-B3459))),9)</f>
        <v/>
      </c>
      <c r="I3459" s="114">
        <f>TRUNC((G3459*H3459-G3459),8)</f>
        <v/>
      </c>
      <c r="J3459" s="114">
        <f>G3459+I3459</f>
        <v/>
      </c>
      <c r="K3459" s="119">
        <f>I3459</f>
        <v/>
      </c>
      <c r="L3459" s="120">
        <f>TRUNC(G3459*VLOOKUP(D3459,'Amort TS'!$G$3:$H$140,2,0),8)</f>
        <v/>
      </c>
      <c r="M3459" s="120" t="n"/>
      <c r="N3459" s="120">
        <f>J3459-K3459-L3459-M3459</f>
        <v/>
      </c>
      <c r="O3459" s="256" t="n"/>
      <c r="P3459" s="256" t="n"/>
      <c r="Q3459" s="256" t="n"/>
    </row>
    <row r="3460">
      <c r="A3460">
        <f>IF(DAY(D3460)=DAY($L$1+1),A3459+1,A3459)</f>
        <v/>
      </c>
      <c r="B3460" s="46">
        <f>IF(DAY(D3460)=DAY($L$1+1),1,B3459+1)</f>
        <v/>
      </c>
      <c r="C3460" s="46">
        <f>IF(DAY(D3460)=DAY($L$1+1),1,C3459+1)</f>
        <v/>
      </c>
      <c r="D3460" s="47">
        <f>D3459+1</f>
        <v/>
      </c>
      <c r="E3460" s="8">
        <f>IF(DAY(D3460)=DAY($L$1+1),TRUNC((N3459),8),E3459)</f>
        <v/>
      </c>
      <c r="F3460" s="49">
        <f>TRUNC(((1+VLOOKUP(A3460,IPCA!$A$2:$C$140,3,0)))^(C3460/(EDATE(D3460-C3460,1)-(D3460-C3460))),8)</f>
        <v/>
      </c>
      <c r="G3460" s="4">
        <f>TRUNC((E3460*F3460),8)</f>
        <v/>
      </c>
      <c r="H3460" s="4">
        <f>ROUND(((1+$H$4)^(30/360))^(C3460/(EDATE(D3460-B3460,1)-(D3460-B3460))),9)</f>
        <v/>
      </c>
      <c r="I3460" s="49">
        <f>TRUNC((G3460*H3460-G3460),8)</f>
        <v/>
      </c>
      <c r="J3460" s="4">
        <f>G3460+I3460</f>
        <v/>
      </c>
      <c r="K3460" s="121">
        <f>K3459*L3457</f>
        <v/>
      </c>
      <c r="L3460" s="121">
        <f>L3459*L3457</f>
        <v/>
      </c>
      <c r="M3460" s="121">
        <f>M3459*L3457</f>
        <v/>
      </c>
      <c r="N3460" s="121">
        <f>N3459*L3457</f>
        <v/>
      </c>
      <c r="O3460" s="256" t="n"/>
      <c r="P3460" s="256" t="n"/>
      <c r="Q3460" s="256" t="n"/>
    </row>
    <row r="3461">
      <c r="A3461">
        <f>IF(DAY(D3461)=DAY($L$1+1),A3460+1,A3460)</f>
        <v/>
      </c>
      <c r="B3461" s="1">
        <f>IF(DAY(D3461)=DAY($L$1+1),1,B3460+1)</f>
        <v/>
      </c>
      <c r="C3461" s="46">
        <f>IF(DAY(D3461)=DAY($L$1+1),1,C3460+1)</f>
        <v/>
      </c>
      <c r="D3461" s="2">
        <f>D3460+1</f>
        <v/>
      </c>
      <c r="E3461" s="8">
        <f>IF(DAY(D3461)=DAY($L$1+1),TRUNC((N3460),8),E3460)</f>
        <v/>
      </c>
      <c r="F3461" s="49">
        <f>TRUNC(((1+VLOOKUP(A3461,IPCA!$A$2:$C$140,3,0)))^(C3461/(EDATE(D3461-C3461,1)-(D3461-C3461))),8)</f>
        <v/>
      </c>
      <c r="G3461" s="4">
        <f>TRUNC((E3461*F3461),8)</f>
        <v/>
      </c>
      <c r="H3461" s="4">
        <f>ROUND(((1+$H$4)^(30/360))^(C3461/(EDATE(D3461-B3461,1)-(D3461-B3461))),9)</f>
        <v/>
      </c>
      <c r="I3461" s="49">
        <f>TRUNC((G3461*H3461-G3461),8)</f>
        <v/>
      </c>
      <c r="J3461" s="4">
        <f>G3461+I3461</f>
        <v/>
      </c>
      <c r="K3461" s="256" t="n"/>
      <c r="L3461" s="256" t="n"/>
      <c r="M3461" s="256" t="n"/>
      <c r="N3461" s="256" t="n"/>
      <c r="O3461" s="256" t="n"/>
      <c r="P3461" s="256" t="n"/>
      <c r="Q3461" s="256" t="n"/>
    </row>
    <row r="3462">
      <c r="A3462">
        <f>IF(DAY(D3462)=DAY($L$1+1),A3461+1,A3461)</f>
        <v/>
      </c>
      <c r="B3462" s="46">
        <f>IF(DAY(D3462)=DAY($L$1+1),1,B3461+1)</f>
        <v/>
      </c>
      <c r="C3462" s="46">
        <f>IF(DAY(D3462)=DAY($L$1+1),1,C3461+1)</f>
        <v/>
      </c>
      <c r="D3462" s="2">
        <f>D3461+1</f>
        <v/>
      </c>
      <c r="E3462" s="8">
        <f>IF(DAY(D3462)=DAY($L$1+1),TRUNC((#REF!),8),E3461)</f>
        <v/>
      </c>
      <c r="F3462" s="49">
        <f>TRUNC(((1+VLOOKUP(A3462,IPCA!$A$2:$C$140,3,0)))^(C3462/(EDATE(D3462-C3462,1)-(D3462-C3462))),8)</f>
        <v/>
      </c>
      <c r="G3462" s="4">
        <f>TRUNC((E3462*F3462),8)</f>
        <v/>
      </c>
      <c r="H3462" s="4">
        <f>ROUND(((1+$H$4)^(30/360))^(C3462/(EDATE(D3462-B3462,1)-(D3462-B3462))),9)</f>
        <v/>
      </c>
      <c r="I3462" s="49">
        <f>TRUNC((G3462*H3462-G3462),8)</f>
        <v/>
      </c>
      <c r="J3462" s="4">
        <f>G3462+I3462</f>
        <v/>
      </c>
      <c r="K3462" s="256" t="n"/>
      <c r="L3462" s="256" t="n"/>
      <c r="M3462" s="256" t="n"/>
      <c r="N3462" s="256" t="n"/>
      <c r="O3462" s="256" t="n"/>
      <c r="P3462" s="256" t="n"/>
      <c r="Q3462" s="256" t="n"/>
    </row>
    <row r="3463">
      <c r="A3463">
        <f>IF(DAY(D3463)=DAY($L$1+1),A3462+1,A3462)</f>
        <v/>
      </c>
      <c r="B3463" s="46">
        <f>IF(DAY(D3463)=DAY($L$1+1),1,B3462+1)</f>
        <v/>
      </c>
      <c r="C3463" s="46">
        <f>IF(DAY(D3463)=DAY($L$1+1),1,C3462+1)</f>
        <v/>
      </c>
      <c r="D3463" s="47">
        <f>D3462+1</f>
        <v/>
      </c>
      <c r="E3463" s="8">
        <f>IF(DAY(D3463)=DAY($L$1+1),TRUNC((#REF!),8),E3462)</f>
        <v/>
      </c>
      <c r="F3463" s="49">
        <f>TRUNC(((1+VLOOKUP(A3463,IPCA!$A$2:$C$140,3,0)))^(C3463/(EDATE(D3463-C3463,1)-(D3463-C3463))),8)</f>
        <v/>
      </c>
      <c r="G3463" s="4">
        <f>TRUNC((E3463*F3463),8)</f>
        <v/>
      </c>
      <c r="H3463" s="4">
        <f>ROUND(((1+$H$4)^(30/360))^(C3463/(EDATE(D3463-B3463,1)-(D3463-B3463))),9)</f>
        <v/>
      </c>
      <c r="I3463" s="49">
        <f>TRUNC((G3463*H3463-G3463),8)</f>
        <v/>
      </c>
      <c r="J3463" s="4">
        <f>G3463+I3463</f>
        <v/>
      </c>
      <c r="K3463" s="256" t="n"/>
      <c r="L3463" s="256" t="n"/>
      <c r="M3463" s="256" t="n"/>
      <c r="N3463" s="256" t="n"/>
      <c r="O3463" s="256" t="n"/>
      <c r="P3463" s="256" t="n"/>
      <c r="Q3463" s="256" t="n"/>
    </row>
    <row r="3464">
      <c r="A3464">
        <f>IF(DAY(D3464)=DAY($L$1+1),A3463+1,A3463)</f>
        <v/>
      </c>
      <c r="B3464" s="1">
        <f>IF(DAY(D3464)=DAY($L$1+1),1,B3463+1)</f>
        <v/>
      </c>
      <c r="C3464" s="1">
        <f>IF(DAY(D3464)=DAY($L$1+1),1,C3463+1)</f>
        <v/>
      </c>
      <c r="D3464" s="2">
        <f>D3463+1</f>
        <v/>
      </c>
      <c r="E3464" s="8">
        <f>IF(DAY(D3464)=DAY($L$1+1),TRUNC((#REF!),8),E3463)</f>
        <v/>
      </c>
      <c r="F3464" s="49">
        <f>TRUNC(((1+VLOOKUP(A3464,IPCA!$A$2:$C$140,3,0)))^(C3464/(EDATE(D3464-C3464,1)-(D3464-C3464))),8)</f>
        <v/>
      </c>
      <c r="G3464" s="4">
        <f>TRUNC((E3464*F3464),8)</f>
        <v/>
      </c>
      <c r="H3464" s="4">
        <f>ROUND(((1+$H$4)^(30/360))^(C3464/(EDATE(D3464-B3464,1)-(D3464-B3464))),9)</f>
        <v/>
      </c>
      <c r="I3464" s="49">
        <f>TRUNC((G3464*H3464-G3464),8)</f>
        <v/>
      </c>
      <c r="J3464" s="4">
        <f>G3464+I3464</f>
        <v/>
      </c>
      <c r="K3464" s="256" t="n"/>
      <c r="L3464" s="256" t="n"/>
      <c r="M3464" s="256" t="n"/>
      <c r="N3464" s="256" t="n"/>
      <c r="O3464" s="256" t="n"/>
      <c r="P3464" s="256" t="n"/>
      <c r="Q3464" s="256" t="n"/>
    </row>
    <row r="3465">
      <c r="A3465">
        <f>IF(DAY(D3465)=DAY($L$1+1),A3464+1,A3464)</f>
        <v/>
      </c>
      <c r="B3465" s="46">
        <f>IF(DAY(D3465)=DAY($L$1+1),1,B3464+1)</f>
        <v/>
      </c>
      <c r="C3465" s="46">
        <f>IF(DAY(D3465)=DAY($L$1+1),1,C3464+1)</f>
        <v/>
      </c>
      <c r="D3465" s="2">
        <f>D3464+1</f>
        <v/>
      </c>
      <c r="E3465" s="8">
        <f>IF(DAY(D3465)=DAY($L$1+1),TRUNC((#REF!),8),E3464)</f>
        <v/>
      </c>
      <c r="F3465" s="49">
        <f>TRUNC(((1+VLOOKUP(A3465,IPCA!$A$2:$C$140,3,0)))^(C3465/(EDATE(D3465-C3465,1)-(D3465-C3465))),8)</f>
        <v/>
      </c>
      <c r="G3465" s="4">
        <f>TRUNC((E3465*F3465),8)</f>
        <v/>
      </c>
      <c r="H3465" s="4">
        <f>ROUND(((1+$H$4)^(30/360))^(C3465/(EDATE(D3465-B3465,1)-(D3465-B3465))),9)</f>
        <v/>
      </c>
      <c r="I3465" s="49">
        <f>TRUNC((G3465*H3465-G3465),8)</f>
        <v/>
      </c>
      <c r="J3465" s="4">
        <f>G3465+I3465</f>
        <v/>
      </c>
      <c r="K3465" s="256" t="n"/>
      <c r="L3465" s="256" t="n"/>
      <c r="M3465" s="256" t="n"/>
      <c r="N3465" s="256" t="n"/>
      <c r="O3465" s="256" t="n"/>
      <c r="P3465" s="256" t="n"/>
      <c r="Q3465" s="256" t="n"/>
    </row>
    <row r="3466">
      <c r="A3466">
        <f>IF(DAY(D3466)=DAY($L$1+1),A3465+1,A3465)</f>
        <v/>
      </c>
      <c r="B3466" s="1">
        <f>IF(DAY(D3466)=DAY($L$1+1),1,B3465+1)</f>
        <v/>
      </c>
      <c r="C3466" s="1">
        <f>IF(DAY(D3466)=DAY($L$1+1),1,C3465+1)</f>
        <v/>
      </c>
      <c r="D3466" s="2">
        <f>D3465+1</f>
        <v/>
      </c>
      <c r="E3466" s="8">
        <f>IF(DAY(D3466)=DAY($L$1+1),TRUNC((#REF!),8),E3465)</f>
        <v/>
      </c>
      <c r="F3466" s="49">
        <f>TRUNC(((1+VLOOKUP(A3466,IPCA!$A$2:$C$140,3,0)))^(C3466/(EDATE(D3466-C3466,1)-(D3466-C3466))),8)</f>
        <v/>
      </c>
      <c r="G3466" s="4">
        <f>TRUNC((E3466*F3466),8)</f>
        <v/>
      </c>
      <c r="H3466" s="4">
        <f>ROUND(((1+$H$4)^(30/360))^(C3466/(EDATE(D3466-B3466,1)-(D3466-B3466))),9)</f>
        <v/>
      </c>
      <c r="I3466" s="49">
        <f>TRUNC((G3466*H3466-G3466),8)</f>
        <v/>
      </c>
      <c r="J3466" s="4">
        <f>G3466+I3466</f>
        <v/>
      </c>
      <c r="K3466" s="256" t="n"/>
      <c r="L3466" s="256" t="n"/>
      <c r="M3466" s="256" t="n"/>
      <c r="N3466" s="256" t="n"/>
      <c r="O3466" s="256" t="n"/>
      <c r="P3466" s="256" t="n"/>
      <c r="Q3466" s="256" t="n"/>
    </row>
    <row r="3467">
      <c r="A3467">
        <f>IF(DAY(D3467)=DAY($L$1+1),A3466+1,A3466)</f>
        <v/>
      </c>
      <c r="B3467" s="46">
        <f>IF(DAY(D3467)=DAY($L$1+1),1,B3466+1)</f>
        <v/>
      </c>
      <c r="C3467" s="46">
        <f>IF(DAY(D3467)=DAY($L$1+1),1,C3466+1)</f>
        <v/>
      </c>
      <c r="D3467" s="2">
        <f>D3466+1</f>
        <v/>
      </c>
      <c r="E3467" s="8">
        <f>IF(DAY(D3467)=DAY($L$1+1),TRUNC((#REF!),8),E3466)</f>
        <v/>
      </c>
      <c r="F3467" s="49">
        <f>TRUNC(((1+VLOOKUP(A3467,IPCA!$A$2:$C$140,3,0)))^(C3467/(EDATE(D3467-C3467,1)-(D3467-C3467))),8)</f>
        <v/>
      </c>
      <c r="G3467" s="4">
        <f>TRUNC((E3467*F3467),8)</f>
        <v/>
      </c>
      <c r="H3467" s="4">
        <f>ROUND(((1+$H$4)^(30/360))^(C3467/(EDATE(D3467-B3467,1)-(D3467-B3467))),9)</f>
        <v/>
      </c>
      <c r="I3467" s="49">
        <f>TRUNC((G3467*H3467-G3467),8)</f>
        <v/>
      </c>
      <c r="J3467" s="4">
        <f>G3467+I3467</f>
        <v/>
      </c>
      <c r="K3467" s="256" t="n"/>
      <c r="L3467" s="256" t="n"/>
      <c r="M3467" s="256" t="n"/>
      <c r="N3467" s="256" t="n"/>
      <c r="O3467" s="256" t="n"/>
      <c r="P3467" s="256" t="n"/>
      <c r="Q3467" s="256" t="n"/>
    </row>
    <row r="3468">
      <c r="A3468">
        <f>IF(DAY(D3468)=DAY($L$1+1),A3467+1,A3467)</f>
        <v/>
      </c>
      <c r="B3468" s="1">
        <f>IF(DAY(D3468)=DAY($L$1+1),1,B3467+1)</f>
        <v/>
      </c>
      <c r="C3468" s="1">
        <f>IF(DAY(D3468)=DAY($L$1+1),1,C3467+1)</f>
        <v/>
      </c>
      <c r="D3468" s="2">
        <f>D3467+1</f>
        <v/>
      </c>
      <c r="E3468" s="8">
        <f>IF(DAY(D3468)=DAY($L$1+1),TRUNC((#REF!),8),E3467)</f>
        <v/>
      </c>
      <c r="F3468" s="49">
        <f>TRUNC(((1+VLOOKUP(A3468,IPCA!$A$2:$C$140,3,0)))^(C3468/(EDATE(D3468-C3468,1)-(D3468-C3468))),8)</f>
        <v/>
      </c>
      <c r="G3468" s="4">
        <f>TRUNC((E3468*F3468),8)</f>
        <v/>
      </c>
      <c r="H3468" s="4">
        <f>ROUND(((1+$H$4)^(30/360))^(C3468/(EDATE(D3468-B3468,1)-(D3468-B3468))),9)</f>
        <v/>
      </c>
      <c r="I3468" s="49">
        <f>TRUNC((G3468*H3468-G3468),8)</f>
        <v/>
      </c>
      <c r="J3468" s="4">
        <f>G3468+I3468</f>
        <v/>
      </c>
      <c r="K3468" s="256" t="n"/>
      <c r="L3468" s="256" t="n"/>
      <c r="M3468" s="256" t="n"/>
      <c r="N3468" s="256" t="n"/>
      <c r="O3468" s="256" t="n"/>
      <c r="P3468" s="256" t="n"/>
      <c r="Q3468" s="256" t="n"/>
    </row>
    <row r="3469">
      <c r="A3469">
        <f>IF(DAY(D3469)=DAY($L$1+1),A3468+1,A3468)</f>
        <v/>
      </c>
      <c r="B3469" s="46">
        <f>IF(DAY(D3469)=DAY($L$1+1),1,B3468+1)</f>
        <v/>
      </c>
      <c r="C3469" s="46">
        <f>IF(DAY(D3469)=DAY($L$1+1),1,C3468+1)</f>
        <v/>
      </c>
      <c r="D3469" s="2">
        <f>D3468+1</f>
        <v/>
      </c>
      <c r="E3469" s="8">
        <f>IF(DAY(D3469)=DAY($L$1+1),TRUNC((#REF!),8),E3468)</f>
        <v/>
      </c>
      <c r="F3469" s="49">
        <f>TRUNC(((1+VLOOKUP(A3469,IPCA!$A$2:$C$140,3,0)))^(C3469/(EDATE(D3469-C3469,1)-(D3469-C3469))),8)</f>
        <v/>
      </c>
      <c r="G3469" s="4">
        <f>TRUNC((E3469*F3469),8)</f>
        <v/>
      </c>
      <c r="H3469" s="4">
        <f>ROUND(((1+$H$4)^(30/360))^(C3469/(EDATE(D3469-B3469,1)-(D3469-B3469))),9)</f>
        <v/>
      </c>
      <c r="I3469" s="49">
        <f>TRUNC((G3469*H3469-G3469),8)</f>
        <v/>
      </c>
      <c r="J3469" s="4">
        <f>G3469+I3469</f>
        <v/>
      </c>
      <c r="K3469" s="256" t="n"/>
      <c r="L3469" s="256" t="n"/>
      <c r="M3469" s="256" t="n"/>
      <c r="N3469" s="256" t="n"/>
      <c r="O3469" s="256" t="n"/>
      <c r="P3469" s="256" t="n"/>
      <c r="Q3469" s="256" t="n"/>
    </row>
    <row r="3470">
      <c r="A3470">
        <f>IF(DAY(D3470)=DAY($L$1+1),A3469+1,A3469)</f>
        <v/>
      </c>
      <c r="B3470" s="1">
        <f>IF(DAY(D3470)=DAY($L$1+1),1,B3469+1)</f>
        <v/>
      </c>
      <c r="C3470" s="1">
        <f>IF(DAY(D3470)=DAY($L$1+1),1,C3469+1)</f>
        <v/>
      </c>
      <c r="D3470" s="2">
        <f>D3469+1</f>
        <v/>
      </c>
      <c r="E3470" s="8">
        <f>IF(DAY(D3470)=DAY($L$1+1),TRUNC((#REF!),8),E3469)</f>
        <v/>
      </c>
      <c r="F3470" s="49">
        <f>TRUNC(((1+VLOOKUP(A3470,IPCA!$A$2:$C$140,3,0)))^(C3470/(EDATE(D3470-C3470,1)-(D3470-C3470))),8)</f>
        <v/>
      </c>
      <c r="G3470" s="4">
        <f>TRUNC((E3470*F3470),8)</f>
        <v/>
      </c>
      <c r="H3470" s="4">
        <f>ROUND(((1+$H$4)^(30/360))^(C3470/(EDATE(D3470-B3470,1)-(D3470-B3470))),9)</f>
        <v/>
      </c>
      <c r="I3470" s="49">
        <f>TRUNC((G3470*H3470-G3470),8)</f>
        <v/>
      </c>
      <c r="J3470" s="4">
        <f>G3470+I3470</f>
        <v/>
      </c>
      <c r="K3470" s="256" t="n"/>
      <c r="L3470" s="256" t="n"/>
      <c r="M3470" s="256" t="n"/>
      <c r="N3470" s="256" t="n"/>
      <c r="O3470" s="256" t="n"/>
      <c r="P3470" s="256" t="n"/>
      <c r="Q3470" s="256" t="n"/>
    </row>
    <row r="3471">
      <c r="A3471">
        <f>IF(DAY(D3471)=DAY($L$1+1),A3470+1,A3470)</f>
        <v/>
      </c>
      <c r="B3471" s="46">
        <f>IF(DAY(D3471)=DAY($L$1+1),1,B3470+1)</f>
        <v/>
      </c>
      <c r="C3471" s="46">
        <f>IF(DAY(D3471)=DAY($L$1+1),1,C3470+1)</f>
        <v/>
      </c>
      <c r="D3471" s="2">
        <f>D3470+1</f>
        <v/>
      </c>
      <c r="E3471" s="8">
        <f>IF(DAY(D3471)=DAY($L$1+1),TRUNC((#REF!),8),E3470)</f>
        <v/>
      </c>
      <c r="F3471" s="49">
        <f>TRUNC(((1+VLOOKUP(A3471,IPCA!$A$2:$C$140,3,0)))^(C3471/(EDATE(D3471-C3471,1)-(D3471-C3471))),8)</f>
        <v/>
      </c>
      <c r="G3471" s="4">
        <f>TRUNC((E3471*F3471),8)</f>
        <v/>
      </c>
      <c r="H3471" s="4">
        <f>ROUND(((1+$H$4)^(30/360))^(C3471/(EDATE(D3471-B3471,1)-(D3471-B3471))),9)</f>
        <v/>
      </c>
      <c r="I3471" s="49">
        <f>TRUNC((G3471*H3471-G3471),8)</f>
        <v/>
      </c>
      <c r="J3471" s="4">
        <f>G3471+I3471</f>
        <v/>
      </c>
      <c r="K3471" s="256" t="n"/>
      <c r="L3471" s="256" t="n"/>
      <c r="M3471" s="256" t="n"/>
      <c r="N3471" s="256" t="n"/>
      <c r="O3471" s="256" t="n"/>
      <c r="P3471" s="256" t="n"/>
      <c r="Q3471" s="256" t="n"/>
    </row>
    <row r="3472">
      <c r="A3472">
        <f>IF(DAY(D3472)=DAY($L$1+1),A3471+1,A3471)</f>
        <v/>
      </c>
      <c r="B3472" s="1">
        <f>IF(DAY(D3472)=DAY($L$1+1),1,B3471+1)</f>
        <v/>
      </c>
      <c r="C3472" s="1">
        <f>IF(DAY(D3472)=DAY($L$1+1),1,C3471+1)</f>
        <v/>
      </c>
      <c r="D3472" s="2">
        <f>D3471+1</f>
        <v/>
      </c>
      <c r="E3472" s="8">
        <f>IF(DAY(D3472)=DAY($L$1+1),TRUNC((#REF!),8),E3471)</f>
        <v/>
      </c>
      <c r="F3472" s="49">
        <f>TRUNC(((1+VLOOKUP(A3472,IPCA!$A$2:$C$140,3,0)))^(C3472/(EDATE(D3472-C3472,1)-(D3472-C3472))),8)</f>
        <v/>
      </c>
      <c r="G3472" s="4">
        <f>TRUNC((E3472*F3472),8)</f>
        <v/>
      </c>
      <c r="H3472" s="4">
        <f>ROUND(((1+$H$4)^(30/360))^(C3472/(EDATE(D3472-B3472,1)-(D3472-B3472))),9)</f>
        <v/>
      </c>
      <c r="I3472" s="49">
        <f>TRUNC((G3472*H3472-G3472),8)</f>
        <v/>
      </c>
      <c r="J3472" s="4">
        <f>G3472+I3472</f>
        <v/>
      </c>
      <c r="K3472" s="256" t="n"/>
      <c r="L3472" s="256" t="n"/>
      <c r="M3472" s="256" t="n"/>
      <c r="N3472" s="256" t="n"/>
      <c r="O3472" s="256" t="n"/>
      <c r="P3472" s="256" t="n"/>
      <c r="Q3472" s="256" t="n"/>
    </row>
    <row r="3473">
      <c r="A3473">
        <f>IF(DAY(D3473)=DAY($L$1+1),A3472+1,A3472)</f>
        <v/>
      </c>
      <c r="B3473" s="46">
        <f>IF(DAY(D3473)=DAY($L$1+1),1,B3472+1)</f>
        <v/>
      </c>
      <c r="C3473" s="46">
        <f>IF(DAY(D3473)=DAY($L$1+1),1,C3472+1)</f>
        <v/>
      </c>
      <c r="D3473" s="2">
        <f>D3472+1</f>
        <v/>
      </c>
      <c r="E3473" s="8">
        <f>IF(DAY(D3473)=DAY($L$1+1),TRUNC((N3472),8),E3472)</f>
        <v/>
      </c>
      <c r="F3473" s="49">
        <f>TRUNC(((1+VLOOKUP(A3473,IPCA!$A$2:$C$140,3,0)))^(C3473/(EDATE(D3473-C3473,1)-(D3473-C3473))),8)</f>
        <v/>
      </c>
      <c r="G3473" s="4">
        <f>TRUNC((E3473*F3473),8)</f>
        <v/>
      </c>
      <c r="H3473" s="4">
        <f>ROUND(((1+$H$4)^(30/360))^(C3473/(EDATE(D3473-B3473,1)-(D3473-B3473))),9)</f>
        <v/>
      </c>
      <c r="I3473" s="49">
        <f>TRUNC((G3473*H3473-G3473),8)</f>
        <v/>
      </c>
      <c r="J3473" s="4">
        <f>G3473+I3473</f>
        <v/>
      </c>
      <c r="K3473" s="256" t="n"/>
      <c r="L3473" s="256" t="n"/>
      <c r="M3473" s="256" t="n"/>
      <c r="N3473" s="256" t="n"/>
      <c r="O3473" s="256" t="n"/>
      <c r="P3473" s="256" t="n"/>
      <c r="Q3473" s="256" t="n"/>
    </row>
    <row r="3474">
      <c r="A3474">
        <f>IF(DAY(D3474)=DAY($L$1+1),A3473+1,A3473)</f>
        <v/>
      </c>
      <c r="B3474" s="1">
        <f>IF(DAY(D3474)=DAY($L$1+1),1,B3473+1)</f>
        <v/>
      </c>
      <c r="C3474" s="1">
        <f>IF(DAY(D3474)=DAY($L$1+1),1,C3473+1)</f>
        <v/>
      </c>
      <c r="D3474" s="2">
        <f>D3473+1</f>
        <v/>
      </c>
      <c r="E3474" s="8">
        <f>IF(DAY(D3474)=DAY($L$1+1),TRUNC((N3473),8),E3473)</f>
        <v/>
      </c>
      <c r="F3474" s="49">
        <f>TRUNC(((1+VLOOKUP(A3474,IPCA!$A$2:$C$140,3,0)))^(C3474/(EDATE(D3474-C3474,1)-(D3474-C3474))),8)</f>
        <v/>
      </c>
      <c r="G3474" s="4">
        <f>TRUNC((E3474*F3474),8)</f>
        <v/>
      </c>
      <c r="H3474" s="4">
        <f>ROUND(((1+$H$4)^(30/360))^(C3474/(EDATE(D3474-B3474,1)-(D3474-B3474))),9)</f>
        <v/>
      </c>
      <c r="I3474" s="49">
        <f>TRUNC((G3474*H3474-G3474),8)</f>
        <v/>
      </c>
      <c r="J3474" s="4">
        <f>G3474+I3474</f>
        <v/>
      </c>
      <c r="K3474" s="256" t="n"/>
      <c r="L3474" s="256" t="n"/>
      <c r="M3474" s="256" t="n"/>
      <c r="N3474" s="256" t="n"/>
      <c r="O3474" s="256" t="n"/>
      <c r="P3474" s="256" t="n"/>
      <c r="Q3474" s="256" t="n"/>
    </row>
    <row r="3475">
      <c r="A3475">
        <f>IF(DAY(D3475)=DAY($L$1+1),A3474+1,A3474)</f>
        <v/>
      </c>
      <c r="B3475" s="46">
        <f>IF(DAY(D3475)=DAY($L$1+1),1,B3474+1)</f>
        <v/>
      </c>
      <c r="C3475" s="46">
        <f>IF(DAY(D3475)=DAY($L$1+1),1,C3474+1)</f>
        <v/>
      </c>
      <c r="D3475" s="2">
        <f>D3474+1</f>
        <v/>
      </c>
      <c r="E3475" s="8">
        <f>IF(DAY(D3475)=DAY($L$1+1),TRUNC((N3474),8),E3474)</f>
        <v/>
      </c>
      <c r="F3475" s="49">
        <f>TRUNC(((1+VLOOKUP(A3475,IPCA!$A$2:$C$140,3,0)))^(C3475/(EDATE(D3475-C3475,1)-(D3475-C3475))),8)</f>
        <v/>
      </c>
      <c r="G3475" s="4">
        <f>TRUNC((E3475*F3475),8)</f>
        <v/>
      </c>
      <c r="H3475" s="4">
        <f>ROUND(((1+$H$4)^(30/360))^(C3475/(EDATE(D3475-B3475,1)-(D3475-B3475))),9)</f>
        <v/>
      </c>
      <c r="I3475" s="49">
        <f>TRUNC((G3475*H3475-G3475),8)</f>
        <v/>
      </c>
      <c r="J3475" s="4">
        <f>G3475+I3475</f>
        <v/>
      </c>
      <c r="K3475" s="256" t="n"/>
      <c r="L3475" s="256" t="n"/>
      <c r="M3475" s="256" t="n"/>
      <c r="N3475" s="256" t="n"/>
      <c r="O3475" s="256" t="n"/>
      <c r="P3475" s="256" t="n"/>
      <c r="Q3475" s="256" t="n"/>
    </row>
    <row r="3476">
      <c r="A3476">
        <f>IF(DAY(D3476)=DAY($L$1+1),A3475+1,A3475)</f>
        <v/>
      </c>
      <c r="B3476" s="1">
        <f>IF(DAY(D3476)=DAY($L$1+1),1,B3475+1)</f>
        <v/>
      </c>
      <c r="C3476" s="1">
        <f>IF(DAY(D3476)=DAY($L$1+1),1,C3475+1)</f>
        <v/>
      </c>
      <c r="D3476" s="2">
        <f>D3475+1</f>
        <v/>
      </c>
      <c r="E3476" s="8">
        <f>IF(DAY(D3476)=DAY($L$1+1),TRUNC((N3475),8),E3475)</f>
        <v/>
      </c>
      <c r="F3476" s="49">
        <f>TRUNC(((1+VLOOKUP(A3476,IPCA!$A$2:$C$140,3,0)))^(C3476/(EDATE(D3476-C3476,1)-(D3476-C3476))),8)</f>
        <v/>
      </c>
      <c r="G3476" s="4">
        <f>TRUNC((E3476*F3476),8)</f>
        <v/>
      </c>
      <c r="H3476" s="4">
        <f>ROUND(((1+$H$4)^(30/360))^(C3476/(EDATE(D3476-B3476,1)-(D3476-B3476))),9)</f>
        <v/>
      </c>
      <c r="I3476" s="49">
        <f>TRUNC((G3476*H3476-G3476),8)</f>
        <v/>
      </c>
      <c r="J3476" s="4">
        <f>G3476+I3476</f>
        <v/>
      </c>
      <c r="K3476" s="256" t="n"/>
      <c r="L3476" s="256" t="n"/>
      <c r="M3476" s="256" t="n"/>
      <c r="N3476" s="256" t="n"/>
      <c r="O3476" s="256" t="n"/>
      <c r="P3476" s="256" t="n"/>
      <c r="Q3476" s="256" t="n"/>
    </row>
    <row r="3477">
      <c r="A3477">
        <f>IF(DAY(D3477)=DAY($L$1+1),A3476+1,A3476)</f>
        <v/>
      </c>
      <c r="B3477" s="46">
        <f>IF(DAY(D3477)=DAY($L$1+1),1,B3476+1)</f>
        <v/>
      </c>
      <c r="C3477" s="46">
        <f>IF(DAY(D3477)=DAY($L$1+1),1,C3476+1)</f>
        <v/>
      </c>
      <c r="D3477" s="2">
        <f>D3476+1</f>
        <v/>
      </c>
      <c r="E3477" s="8">
        <f>IF(DAY(D3477)=DAY($L$1+1),TRUNC((N3476),8),E3476)</f>
        <v/>
      </c>
      <c r="F3477" s="49">
        <f>TRUNC(((1+VLOOKUP(A3477,IPCA!$A$2:$C$140,3,0)))^(C3477/(EDATE(D3477-C3477,1)-(D3477-C3477))),8)</f>
        <v/>
      </c>
      <c r="G3477" s="4">
        <f>TRUNC((E3477*F3477),8)</f>
        <v/>
      </c>
      <c r="H3477" s="4">
        <f>ROUND(((1+$H$4)^(30/360))^(C3477/(EDATE(D3477-B3477,1)-(D3477-B3477))),9)</f>
        <v/>
      </c>
      <c r="I3477" s="49">
        <f>TRUNC((G3477*H3477-G3477),8)</f>
        <v/>
      </c>
      <c r="J3477" s="4">
        <f>G3477+I3477</f>
        <v/>
      </c>
      <c r="K3477" s="256" t="n"/>
      <c r="L3477" s="256" t="n"/>
      <c r="M3477" s="256" t="n"/>
      <c r="N3477" s="256" t="n"/>
      <c r="O3477" s="256" t="n"/>
      <c r="P3477" s="256" t="n"/>
      <c r="Q3477" s="256" t="n"/>
    </row>
    <row r="3478">
      <c r="A3478">
        <f>IF(DAY(D3478)=DAY($L$1+1),A3477+1,A3477)</f>
        <v/>
      </c>
      <c r="B3478" s="1">
        <f>IF(DAY(D3478)=DAY($L$1+1),1,B3477+1)</f>
        <v/>
      </c>
      <c r="C3478" s="1">
        <f>IF(DAY(D3478)=DAY($L$1+1),1,C3477+1)</f>
        <v/>
      </c>
      <c r="D3478" s="2">
        <f>D3477+1</f>
        <v/>
      </c>
      <c r="E3478" s="8">
        <f>IF(DAY(D3478)=DAY($L$1+1),TRUNC((N3477),8),E3477)</f>
        <v/>
      </c>
      <c r="F3478" s="49">
        <f>TRUNC(((1+VLOOKUP(A3478,IPCA!$A$2:$C$140,3,0)))^(C3478/(EDATE(D3478-C3478,1)-(D3478-C3478))),8)</f>
        <v/>
      </c>
      <c r="G3478" s="4">
        <f>TRUNC((E3478*F3478),8)</f>
        <v/>
      </c>
      <c r="H3478" s="4">
        <f>ROUND(((1+$H$4)^(30/360))^(C3478/(EDATE(D3478-B3478,1)-(D3478-B3478))),9)</f>
        <v/>
      </c>
      <c r="I3478" s="49">
        <f>TRUNC((G3478*H3478-G3478),8)</f>
        <v/>
      </c>
      <c r="J3478" s="4">
        <f>G3478+I3478</f>
        <v/>
      </c>
      <c r="K3478" s="256" t="n"/>
      <c r="L3478" s="256" t="n"/>
      <c r="M3478" s="256" t="n"/>
      <c r="N3478" s="256" t="n"/>
      <c r="O3478" s="256" t="n"/>
      <c r="P3478" s="256" t="n"/>
      <c r="Q3478" s="256" t="n"/>
    </row>
    <row r="3479">
      <c r="A3479">
        <f>IF(DAY(D3479)=DAY($L$1+1),A3478+1,A3478)</f>
        <v/>
      </c>
      <c r="B3479" s="46">
        <f>IF(DAY(D3479)=DAY($L$1+1),1,B3478+1)</f>
        <v/>
      </c>
      <c r="C3479" s="46">
        <f>IF(DAY(D3479)=DAY($L$1+1),1,C3478+1)</f>
        <v/>
      </c>
      <c r="D3479" s="2">
        <f>D3478+1</f>
        <v/>
      </c>
      <c r="E3479" s="8">
        <f>IF(DAY(D3479)=DAY($L$1+1),TRUNC((N3478),8),E3478)</f>
        <v/>
      </c>
      <c r="F3479" s="49">
        <f>TRUNC(((1+VLOOKUP(A3479,IPCA!$A$2:$C$140,3,0)))^(C3479/(EDATE(D3479-C3479,1)-(D3479-C3479))),8)</f>
        <v/>
      </c>
      <c r="G3479" s="4">
        <f>TRUNC((E3479*F3479),8)</f>
        <v/>
      </c>
      <c r="H3479" s="4">
        <f>ROUND(((1+$H$4)^(30/360))^(C3479/(EDATE(D3479-B3479,1)-(D3479-B3479))),9)</f>
        <v/>
      </c>
      <c r="I3479" s="49">
        <f>TRUNC((G3479*H3479-G3479),8)</f>
        <v/>
      </c>
      <c r="J3479" s="4">
        <f>G3479+I3479</f>
        <v/>
      </c>
      <c r="K3479" s="256" t="n"/>
      <c r="L3479" s="256" t="n"/>
      <c r="M3479" s="256" t="n"/>
      <c r="N3479" s="256" t="n"/>
      <c r="O3479" s="256" t="n"/>
      <c r="P3479" s="256" t="n"/>
      <c r="Q3479" s="256" t="n"/>
    </row>
    <row r="3480">
      <c r="A3480">
        <f>IF(DAY(D3480)=DAY($L$1+1),A3479+1,A3479)</f>
        <v/>
      </c>
      <c r="B3480" s="1">
        <f>IF(DAY(D3480)=DAY($L$1+1),1,B3479+1)</f>
        <v/>
      </c>
      <c r="C3480" s="1">
        <f>IF(DAY(D3480)=DAY($L$1+1),1,C3479+1)</f>
        <v/>
      </c>
      <c r="D3480" s="2">
        <f>D3479+1</f>
        <v/>
      </c>
      <c r="E3480" s="8">
        <f>IF(DAY(D3480)=DAY($L$1+1),TRUNC((N3479),8),E3479)</f>
        <v/>
      </c>
      <c r="F3480" s="49">
        <f>TRUNC(((1+VLOOKUP(A3480,IPCA!$A$2:$C$140,3,0)))^(C3480/(EDATE(D3480-C3480,1)-(D3480-C3480))),8)</f>
        <v/>
      </c>
      <c r="G3480" s="4">
        <f>TRUNC((E3480*F3480),8)</f>
        <v/>
      </c>
      <c r="H3480" s="4">
        <f>ROUND(((1+$H$4)^(30/360))^(C3480/(EDATE(D3480-B3480,1)-(D3480-B3480))),9)</f>
        <v/>
      </c>
      <c r="I3480" s="49">
        <f>TRUNC((G3480*H3480-G3480),8)</f>
        <v/>
      </c>
      <c r="J3480" s="4">
        <f>G3480+I3480</f>
        <v/>
      </c>
      <c r="K3480" s="256" t="n"/>
      <c r="L3480" s="256" t="n"/>
      <c r="M3480" s="256" t="n"/>
      <c r="N3480" s="256" t="n"/>
      <c r="O3480" s="256" t="n"/>
      <c r="P3480" s="256" t="n"/>
      <c r="Q3480" s="256" t="n"/>
    </row>
    <row r="3481">
      <c r="A3481">
        <f>IF(DAY(D3481)=DAY($L$1+1),A3480+1,A3480)</f>
        <v/>
      </c>
      <c r="B3481" s="46">
        <f>IF(DAY(D3481)=DAY($L$1+1),1,B3480+1)</f>
        <v/>
      </c>
      <c r="C3481" s="46">
        <f>IF(DAY(D3481)=DAY($L$1+1),1,C3480+1)</f>
        <v/>
      </c>
      <c r="D3481" s="2">
        <f>D3480+1</f>
        <v/>
      </c>
      <c r="E3481" s="8">
        <f>IF(DAY(D3481)=DAY($L$1+1),TRUNC((N3480),8),E3480)</f>
        <v/>
      </c>
      <c r="F3481" s="49">
        <f>TRUNC(((1+VLOOKUP(A3481,IPCA!$A$2:$C$140,3,0)))^(C3481/(EDATE(D3481-C3481,1)-(D3481-C3481))),8)</f>
        <v/>
      </c>
      <c r="G3481" s="4">
        <f>TRUNC((E3481*F3481),8)</f>
        <v/>
      </c>
      <c r="H3481" s="4">
        <f>ROUND(((1+$H$4)^(30/360))^(C3481/(EDATE(D3481-B3481,1)-(D3481-B3481))),9)</f>
        <v/>
      </c>
      <c r="I3481" s="49">
        <f>TRUNC((G3481*H3481-G3481),8)</f>
        <v/>
      </c>
      <c r="J3481" s="4">
        <f>G3481+I3481</f>
        <v/>
      </c>
      <c r="K3481" s="256" t="n"/>
      <c r="L3481" s="256" t="n"/>
      <c r="M3481" s="256" t="n"/>
      <c r="N3481" s="256" t="n"/>
      <c r="O3481" s="256" t="n"/>
      <c r="P3481" s="256" t="n"/>
      <c r="Q3481" s="256" t="n"/>
    </row>
    <row r="3482">
      <c r="A3482">
        <f>IF(DAY(D3482)=DAY($L$1+1),A3481+1,A3481)</f>
        <v/>
      </c>
      <c r="B3482" s="1">
        <f>IF(DAY(D3482)=DAY($L$1+1),1,B3481+1)</f>
        <v/>
      </c>
      <c r="C3482" s="1">
        <f>IF(DAY(D3482)=DAY($L$1+1),1,C3481+1)</f>
        <v/>
      </c>
      <c r="D3482" s="2">
        <f>D3481+1</f>
        <v/>
      </c>
      <c r="E3482" s="8">
        <f>IF(DAY(D3482)=DAY($L$1+1),TRUNC((N3481),8),E3481)</f>
        <v/>
      </c>
      <c r="F3482" s="49">
        <f>TRUNC(((1+VLOOKUP(A3482,IPCA!$A$2:$C$140,3,0)))^(C3482/(EDATE(D3482-C3482,1)-(D3482-C3482))),8)</f>
        <v/>
      </c>
      <c r="G3482" s="4">
        <f>TRUNC((E3482*F3482),8)</f>
        <v/>
      </c>
      <c r="H3482" s="4">
        <f>ROUND(((1+$H$4)^(30/360))^(C3482/(EDATE(D3482-B3482,1)-(D3482-B3482))),9)</f>
        <v/>
      </c>
      <c r="I3482" s="49">
        <f>TRUNC((G3482*H3482-G3482),8)</f>
        <v/>
      </c>
      <c r="J3482" s="4">
        <f>G3482+I3482</f>
        <v/>
      </c>
      <c r="K3482" s="256" t="n"/>
      <c r="L3482" s="256" t="n"/>
      <c r="M3482" s="256" t="n"/>
      <c r="N3482" s="256" t="n"/>
      <c r="O3482" s="256" t="n"/>
      <c r="P3482" s="256" t="n"/>
      <c r="Q3482" s="256" t="n"/>
    </row>
    <row r="3483">
      <c r="A3483">
        <f>IF(DAY(D3483)=DAY($L$1+1),A3482+1,A3482)</f>
        <v/>
      </c>
      <c r="B3483" s="46">
        <f>IF(DAY(D3483)=DAY($L$1+1),1,B3482+1)</f>
        <v/>
      </c>
      <c r="C3483" s="46">
        <f>IF(DAY(D3483)=DAY($L$1+1),1,C3482+1)</f>
        <v/>
      </c>
      <c r="D3483" s="2">
        <f>D3482+1</f>
        <v/>
      </c>
      <c r="E3483" s="8">
        <f>IF(DAY(D3483)=DAY($L$1+1),TRUNC((N3482),8),E3482)</f>
        <v/>
      </c>
      <c r="F3483" s="49">
        <f>TRUNC(((1+VLOOKUP(A3483,IPCA!$A$2:$C$140,3,0)))^(C3483/(EDATE(D3483-C3483,1)-(D3483-C3483))),8)</f>
        <v/>
      </c>
      <c r="G3483" s="4">
        <f>TRUNC((E3483*F3483),8)</f>
        <v/>
      </c>
      <c r="H3483" s="4">
        <f>ROUND(((1+$H$4)^(30/360))^(C3483/(EDATE(D3483-B3483,1)-(D3483-B3483))),9)</f>
        <v/>
      </c>
      <c r="I3483" s="49">
        <f>TRUNC((G3483*H3483-G3483),8)</f>
        <v/>
      </c>
      <c r="J3483" s="4">
        <f>G3483+I3483</f>
        <v/>
      </c>
      <c r="K3483" s="256" t="n"/>
      <c r="L3483" s="256" t="n"/>
      <c r="M3483" s="256" t="n"/>
      <c r="N3483" s="256" t="n"/>
      <c r="O3483" s="256" t="n"/>
      <c r="P3483" s="256" t="n"/>
      <c r="Q3483" s="256" t="n"/>
    </row>
    <row r="3484">
      <c r="A3484">
        <f>IF(DAY(D3484)=DAY($L$1+1),A3483+1,A3483)</f>
        <v/>
      </c>
      <c r="B3484" s="1">
        <f>IF(DAY(D3484)=DAY($L$1+1),1,B3483+1)</f>
        <v/>
      </c>
      <c r="C3484" s="1">
        <f>IF(DAY(D3484)=DAY($L$1+1),1,C3483+1)</f>
        <v/>
      </c>
      <c r="D3484" s="2">
        <f>D3483+1</f>
        <v/>
      </c>
      <c r="E3484" s="8">
        <f>IF(DAY(D3484)=DAY($L$1+1),TRUNC((N3483),8),E3483)</f>
        <v/>
      </c>
      <c r="F3484" s="49">
        <f>TRUNC(((1+VLOOKUP(A3484,IPCA!$A$2:$C$140,3,0)))^(C3484/(EDATE(D3484-C3484,1)-(D3484-C3484))),8)</f>
        <v/>
      </c>
      <c r="G3484" s="4">
        <f>TRUNC((E3484*F3484),8)</f>
        <v/>
      </c>
      <c r="H3484" s="4">
        <f>ROUND(((1+$H$4)^(30/360))^(C3484/(EDATE(D3484-B3484,1)-(D3484-B3484))),9)</f>
        <v/>
      </c>
      <c r="I3484" s="49">
        <f>TRUNC((G3484*H3484-G3484),8)</f>
        <v/>
      </c>
      <c r="J3484" s="4">
        <f>G3484+I3484</f>
        <v/>
      </c>
      <c r="K3484" s="256" t="n"/>
      <c r="L3484" s="256" t="n"/>
      <c r="M3484" s="256" t="n"/>
      <c r="N3484" s="256" t="n"/>
      <c r="O3484" s="256" t="n"/>
      <c r="P3484" s="256" t="n"/>
      <c r="Q3484" s="256" t="n"/>
    </row>
    <row r="3485">
      <c r="A3485">
        <f>IF(DAY(D3485)=DAY($L$1+1),A3484+1,A3484)</f>
        <v/>
      </c>
      <c r="B3485" s="46">
        <f>IF(DAY(D3485)=DAY($L$1+1),1,B3484+1)</f>
        <v/>
      </c>
      <c r="C3485" s="46">
        <f>IF(DAY(D3485)=DAY($L$1+1),1,C3484+1)</f>
        <v/>
      </c>
      <c r="D3485" s="2">
        <f>D3484+1</f>
        <v/>
      </c>
      <c r="E3485" s="8">
        <f>IF(DAY(D3485)=DAY($L$1+1),TRUNC((N3484),8),E3484)</f>
        <v/>
      </c>
      <c r="F3485" s="49">
        <f>TRUNC(((1+VLOOKUP(A3485,IPCA!$A$2:$C$140,3,0)))^(C3485/(EDATE(D3485-C3485,1)-(D3485-C3485))),8)</f>
        <v/>
      </c>
      <c r="G3485" s="4">
        <f>TRUNC((E3485*F3485),8)</f>
        <v/>
      </c>
      <c r="H3485" s="4">
        <f>ROUND(((1+$H$4)^(30/360))^(C3485/(EDATE(D3485-B3485,1)-(D3485-B3485))),9)</f>
        <v/>
      </c>
      <c r="I3485" s="49">
        <f>TRUNC((G3485*H3485-G3485),8)</f>
        <v/>
      </c>
      <c r="J3485" s="4">
        <f>G3485+I3485</f>
        <v/>
      </c>
      <c r="K3485" s="256" t="n"/>
      <c r="L3485" s="256" t="n"/>
      <c r="M3485" s="256" t="n"/>
      <c r="N3485" s="256" t="n"/>
      <c r="O3485" s="256" t="n"/>
      <c r="P3485" s="256" t="n"/>
      <c r="Q3485" s="256" t="n"/>
    </row>
    <row r="3486">
      <c r="A3486">
        <f>IF(DAY(D3486)=DAY($L$1+1),A3485+1,A3485)</f>
        <v/>
      </c>
      <c r="B3486" s="1">
        <f>IF(DAY(D3486)=DAY($L$1+1),1,B3485+1)</f>
        <v/>
      </c>
      <c r="C3486" s="1">
        <f>IF(DAY(D3486)=DAY($L$1+1),1,C3485+1)</f>
        <v/>
      </c>
      <c r="D3486" s="2">
        <f>D3485+1</f>
        <v/>
      </c>
      <c r="E3486" s="8">
        <f>IF(DAY(D3486)=DAY($L$1+1),TRUNC((N3485),8),E3485)</f>
        <v/>
      </c>
      <c r="F3486" s="49">
        <f>TRUNC(((1+VLOOKUP(A3486,IPCA!$A$2:$C$140,3,0)))^(C3486/(EDATE(D3486-C3486,1)-(D3486-C3486))),8)</f>
        <v/>
      </c>
      <c r="G3486" s="4">
        <f>TRUNC((E3486*F3486),8)</f>
        <v/>
      </c>
      <c r="H3486" s="4">
        <f>ROUND(((1+$H$4)^(30/360))^(C3486/(EDATE(D3486-B3486,1)-(D3486-B3486))),9)</f>
        <v/>
      </c>
      <c r="I3486" s="49">
        <f>TRUNC((G3486*H3486-G3486),8)</f>
        <v/>
      </c>
      <c r="J3486" s="4">
        <f>G3486+I3486</f>
        <v/>
      </c>
      <c r="K3486" s="256" t="n"/>
      <c r="L3486" s="256" t="n"/>
      <c r="M3486" s="256" t="n"/>
      <c r="N3486" s="256" t="n"/>
      <c r="O3486" s="256" t="n"/>
      <c r="P3486" s="256" t="n"/>
      <c r="Q3486" s="256" t="n"/>
    </row>
    <row r="3487">
      <c r="A3487">
        <f>IF(DAY(D3487)=DAY($L$1+1),A3486+1,A3486)</f>
        <v/>
      </c>
      <c r="B3487" s="46">
        <f>IF(DAY(D3487)=DAY($L$1+1),1,B3486+1)</f>
        <v/>
      </c>
      <c r="C3487" s="46">
        <f>IF(DAY(D3487)=DAY($L$1+1),1,C3486+1)</f>
        <v/>
      </c>
      <c r="D3487" s="2">
        <f>D3486+1</f>
        <v/>
      </c>
      <c r="E3487" s="8">
        <f>IF(DAY(D3487)=DAY($L$1+1),TRUNC((N3486),8),E3486)</f>
        <v/>
      </c>
      <c r="F3487" s="49">
        <f>TRUNC(((1+VLOOKUP(A3487,IPCA!$A$2:$C$140,3,0)))^(C3487/(EDATE(D3487-C3487,1)-(D3487-C3487))),8)</f>
        <v/>
      </c>
      <c r="G3487" s="4">
        <f>TRUNC((E3487*F3487),8)</f>
        <v/>
      </c>
      <c r="H3487" s="4">
        <f>ROUND(((1+$H$4)^(30/360))^(C3487/(EDATE(D3487-B3487,1)-(D3487-B3487))),9)</f>
        <v/>
      </c>
      <c r="I3487" s="49">
        <f>TRUNC((G3487*H3487-G3487),8)</f>
        <v/>
      </c>
      <c r="J3487" s="4">
        <f>G3487+I3487</f>
        <v/>
      </c>
      <c r="K3487" s="256" t="n"/>
      <c r="L3487" s="256" t="n"/>
      <c r="M3487" s="256" t="n"/>
      <c r="N3487" s="256" t="n"/>
      <c r="O3487" s="256" t="n"/>
      <c r="P3487" s="256" t="n"/>
      <c r="Q3487" s="256" t="n"/>
    </row>
    <row r="3488">
      <c r="A3488">
        <f>IF(DAY(D3488)=DAY($L$1+1),A3487+1,A3487)</f>
        <v/>
      </c>
      <c r="B3488" s="1">
        <f>IF(DAY(D3488)=DAY($L$1+1),1,B3487+1)</f>
        <v/>
      </c>
      <c r="C3488" s="1">
        <f>IF(DAY(D3488)=DAY($L$1+1),1,C3487+1)</f>
        <v/>
      </c>
      <c r="D3488" s="2">
        <f>D3487+1</f>
        <v/>
      </c>
      <c r="E3488" s="8">
        <f>IF(DAY(D3488)=DAY($L$1+1),TRUNC((N3487),8),E3487)</f>
        <v/>
      </c>
      <c r="F3488" s="49">
        <f>TRUNC(((1+VLOOKUP(A3488,IPCA!$A$2:$C$140,3,0)))^(C3488/(EDATE(D3488-C3488,1)-(D3488-C3488))),8)</f>
        <v/>
      </c>
      <c r="G3488" s="4">
        <f>TRUNC((E3488*F3488),8)</f>
        <v/>
      </c>
      <c r="H3488" s="4">
        <f>ROUND(((1+$H$4)^(30/360))^(C3488/(EDATE(D3488-B3488,1)-(D3488-B3488))),9)</f>
        <v/>
      </c>
      <c r="I3488" s="49">
        <f>TRUNC((G3488*H3488-G3488),8)</f>
        <v/>
      </c>
      <c r="J3488" s="4">
        <f>G3488+I3488</f>
        <v/>
      </c>
      <c r="K3488" s="256" t="inlineStr">
        <is>
          <t>Cri Integralizado</t>
        </is>
      </c>
      <c r="L3488" s="270">
        <f>L3457</f>
        <v/>
      </c>
      <c r="M3488" s="256" t="n"/>
      <c r="N3488" s="256" t="n"/>
      <c r="O3488" s="256" t="n"/>
      <c r="P3488" s="256" t="n"/>
      <c r="Q3488" s="256" t="n"/>
    </row>
    <row r="3489">
      <c r="A3489">
        <f>IF(DAY(D3489)=DAY($L$1+1),A3488+1,A3488)</f>
        <v/>
      </c>
      <c r="B3489" s="46">
        <f>IF(DAY(D3489)=DAY($L$1+1),1,B3488+1)</f>
        <v/>
      </c>
      <c r="C3489" s="46">
        <f>IF(DAY(D3489)=DAY($L$1+1),1,C3488+1)</f>
        <v/>
      </c>
      <c r="D3489" s="2">
        <f>D3488+1</f>
        <v/>
      </c>
      <c r="E3489" s="8">
        <f>IF(DAY(D3489)=DAY($L$1+1),TRUNC((N3488),8),E3488)</f>
        <v/>
      </c>
      <c r="F3489" s="49">
        <f>TRUNC(((1+VLOOKUP(A3489,IPCA!$A$2:$C$140,3,0)))^(C3489/(EDATE(D3489-C3489,1)-(D3489-C3489))),8)</f>
        <v/>
      </c>
      <c r="G3489" s="4">
        <f>TRUNC((E3489*F3489),8)</f>
        <v/>
      </c>
      <c r="H3489" s="4">
        <f>ROUND(((1+$H$4)^(30/360))^(C3489/(EDATE(D3489-B3489,1)-(D3489-B3489))),9)</f>
        <v/>
      </c>
      <c r="I3489" s="49">
        <f>TRUNC((G3489*H3489-G3489),8)</f>
        <v/>
      </c>
      <c r="J3489" s="4">
        <f>G3489+I3489</f>
        <v/>
      </c>
      <c r="K3489" s="137" t="inlineStr">
        <is>
          <t>JUROS</t>
        </is>
      </c>
      <c r="L3489" s="118" t="inlineStr">
        <is>
          <t>AMORTIZAÇÃO</t>
        </is>
      </c>
      <c r="M3489" s="118" t="inlineStr">
        <is>
          <t>AMEX</t>
        </is>
      </c>
      <c r="N3489" s="118" t="inlineStr">
        <is>
          <t>RESIDUAL</t>
        </is>
      </c>
      <c r="O3489" s="256" t="n"/>
      <c r="P3489" s="256" t="n"/>
      <c r="Q3489" s="256" t="n"/>
    </row>
    <row r="3490">
      <c r="A3490">
        <f>IF(DAY(D3490)=DAY($L$1+1),A3489+1,A3489)</f>
        <v/>
      </c>
      <c r="B3490" s="111">
        <f>IF(DAY(D3490)=DAY($L$1+1),1,B3489+1)</f>
        <v/>
      </c>
      <c r="C3490" s="111">
        <f>IF(DAY(D3490)=DAY($L$1+1),1,C3489+1)</f>
        <v/>
      </c>
      <c r="D3490" s="112">
        <f>D3489+1</f>
        <v/>
      </c>
      <c r="E3490" s="113">
        <f>IF(DAY(D3490)=DAY($L$1+1),TRUNC((N3489),8),E3489)</f>
        <v/>
      </c>
      <c r="F3490" s="114">
        <f>TRUNC(((1+VLOOKUP(A3490,IPCA!$A$2:$C$140,3,0)))^(C3490/(EDATE(D3490-C3490,1)-(D3490-C3490))),8)</f>
        <v/>
      </c>
      <c r="G3490" s="114">
        <f>TRUNC((E3490*F3490),8)</f>
        <v/>
      </c>
      <c r="H3490" s="114">
        <f>ROUND(((1+$H$4)^(30/360))^(C3490/(EDATE(D3490-B3490,1)-(D3490-B3490))),9)</f>
        <v/>
      </c>
      <c r="I3490" s="114">
        <f>TRUNC((G3490*H3490-G3490),8)</f>
        <v/>
      </c>
      <c r="J3490" s="114">
        <f>G3490+I3490</f>
        <v/>
      </c>
      <c r="K3490" s="119">
        <f>I3490</f>
        <v/>
      </c>
      <c r="L3490" s="120">
        <f>TRUNC(G3490*VLOOKUP(D3490,'Amort TS'!$G$3:$H$140,2,0),8)</f>
        <v/>
      </c>
      <c r="M3490" s="120" t="n">
        <v>0</v>
      </c>
      <c r="N3490" s="120">
        <f>J3490-K3490-L3490-M3490</f>
        <v/>
      </c>
      <c r="O3490" s="256" t="n"/>
      <c r="P3490" s="256" t="n"/>
      <c r="Q3490" s="256" t="n"/>
    </row>
    <row r="3491">
      <c r="A3491">
        <f>IF(DAY(D3491)=DAY($L$1+1),A3490+1,A3490)</f>
        <v/>
      </c>
      <c r="B3491" s="1">
        <f>IF(DAY(D3491)=DAY($L$1+1),1,B3490+1)</f>
        <v/>
      </c>
      <c r="C3491" s="46">
        <f>IF(DAY(D3491)=DAY($L$1+1),1,C3490+1)</f>
        <v/>
      </c>
      <c r="D3491" s="2">
        <f>D3490+1</f>
        <v/>
      </c>
      <c r="E3491" s="8">
        <f>IF(DAY(D3491)=DAY($L$1+1),TRUNC((N3490),8),E3490)</f>
        <v/>
      </c>
      <c r="F3491" s="49">
        <f>TRUNC(((1+VLOOKUP(A3491,IPCA!$A$2:$C$140,3,0)))^(C3491/(EDATE(D3491-C3491,1)-(D3491-C3491))),8)</f>
        <v/>
      </c>
      <c r="G3491" s="4">
        <f>TRUNC((E3491*F3491),8)</f>
        <v/>
      </c>
      <c r="H3491" s="4">
        <f>ROUND(((1+$H$4)^(30/360))^(C3491/(EDATE(D3491-B3491,1)-(D3491-B3491))),9)</f>
        <v/>
      </c>
      <c r="I3491" s="49">
        <f>TRUNC((G3491*H3491-G3491),8)</f>
        <v/>
      </c>
      <c r="J3491" s="4">
        <f>G3491+I3491</f>
        <v/>
      </c>
      <c r="K3491" s="121">
        <f>K3490*L3488</f>
        <v/>
      </c>
      <c r="L3491" s="121">
        <f>L3490*L3488</f>
        <v/>
      </c>
      <c r="M3491" s="121">
        <f>M3490*L3488</f>
        <v/>
      </c>
      <c r="N3491" s="121">
        <f>N3490*L3488</f>
        <v/>
      </c>
      <c r="O3491" s="256" t="n"/>
      <c r="P3491" s="256" t="n"/>
      <c r="Q3491" s="256" t="n"/>
    </row>
    <row r="3492">
      <c r="A3492">
        <f>IF(DAY(D3492)=DAY($L$1+1),A3491+1,A3491)</f>
        <v/>
      </c>
      <c r="B3492" s="46">
        <f>IF(DAY(D3492)=DAY($L$1+1),1,B3491+1)</f>
        <v/>
      </c>
      <c r="C3492" s="46">
        <f>IF(DAY(D3492)=DAY($L$1+1),1,C3491+1)</f>
        <v/>
      </c>
      <c r="D3492" s="2">
        <f>D3491+1</f>
        <v/>
      </c>
      <c r="E3492" s="8">
        <f>IF(DAY(D3492)=DAY($L$1+1),TRUNC((N3491),8),E3491)</f>
        <v/>
      </c>
      <c r="F3492" s="49">
        <f>TRUNC(((1+VLOOKUP(A3492,IPCA!$A$2:$C$140,3,0)))^(C3492/(EDATE(D3492-C3492,1)-(D3492-C3492))),8)</f>
        <v/>
      </c>
      <c r="G3492" s="4">
        <f>TRUNC((E3492*F3492),8)</f>
        <v/>
      </c>
      <c r="H3492" s="4">
        <f>ROUND(((1+$H$4)^(30/360))^(C3492/(EDATE(D3492-B3492,1)-(D3492-B3492))),9)</f>
        <v/>
      </c>
      <c r="I3492" s="49">
        <f>TRUNC((G3492*H3492-G3492),8)</f>
        <v/>
      </c>
      <c r="J3492" s="4">
        <f>G3492+I3492</f>
        <v/>
      </c>
      <c r="K3492" s="256" t="n"/>
      <c r="L3492" s="256" t="n"/>
      <c r="M3492" s="256" t="n"/>
      <c r="N3492" s="256" t="n"/>
      <c r="O3492" s="256" t="n"/>
      <c r="P3492" s="256" t="n"/>
      <c r="Q3492" s="256" t="n"/>
    </row>
    <row r="3493">
      <c r="A3493">
        <f>IF(DAY(D3493)=DAY($L$1+1),A3492+1,A3492)</f>
        <v/>
      </c>
      <c r="B3493" s="46">
        <f>IF(DAY(D3493)=DAY($L$1+1),1,B3492+1)</f>
        <v/>
      </c>
      <c r="C3493" s="46">
        <f>IF(DAY(D3493)=DAY($L$1+1),1,C3492+1)</f>
        <v/>
      </c>
      <c r="D3493" s="47">
        <f>D3492+1</f>
        <v/>
      </c>
      <c r="E3493" s="8">
        <f>IF(DAY(D3493)=DAY($L$1+1),TRUNC((#REF!),8),E3492)</f>
        <v/>
      </c>
      <c r="F3493" s="49">
        <f>TRUNC(((1+VLOOKUP(A3493,IPCA!$A$2:$C$140,3,0)))^(C3493/(EDATE(D3493-C3493,1)-(D3493-C3493))),8)</f>
        <v/>
      </c>
      <c r="G3493" s="4">
        <f>TRUNC((E3493*F3493),8)</f>
        <v/>
      </c>
      <c r="H3493" s="4">
        <f>ROUND(((1+$H$4)^(30/360))^(C3493/(EDATE(D3493-B3493,1)-(D3493-B3493))),9)</f>
        <v/>
      </c>
      <c r="I3493" s="49">
        <f>TRUNC((G3493*H3493-G3493),8)</f>
        <v/>
      </c>
      <c r="J3493" s="4">
        <f>G3493+I3493</f>
        <v/>
      </c>
      <c r="K3493" s="256" t="n"/>
      <c r="L3493" s="256" t="n"/>
      <c r="M3493" s="256" t="n"/>
      <c r="N3493" s="256" t="n"/>
      <c r="O3493" s="256" t="n"/>
      <c r="P3493" s="256" t="n"/>
      <c r="Q3493" s="256" t="n"/>
    </row>
    <row r="3494">
      <c r="A3494">
        <f>IF(DAY(D3494)=DAY($L$1+1),A3493+1,A3493)</f>
        <v/>
      </c>
      <c r="B3494" s="1">
        <f>IF(DAY(D3494)=DAY($L$1+1),1,B3493+1)</f>
        <v/>
      </c>
      <c r="C3494" s="1">
        <f>IF(DAY(D3494)=DAY($L$1+1),1,C3493+1)</f>
        <v/>
      </c>
      <c r="D3494" s="2">
        <f>D3493+1</f>
        <v/>
      </c>
      <c r="E3494" s="8">
        <f>IF(DAY(D3494)=DAY($L$1+1),TRUNC((#REF!),8),E3493)</f>
        <v/>
      </c>
      <c r="F3494" s="49">
        <f>TRUNC(((1+VLOOKUP(A3494,IPCA!$A$2:$C$140,3,0)))^(C3494/(EDATE(D3494-C3494,1)-(D3494-C3494))),8)</f>
        <v/>
      </c>
      <c r="G3494" s="4">
        <f>TRUNC((E3494*F3494),8)</f>
        <v/>
      </c>
      <c r="H3494" s="4">
        <f>ROUND(((1+$H$4)^(30/360))^(C3494/(EDATE(D3494-B3494,1)-(D3494-B3494))),9)</f>
        <v/>
      </c>
      <c r="I3494" s="49">
        <f>TRUNC((G3494*H3494-G3494),8)</f>
        <v/>
      </c>
      <c r="J3494" s="4">
        <f>G3494+I3494</f>
        <v/>
      </c>
      <c r="K3494" s="256" t="n"/>
      <c r="L3494" s="256" t="n"/>
      <c r="M3494" s="256" t="n"/>
      <c r="N3494" s="256" t="n"/>
      <c r="O3494" s="256" t="n"/>
      <c r="P3494" s="256" t="n"/>
      <c r="Q3494" s="256" t="n"/>
    </row>
    <row r="3495">
      <c r="A3495">
        <f>IF(DAY(D3495)=DAY($L$1+1),A3494+1,A3494)</f>
        <v/>
      </c>
      <c r="B3495" s="46">
        <f>IF(DAY(D3495)=DAY($L$1+1),1,B3494+1)</f>
        <v/>
      </c>
      <c r="C3495" s="46">
        <f>IF(DAY(D3495)=DAY($L$1+1),1,C3494+1)</f>
        <v/>
      </c>
      <c r="D3495" s="2">
        <f>D3494+1</f>
        <v/>
      </c>
      <c r="E3495" s="8">
        <f>IF(DAY(D3495)=DAY($L$1+1),TRUNC((#REF!),8),E3494)</f>
        <v/>
      </c>
      <c r="F3495" s="49">
        <f>TRUNC(((1+VLOOKUP(A3495,IPCA!$A$2:$C$140,3,0)))^(C3495/(EDATE(D3495-C3495,1)-(D3495-C3495))),8)</f>
        <v/>
      </c>
      <c r="G3495" s="4">
        <f>TRUNC((E3495*F3495),8)</f>
        <v/>
      </c>
      <c r="H3495" s="4">
        <f>ROUND(((1+$H$4)^(30/360))^(C3495/(EDATE(D3495-B3495,1)-(D3495-B3495))),9)</f>
        <v/>
      </c>
      <c r="I3495" s="49">
        <f>TRUNC((G3495*H3495-G3495),8)</f>
        <v/>
      </c>
      <c r="J3495" s="4">
        <f>G3495+I3495</f>
        <v/>
      </c>
      <c r="K3495" s="256" t="n"/>
      <c r="L3495" s="256" t="n"/>
      <c r="M3495" s="256" t="n"/>
      <c r="N3495" s="256" t="n"/>
      <c r="O3495" s="256" t="n"/>
      <c r="P3495" s="256" t="n"/>
      <c r="Q3495" s="256" t="n"/>
    </row>
    <row r="3496">
      <c r="A3496">
        <f>IF(DAY(D3496)=DAY($L$1+1),A3495+1,A3495)</f>
        <v/>
      </c>
      <c r="B3496" s="1">
        <f>IF(DAY(D3496)=DAY($L$1+1),1,B3495+1)</f>
        <v/>
      </c>
      <c r="C3496" s="1">
        <f>IF(DAY(D3496)=DAY($L$1+1),1,C3495+1)</f>
        <v/>
      </c>
      <c r="D3496" s="2">
        <f>D3495+1</f>
        <v/>
      </c>
      <c r="E3496" s="8">
        <f>IF(DAY(D3496)=DAY($L$1+1),TRUNC((#REF!),8),E3495)</f>
        <v/>
      </c>
      <c r="F3496" s="49">
        <f>TRUNC(((1+VLOOKUP(A3496,IPCA!$A$2:$C$140,3,0)))^(C3496/(EDATE(D3496-C3496,1)-(D3496-C3496))),8)</f>
        <v/>
      </c>
      <c r="G3496" s="4">
        <f>TRUNC((E3496*F3496),8)</f>
        <v/>
      </c>
      <c r="H3496" s="4">
        <f>ROUND(((1+$H$4)^(30/360))^(C3496/(EDATE(D3496-B3496,1)-(D3496-B3496))),9)</f>
        <v/>
      </c>
      <c r="I3496" s="49">
        <f>TRUNC((G3496*H3496-G3496),8)</f>
        <v/>
      </c>
      <c r="J3496" s="4">
        <f>G3496+I3496</f>
        <v/>
      </c>
      <c r="K3496" s="256" t="n"/>
      <c r="L3496" s="256" t="n"/>
      <c r="M3496" s="256" t="n"/>
      <c r="N3496" s="256" t="n"/>
      <c r="O3496" s="256" t="n"/>
      <c r="P3496" s="256" t="n"/>
      <c r="Q3496" s="256" t="n"/>
    </row>
    <row r="3497">
      <c r="A3497">
        <f>IF(DAY(D3497)=DAY($L$1+1),A3496+1,A3496)</f>
        <v/>
      </c>
      <c r="B3497" s="46">
        <f>IF(DAY(D3497)=DAY($L$1+1),1,B3496+1)</f>
        <v/>
      </c>
      <c r="C3497" s="46">
        <f>IF(DAY(D3497)=DAY($L$1+1),1,C3496+1)</f>
        <v/>
      </c>
      <c r="D3497" s="2">
        <f>D3496+1</f>
        <v/>
      </c>
      <c r="E3497" s="8">
        <f>IF(DAY(D3497)=DAY($L$1+1),TRUNC((#REF!),8),E3496)</f>
        <v/>
      </c>
      <c r="F3497" s="49">
        <f>TRUNC(((1+VLOOKUP(A3497,IPCA!$A$2:$C$140,3,0)))^(C3497/(EDATE(D3497-C3497,1)-(D3497-C3497))),8)</f>
        <v/>
      </c>
      <c r="G3497" s="4">
        <f>TRUNC((E3497*F3497),8)</f>
        <v/>
      </c>
      <c r="H3497" s="4">
        <f>ROUND(((1+$H$4)^(30/360))^(C3497/(EDATE(D3497-B3497,1)-(D3497-B3497))),9)</f>
        <v/>
      </c>
      <c r="I3497" s="49">
        <f>TRUNC((G3497*H3497-G3497),8)</f>
        <v/>
      </c>
      <c r="J3497" s="4">
        <f>G3497+I3497</f>
        <v/>
      </c>
      <c r="K3497" s="256" t="n"/>
      <c r="L3497" s="256" t="n"/>
      <c r="M3497" s="256" t="n"/>
      <c r="N3497" s="256" t="n"/>
      <c r="O3497" s="256" t="n"/>
      <c r="P3497" s="256" t="n"/>
      <c r="Q3497" s="256" t="n"/>
    </row>
    <row r="3498">
      <c r="A3498">
        <f>IF(DAY(D3498)=DAY($L$1+1),A3497+1,A3497)</f>
        <v/>
      </c>
      <c r="B3498" s="1">
        <f>IF(DAY(D3498)=DAY($L$1+1),1,B3497+1)</f>
        <v/>
      </c>
      <c r="C3498" s="1">
        <f>IF(DAY(D3498)=DAY($L$1+1),1,C3497+1)</f>
        <v/>
      </c>
      <c r="D3498" s="2">
        <f>D3497+1</f>
        <v/>
      </c>
      <c r="E3498" s="8">
        <f>IF(DAY(D3498)=DAY($L$1+1),TRUNC((#REF!),8),E3497)</f>
        <v/>
      </c>
      <c r="F3498" s="49">
        <f>TRUNC(((1+VLOOKUP(A3498,IPCA!$A$2:$C$140,3,0)))^(C3498/(EDATE(D3498-C3498,1)-(D3498-C3498))),8)</f>
        <v/>
      </c>
      <c r="G3498" s="4">
        <f>TRUNC((E3498*F3498),8)</f>
        <v/>
      </c>
      <c r="H3498" s="4">
        <f>ROUND(((1+$H$4)^(30/360))^(C3498/(EDATE(D3498-B3498,1)-(D3498-B3498))),9)</f>
        <v/>
      </c>
      <c r="I3498" s="49">
        <f>TRUNC((G3498*H3498-G3498),8)</f>
        <v/>
      </c>
      <c r="J3498" s="4">
        <f>G3498+I3498</f>
        <v/>
      </c>
      <c r="K3498" s="256" t="n"/>
      <c r="L3498" s="256" t="n"/>
      <c r="M3498" s="256" t="n"/>
      <c r="N3498" s="256" t="n"/>
      <c r="O3498" s="256" t="n"/>
      <c r="P3498" s="256" t="n"/>
      <c r="Q3498" s="256" t="n"/>
    </row>
    <row r="3499">
      <c r="A3499">
        <f>IF(DAY(D3499)=DAY($L$1+1),A3498+1,A3498)</f>
        <v/>
      </c>
      <c r="B3499" s="46">
        <f>IF(DAY(D3499)=DAY($L$1+1),1,B3498+1)</f>
        <v/>
      </c>
      <c r="C3499" s="46">
        <f>IF(DAY(D3499)=DAY($L$1+1),1,C3498+1)</f>
        <v/>
      </c>
      <c r="D3499" s="2">
        <f>D3498+1</f>
        <v/>
      </c>
      <c r="E3499" s="8">
        <f>IF(DAY(D3499)=DAY($L$1+1),TRUNC((#REF!),8),E3498)</f>
        <v/>
      </c>
      <c r="F3499" s="49">
        <f>TRUNC(((1+VLOOKUP(A3499,IPCA!$A$2:$C$140,3,0)))^(C3499/(EDATE(D3499-C3499,1)-(D3499-C3499))),8)</f>
        <v/>
      </c>
      <c r="G3499" s="4">
        <f>TRUNC((E3499*F3499),8)</f>
        <v/>
      </c>
      <c r="H3499" s="4">
        <f>ROUND(((1+$H$4)^(30/360))^(C3499/(EDATE(D3499-B3499,1)-(D3499-B3499))),9)</f>
        <v/>
      </c>
      <c r="I3499" s="49">
        <f>TRUNC((G3499*H3499-G3499),8)</f>
        <v/>
      </c>
      <c r="J3499" s="4">
        <f>G3499+I3499</f>
        <v/>
      </c>
      <c r="K3499" s="256" t="n"/>
      <c r="L3499" s="256" t="n"/>
      <c r="M3499" s="256" t="n"/>
      <c r="N3499" s="256" t="n"/>
      <c r="O3499" s="256" t="n"/>
      <c r="P3499" s="256" t="n"/>
      <c r="Q3499" s="256" t="n"/>
    </row>
    <row r="3500">
      <c r="A3500">
        <f>IF(DAY(D3500)=DAY($L$1+1),A3499+1,A3499)</f>
        <v/>
      </c>
      <c r="B3500" s="1">
        <f>IF(DAY(D3500)=DAY($L$1+1),1,B3499+1)</f>
        <v/>
      </c>
      <c r="C3500" s="1">
        <f>IF(DAY(D3500)=DAY($L$1+1),1,C3499+1)</f>
        <v/>
      </c>
      <c r="D3500" s="2">
        <f>D3499+1</f>
        <v/>
      </c>
      <c r="E3500" s="8">
        <f>IF(DAY(D3500)=DAY($L$1+1),TRUNC((#REF!),8),E3499)</f>
        <v/>
      </c>
      <c r="F3500" s="49">
        <f>TRUNC(((1+VLOOKUP(A3500,IPCA!$A$2:$C$140,3,0)))^(C3500/(EDATE(D3500-C3500,1)-(D3500-C3500))),8)</f>
        <v/>
      </c>
      <c r="G3500" s="4">
        <f>TRUNC((E3500*F3500),8)</f>
        <v/>
      </c>
      <c r="H3500" s="4">
        <f>ROUND(((1+$H$4)^(30/360))^(C3500/(EDATE(D3500-B3500,1)-(D3500-B3500))),9)</f>
        <v/>
      </c>
      <c r="I3500" s="49">
        <f>TRUNC((G3500*H3500-G3500),8)</f>
        <v/>
      </c>
      <c r="J3500" s="4">
        <f>G3500+I3500</f>
        <v/>
      </c>
      <c r="K3500" s="256" t="n"/>
      <c r="L3500" s="256" t="n"/>
      <c r="M3500" s="256" t="n"/>
      <c r="N3500" s="256" t="n"/>
      <c r="O3500" s="256" t="n"/>
      <c r="P3500" s="256" t="n"/>
      <c r="Q3500" s="256" t="n"/>
    </row>
    <row r="3501">
      <c r="A3501">
        <f>IF(DAY(D3501)=DAY($L$1+1),A3500+1,A3500)</f>
        <v/>
      </c>
      <c r="B3501" s="46">
        <f>IF(DAY(D3501)=DAY($L$1+1),1,B3500+1)</f>
        <v/>
      </c>
      <c r="C3501" s="46">
        <f>IF(DAY(D3501)=DAY($L$1+1),1,C3500+1)</f>
        <v/>
      </c>
      <c r="D3501" s="2">
        <f>D3500+1</f>
        <v/>
      </c>
      <c r="E3501" s="8">
        <f>IF(DAY(D3501)=DAY($L$1+1),TRUNC((#REF!),8),E3500)</f>
        <v/>
      </c>
      <c r="F3501" s="49">
        <f>TRUNC(((1+VLOOKUP(A3501,IPCA!$A$2:$C$140,3,0)))^(C3501/(EDATE(D3501-C3501,1)-(D3501-C3501))),8)</f>
        <v/>
      </c>
      <c r="G3501" s="4">
        <f>TRUNC((E3501*F3501),8)</f>
        <v/>
      </c>
      <c r="H3501" s="4">
        <f>ROUND(((1+$H$4)^(30/360))^(C3501/(EDATE(D3501-B3501,1)-(D3501-B3501))),9)</f>
        <v/>
      </c>
      <c r="I3501" s="49">
        <f>TRUNC((G3501*H3501-G3501),8)</f>
        <v/>
      </c>
      <c r="J3501" s="4">
        <f>G3501+I3501</f>
        <v/>
      </c>
      <c r="K3501" s="256" t="n"/>
      <c r="L3501" s="256" t="n"/>
      <c r="M3501" s="256" t="n"/>
      <c r="N3501" s="256" t="n"/>
      <c r="O3501" s="256" t="n"/>
      <c r="P3501" s="256" t="n"/>
      <c r="Q3501" s="256" t="n"/>
    </row>
    <row r="3502">
      <c r="A3502">
        <f>IF(DAY(D3502)=DAY($L$1+1),A3501+1,A3501)</f>
        <v/>
      </c>
      <c r="B3502" s="1">
        <f>IF(DAY(D3502)=DAY($L$1+1),1,B3501+1)</f>
        <v/>
      </c>
      <c r="C3502" s="1">
        <f>IF(DAY(D3502)=DAY($L$1+1),1,C3501+1)</f>
        <v/>
      </c>
      <c r="D3502" s="2">
        <f>D3501+1</f>
        <v/>
      </c>
      <c r="E3502" s="8">
        <f>IF(DAY(D3502)=DAY($L$1+1),TRUNC((#REF!),8),E3501)</f>
        <v/>
      </c>
      <c r="F3502" s="49">
        <f>TRUNC(((1+VLOOKUP(A3502,IPCA!$A$2:$C$140,3,0)))^(C3502/(EDATE(D3502-C3502,1)-(D3502-C3502))),8)</f>
        <v/>
      </c>
      <c r="G3502" s="4">
        <f>TRUNC((E3502*F3502),8)</f>
        <v/>
      </c>
      <c r="H3502" s="4">
        <f>ROUND(((1+$H$4)^(30/360))^(C3502/(EDATE(D3502-B3502,1)-(D3502-B3502))),9)</f>
        <v/>
      </c>
      <c r="I3502" s="49">
        <f>TRUNC((G3502*H3502-G3502),8)</f>
        <v/>
      </c>
      <c r="J3502" s="4">
        <f>G3502+I3502</f>
        <v/>
      </c>
      <c r="K3502" s="256" t="n"/>
      <c r="L3502" s="256" t="n"/>
      <c r="M3502" s="256" t="n"/>
      <c r="N3502" s="256" t="n"/>
      <c r="O3502" s="256" t="n"/>
      <c r="P3502" s="256" t="n"/>
      <c r="Q3502" s="256" t="n"/>
    </row>
    <row r="3503">
      <c r="A3503">
        <f>IF(DAY(D3503)=DAY($L$1+1),A3502+1,A3502)</f>
        <v/>
      </c>
      <c r="B3503" s="46">
        <f>IF(DAY(D3503)=DAY($L$1+1),1,B3502+1)</f>
        <v/>
      </c>
      <c r="C3503" s="46">
        <f>IF(DAY(D3503)=DAY($L$1+1),1,C3502+1)</f>
        <v/>
      </c>
      <c r="D3503" s="2">
        <f>D3502+1</f>
        <v/>
      </c>
      <c r="E3503" s="8">
        <f>IF(DAY(D3503)=DAY($L$1+1),TRUNC((#REF!),8),E3502)</f>
        <v/>
      </c>
      <c r="F3503" s="49">
        <f>TRUNC(((1+VLOOKUP(A3503,IPCA!$A$2:$C$140,3,0)))^(C3503/(EDATE(D3503-C3503,1)-(D3503-C3503))),8)</f>
        <v/>
      </c>
      <c r="G3503" s="4">
        <f>TRUNC((E3503*F3503),8)</f>
        <v/>
      </c>
      <c r="H3503" s="4">
        <f>ROUND(((1+$H$4)^(30/360))^(C3503/(EDATE(D3503-B3503,1)-(D3503-B3503))),9)</f>
        <v/>
      </c>
      <c r="I3503" s="49">
        <f>TRUNC((G3503*H3503-G3503),8)</f>
        <v/>
      </c>
      <c r="J3503" s="4">
        <f>G3503+I3503</f>
        <v/>
      </c>
      <c r="K3503" s="256" t="n"/>
      <c r="L3503" s="256" t="n"/>
      <c r="M3503" s="256" t="n"/>
      <c r="N3503" s="256" t="n"/>
      <c r="O3503" s="256" t="n"/>
      <c r="P3503" s="256" t="n"/>
      <c r="Q3503" s="256" t="n"/>
    </row>
    <row r="3504">
      <c r="A3504">
        <f>IF(DAY(D3504)=DAY($L$1+1),A3503+1,A3503)</f>
        <v/>
      </c>
      <c r="B3504" s="1">
        <f>IF(DAY(D3504)=DAY($L$1+1),1,B3503+1)</f>
        <v/>
      </c>
      <c r="C3504" s="1">
        <f>IF(DAY(D3504)=DAY($L$1+1),1,C3503+1)</f>
        <v/>
      </c>
      <c r="D3504" s="2">
        <f>D3503+1</f>
        <v/>
      </c>
      <c r="E3504" s="8">
        <f>IF(DAY(D3504)=DAY($L$1+1),TRUNC((#REF!),8),E3503)</f>
        <v/>
      </c>
      <c r="F3504" s="49">
        <f>TRUNC(((1+VLOOKUP(A3504,IPCA!$A$2:$C$140,3,0)))^(C3504/(EDATE(D3504-C3504,1)-(D3504-C3504))),8)</f>
        <v/>
      </c>
      <c r="G3504" s="4">
        <f>TRUNC((E3504*F3504),8)</f>
        <v/>
      </c>
      <c r="H3504" s="4">
        <f>ROUND(((1+$H$4)^(30/360))^(C3504/(EDATE(D3504-B3504,1)-(D3504-B3504))),9)</f>
        <v/>
      </c>
      <c r="I3504" s="49">
        <f>TRUNC((G3504*H3504-G3504),8)</f>
        <v/>
      </c>
      <c r="J3504" s="4">
        <f>G3504+I3504</f>
        <v/>
      </c>
      <c r="K3504" s="256" t="n"/>
      <c r="L3504" s="256" t="n"/>
      <c r="M3504" s="256" t="n"/>
      <c r="N3504" s="256" t="n"/>
      <c r="O3504" s="256" t="n"/>
      <c r="P3504" s="256" t="n"/>
      <c r="Q3504" s="256" t="n"/>
    </row>
    <row r="3505">
      <c r="A3505">
        <f>IF(DAY(D3505)=DAY($L$1+1),A3504+1,A3504)</f>
        <v/>
      </c>
      <c r="B3505" s="46">
        <f>IF(DAY(D3505)=DAY($L$1+1),1,B3504+1)</f>
        <v/>
      </c>
      <c r="C3505" s="46">
        <f>IF(DAY(D3505)=DAY($L$1+1),1,C3504+1)</f>
        <v/>
      </c>
      <c r="D3505" s="2">
        <f>D3504+1</f>
        <v/>
      </c>
      <c r="E3505" s="8">
        <f>IF(DAY(D3505)=DAY($L$1+1),TRUNC((N3504),8),E3504)</f>
        <v/>
      </c>
      <c r="F3505" s="49">
        <f>TRUNC(((1+VLOOKUP(A3505,IPCA!$A$2:$C$140,3,0)))^(C3505/(EDATE(D3505-C3505,1)-(D3505-C3505))),8)</f>
        <v/>
      </c>
      <c r="G3505" s="4">
        <f>TRUNC((E3505*F3505),8)</f>
        <v/>
      </c>
      <c r="H3505" s="4">
        <f>ROUND(((1+$H$4)^(30/360))^(C3505/(EDATE(D3505-B3505,1)-(D3505-B3505))),9)</f>
        <v/>
      </c>
      <c r="I3505" s="49">
        <f>TRUNC((G3505*H3505-G3505),8)</f>
        <v/>
      </c>
      <c r="J3505" s="4">
        <f>G3505+I3505</f>
        <v/>
      </c>
      <c r="K3505" s="256" t="n"/>
      <c r="L3505" s="256" t="n"/>
      <c r="M3505" s="256" t="n"/>
      <c r="N3505" s="256" t="n"/>
      <c r="O3505" s="256" t="n"/>
      <c r="P3505" s="256" t="n"/>
      <c r="Q3505" s="256" t="n"/>
    </row>
    <row r="3506">
      <c r="A3506">
        <f>IF(DAY(D3506)=DAY($L$1+1),A3505+1,A3505)</f>
        <v/>
      </c>
      <c r="B3506" s="1">
        <f>IF(DAY(D3506)=DAY($L$1+1),1,B3505+1)</f>
        <v/>
      </c>
      <c r="C3506" s="1">
        <f>IF(DAY(D3506)=DAY($L$1+1),1,C3505+1)</f>
        <v/>
      </c>
      <c r="D3506" s="2">
        <f>D3505+1</f>
        <v/>
      </c>
      <c r="E3506" s="8">
        <f>IF(DAY(D3506)=DAY($L$1+1),TRUNC((N3505),8),E3505)</f>
        <v/>
      </c>
      <c r="F3506" s="49">
        <f>TRUNC(((1+VLOOKUP(A3506,IPCA!$A$2:$C$140,3,0)))^(C3506/(EDATE(D3506-C3506,1)-(D3506-C3506))),8)</f>
        <v/>
      </c>
      <c r="G3506" s="4">
        <f>TRUNC((E3506*F3506),8)</f>
        <v/>
      </c>
      <c r="H3506" s="4">
        <f>ROUND(((1+$H$4)^(30/360))^(C3506/(EDATE(D3506-B3506,1)-(D3506-B3506))),9)</f>
        <v/>
      </c>
      <c r="I3506" s="49">
        <f>TRUNC((G3506*H3506-G3506),8)</f>
        <v/>
      </c>
      <c r="J3506" s="4">
        <f>G3506+I3506</f>
        <v/>
      </c>
      <c r="K3506" s="256" t="n"/>
      <c r="L3506" s="256" t="n"/>
      <c r="M3506" s="256" t="n"/>
      <c r="N3506" s="256" t="n"/>
      <c r="O3506" s="256" t="n"/>
      <c r="P3506" s="256" t="n"/>
      <c r="Q3506" s="256" t="n"/>
    </row>
    <row r="3507">
      <c r="A3507">
        <f>IF(DAY(D3507)=DAY($L$1+1),A3506+1,A3506)</f>
        <v/>
      </c>
      <c r="B3507" s="46">
        <f>IF(DAY(D3507)=DAY($L$1+1),1,B3506+1)</f>
        <v/>
      </c>
      <c r="C3507" s="46">
        <f>IF(DAY(D3507)=DAY($L$1+1),1,C3506+1)</f>
        <v/>
      </c>
      <c r="D3507" s="2">
        <f>D3506+1</f>
        <v/>
      </c>
      <c r="E3507" s="8">
        <f>IF(DAY(D3507)=DAY($L$1+1),TRUNC((N3506),8),E3506)</f>
        <v/>
      </c>
      <c r="F3507" s="49">
        <f>TRUNC(((1+VLOOKUP(A3507,IPCA!$A$2:$C$140,3,0)))^(C3507/(EDATE(D3507-C3507,1)-(D3507-C3507))),8)</f>
        <v/>
      </c>
      <c r="G3507" s="4">
        <f>TRUNC((E3507*F3507),8)</f>
        <v/>
      </c>
      <c r="H3507" s="4">
        <f>ROUND(((1+$H$4)^(30/360))^(C3507/(EDATE(D3507-B3507,1)-(D3507-B3507))),9)</f>
        <v/>
      </c>
      <c r="I3507" s="49">
        <f>TRUNC((G3507*H3507-G3507),8)</f>
        <v/>
      </c>
      <c r="J3507" s="4">
        <f>G3507+I3507</f>
        <v/>
      </c>
      <c r="K3507" s="256" t="n"/>
      <c r="L3507" s="256" t="n"/>
      <c r="M3507" s="256" t="n"/>
      <c r="N3507" s="256" t="n"/>
      <c r="O3507" s="256" t="n"/>
      <c r="P3507" s="256" t="n"/>
      <c r="Q3507" s="256" t="n"/>
    </row>
    <row r="3508">
      <c r="A3508">
        <f>IF(DAY(D3508)=DAY($L$1+1),A3507+1,A3507)</f>
        <v/>
      </c>
      <c r="B3508" s="1">
        <f>IF(DAY(D3508)=DAY($L$1+1),1,B3507+1)</f>
        <v/>
      </c>
      <c r="C3508" s="1">
        <f>IF(DAY(D3508)=DAY($L$1+1),1,C3507+1)</f>
        <v/>
      </c>
      <c r="D3508" s="2">
        <f>D3507+1</f>
        <v/>
      </c>
      <c r="E3508" s="8">
        <f>IF(DAY(D3508)=DAY($L$1+1),TRUNC((N3507),8),E3507)</f>
        <v/>
      </c>
      <c r="F3508" s="49">
        <f>TRUNC(((1+VLOOKUP(A3508,IPCA!$A$2:$C$140,3,0)))^(C3508/(EDATE(D3508-C3508,1)-(D3508-C3508))),8)</f>
        <v/>
      </c>
      <c r="G3508" s="4">
        <f>TRUNC((E3508*F3508),8)</f>
        <v/>
      </c>
      <c r="H3508" s="4">
        <f>ROUND(((1+$H$4)^(30/360))^(C3508/(EDATE(D3508-B3508,1)-(D3508-B3508))),9)</f>
        <v/>
      </c>
      <c r="I3508" s="49">
        <f>TRUNC((G3508*H3508-G3508),8)</f>
        <v/>
      </c>
      <c r="J3508" s="4">
        <f>G3508+I3508</f>
        <v/>
      </c>
      <c r="K3508" s="256" t="n"/>
      <c r="L3508" s="256" t="n"/>
      <c r="M3508" s="256" t="n"/>
      <c r="N3508" s="256" t="n"/>
      <c r="O3508" s="256" t="n"/>
      <c r="P3508" s="256" t="n"/>
      <c r="Q3508" s="256" t="n"/>
    </row>
    <row r="3509">
      <c r="A3509">
        <f>IF(DAY(D3509)=DAY($L$1+1),A3508+1,A3508)</f>
        <v/>
      </c>
      <c r="B3509" s="46">
        <f>IF(DAY(D3509)=DAY($L$1+1),1,B3508+1)</f>
        <v/>
      </c>
      <c r="C3509" s="46">
        <f>IF(DAY(D3509)=DAY($L$1+1),1,C3508+1)</f>
        <v/>
      </c>
      <c r="D3509" s="2">
        <f>D3508+1</f>
        <v/>
      </c>
      <c r="E3509" s="8">
        <f>IF(DAY(D3509)=DAY($L$1+1),TRUNC((N3508),8),E3508)</f>
        <v/>
      </c>
      <c r="F3509" s="49">
        <f>TRUNC(((1+VLOOKUP(A3509,IPCA!$A$2:$C$140,3,0)))^(C3509/(EDATE(D3509-C3509,1)-(D3509-C3509))),8)</f>
        <v/>
      </c>
      <c r="G3509" s="4">
        <f>TRUNC((E3509*F3509),8)</f>
        <v/>
      </c>
      <c r="H3509" s="4">
        <f>ROUND(((1+$H$4)^(30/360))^(C3509/(EDATE(D3509-B3509,1)-(D3509-B3509))),9)</f>
        <v/>
      </c>
      <c r="I3509" s="49">
        <f>TRUNC((G3509*H3509-G3509),8)</f>
        <v/>
      </c>
      <c r="J3509" s="4">
        <f>G3509+I3509</f>
        <v/>
      </c>
      <c r="K3509" s="256" t="n"/>
      <c r="L3509" s="256" t="n"/>
      <c r="M3509" s="256" t="n"/>
      <c r="N3509" s="256" t="n"/>
      <c r="O3509" s="256" t="n"/>
      <c r="P3509" s="256" t="n"/>
      <c r="Q3509" s="256" t="n"/>
    </row>
    <row r="3510">
      <c r="A3510">
        <f>IF(DAY(D3510)=DAY($L$1+1),A3509+1,A3509)</f>
        <v/>
      </c>
      <c r="B3510" s="1">
        <f>IF(DAY(D3510)=DAY($L$1+1),1,B3509+1)</f>
        <v/>
      </c>
      <c r="C3510" s="1">
        <f>IF(DAY(D3510)=DAY($L$1+1),1,C3509+1)</f>
        <v/>
      </c>
      <c r="D3510" s="2">
        <f>D3509+1</f>
        <v/>
      </c>
      <c r="E3510" s="8">
        <f>IF(DAY(D3510)=DAY($L$1+1),TRUNC((N3509),8),E3509)</f>
        <v/>
      </c>
      <c r="F3510" s="49">
        <f>TRUNC(((1+VLOOKUP(A3510,IPCA!$A$2:$C$140,3,0)))^(C3510/(EDATE(D3510-C3510,1)-(D3510-C3510))),8)</f>
        <v/>
      </c>
      <c r="G3510" s="4">
        <f>TRUNC((E3510*F3510),8)</f>
        <v/>
      </c>
      <c r="H3510" s="4">
        <f>ROUND(((1+$H$4)^(30/360))^(C3510/(EDATE(D3510-B3510,1)-(D3510-B3510))),9)</f>
        <v/>
      </c>
      <c r="I3510" s="49">
        <f>TRUNC((G3510*H3510-G3510),8)</f>
        <v/>
      </c>
      <c r="J3510" s="4">
        <f>G3510+I3510</f>
        <v/>
      </c>
      <c r="K3510" s="256" t="n"/>
      <c r="L3510" s="256" t="n"/>
      <c r="M3510" s="256" t="n"/>
      <c r="N3510" s="256" t="n"/>
      <c r="O3510" s="256" t="n"/>
      <c r="P3510" s="256" t="n"/>
      <c r="Q3510" s="256" t="n"/>
    </row>
    <row r="3511">
      <c r="A3511">
        <f>IF(DAY(D3511)=DAY($L$1+1),A3510+1,A3510)</f>
        <v/>
      </c>
      <c r="B3511" s="46">
        <f>IF(DAY(D3511)=DAY($L$1+1),1,B3510+1)</f>
        <v/>
      </c>
      <c r="C3511" s="46">
        <f>IF(DAY(D3511)=DAY($L$1+1),1,C3510+1)</f>
        <v/>
      </c>
      <c r="D3511" s="2">
        <f>D3510+1</f>
        <v/>
      </c>
      <c r="E3511" s="8">
        <f>IF(DAY(D3511)=DAY($L$1+1),TRUNC((N3510),8),E3510)</f>
        <v/>
      </c>
      <c r="F3511" s="49">
        <f>TRUNC(((1+VLOOKUP(A3511,IPCA!$A$2:$C$140,3,0)))^(C3511/(EDATE(D3511-C3511,1)-(D3511-C3511))),8)</f>
        <v/>
      </c>
      <c r="G3511" s="4">
        <f>TRUNC((E3511*F3511),8)</f>
        <v/>
      </c>
      <c r="H3511" s="4">
        <f>ROUND(((1+$H$4)^(30/360))^(C3511/(EDATE(D3511-B3511,1)-(D3511-B3511))),9)</f>
        <v/>
      </c>
      <c r="I3511" s="49">
        <f>TRUNC((G3511*H3511-G3511),8)</f>
        <v/>
      </c>
      <c r="J3511" s="4">
        <f>G3511+I3511</f>
        <v/>
      </c>
      <c r="K3511" s="256" t="n"/>
      <c r="L3511" s="256" t="n"/>
      <c r="M3511" s="256" t="n"/>
      <c r="N3511" s="256" t="n"/>
      <c r="O3511" s="256" t="n"/>
      <c r="P3511" s="256" t="n"/>
      <c r="Q3511" s="256" t="n"/>
    </row>
    <row r="3512">
      <c r="A3512">
        <f>IF(DAY(D3512)=DAY($L$1+1),A3511+1,A3511)</f>
        <v/>
      </c>
      <c r="B3512" s="1">
        <f>IF(DAY(D3512)=DAY($L$1+1),1,B3511+1)</f>
        <v/>
      </c>
      <c r="C3512" s="1">
        <f>IF(DAY(D3512)=DAY($L$1+1),1,C3511+1)</f>
        <v/>
      </c>
      <c r="D3512" s="2">
        <f>D3511+1</f>
        <v/>
      </c>
      <c r="E3512" s="8">
        <f>IF(DAY(D3512)=DAY($L$1+1),TRUNC((N3511),8),E3511)</f>
        <v/>
      </c>
      <c r="F3512" s="49">
        <f>TRUNC(((1+VLOOKUP(A3512,IPCA!$A$2:$C$140,3,0)))^(C3512/(EDATE(D3512-C3512,1)-(D3512-C3512))),8)</f>
        <v/>
      </c>
      <c r="G3512" s="4">
        <f>TRUNC((E3512*F3512),8)</f>
        <v/>
      </c>
      <c r="H3512" s="4">
        <f>ROUND(((1+$H$4)^(30/360))^(C3512/(EDATE(D3512-B3512,1)-(D3512-B3512))),9)</f>
        <v/>
      </c>
      <c r="I3512" s="49">
        <f>TRUNC((G3512*H3512-G3512),8)</f>
        <v/>
      </c>
      <c r="J3512" s="4">
        <f>G3512+I3512</f>
        <v/>
      </c>
      <c r="K3512" s="256" t="n"/>
      <c r="L3512" s="256" t="n"/>
      <c r="M3512" s="256" t="n"/>
      <c r="N3512" s="256" t="n"/>
      <c r="O3512" s="256" t="n"/>
      <c r="P3512" s="256" t="n"/>
      <c r="Q3512" s="256" t="n"/>
    </row>
    <row r="3513">
      <c r="A3513">
        <f>IF(DAY(D3513)=DAY($L$1+1),A3512+1,A3512)</f>
        <v/>
      </c>
      <c r="B3513" s="46">
        <f>IF(DAY(D3513)=DAY($L$1+1),1,B3512+1)</f>
        <v/>
      </c>
      <c r="C3513" s="46">
        <f>IF(DAY(D3513)=DAY($L$1+1),1,C3512+1)</f>
        <v/>
      </c>
      <c r="D3513" s="2">
        <f>D3512+1</f>
        <v/>
      </c>
      <c r="E3513" s="8">
        <f>IF(DAY(D3513)=DAY($L$1+1),TRUNC((N3512),8),E3512)</f>
        <v/>
      </c>
      <c r="F3513" s="49">
        <f>TRUNC(((1+VLOOKUP(A3513,IPCA!$A$2:$C$140,3,0)))^(C3513/(EDATE(D3513-C3513,1)-(D3513-C3513))),8)</f>
        <v/>
      </c>
      <c r="G3513" s="4">
        <f>TRUNC((E3513*F3513),8)</f>
        <v/>
      </c>
      <c r="H3513" s="4">
        <f>ROUND(((1+$H$4)^(30/360))^(C3513/(EDATE(D3513-B3513,1)-(D3513-B3513))),9)</f>
        <v/>
      </c>
      <c r="I3513" s="49">
        <f>TRUNC((G3513*H3513-G3513),8)</f>
        <v/>
      </c>
      <c r="J3513" s="4">
        <f>G3513+I3513</f>
        <v/>
      </c>
      <c r="K3513" s="256" t="n"/>
      <c r="L3513" s="256" t="n"/>
      <c r="M3513" s="256" t="n"/>
      <c r="N3513" s="256" t="n"/>
      <c r="O3513" s="256" t="n"/>
      <c r="P3513" s="256" t="n"/>
      <c r="Q3513" s="256" t="n"/>
    </row>
    <row r="3514">
      <c r="A3514">
        <f>IF(DAY(D3514)=DAY($L$1+1),A3513+1,A3513)</f>
        <v/>
      </c>
      <c r="B3514" s="1">
        <f>IF(DAY(D3514)=DAY($L$1+1),1,B3513+1)</f>
        <v/>
      </c>
      <c r="C3514" s="1">
        <f>IF(DAY(D3514)=DAY($L$1+1),1,C3513+1)</f>
        <v/>
      </c>
      <c r="D3514" s="2">
        <f>D3513+1</f>
        <v/>
      </c>
      <c r="E3514" s="8">
        <f>IF(DAY(D3514)=DAY($L$1+1),TRUNC((N3513),8),E3513)</f>
        <v/>
      </c>
      <c r="F3514" s="49">
        <f>TRUNC(((1+VLOOKUP(A3514,IPCA!$A$2:$C$140,3,0)))^(C3514/(EDATE(D3514-C3514,1)-(D3514-C3514))),8)</f>
        <v/>
      </c>
      <c r="G3514" s="4">
        <f>TRUNC((E3514*F3514),8)</f>
        <v/>
      </c>
      <c r="H3514" s="4">
        <f>ROUND(((1+$H$4)^(30/360))^(C3514/(EDATE(D3514-B3514,1)-(D3514-B3514))),9)</f>
        <v/>
      </c>
      <c r="I3514" s="49">
        <f>TRUNC((G3514*H3514-G3514),8)</f>
        <v/>
      </c>
      <c r="J3514" s="4">
        <f>G3514+I3514</f>
        <v/>
      </c>
      <c r="K3514" s="256" t="n"/>
      <c r="L3514" s="256" t="n"/>
      <c r="M3514" s="256" t="n"/>
      <c r="N3514" s="256" t="n"/>
      <c r="O3514" s="256" t="n"/>
      <c r="P3514" s="256" t="n"/>
      <c r="Q3514" s="256" t="n"/>
    </row>
    <row r="3515">
      <c r="A3515">
        <f>IF(DAY(D3515)=DAY($L$1+1),A3514+1,A3514)</f>
        <v/>
      </c>
      <c r="B3515" s="46">
        <f>IF(DAY(D3515)=DAY($L$1+1),1,B3514+1)</f>
        <v/>
      </c>
      <c r="C3515" s="46">
        <f>IF(DAY(D3515)=DAY($L$1+1),1,C3514+1)</f>
        <v/>
      </c>
      <c r="D3515" s="2">
        <f>D3514+1</f>
        <v/>
      </c>
      <c r="E3515" s="8">
        <f>IF(DAY(D3515)=DAY($L$1+1),TRUNC((N3514),8),E3514)</f>
        <v/>
      </c>
      <c r="F3515" s="49">
        <f>TRUNC(((1+VLOOKUP(A3515,IPCA!$A$2:$C$140,3,0)))^(C3515/(EDATE(D3515-C3515,1)-(D3515-C3515))),8)</f>
        <v/>
      </c>
      <c r="G3515" s="4">
        <f>TRUNC((E3515*F3515),8)</f>
        <v/>
      </c>
      <c r="H3515" s="4">
        <f>ROUND(((1+$H$4)^(30/360))^(C3515/(EDATE(D3515-B3515,1)-(D3515-B3515))),9)</f>
        <v/>
      </c>
      <c r="I3515" s="49">
        <f>TRUNC((G3515*H3515-G3515),8)</f>
        <v/>
      </c>
      <c r="J3515" s="4">
        <f>G3515+I3515</f>
        <v/>
      </c>
      <c r="K3515" s="256" t="n"/>
      <c r="L3515" s="256" t="n"/>
      <c r="M3515" s="256" t="n"/>
      <c r="N3515" s="256" t="n"/>
      <c r="O3515" s="256" t="n"/>
      <c r="P3515" s="256" t="n"/>
      <c r="Q3515" s="256" t="n"/>
    </row>
    <row r="3516">
      <c r="A3516">
        <f>IF(DAY(D3516)=DAY($L$1+1),A3515+1,A3515)</f>
        <v/>
      </c>
      <c r="B3516" s="1">
        <f>IF(DAY(D3516)=DAY($L$1+1),1,B3515+1)</f>
        <v/>
      </c>
      <c r="C3516" s="1">
        <f>IF(DAY(D3516)=DAY($L$1+1),1,C3515+1)</f>
        <v/>
      </c>
      <c r="D3516" s="2">
        <f>D3515+1</f>
        <v/>
      </c>
      <c r="E3516" s="8">
        <f>IF(DAY(D3516)=DAY($L$1+1),TRUNC((N3515),8),E3515)</f>
        <v/>
      </c>
      <c r="F3516" s="49">
        <f>TRUNC(((1+VLOOKUP(A3516,IPCA!$A$2:$C$140,3,0)))^(C3516/(EDATE(D3516-C3516,1)-(D3516-C3516))),8)</f>
        <v/>
      </c>
      <c r="G3516" s="4">
        <f>TRUNC((E3516*F3516),8)</f>
        <v/>
      </c>
      <c r="H3516" s="4">
        <f>ROUND(((1+$H$4)^(30/360))^(C3516/(EDATE(D3516-B3516,1)-(D3516-B3516))),9)</f>
        <v/>
      </c>
      <c r="I3516" s="49">
        <f>TRUNC((G3516*H3516-G3516),8)</f>
        <v/>
      </c>
      <c r="J3516" s="4">
        <f>G3516+I3516</f>
        <v/>
      </c>
      <c r="K3516" s="256" t="n"/>
      <c r="L3516" s="256" t="n"/>
      <c r="M3516" s="256" t="n"/>
      <c r="N3516" s="256" t="n"/>
      <c r="O3516" s="256" t="n"/>
      <c r="P3516" s="256" t="n"/>
      <c r="Q3516" s="256" t="n"/>
    </row>
    <row r="3517">
      <c r="A3517">
        <f>IF(DAY(D3517)=DAY($L$1+1),A3516+1,A3516)</f>
        <v/>
      </c>
      <c r="B3517" s="46">
        <f>IF(DAY(D3517)=DAY($L$1+1),1,B3516+1)</f>
        <v/>
      </c>
      <c r="C3517" s="46">
        <f>IF(DAY(D3517)=DAY($L$1+1),1,C3516+1)</f>
        <v/>
      </c>
      <c r="D3517" s="2">
        <f>D3516+1</f>
        <v/>
      </c>
      <c r="E3517" s="8">
        <f>IF(DAY(D3517)=DAY($L$1+1),TRUNC((N3516),8),E3516)</f>
        <v/>
      </c>
      <c r="F3517" s="49">
        <f>TRUNC(((1+VLOOKUP(A3517,IPCA!$A$2:$C$140,3,0)))^(C3517/(EDATE(D3517-C3517,1)-(D3517-C3517))),8)</f>
        <v/>
      </c>
      <c r="G3517" s="4">
        <f>TRUNC((E3517*F3517),8)</f>
        <v/>
      </c>
      <c r="H3517" s="4">
        <f>ROUND(((1+$H$4)^(30/360))^(C3517/(EDATE(D3517-B3517,1)-(D3517-B3517))),9)</f>
        <v/>
      </c>
      <c r="I3517" s="49">
        <f>TRUNC((G3517*H3517-G3517),8)</f>
        <v/>
      </c>
      <c r="J3517" s="4">
        <f>G3517+I3517</f>
        <v/>
      </c>
      <c r="K3517" s="256" t="n"/>
      <c r="L3517" s="256" t="n"/>
      <c r="M3517" s="256" t="n"/>
      <c r="N3517" s="256" t="n"/>
      <c r="O3517" s="256" t="n"/>
      <c r="P3517" s="256" t="n"/>
      <c r="Q3517" s="256" t="n"/>
    </row>
    <row r="3518">
      <c r="A3518">
        <f>IF(DAY(D3518)=DAY($L$1+1),A3517+1,A3517)</f>
        <v/>
      </c>
      <c r="B3518" s="1">
        <f>IF(DAY(D3518)=DAY($L$1+1),1,B3517+1)</f>
        <v/>
      </c>
      <c r="C3518" s="1">
        <f>IF(DAY(D3518)=DAY($L$1+1),1,C3517+1)</f>
        <v/>
      </c>
      <c r="D3518" s="2">
        <f>D3517+1</f>
        <v/>
      </c>
      <c r="E3518" s="8">
        <f>IF(DAY(D3518)=DAY($L$1+1),TRUNC((N3517),8),E3517)</f>
        <v/>
      </c>
      <c r="F3518" s="49">
        <f>TRUNC(((1+VLOOKUP(A3518,IPCA!$A$2:$C$140,3,0)))^(C3518/(EDATE(D3518-C3518,1)-(D3518-C3518))),8)</f>
        <v/>
      </c>
      <c r="G3518" s="4">
        <f>TRUNC((E3518*F3518),8)</f>
        <v/>
      </c>
      <c r="H3518" s="4">
        <f>ROUND(((1+$H$4)^(30/360))^(C3518/(EDATE(D3518-B3518,1)-(D3518-B3518))),9)</f>
        <v/>
      </c>
      <c r="I3518" s="49">
        <f>TRUNC((G3518*H3518-G3518),8)</f>
        <v/>
      </c>
      <c r="J3518" s="4">
        <f>G3518+I3518</f>
        <v/>
      </c>
      <c r="K3518" s="256" t="n"/>
      <c r="L3518" s="256" t="n"/>
      <c r="M3518" s="256" t="n"/>
      <c r="N3518" s="256" t="n"/>
      <c r="O3518" s="256" t="n"/>
      <c r="P3518" s="256" t="n"/>
      <c r="Q3518" s="256" t="n"/>
    </row>
    <row r="3519">
      <c r="A3519">
        <f>IF(DAY(D3519)=DAY($L$1+1),A3518+1,A3518)</f>
        <v/>
      </c>
      <c r="B3519" s="46">
        <f>IF(DAY(D3519)=DAY($L$1+1),1,B3518+1)</f>
        <v/>
      </c>
      <c r="C3519" s="46">
        <f>IF(DAY(D3519)=DAY($L$1+1),1,C3518+1)</f>
        <v/>
      </c>
      <c r="D3519" s="2">
        <f>D3518+1</f>
        <v/>
      </c>
      <c r="E3519" s="8">
        <f>IF(DAY(D3519)=DAY($L$1+1),TRUNC((N3518),8),E3518)</f>
        <v/>
      </c>
      <c r="F3519" s="49">
        <f>TRUNC(((1+VLOOKUP(A3519,IPCA!$A$2:$C$140,3,0)))^(C3519/(EDATE(D3519-C3519,1)-(D3519-C3519))),8)</f>
        <v/>
      </c>
      <c r="G3519" s="4">
        <f>TRUNC((E3519*F3519),8)</f>
        <v/>
      </c>
      <c r="H3519" s="4">
        <f>ROUND(((1+$H$4)^(30/360))^(C3519/(EDATE(D3519-B3519,1)-(D3519-B3519))),9)</f>
        <v/>
      </c>
      <c r="I3519" s="49">
        <f>TRUNC((G3519*H3519-G3519),8)</f>
        <v/>
      </c>
      <c r="J3519" s="4">
        <f>G3519+I3519</f>
        <v/>
      </c>
      <c r="K3519" s="256" t="inlineStr">
        <is>
          <t>Cri Integralizado</t>
        </is>
      </c>
      <c r="L3519" s="270">
        <f>L3488</f>
        <v/>
      </c>
      <c r="M3519" s="256" t="n"/>
      <c r="N3519" s="256" t="n"/>
      <c r="O3519" s="256" t="n"/>
      <c r="P3519" s="256" t="n"/>
      <c r="Q3519" s="256" t="n"/>
    </row>
    <row r="3520">
      <c r="A3520">
        <f>IF(DAY(D3520)=DAY($L$1+1),A3519+1,A3519)</f>
        <v/>
      </c>
      <c r="B3520" s="46">
        <f>IF(DAY(D3520)=DAY($L$1+1),1,B3519+1)</f>
        <v/>
      </c>
      <c r="C3520" s="46">
        <f>IF(DAY(D3520)=DAY($L$1+1),1,C3519+1)</f>
        <v/>
      </c>
      <c r="D3520" s="2">
        <f>D3519+1</f>
        <v/>
      </c>
      <c r="E3520" s="8">
        <f>IF(DAY(D3520)=DAY($L$1+1),TRUNC((N3519),8),E3519)</f>
        <v/>
      </c>
      <c r="F3520" s="49">
        <f>TRUNC(((1+VLOOKUP(A3520,IPCA!$A$2:$C$140,3,0)))^(C3520/(EDATE(D3520-C3520,1)-(D3520-C3520))),8)</f>
        <v/>
      </c>
      <c r="G3520" s="4">
        <f>TRUNC((E3520*F3520),8)</f>
        <v/>
      </c>
      <c r="H3520" s="4">
        <f>ROUND(((1+$H$4)^(30/360))^(C3520/(EDATE(D3520-B3520,1)-(D3520-B3520))),9)</f>
        <v/>
      </c>
      <c r="I3520" s="49">
        <f>TRUNC((G3520*H3520-G3520),8)</f>
        <v/>
      </c>
      <c r="J3520" s="4">
        <f>G3520+I3520</f>
        <v/>
      </c>
      <c r="K3520" s="137" t="inlineStr">
        <is>
          <t>JUROS</t>
        </is>
      </c>
      <c r="L3520" s="118" t="inlineStr">
        <is>
          <t>AMORTIZAÇÃO</t>
        </is>
      </c>
      <c r="M3520" s="118" t="inlineStr">
        <is>
          <t>AMEX</t>
        </is>
      </c>
      <c r="N3520" s="118" t="inlineStr">
        <is>
          <t>RESIDUAL</t>
        </is>
      </c>
      <c r="O3520" s="256" t="n"/>
      <c r="P3520" s="256" t="n"/>
      <c r="Q3520" s="256" t="n"/>
    </row>
    <row r="3521">
      <c r="A3521">
        <f>IF(DAY(D3521)=DAY($L$1+1),A3520+1,A3520)</f>
        <v/>
      </c>
      <c r="B3521" s="111">
        <f>IF(DAY(D3521)=DAY($L$1+1),1,B3520+1)</f>
        <v/>
      </c>
      <c r="C3521" s="111">
        <f>IF(DAY(D3521)=DAY($L$1+1),1,C3520+1)</f>
        <v/>
      </c>
      <c r="D3521" s="112">
        <f>D3520+1</f>
        <v/>
      </c>
      <c r="E3521" s="113">
        <f>IF(DAY(D3521)=DAY($L$1+1),TRUNC((N3520),8),E3520)</f>
        <v/>
      </c>
      <c r="F3521" s="114">
        <f>TRUNC(((1+VLOOKUP(A3521,IPCA!$A$2:$C$140,3,0)))^(C3521/(EDATE(D3521-C3521,1)-(D3521-C3521))),8)</f>
        <v/>
      </c>
      <c r="G3521" s="114">
        <f>TRUNC((E3521*F3521),8)</f>
        <v/>
      </c>
      <c r="H3521" s="114">
        <f>ROUND(((1+$H$4)^(30/360))^(C3521/(EDATE(D3521-B3521,1)-(D3521-B3521))),9)</f>
        <v/>
      </c>
      <c r="I3521" s="114">
        <f>TRUNC((G3521*H3521-G3521),8)</f>
        <v/>
      </c>
      <c r="J3521" s="114">
        <f>G3521+I3521</f>
        <v/>
      </c>
      <c r="K3521" s="119">
        <f>I3521</f>
        <v/>
      </c>
      <c r="L3521" s="120">
        <f>TRUNC(G3521*VLOOKUP(D3521,'Amort TS'!$G$3:$H$140,2,0),8)</f>
        <v/>
      </c>
      <c r="M3521" s="120" t="n">
        <v>0</v>
      </c>
      <c r="N3521" s="120">
        <f>J3521-K3521-L3521-M3521</f>
        <v/>
      </c>
      <c r="O3521" s="256" t="n"/>
      <c r="P3521" s="256" t="n"/>
      <c r="Q3521" s="256" t="n"/>
    </row>
    <row r="3522">
      <c r="A3522">
        <f>IF(DAY(D3522)=DAY($L$1+1),A3521+1,A3521)</f>
        <v/>
      </c>
      <c r="B3522" s="1">
        <f>IF(DAY(D3522)=DAY($L$1+1),1,B3521+1)</f>
        <v/>
      </c>
      <c r="C3522" s="46">
        <f>IF(DAY(D3522)=DAY($L$1+1),1,C3521+1)</f>
        <v/>
      </c>
      <c r="D3522" s="2">
        <f>D3521+1</f>
        <v/>
      </c>
      <c r="E3522" s="8">
        <f>IF(DAY(D3522)=DAY($L$1+1),TRUNC((N3521),8),E3521)</f>
        <v/>
      </c>
      <c r="F3522" s="49">
        <f>TRUNC(((1+VLOOKUP(A3522,IPCA!$A$2:$C$140,3,0)))^(C3522/(EDATE(D3522-C3522,1)-(D3522-C3522))),8)</f>
        <v/>
      </c>
      <c r="G3522" s="4">
        <f>TRUNC((E3522*F3522),8)</f>
        <v/>
      </c>
      <c r="H3522" s="4">
        <f>ROUND(((1+$H$4)^(30/360))^(C3522/(EDATE(D3522-B3522,1)-(D3522-B3522))),9)</f>
        <v/>
      </c>
      <c r="I3522" s="49">
        <f>TRUNC((G3522*H3522-G3522),8)</f>
        <v/>
      </c>
      <c r="J3522" s="4">
        <f>G3522+I3522</f>
        <v/>
      </c>
      <c r="K3522" s="121">
        <f>K3521*L3519</f>
        <v/>
      </c>
      <c r="L3522" s="121">
        <f>L3521*L3519</f>
        <v/>
      </c>
      <c r="M3522" s="121">
        <f>M3521*L3519</f>
        <v/>
      </c>
      <c r="N3522" s="121">
        <f>N3521*L3519</f>
        <v/>
      </c>
      <c r="O3522" s="256" t="n"/>
      <c r="P3522" s="256" t="n"/>
      <c r="Q3522" s="256" t="n"/>
    </row>
    <row r="3523">
      <c r="A3523">
        <f>IF(DAY(D3523)=DAY($L$1+1),A3522+1,A3522)</f>
        <v/>
      </c>
      <c r="B3523" s="46">
        <f>IF(DAY(D3523)=DAY($L$1+1),1,B3522+1)</f>
        <v/>
      </c>
      <c r="C3523" s="46">
        <f>IF(DAY(D3523)=DAY($L$1+1),1,C3522+1)</f>
        <v/>
      </c>
      <c r="D3523" s="2">
        <f>D3522+1</f>
        <v/>
      </c>
      <c r="E3523" s="8">
        <f>IF(DAY(D3523)=DAY($L$1+1),TRUNC((N3522),8),E3522)</f>
        <v/>
      </c>
      <c r="F3523" s="49">
        <f>TRUNC(((1+VLOOKUP(A3523,IPCA!$A$2:$C$140,3,0)))^(C3523/(EDATE(D3523-C3523,1)-(D3523-C3523))),8)</f>
        <v/>
      </c>
      <c r="G3523" s="4">
        <f>TRUNC((E3523*F3523),8)</f>
        <v/>
      </c>
      <c r="H3523" s="4">
        <f>ROUND(((1+$H$4)^(30/360))^(C3523/(EDATE(D3523-B3523,1)-(D3523-B3523))),9)</f>
        <v/>
      </c>
      <c r="I3523" s="49">
        <f>TRUNC((G3523*H3523-G3523),8)</f>
        <v/>
      </c>
      <c r="J3523" s="4">
        <f>G3523+I3523</f>
        <v/>
      </c>
      <c r="K3523" s="256" t="n"/>
      <c r="L3523" s="256" t="n"/>
      <c r="M3523" s="256" t="n"/>
      <c r="N3523" s="256" t="n"/>
      <c r="O3523" s="256" t="n"/>
      <c r="P3523" s="256" t="n"/>
      <c r="Q3523" s="256" t="n"/>
    </row>
    <row r="3524">
      <c r="A3524">
        <f>IF(DAY(D3524)=DAY($L$1+1),A3523+1,A3523)</f>
        <v/>
      </c>
      <c r="B3524" s="46">
        <f>IF(DAY(D3524)=DAY($L$1+1),1,B3523+1)</f>
        <v/>
      </c>
      <c r="C3524" s="46">
        <f>IF(DAY(D3524)=DAY($L$1+1),1,C3523+1)</f>
        <v/>
      </c>
      <c r="D3524" s="47">
        <f>D3523+1</f>
        <v/>
      </c>
      <c r="E3524" s="8">
        <f>IF(DAY(D3524)=DAY($L$1+1),TRUNC((#REF!),8),E3523)</f>
        <v/>
      </c>
      <c r="F3524" s="49">
        <f>TRUNC(((1+VLOOKUP(A3524,IPCA!$A$2:$C$140,3,0)))^(C3524/(EDATE(D3524-C3524,1)-(D3524-C3524))),8)</f>
        <v/>
      </c>
      <c r="G3524" s="4">
        <f>TRUNC((E3524*F3524),8)</f>
        <v/>
      </c>
      <c r="H3524" s="4">
        <f>ROUND(((1+$H$4)^(30/360))^(C3524/(EDATE(D3524-B3524,1)-(D3524-B3524))),9)</f>
        <v/>
      </c>
      <c r="I3524" s="49">
        <f>TRUNC((G3524*H3524-G3524),8)</f>
        <v/>
      </c>
      <c r="J3524" s="4">
        <f>G3524+I3524</f>
        <v/>
      </c>
      <c r="K3524" s="256" t="n"/>
      <c r="L3524" s="256" t="n"/>
      <c r="M3524" s="256" t="n"/>
      <c r="N3524" s="256" t="n"/>
      <c r="O3524" s="256" t="n"/>
      <c r="P3524" s="256" t="n"/>
      <c r="Q3524" s="256" t="n"/>
    </row>
    <row r="3525">
      <c r="A3525">
        <f>IF(DAY(D3525)=DAY($L$1+1),A3524+1,A3524)</f>
        <v/>
      </c>
      <c r="B3525" s="46">
        <f>IF(DAY(D3525)=DAY($L$1+1),1,B3524+1)</f>
        <v/>
      </c>
      <c r="C3525" s="46">
        <f>IF(DAY(D3525)=DAY($L$1+1),1,C3524+1)</f>
        <v/>
      </c>
      <c r="D3525" s="2">
        <f>D3524+1</f>
        <v/>
      </c>
      <c r="E3525" s="8">
        <f>IF(DAY(D3525)=DAY($L$1+1),TRUNC((#REF!),8),E3524)</f>
        <v/>
      </c>
      <c r="F3525" s="49">
        <f>TRUNC(((1+VLOOKUP(A3525,IPCA!$A$2:$C$140,3,0)))^(C3525/(EDATE(D3525-C3525,1)-(D3525-C3525))),8)</f>
        <v/>
      </c>
      <c r="G3525" s="4">
        <f>TRUNC((E3525*F3525),8)</f>
        <v/>
      </c>
      <c r="H3525" s="4">
        <f>ROUND(((1+$H$4)^(30/360))^(C3525/(EDATE(D3525-B3525,1)-(D3525-B3525))),9)</f>
        <v/>
      </c>
      <c r="I3525" s="49">
        <f>TRUNC((G3525*H3525-G3525),8)</f>
        <v/>
      </c>
      <c r="J3525" s="4">
        <f>G3525+I3525</f>
        <v/>
      </c>
      <c r="K3525" s="256" t="n"/>
      <c r="L3525" s="256" t="n"/>
      <c r="M3525" s="256" t="n"/>
      <c r="N3525" s="256" t="n"/>
      <c r="O3525" s="256" t="n"/>
      <c r="P3525" s="256" t="n"/>
      <c r="Q3525" s="256" t="n"/>
    </row>
    <row r="3526">
      <c r="A3526">
        <f>IF(DAY(D3526)=DAY($L$1+1),A3525+1,A3525)</f>
        <v/>
      </c>
      <c r="B3526" s="1">
        <f>IF(DAY(D3526)=DAY($L$1+1),1,B3525+1)</f>
        <v/>
      </c>
      <c r="C3526" s="1">
        <f>IF(DAY(D3526)=DAY($L$1+1),1,C3525+1)</f>
        <v/>
      </c>
      <c r="D3526" s="2">
        <f>D3525+1</f>
        <v/>
      </c>
      <c r="E3526" s="8">
        <f>IF(DAY(D3526)=DAY($L$1+1),TRUNC((#REF!),8),E3525)</f>
        <v/>
      </c>
      <c r="F3526" s="49">
        <f>TRUNC(((1+VLOOKUP(A3526,IPCA!$A$2:$C$140,3,0)))^(C3526/(EDATE(D3526-C3526,1)-(D3526-C3526))),8)</f>
        <v/>
      </c>
      <c r="G3526" s="4">
        <f>TRUNC((E3526*F3526),8)</f>
        <v/>
      </c>
      <c r="H3526" s="4">
        <f>ROUND(((1+$H$4)^(30/360))^(C3526/(EDATE(D3526-B3526,1)-(D3526-B3526))),9)</f>
        <v/>
      </c>
      <c r="I3526" s="49">
        <f>TRUNC((G3526*H3526-G3526),8)</f>
        <v/>
      </c>
      <c r="J3526" s="4">
        <f>G3526+I3526</f>
        <v/>
      </c>
      <c r="K3526" s="256" t="n"/>
      <c r="L3526" s="256" t="n"/>
      <c r="M3526" s="256" t="n"/>
      <c r="N3526" s="256" t="n"/>
      <c r="O3526" s="256" t="n"/>
      <c r="P3526" s="256" t="n"/>
      <c r="Q3526" s="256" t="n"/>
    </row>
    <row r="3527">
      <c r="A3527">
        <f>IF(DAY(D3527)=DAY($L$1+1),A3526+1,A3526)</f>
        <v/>
      </c>
      <c r="B3527" s="46">
        <f>IF(DAY(D3527)=DAY($L$1+1),1,B3526+1)</f>
        <v/>
      </c>
      <c r="C3527" s="46">
        <f>IF(DAY(D3527)=DAY($L$1+1),1,C3526+1)</f>
        <v/>
      </c>
      <c r="D3527" s="2">
        <f>D3526+1</f>
        <v/>
      </c>
      <c r="E3527" s="8">
        <f>IF(DAY(D3527)=DAY($L$1+1),TRUNC((#REF!),8),E3526)</f>
        <v/>
      </c>
      <c r="F3527" s="49">
        <f>TRUNC(((1+VLOOKUP(A3527,IPCA!$A$2:$C$140,3,0)))^(C3527/(EDATE(D3527-C3527,1)-(D3527-C3527))),8)</f>
        <v/>
      </c>
      <c r="G3527" s="4">
        <f>TRUNC((E3527*F3527),8)</f>
        <v/>
      </c>
      <c r="H3527" s="4">
        <f>ROUND(((1+$H$4)^(30/360))^(C3527/(EDATE(D3527-B3527,1)-(D3527-B3527))),9)</f>
        <v/>
      </c>
      <c r="I3527" s="49">
        <f>TRUNC((G3527*H3527-G3527),8)</f>
        <v/>
      </c>
      <c r="J3527" s="4">
        <f>G3527+I3527</f>
        <v/>
      </c>
      <c r="K3527" s="256" t="n"/>
      <c r="L3527" s="256" t="n"/>
      <c r="M3527" s="256" t="n"/>
      <c r="N3527" s="256" t="n"/>
      <c r="O3527" s="256" t="n"/>
      <c r="P3527" s="256" t="n"/>
      <c r="Q3527" s="256" t="n"/>
    </row>
    <row r="3528">
      <c r="A3528">
        <f>IF(DAY(D3528)=DAY($L$1+1),A3527+1,A3527)</f>
        <v/>
      </c>
      <c r="B3528" s="1">
        <f>IF(DAY(D3528)=DAY($L$1+1),1,B3527+1)</f>
        <v/>
      </c>
      <c r="C3528" s="1">
        <f>IF(DAY(D3528)=DAY($L$1+1),1,C3527+1)</f>
        <v/>
      </c>
      <c r="D3528" s="2">
        <f>D3527+1</f>
        <v/>
      </c>
      <c r="E3528" s="8">
        <f>IF(DAY(D3528)=DAY($L$1+1),TRUNC((#REF!),8),E3527)</f>
        <v/>
      </c>
      <c r="F3528" s="49">
        <f>TRUNC(((1+VLOOKUP(A3528,IPCA!$A$2:$C$140,3,0)))^(C3528/(EDATE(D3528-C3528,1)-(D3528-C3528))),8)</f>
        <v/>
      </c>
      <c r="G3528" s="4">
        <f>TRUNC((E3528*F3528),8)</f>
        <v/>
      </c>
      <c r="H3528" s="4">
        <f>ROUND(((1+$H$4)^(30/360))^(C3528/(EDATE(D3528-B3528,1)-(D3528-B3528))),9)</f>
        <v/>
      </c>
      <c r="I3528" s="49">
        <f>TRUNC((G3528*H3528-G3528),8)</f>
        <v/>
      </c>
      <c r="J3528" s="4">
        <f>G3528+I3528</f>
        <v/>
      </c>
      <c r="K3528" s="256" t="n"/>
      <c r="L3528" s="256" t="n"/>
      <c r="M3528" s="256" t="n"/>
      <c r="N3528" s="256" t="n"/>
      <c r="O3528" s="256" t="n"/>
      <c r="P3528" s="256" t="n"/>
      <c r="Q3528" s="256" t="n"/>
    </row>
    <row r="3529">
      <c r="A3529">
        <f>IF(DAY(D3529)=DAY($L$1+1),A3528+1,A3528)</f>
        <v/>
      </c>
      <c r="B3529" s="46">
        <f>IF(DAY(D3529)=DAY($L$1+1),1,B3528+1)</f>
        <v/>
      </c>
      <c r="C3529" s="46">
        <f>IF(DAY(D3529)=DAY($L$1+1),1,C3528+1)</f>
        <v/>
      </c>
      <c r="D3529" s="2">
        <f>D3528+1</f>
        <v/>
      </c>
      <c r="E3529" s="8">
        <f>IF(DAY(D3529)=DAY($L$1+1),TRUNC((#REF!),8),E3528)</f>
        <v/>
      </c>
      <c r="F3529" s="49">
        <f>TRUNC(((1+VLOOKUP(A3529,IPCA!$A$2:$C$140,3,0)))^(C3529/(EDATE(D3529-C3529,1)-(D3529-C3529))),8)</f>
        <v/>
      </c>
      <c r="G3529" s="4">
        <f>TRUNC((E3529*F3529),8)</f>
        <v/>
      </c>
      <c r="H3529" s="4">
        <f>ROUND(((1+$H$4)^(30/360))^(C3529/(EDATE(D3529-B3529,1)-(D3529-B3529))),9)</f>
        <v/>
      </c>
      <c r="I3529" s="49">
        <f>TRUNC((G3529*H3529-G3529),8)</f>
        <v/>
      </c>
      <c r="J3529" s="4">
        <f>G3529+I3529</f>
        <v/>
      </c>
      <c r="K3529" s="256" t="n"/>
      <c r="L3529" s="256" t="n"/>
      <c r="M3529" s="256" t="n"/>
      <c r="N3529" s="256" t="n"/>
      <c r="O3529" s="256" t="n"/>
      <c r="P3529" s="256" t="n"/>
      <c r="Q3529" s="256" t="n"/>
    </row>
    <row r="3530">
      <c r="A3530">
        <f>IF(DAY(D3530)=DAY($L$1+1),A3529+1,A3529)</f>
        <v/>
      </c>
      <c r="B3530" s="1">
        <f>IF(DAY(D3530)=DAY($L$1+1),1,B3529+1)</f>
        <v/>
      </c>
      <c r="C3530" s="1">
        <f>IF(DAY(D3530)=DAY($L$1+1),1,C3529+1)</f>
        <v/>
      </c>
      <c r="D3530" s="2">
        <f>D3529+1</f>
        <v/>
      </c>
      <c r="E3530" s="8">
        <f>IF(DAY(D3530)=DAY($L$1+1),TRUNC((#REF!),8),E3529)</f>
        <v/>
      </c>
      <c r="F3530" s="49">
        <f>TRUNC(((1+VLOOKUP(A3530,IPCA!$A$2:$C$140,3,0)))^(C3530/(EDATE(D3530-C3530,1)-(D3530-C3530))),8)</f>
        <v/>
      </c>
      <c r="G3530" s="4">
        <f>TRUNC((E3530*F3530),8)</f>
        <v/>
      </c>
      <c r="H3530" s="4">
        <f>ROUND(((1+$H$4)^(30/360))^(C3530/(EDATE(D3530-B3530,1)-(D3530-B3530))),9)</f>
        <v/>
      </c>
      <c r="I3530" s="49">
        <f>TRUNC((G3530*H3530-G3530),8)</f>
        <v/>
      </c>
      <c r="J3530" s="4">
        <f>G3530+I3530</f>
        <v/>
      </c>
      <c r="K3530" s="256" t="n"/>
      <c r="L3530" s="256" t="n"/>
      <c r="M3530" s="256" t="n"/>
      <c r="N3530" s="256" t="n"/>
      <c r="O3530" s="256" t="n"/>
      <c r="P3530" s="256" t="n"/>
      <c r="Q3530" s="256" t="n"/>
    </row>
    <row r="3531">
      <c r="A3531">
        <f>IF(DAY(D3531)=DAY($L$1+1),A3530+1,A3530)</f>
        <v/>
      </c>
      <c r="B3531" s="46">
        <f>IF(DAY(D3531)=DAY($L$1+1),1,B3530+1)</f>
        <v/>
      </c>
      <c r="C3531" s="46">
        <f>IF(DAY(D3531)=DAY($L$1+1),1,C3530+1)</f>
        <v/>
      </c>
      <c r="D3531" s="2">
        <f>D3530+1</f>
        <v/>
      </c>
      <c r="E3531" s="8">
        <f>IF(DAY(D3531)=DAY($L$1+1),TRUNC((#REF!),8),E3530)</f>
        <v/>
      </c>
      <c r="F3531" s="49">
        <f>TRUNC(((1+VLOOKUP(A3531,IPCA!$A$2:$C$140,3,0)))^(C3531/(EDATE(D3531-C3531,1)-(D3531-C3531))),8)</f>
        <v/>
      </c>
      <c r="G3531" s="4">
        <f>TRUNC((E3531*F3531),8)</f>
        <v/>
      </c>
      <c r="H3531" s="4">
        <f>ROUND(((1+$H$4)^(30/360))^(C3531/(EDATE(D3531-B3531,1)-(D3531-B3531))),9)</f>
        <v/>
      </c>
      <c r="I3531" s="49">
        <f>TRUNC((G3531*H3531-G3531),8)</f>
        <v/>
      </c>
      <c r="J3531" s="4">
        <f>G3531+I3531</f>
        <v/>
      </c>
      <c r="K3531" s="256" t="n"/>
      <c r="L3531" s="256" t="n"/>
      <c r="M3531" s="256" t="n"/>
      <c r="N3531" s="256" t="n"/>
      <c r="O3531" s="256" t="n"/>
      <c r="P3531" s="256" t="n"/>
      <c r="Q3531" s="256" t="n"/>
    </row>
    <row r="3532">
      <c r="A3532">
        <f>IF(DAY(D3532)=DAY($L$1+1),A3531+1,A3531)</f>
        <v/>
      </c>
      <c r="B3532" s="1">
        <f>IF(DAY(D3532)=DAY($L$1+1),1,B3531+1)</f>
        <v/>
      </c>
      <c r="C3532" s="1">
        <f>IF(DAY(D3532)=DAY($L$1+1),1,C3531+1)</f>
        <v/>
      </c>
      <c r="D3532" s="2">
        <f>D3531+1</f>
        <v/>
      </c>
      <c r="E3532" s="8">
        <f>IF(DAY(D3532)=DAY($L$1+1),TRUNC((#REF!),8),E3531)</f>
        <v/>
      </c>
      <c r="F3532" s="49">
        <f>TRUNC(((1+VLOOKUP(A3532,IPCA!$A$2:$C$140,3,0)))^(C3532/(EDATE(D3532-C3532,1)-(D3532-C3532))),8)</f>
        <v/>
      </c>
      <c r="G3532" s="4">
        <f>TRUNC((E3532*F3532),8)</f>
        <v/>
      </c>
      <c r="H3532" s="4">
        <f>ROUND(((1+$H$4)^(30/360))^(C3532/(EDATE(D3532-B3532,1)-(D3532-B3532))),9)</f>
        <v/>
      </c>
      <c r="I3532" s="49">
        <f>TRUNC((G3532*H3532-G3532),8)</f>
        <v/>
      </c>
      <c r="J3532" s="4">
        <f>G3532+I3532</f>
        <v/>
      </c>
      <c r="K3532" s="256" t="n"/>
      <c r="L3532" s="256" t="n"/>
      <c r="M3532" s="256" t="n"/>
      <c r="N3532" s="256" t="n"/>
      <c r="O3532" s="256" t="n"/>
      <c r="P3532" s="256" t="n"/>
      <c r="Q3532" s="256" t="n"/>
    </row>
    <row r="3533">
      <c r="A3533">
        <f>IF(DAY(D3533)=DAY($L$1+1),A3532+1,A3532)</f>
        <v/>
      </c>
      <c r="B3533" s="46">
        <f>IF(DAY(D3533)=DAY($L$1+1),1,B3532+1)</f>
        <v/>
      </c>
      <c r="C3533" s="46">
        <f>IF(DAY(D3533)=DAY($L$1+1),1,C3532+1)</f>
        <v/>
      </c>
      <c r="D3533" s="2">
        <f>D3532+1</f>
        <v/>
      </c>
      <c r="E3533" s="8">
        <f>IF(DAY(D3533)=DAY($L$1+1),TRUNC((N3532),8),E3532)</f>
        <v/>
      </c>
      <c r="F3533" s="49">
        <f>TRUNC(((1+VLOOKUP(A3533,IPCA!$A$2:$C$140,3,0)))^(C3533/(EDATE(D3533-C3533,1)-(D3533-C3533))),8)</f>
        <v/>
      </c>
      <c r="G3533" s="4">
        <f>TRUNC((E3533*F3533),8)</f>
        <v/>
      </c>
      <c r="H3533" s="4">
        <f>ROUND(((1+$H$4)^(30/360))^(C3533/(EDATE(D3533-B3533,1)-(D3533-B3533))),9)</f>
        <v/>
      </c>
      <c r="I3533" s="49">
        <f>TRUNC((G3533*H3533-G3533),8)</f>
        <v/>
      </c>
      <c r="J3533" s="4">
        <f>G3533+I3533</f>
        <v/>
      </c>
      <c r="K3533" s="256" t="n"/>
      <c r="L3533" s="256" t="n"/>
      <c r="M3533" s="256" t="n"/>
      <c r="N3533" s="256" t="n"/>
      <c r="O3533" s="256" t="n"/>
      <c r="P3533" s="256" t="n"/>
      <c r="Q3533" s="256" t="n"/>
    </row>
    <row r="3534">
      <c r="A3534">
        <f>IF(DAY(D3534)=DAY($L$1+1),A3533+1,A3533)</f>
        <v/>
      </c>
      <c r="B3534" s="1">
        <f>IF(DAY(D3534)=DAY($L$1+1),1,B3533+1)</f>
        <v/>
      </c>
      <c r="C3534" s="1">
        <f>IF(DAY(D3534)=DAY($L$1+1),1,C3533+1)</f>
        <v/>
      </c>
      <c r="D3534" s="2">
        <f>D3533+1</f>
        <v/>
      </c>
      <c r="E3534" s="8">
        <f>IF(DAY(D3534)=DAY($L$1+1),TRUNC((N3533),8),E3533)</f>
        <v/>
      </c>
      <c r="F3534" s="49">
        <f>TRUNC(((1+VLOOKUP(A3534,IPCA!$A$2:$C$140,3,0)))^(C3534/(EDATE(D3534-C3534,1)-(D3534-C3534))),8)</f>
        <v/>
      </c>
      <c r="G3534" s="4">
        <f>TRUNC((E3534*F3534),8)</f>
        <v/>
      </c>
      <c r="H3534" s="4">
        <f>ROUND(((1+$H$4)^(30/360))^(C3534/(EDATE(D3534-B3534,1)-(D3534-B3534))),9)</f>
        <v/>
      </c>
      <c r="I3534" s="49">
        <f>TRUNC((G3534*H3534-G3534),8)</f>
        <v/>
      </c>
      <c r="J3534" s="4">
        <f>G3534+I3534</f>
        <v/>
      </c>
      <c r="K3534" s="256" t="n"/>
      <c r="L3534" s="256" t="n"/>
      <c r="M3534" s="256" t="n"/>
      <c r="N3534" s="256" t="n"/>
      <c r="O3534" s="256" t="n"/>
      <c r="P3534" s="256" t="n"/>
      <c r="Q3534" s="256" t="n"/>
    </row>
    <row r="3535">
      <c r="A3535">
        <f>IF(DAY(D3535)=DAY($L$1+1),A3534+1,A3534)</f>
        <v/>
      </c>
      <c r="B3535" s="46">
        <f>IF(DAY(D3535)=DAY($L$1+1),1,B3534+1)</f>
        <v/>
      </c>
      <c r="C3535" s="46">
        <f>IF(DAY(D3535)=DAY($L$1+1),1,C3534+1)</f>
        <v/>
      </c>
      <c r="D3535" s="2">
        <f>D3534+1</f>
        <v/>
      </c>
      <c r="E3535" s="8">
        <f>IF(DAY(D3535)=DAY($L$1+1),TRUNC((N3534),8),E3534)</f>
        <v/>
      </c>
      <c r="F3535" s="49">
        <f>TRUNC(((1+VLOOKUP(A3535,IPCA!$A$2:$C$140,3,0)))^(C3535/(EDATE(D3535-C3535,1)-(D3535-C3535))),8)</f>
        <v/>
      </c>
      <c r="G3535" s="4">
        <f>TRUNC((E3535*F3535),8)</f>
        <v/>
      </c>
      <c r="H3535" s="4">
        <f>ROUND(((1+$H$4)^(30/360))^(C3535/(EDATE(D3535-B3535,1)-(D3535-B3535))),9)</f>
        <v/>
      </c>
      <c r="I3535" s="49">
        <f>TRUNC((G3535*H3535-G3535),8)</f>
        <v/>
      </c>
      <c r="J3535" s="4">
        <f>G3535+I3535</f>
        <v/>
      </c>
      <c r="K3535" s="256" t="n"/>
      <c r="L3535" s="256" t="n"/>
      <c r="M3535" s="256" t="n"/>
      <c r="N3535" s="256" t="n"/>
      <c r="O3535" s="256" t="n"/>
      <c r="P3535" s="256" t="n"/>
      <c r="Q3535" s="256" t="n"/>
    </row>
    <row r="3536">
      <c r="A3536">
        <f>IF(DAY(D3536)=DAY($L$1+1),A3535+1,A3535)</f>
        <v/>
      </c>
      <c r="B3536" s="1">
        <f>IF(DAY(D3536)=DAY($L$1+1),1,B3535+1)</f>
        <v/>
      </c>
      <c r="C3536" s="1">
        <f>IF(DAY(D3536)=DAY($L$1+1),1,C3535+1)</f>
        <v/>
      </c>
      <c r="D3536" s="2">
        <f>D3535+1</f>
        <v/>
      </c>
      <c r="E3536" s="8">
        <f>IF(DAY(D3536)=DAY($L$1+1),TRUNC((N3535),8),E3535)</f>
        <v/>
      </c>
      <c r="F3536" s="49">
        <f>TRUNC(((1+VLOOKUP(A3536,IPCA!$A$2:$C$140,3,0)))^(C3536/(EDATE(D3536-C3536,1)-(D3536-C3536))),8)</f>
        <v/>
      </c>
      <c r="G3536" s="4">
        <f>TRUNC((E3536*F3536),8)</f>
        <v/>
      </c>
      <c r="H3536" s="4">
        <f>ROUND(((1+$H$4)^(30/360))^(C3536/(EDATE(D3536-B3536,1)-(D3536-B3536))),9)</f>
        <v/>
      </c>
      <c r="I3536" s="49">
        <f>TRUNC((G3536*H3536-G3536),8)</f>
        <v/>
      </c>
      <c r="J3536" s="4">
        <f>G3536+I3536</f>
        <v/>
      </c>
      <c r="K3536" s="256" t="n"/>
      <c r="L3536" s="256" t="n"/>
      <c r="M3536" s="256" t="n"/>
      <c r="N3536" s="256" t="n"/>
      <c r="O3536" s="256" t="n"/>
      <c r="P3536" s="256" t="n"/>
      <c r="Q3536" s="256" t="n"/>
    </row>
    <row r="3537">
      <c r="A3537">
        <f>IF(DAY(D3537)=DAY($L$1+1),A3536+1,A3536)</f>
        <v/>
      </c>
      <c r="B3537" s="46">
        <f>IF(DAY(D3537)=DAY($L$1+1),1,B3536+1)</f>
        <v/>
      </c>
      <c r="C3537" s="46">
        <f>IF(DAY(D3537)=DAY($L$1+1),1,C3536+1)</f>
        <v/>
      </c>
      <c r="D3537" s="2">
        <f>D3536+1</f>
        <v/>
      </c>
      <c r="E3537" s="8">
        <f>IF(DAY(D3537)=DAY($L$1+1),TRUNC((N3536),8),E3536)</f>
        <v/>
      </c>
      <c r="F3537" s="49">
        <f>TRUNC(((1+VLOOKUP(A3537,IPCA!$A$2:$C$140,3,0)))^(C3537/(EDATE(D3537-C3537,1)-(D3537-C3537))),8)</f>
        <v/>
      </c>
      <c r="G3537" s="4">
        <f>TRUNC((E3537*F3537),8)</f>
        <v/>
      </c>
      <c r="H3537" s="4">
        <f>ROUND(((1+$H$4)^(30/360))^(C3537/(EDATE(D3537-B3537,1)-(D3537-B3537))),9)</f>
        <v/>
      </c>
      <c r="I3537" s="49">
        <f>TRUNC((G3537*H3537-G3537),8)</f>
        <v/>
      </c>
      <c r="J3537" s="4">
        <f>G3537+I3537</f>
        <v/>
      </c>
      <c r="K3537" s="256" t="n"/>
      <c r="L3537" s="256" t="n"/>
      <c r="M3537" s="256" t="n"/>
      <c r="N3537" s="256" t="n"/>
      <c r="O3537" s="256" t="n"/>
      <c r="P3537" s="256" t="n"/>
      <c r="Q3537" s="256" t="n"/>
    </row>
    <row r="3538">
      <c r="A3538">
        <f>IF(DAY(D3538)=DAY($L$1+1),A3537+1,A3537)</f>
        <v/>
      </c>
      <c r="B3538" s="1">
        <f>IF(DAY(D3538)=DAY($L$1+1),1,B3537+1)</f>
        <v/>
      </c>
      <c r="C3538" s="1">
        <f>IF(DAY(D3538)=DAY($L$1+1),1,C3537+1)</f>
        <v/>
      </c>
      <c r="D3538" s="2">
        <f>D3537+1</f>
        <v/>
      </c>
      <c r="E3538" s="8">
        <f>IF(DAY(D3538)=DAY($L$1+1),TRUNC((N3537),8),E3537)</f>
        <v/>
      </c>
      <c r="F3538" s="49">
        <f>TRUNC(((1+VLOOKUP(A3538,IPCA!$A$2:$C$140,3,0)))^(C3538/(EDATE(D3538-C3538,1)-(D3538-C3538))),8)</f>
        <v/>
      </c>
      <c r="G3538" s="4">
        <f>TRUNC((E3538*F3538),8)</f>
        <v/>
      </c>
      <c r="H3538" s="4">
        <f>ROUND(((1+$H$4)^(30/360))^(C3538/(EDATE(D3538-B3538,1)-(D3538-B3538))),9)</f>
        <v/>
      </c>
      <c r="I3538" s="49">
        <f>TRUNC((G3538*H3538-G3538),8)</f>
        <v/>
      </c>
      <c r="J3538" s="4">
        <f>G3538+I3538</f>
        <v/>
      </c>
      <c r="K3538" s="256" t="n"/>
      <c r="L3538" s="256" t="n"/>
      <c r="M3538" s="256" t="n"/>
      <c r="N3538" s="256" t="n"/>
      <c r="O3538" s="256" t="n"/>
      <c r="P3538" s="256" t="n"/>
      <c r="Q3538" s="256" t="n"/>
    </row>
    <row r="3539">
      <c r="A3539">
        <f>IF(DAY(D3539)=DAY($L$1+1),A3538+1,A3538)</f>
        <v/>
      </c>
      <c r="B3539" s="46">
        <f>IF(DAY(D3539)=DAY($L$1+1),1,B3538+1)</f>
        <v/>
      </c>
      <c r="C3539" s="46">
        <f>IF(DAY(D3539)=DAY($L$1+1),1,C3538+1)</f>
        <v/>
      </c>
      <c r="D3539" s="2">
        <f>D3538+1</f>
        <v/>
      </c>
      <c r="E3539" s="8">
        <f>IF(DAY(D3539)=DAY($L$1+1),TRUNC((N3538),8),E3538)</f>
        <v/>
      </c>
      <c r="F3539" s="49">
        <f>TRUNC(((1+VLOOKUP(A3539,IPCA!$A$2:$C$140,3,0)))^(C3539/(EDATE(D3539-C3539,1)-(D3539-C3539))),8)</f>
        <v/>
      </c>
      <c r="G3539" s="4">
        <f>TRUNC((E3539*F3539),8)</f>
        <v/>
      </c>
      <c r="H3539" s="4">
        <f>ROUND(((1+$H$4)^(30/360))^(C3539/(EDATE(D3539-B3539,1)-(D3539-B3539))),9)</f>
        <v/>
      </c>
      <c r="I3539" s="49">
        <f>TRUNC((G3539*H3539-G3539),8)</f>
        <v/>
      </c>
      <c r="J3539" s="4">
        <f>G3539+I3539</f>
        <v/>
      </c>
      <c r="K3539" s="256" t="n"/>
      <c r="L3539" s="256" t="n"/>
      <c r="M3539" s="256" t="n"/>
      <c r="N3539" s="256" t="n"/>
      <c r="O3539" s="256" t="n"/>
      <c r="P3539" s="256" t="n"/>
      <c r="Q3539" s="256" t="n"/>
    </row>
    <row r="3540">
      <c r="A3540">
        <f>IF(DAY(D3540)=DAY($L$1+1),A3539+1,A3539)</f>
        <v/>
      </c>
      <c r="B3540" s="1">
        <f>IF(DAY(D3540)=DAY($L$1+1),1,B3539+1)</f>
        <v/>
      </c>
      <c r="C3540" s="1">
        <f>IF(DAY(D3540)=DAY($L$1+1),1,C3539+1)</f>
        <v/>
      </c>
      <c r="D3540" s="2">
        <f>D3539+1</f>
        <v/>
      </c>
      <c r="E3540" s="8">
        <f>IF(DAY(D3540)=DAY($L$1+1),TRUNC((N3539),8),E3539)</f>
        <v/>
      </c>
      <c r="F3540" s="49">
        <f>TRUNC(((1+VLOOKUP(A3540,IPCA!$A$2:$C$140,3,0)))^(C3540/(EDATE(D3540-C3540,1)-(D3540-C3540))),8)</f>
        <v/>
      </c>
      <c r="G3540" s="4">
        <f>TRUNC((E3540*F3540),8)</f>
        <v/>
      </c>
      <c r="H3540" s="4">
        <f>ROUND(((1+$H$4)^(30/360))^(C3540/(EDATE(D3540-B3540,1)-(D3540-B3540))),9)</f>
        <v/>
      </c>
      <c r="I3540" s="49">
        <f>TRUNC((G3540*H3540-G3540),8)</f>
        <v/>
      </c>
      <c r="J3540" s="4">
        <f>G3540+I3540</f>
        <v/>
      </c>
      <c r="K3540" s="256" t="n"/>
      <c r="L3540" s="256" t="n"/>
      <c r="M3540" s="256" t="n"/>
      <c r="N3540" s="256" t="n"/>
      <c r="O3540" s="256" t="n"/>
      <c r="P3540" s="256" t="n"/>
      <c r="Q3540" s="256" t="n"/>
    </row>
    <row r="3541">
      <c r="A3541">
        <f>IF(DAY(D3541)=DAY($L$1+1),A3540+1,A3540)</f>
        <v/>
      </c>
      <c r="B3541" s="46">
        <f>IF(DAY(D3541)=DAY($L$1+1),1,B3540+1)</f>
        <v/>
      </c>
      <c r="C3541" s="46">
        <f>IF(DAY(D3541)=DAY($L$1+1),1,C3540+1)</f>
        <v/>
      </c>
      <c r="D3541" s="2">
        <f>D3540+1</f>
        <v/>
      </c>
      <c r="E3541" s="8">
        <f>IF(DAY(D3541)=DAY($L$1+1),TRUNC((N3540),8),E3540)</f>
        <v/>
      </c>
      <c r="F3541" s="49">
        <f>TRUNC(((1+VLOOKUP(A3541,IPCA!$A$2:$C$140,3,0)))^(C3541/(EDATE(D3541-C3541,1)-(D3541-C3541))),8)</f>
        <v/>
      </c>
      <c r="G3541" s="4">
        <f>TRUNC((E3541*F3541),8)</f>
        <v/>
      </c>
      <c r="H3541" s="4">
        <f>ROUND(((1+$H$4)^(30/360))^(C3541/(EDATE(D3541-B3541,1)-(D3541-B3541))),9)</f>
        <v/>
      </c>
      <c r="I3541" s="49">
        <f>TRUNC((G3541*H3541-G3541),8)</f>
        <v/>
      </c>
      <c r="J3541" s="4">
        <f>G3541+I3541</f>
        <v/>
      </c>
      <c r="K3541" s="256" t="n"/>
      <c r="L3541" s="256" t="n"/>
      <c r="M3541" s="256" t="n"/>
      <c r="N3541" s="256" t="n"/>
      <c r="O3541" s="256" t="n"/>
      <c r="P3541" s="256" t="n"/>
      <c r="Q3541" s="256" t="n"/>
    </row>
    <row r="3542">
      <c r="A3542">
        <f>IF(DAY(D3542)=DAY($L$1+1),A3541+1,A3541)</f>
        <v/>
      </c>
      <c r="B3542" s="1">
        <f>IF(DAY(D3542)=DAY($L$1+1),1,B3541+1)</f>
        <v/>
      </c>
      <c r="C3542" s="1">
        <f>IF(DAY(D3542)=DAY($L$1+1),1,C3541+1)</f>
        <v/>
      </c>
      <c r="D3542" s="2">
        <f>D3541+1</f>
        <v/>
      </c>
      <c r="E3542" s="8">
        <f>IF(DAY(D3542)=DAY($L$1+1),TRUNC((N3541),8),E3541)</f>
        <v/>
      </c>
      <c r="F3542" s="49">
        <f>TRUNC(((1+VLOOKUP(A3542,IPCA!$A$2:$C$140,3,0)))^(C3542/(EDATE(D3542-C3542,1)-(D3542-C3542))),8)</f>
        <v/>
      </c>
      <c r="G3542" s="4">
        <f>TRUNC((E3542*F3542),8)</f>
        <v/>
      </c>
      <c r="H3542" s="4">
        <f>ROUND(((1+$H$4)^(30/360))^(C3542/(EDATE(D3542-B3542,1)-(D3542-B3542))),9)</f>
        <v/>
      </c>
      <c r="I3542" s="49">
        <f>TRUNC((G3542*H3542-G3542),8)</f>
        <v/>
      </c>
      <c r="J3542" s="4">
        <f>G3542+I3542</f>
        <v/>
      </c>
      <c r="K3542" s="256" t="n"/>
      <c r="L3542" s="256" t="n"/>
      <c r="M3542" s="256" t="n"/>
      <c r="N3542" s="256" t="n"/>
      <c r="O3542" s="256" t="n"/>
      <c r="P3542" s="256" t="n"/>
      <c r="Q3542" s="256" t="n"/>
    </row>
    <row r="3543">
      <c r="A3543">
        <f>IF(DAY(D3543)=DAY($L$1+1),A3542+1,A3542)</f>
        <v/>
      </c>
      <c r="B3543" s="46">
        <f>IF(DAY(D3543)=DAY($L$1+1),1,B3542+1)</f>
        <v/>
      </c>
      <c r="C3543" s="46">
        <f>IF(DAY(D3543)=DAY($L$1+1),1,C3542+1)</f>
        <v/>
      </c>
      <c r="D3543" s="2">
        <f>D3542+1</f>
        <v/>
      </c>
      <c r="E3543" s="8">
        <f>IF(DAY(D3543)=DAY($L$1+1),TRUNC((N3542),8),E3542)</f>
        <v/>
      </c>
      <c r="F3543" s="49">
        <f>TRUNC(((1+VLOOKUP(A3543,IPCA!$A$2:$C$140,3,0)))^(C3543/(EDATE(D3543-C3543,1)-(D3543-C3543))),8)</f>
        <v/>
      </c>
      <c r="G3543" s="4">
        <f>TRUNC((E3543*F3543),8)</f>
        <v/>
      </c>
      <c r="H3543" s="4">
        <f>ROUND(((1+$H$4)^(30/360))^(C3543/(EDATE(D3543-B3543,1)-(D3543-B3543))),9)</f>
        <v/>
      </c>
      <c r="I3543" s="49">
        <f>TRUNC((G3543*H3543-G3543),8)</f>
        <v/>
      </c>
      <c r="J3543" s="4">
        <f>G3543+I3543</f>
        <v/>
      </c>
      <c r="K3543" s="256" t="n"/>
      <c r="L3543" s="256" t="n"/>
      <c r="M3543" s="256" t="n"/>
      <c r="N3543" s="256" t="n"/>
      <c r="O3543" s="256" t="n"/>
      <c r="P3543" s="256" t="n"/>
      <c r="Q3543" s="256" t="n"/>
    </row>
    <row r="3544">
      <c r="A3544">
        <f>IF(DAY(D3544)=DAY($L$1+1),A3543+1,A3543)</f>
        <v/>
      </c>
      <c r="B3544" s="1">
        <f>IF(DAY(D3544)=DAY($L$1+1),1,B3543+1)</f>
        <v/>
      </c>
      <c r="C3544" s="1">
        <f>IF(DAY(D3544)=DAY($L$1+1),1,C3543+1)</f>
        <v/>
      </c>
      <c r="D3544" s="2">
        <f>D3543+1</f>
        <v/>
      </c>
      <c r="E3544" s="8">
        <f>IF(DAY(D3544)=DAY($L$1+1),TRUNC((N3543),8),E3543)</f>
        <v/>
      </c>
      <c r="F3544" s="49">
        <f>TRUNC(((1+VLOOKUP(A3544,IPCA!$A$2:$C$140,3,0)))^(C3544/(EDATE(D3544-C3544,1)-(D3544-C3544))),8)</f>
        <v/>
      </c>
      <c r="G3544" s="4">
        <f>TRUNC((E3544*F3544),8)</f>
        <v/>
      </c>
      <c r="H3544" s="4">
        <f>ROUND(((1+$H$4)^(30/360))^(C3544/(EDATE(D3544-B3544,1)-(D3544-B3544))),9)</f>
        <v/>
      </c>
      <c r="I3544" s="49">
        <f>TRUNC((G3544*H3544-G3544),8)</f>
        <v/>
      </c>
      <c r="J3544" s="4">
        <f>G3544+I3544</f>
        <v/>
      </c>
      <c r="K3544" s="256" t="n"/>
      <c r="L3544" s="256" t="n"/>
      <c r="M3544" s="256" t="n"/>
      <c r="N3544" s="256" t="n"/>
      <c r="O3544" s="256" t="n"/>
      <c r="P3544" s="256" t="n"/>
      <c r="Q3544" s="256" t="n"/>
    </row>
    <row r="3545">
      <c r="A3545">
        <f>IF(DAY(D3545)=DAY($L$1+1),A3544+1,A3544)</f>
        <v/>
      </c>
      <c r="B3545" s="46">
        <f>IF(DAY(D3545)=DAY($L$1+1),1,B3544+1)</f>
        <v/>
      </c>
      <c r="C3545" s="46">
        <f>IF(DAY(D3545)=DAY($L$1+1),1,C3544+1)</f>
        <v/>
      </c>
      <c r="D3545" s="2">
        <f>D3544+1</f>
        <v/>
      </c>
      <c r="E3545" s="8">
        <f>IF(DAY(D3545)=DAY($L$1+1),TRUNC((N3544),8),E3544)</f>
        <v/>
      </c>
      <c r="F3545" s="49">
        <f>TRUNC(((1+VLOOKUP(A3545,IPCA!$A$2:$C$140,3,0)))^(C3545/(EDATE(D3545-C3545,1)-(D3545-C3545))),8)</f>
        <v/>
      </c>
      <c r="G3545" s="4">
        <f>TRUNC((E3545*F3545),8)</f>
        <v/>
      </c>
      <c r="H3545" s="4">
        <f>ROUND(((1+$H$4)^(30/360))^(C3545/(EDATE(D3545-B3545,1)-(D3545-B3545))),9)</f>
        <v/>
      </c>
      <c r="I3545" s="49">
        <f>TRUNC((G3545*H3545-G3545),8)</f>
        <v/>
      </c>
      <c r="J3545" s="4">
        <f>G3545+I3545</f>
        <v/>
      </c>
      <c r="K3545" s="256" t="n"/>
      <c r="L3545" s="256" t="n"/>
      <c r="M3545" s="256" t="n"/>
      <c r="N3545" s="256" t="n"/>
      <c r="O3545" s="256" t="n"/>
      <c r="P3545" s="256" t="n"/>
      <c r="Q3545" s="256" t="n"/>
    </row>
    <row r="3546">
      <c r="A3546">
        <f>IF(DAY(D3546)=DAY($L$1+1),A3545+1,A3545)</f>
        <v/>
      </c>
      <c r="B3546" s="1">
        <f>IF(DAY(D3546)=DAY($L$1+1),1,B3545+1)</f>
        <v/>
      </c>
      <c r="C3546" s="1">
        <f>IF(DAY(D3546)=DAY($L$1+1),1,C3545+1)</f>
        <v/>
      </c>
      <c r="D3546" s="2">
        <f>D3545+1</f>
        <v/>
      </c>
      <c r="E3546" s="8">
        <f>IF(DAY(D3546)=DAY($L$1+1),TRUNC((N3545),8),E3545)</f>
        <v/>
      </c>
      <c r="F3546" s="49">
        <f>TRUNC(((1+VLOOKUP(A3546,IPCA!$A$2:$C$140,3,0)))^(C3546/(EDATE(D3546-C3546,1)-(D3546-C3546))),8)</f>
        <v/>
      </c>
      <c r="G3546" s="4">
        <f>TRUNC((E3546*F3546),8)</f>
        <v/>
      </c>
      <c r="H3546" s="4">
        <f>ROUND(((1+$H$4)^(30/360))^(C3546/(EDATE(D3546-B3546,1)-(D3546-B3546))),9)</f>
        <v/>
      </c>
      <c r="I3546" s="49">
        <f>TRUNC((G3546*H3546-G3546),8)</f>
        <v/>
      </c>
      <c r="J3546" s="4">
        <f>G3546+I3546</f>
        <v/>
      </c>
      <c r="K3546" s="256" t="n"/>
      <c r="L3546" s="256" t="n"/>
      <c r="M3546" s="256" t="n"/>
      <c r="N3546" s="256" t="n"/>
      <c r="O3546" s="256" t="n"/>
      <c r="P3546" s="256" t="n"/>
      <c r="Q3546" s="256" t="n"/>
    </row>
    <row r="3547">
      <c r="A3547">
        <f>IF(DAY(D3547)=DAY($L$1+1),A3546+1,A3546)</f>
        <v/>
      </c>
      <c r="B3547" s="46">
        <f>IF(DAY(D3547)=DAY($L$1+1),1,B3546+1)</f>
        <v/>
      </c>
      <c r="C3547" s="46">
        <f>IF(DAY(D3547)=DAY($L$1+1),1,C3546+1)</f>
        <v/>
      </c>
      <c r="D3547" s="2">
        <f>D3546+1</f>
        <v/>
      </c>
      <c r="E3547" s="8">
        <f>IF(DAY(D3547)=DAY($L$1+1),TRUNC((N3546),8),E3546)</f>
        <v/>
      </c>
      <c r="F3547" s="49">
        <f>TRUNC(((1+VLOOKUP(A3547,IPCA!$A$2:$C$140,3,0)))^(C3547/(EDATE(D3547-C3547,1)-(D3547-C3547))),8)</f>
        <v/>
      </c>
      <c r="G3547" s="4">
        <f>TRUNC((E3547*F3547),8)</f>
        <v/>
      </c>
      <c r="H3547" s="4">
        <f>ROUND(((1+$H$4)^(30/360))^(C3547/(EDATE(D3547-B3547,1)-(D3547-B3547))),9)</f>
        <v/>
      </c>
      <c r="I3547" s="49">
        <f>TRUNC((G3547*H3547-G3547),8)</f>
        <v/>
      </c>
      <c r="J3547" s="4">
        <f>G3547+I3547</f>
        <v/>
      </c>
      <c r="K3547" s="256" t="n"/>
      <c r="L3547" s="256" t="n"/>
      <c r="M3547" s="256" t="n"/>
      <c r="N3547" s="256" t="n"/>
      <c r="O3547" s="256" t="n"/>
      <c r="P3547" s="256" t="n"/>
      <c r="Q3547" s="256" t="n"/>
    </row>
    <row r="3548">
      <c r="A3548">
        <f>IF(DAY(D3548)=DAY($L$1+1),A3547+1,A3547)</f>
        <v/>
      </c>
      <c r="B3548" s="1">
        <f>IF(DAY(D3548)=DAY($L$1+1),1,B3547+1)</f>
        <v/>
      </c>
      <c r="C3548" s="1">
        <f>IF(DAY(D3548)=DAY($L$1+1),1,C3547+1)</f>
        <v/>
      </c>
      <c r="D3548" s="2">
        <f>D3547+1</f>
        <v/>
      </c>
      <c r="E3548" s="8">
        <f>IF(DAY(D3548)=DAY($L$1+1),TRUNC((N3547),8),E3547)</f>
        <v/>
      </c>
      <c r="F3548" s="49">
        <f>TRUNC(((1+VLOOKUP(A3548,IPCA!$A$2:$C$140,3,0)))^(C3548/(EDATE(D3548-C3548,1)-(D3548-C3548))),8)</f>
        <v/>
      </c>
      <c r="G3548" s="4">
        <f>TRUNC((E3548*F3548),8)</f>
        <v/>
      </c>
      <c r="H3548" s="4">
        <f>ROUND(((1+$H$4)^(30/360))^(C3548/(EDATE(D3548-B3548,1)-(D3548-B3548))),9)</f>
        <v/>
      </c>
      <c r="I3548" s="49">
        <f>TRUNC((G3548*H3548-G3548),8)</f>
        <v/>
      </c>
      <c r="J3548" s="4">
        <f>G3548+I3548</f>
        <v/>
      </c>
      <c r="K3548" s="256" t="inlineStr">
        <is>
          <t>Cri Integralizado</t>
        </is>
      </c>
      <c r="L3548" s="270">
        <f>L3519</f>
        <v/>
      </c>
      <c r="M3548" s="256" t="n"/>
      <c r="N3548" s="256" t="n"/>
      <c r="O3548" s="256" t="n"/>
      <c r="P3548" s="256" t="n"/>
      <c r="Q3548" s="256" t="n"/>
    </row>
    <row r="3549">
      <c r="A3549">
        <f>IF(DAY(D3549)=DAY($L$1+1),A3548+1,A3548)</f>
        <v/>
      </c>
      <c r="B3549" s="46">
        <f>IF(DAY(D3549)=DAY($L$1+1),1,B3548+1)</f>
        <v/>
      </c>
      <c r="C3549" s="46">
        <f>IF(DAY(D3549)=DAY($L$1+1),1,C3548+1)</f>
        <v/>
      </c>
      <c r="D3549" s="2">
        <f>D3548+1</f>
        <v/>
      </c>
      <c r="E3549" s="8">
        <f>IF(DAY(D3549)=DAY($L$1+1),TRUNC((N3548),8),E3548)</f>
        <v/>
      </c>
      <c r="F3549" s="49">
        <f>TRUNC(((1+VLOOKUP(A3549,IPCA!$A$2:$C$140,3,0)))^(C3549/(EDATE(D3549-C3549,1)-(D3549-C3549))),8)</f>
        <v/>
      </c>
      <c r="G3549" s="4">
        <f>TRUNC((E3549*F3549),8)</f>
        <v/>
      </c>
      <c r="H3549" s="4">
        <f>ROUND(((1+$H$4)^(30/360))^(C3549/(EDATE(D3549-B3549,1)-(D3549-B3549))),9)</f>
        <v/>
      </c>
      <c r="I3549" s="49">
        <f>TRUNC((G3549*H3549-G3549),8)</f>
        <v/>
      </c>
      <c r="J3549" s="4">
        <f>G3549+I3549</f>
        <v/>
      </c>
      <c r="K3549" s="137" t="inlineStr">
        <is>
          <t>JUROS</t>
        </is>
      </c>
      <c r="L3549" s="118" t="inlineStr">
        <is>
          <t>AMORTIZAÇÃO</t>
        </is>
      </c>
      <c r="M3549" s="118" t="inlineStr">
        <is>
          <t>AMEX</t>
        </is>
      </c>
      <c r="N3549" s="118" t="inlineStr">
        <is>
          <t>RESIDUAL</t>
        </is>
      </c>
      <c r="O3549" s="256" t="n"/>
      <c r="P3549" s="256" t="n"/>
      <c r="Q3549" s="256" t="n"/>
    </row>
    <row r="3550">
      <c r="A3550">
        <f>IF(DAY(D3550)=DAY($L$1+1),A3549+1,A3549)</f>
        <v/>
      </c>
      <c r="B3550" s="111">
        <f>IF(DAY(D3550)=DAY($L$1+1),1,B3549+1)</f>
        <v/>
      </c>
      <c r="C3550" s="111">
        <f>IF(DAY(D3550)=DAY($L$1+1),1,C3549+1)</f>
        <v/>
      </c>
      <c r="D3550" s="112">
        <f>D3549+1</f>
        <v/>
      </c>
      <c r="E3550" s="113">
        <f>IF(DAY(D3550)=DAY($L$1+1),TRUNC((N3549),8),E3549)</f>
        <v/>
      </c>
      <c r="F3550" s="114">
        <f>TRUNC(((1+VLOOKUP(A3550,IPCA!$A$2:$C$140,3,0)))^(C3550/(EDATE(D3550-C3550,1)-(D3550-C3550))),8)</f>
        <v/>
      </c>
      <c r="G3550" s="114">
        <f>TRUNC((E3550*F3550),8)</f>
        <v/>
      </c>
      <c r="H3550" s="114">
        <f>ROUND(((1+$H$4)^(30/360))^(C3550/(EDATE(D3550-B3550,1)-(D3550-B3550))),9)</f>
        <v/>
      </c>
      <c r="I3550" s="114">
        <f>TRUNC((G3550*H3550-G3550),8)</f>
        <v/>
      </c>
      <c r="J3550" s="114">
        <f>G3550+I3550</f>
        <v/>
      </c>
      <c r="K3550" s="119">
        <f>I3550</f>
        <v/>
      </c>
      <c r="L3550" s="120">
        <f>TRUNC(G3550*VLOOKUP(D3550,'Amort TS'!$G$3:$H$140,2,0),8)</f>
        <v/>
      </c>
      <c r="M3550" s="120" t="n">
        <v>0</v>
      </c>
      <c r="N3550" s="120">
        <f>J3550-K3550-L3550-M3550</f>
        <v/>
      </c>
      <c r="O3550" s="256" t="n"/>
      <c r="P3550" s="256" t="n"/>
      <c r="Q3550" s="256" t="n"/>
    </row>
    <row r="3551">
      <c r="A3551">
        <f>IF(DAY(D3551)=DAY($L$1+1),A3550+1,A3550)</f>
        <v/>
      </c>
      <c r="B3551" s="46">
        <f>IF(DAY(D3551)=DAY($L$1+1),1,B3550+1)</f>
        <v/>
      </c>
      <c r="C3551" s="46">
        <f>IF(DAY(D3551)=DAY($L$1+1),1,C3550+1)</f>
        <v/>
      </c>
      <c r="D3551" s="2">
        <f>D3550+1</f>
        <v/>
      </c>
      <c r="E3551" s="8">
        <f>IF(DAY(D3551)=DAY($L$1+1),TRUNC((N3550),8),E3550)</f>
        <v/>
      </c>
      <c r="F3551" s="49">
        <f>TRUNC(((1+VLOOKUP(A3551,IPCA!$A$2:$C$140,3,0)))^(C3551/(EDATE(D3551-C3551,1)-(D3551-C3551))),8)</f>
        <v/>
      </c>
      <c r="G3551" s="4">
        <f>TRUNC((E3551*F3551),8)</f>
        <v/>
      </c>
      <c r="H3551" s="4">
        <f>ROUND(((1+$H$4)^(30/360))^(C3551/(EDATE(D3551-B3551,1)-(D3551-B3551))),9)</f>
        <v/>
      </c>
      <c r="I3551" s="49">
        <f>TRUNC((G3551*H3551-G3551),8)</f>
        <v/>
      </c>
      <c r="J3551" s="4">
        <f>G3551+I3551</f>
        <v/>
      </c>
      <c r="K3551" s="121">
        <f>K3550*L3548</f>
        <v/>
      </c>
      <c r="L3551" s="121">
        <f>L3550*L3548</f>
        <v/>
      </c>
      <c r="M3551" s="121">
        <f>M3550*L3548</f>
        <v/>
      </c>
      <c r="N3551" s="121">
        <f>N3550*L3548</f>
        <v/>
      </c>
      <c r="O3551" s="256" t="n"/>
      <c r="P3551" s="256" t="n"/>
      <c r="Q3551" s="256" t="n"/>
    </row>
    <row r="3552">
      <c r="A3552">
        <f>IF(DAY(D3552)=DAY($L$1+1),A3551+1,A3551)</f>
        <v/>
      </c>
      <c r="B3552" s="46">
        <f>IF(DAY(D3552)=DAY($L$1+1),1,B3551+1)</f>
        <v/>
      </c>
      <c r="C3552" s="46">
        <f>IF(DAY(D3552)=DAY($L$1+1),1,C3551+1)</f>
        <v/>
      </c>
      <c r="D3552" s="47">
        <f>D3551+1</f>
        <v/>
      </c>
      <c r="E3552" s="8">
        <f>IF(DAY(D3552)=DAY($L$1+1),TRUNC((N3551),8),E3551)</f>
        <v/>
      </c>
      <c r="F3552" s="49">
        <f>TRUNC(((1+VLOOKUP(A3552,IPCA!$A$2:$C$140,3,0)))^(C3552/(EDATE(D3552-C3552,1)-(D3552-C3552))),8)</f>
        <v/>
      </c>
      <c r="G3552" s="4">
        <f>TRUNC((E3552*F3552),8)</f>
        <v/>
      </c>
      <c r="H3552" s="4">
        <f>ROUND(((1+$H$4)^(30/360))^(C3552/(EDATE(D3552-B3552,1)-(D3552-B3552))),9)</f>
        <v/>
      </c>
      <c r="I3552" s="49">
        <f>TRUNC((G3552*H3552-G3552),8)</f>
        <v/>
      </c>
      <c r="J3552" s="4">
        <f>G3552+I3552</f>
        <v/>
      </c>
      <c r="K3552" s="256" t="n"/>
      <c r="L3552" s="256" t="n"/>
      <c r="M3552" s="256" t="n"/>
      <c r="N3552" s="256" t="n"/>
      <c r="O3552" s="256" t="n"/>
      <c r="P3552" s="256" t="n"/>
      <c r="Q3552" s="256" t="n"/>
    </row>
    <row r="3553">
      <c r="A3553">
        <f>IF(DAY(D3553)=DAY($L$1+1),A3552+1,A3552)</f>
        <v/>
      </c>
      <c r="B3553" s="1">
        <f>IF(DAY(D3553)=DAY($L$1+1),1,B3552+1)</f>
        <v/>
      </c>
      <c r="C3553" s="46">
        <f>IF(DAY(D3553)=DAY($L$1+1),1,C3552+1)</f>
        <v/>
      </c>
      <c r="D3553" s="2">
        <f>D3552+1</f>
        <v/>
      </c>
      <c r="E3553" s="8">
        <f>IF(DAY(D3553)=DAY($L$1+1),TRUNC((#REF!),8),E3552)</f>
        <v/>
      </c>
      <c r="F3553" s="49">
        <f>TRUNC(((1+VLOOKUP(A3553,IPCA!$A$2:$C$140,3,0)))^(C3553/(EDATE(D3553-C3553,1)-(D3553-C3553))),8)</f>
        <v/>
      </c>
      <c r="G3553" s="4">
        <f>TRUNC((E3553*F3553),8)</f>
        <v/>
      </c>
      <c r="H3553" s="4">
        <f>ROUND(((1+$H$4)^(30/360))^(C3553/(EDATE(D3553-B3553,1)-(D3553-B3553))),9)</f>
        <v/>
      </c>
      <c r="I3553" s="49">
        <f>TRUNC((G3553*H3553-G3553),8)</f>
        <v/>
      </c>
      <c r="J3553" s="4">
        <f>G3553+I3553</f>
        <v/>
      </c>
      <c r="K3553" s="256" t="n"/>
      <c r="L3553" s="256" t="n"/>
      <c r="M3553" s="256" t="n"/>
      <c r="N3553" s="256" t="n"/>
      <c r="O3553" s="256" t="n"/>
      <c r="P3553" s="256" t="n"/>
      <c r="Q3553" s="256" t="n"/>
    </row>
    <row r="3554">
      <c r="A3554">
        <f>IF(DAY(D3554)=DAY($L$1+1),A3553+1,A3553)</f>
        <v/>
      </c>
      <c r="B3554" s="46">
        <f>IF(DAY(D3554)=DAY($L$1+1),1,B3553+1)</f>
        <v/>
      </c>
      <c r="C3554" s="46">
        <f>IF(DAY(D3554)=DAY($L$1+1),1,C3553+1)</f>
        <v/>
      </c>
      <c r="D3554" s="2">
        <f>D3553+1</f>
        <v/>
      </c>
      <c r="E3554" s="8">
        <f>IF(DAY(D3554)=DAY($L$1+1),TRUNC((#REF!),8),E3553)</f>
        <v/>
      </c>
      <c r="F3554" s="49">
        <f>TRUNC(((1+VLOOKUP(A3554,IPCA!$A$2:$C$140,3,0)))^(C3554/(EDATE(D3554-C3554,1)-(D3554-C3554))),8)</f>
        <v/>
      </c>
      <c r="G3554" s="4">
        <f>TRUNC((E3554*F3554),8)</f>
        <v/>
      </c>
      <c r="H3554" s="4">
        <f>ROUND(((1+$H$4)^(30/360))^(C3554/(EDATE(D3554-B3554,1)-(D3554-B3554))),9)</f>
        <v/>
      </c>
      <c r="I3554" s="49">
        <f>TRUNC((G3554*H3554-G3554),8)</f>
        <v/>
      </c>
      <c r="J3554" s="4">
        <f>G3554+I3554</f>
        <v/>
      </c>
      <c r="K3554" s="256" t="n"/>
      <c r="L3554" s="256" t="n"/>
      <c r="M3554" s="256" t="n"/>
      <c r="N3554" s="256" t="n"/>
      <c r="O3554" s="256" t="n"/>
      <c r="P3554" s="256" t="n"/>
      <c r="Q3554" s="256" t="n"/>
    </row>
    <row r="3555">
      <c r="A3555">
        <f>IF(DAY(D3555)=DAY($L$1+1),A3554+1,A3554)</f>
        <v/>
      </c>
      <c r="B3555" s="46">
        <f>IF(DAY(D3555)=DAY($L$1+1),1,B3554+1)</f>
        <v/>
      </c>
      <c r="C3555" s="46">
        <f>IF(DAY(D3555)=DAY($L$1+1),1,C3554+1)</f>
        <v/>
      </c>
      <c r="D3555" s="47">
        <f>D3554+1</f>
        <v/>
      </c>
      <c r="E3555" s="8">
        <f>IF(DAY(D3555)=DAY($L$1+1),TRUNC((#REF!),8),E3554)</f>
        <v/>
      </c>
      <c r="F3555" s="49">
        <f>TRUNC(((1+VLOOKUP(A3555,IPCA!$A$2:$C$140,3,0)))^(C3555/(EDATE(D3555-C3555,1)-(D3555-C3555))),8)</f>
        <v/>
      </c>
      <c r="G3555" s="4">
        <f>TRUNC((E3555*F3555),8)</f>
        <v/>
      </c>
      <c r="H3555" s="4">
        <f>ROUND(((1+$H$4)^(30/360))^(C3555/(EDATE(D3555-B3555,1)-(D3555-B3555))),9)</f>
        <v/>
      </c>
      <c r="I3555" s="49">
        <f>TRUNC((G3555*H3555-G3555),8)</f>
        <v/>
      </c>
      <c r="J3555" s="4">
        <f>G3555+I3555</f>
        <v/>
      </c>
      <c r="K3555" s="256" t="n"/>
      <c r="L3555" s="256" t="n"/>
      <c r="M3555" s="256" t="n"/>
      <c r="N3555" s="256" t="n"/>
      <c r="O3555" s="256" t="n"/>
      <c r="P3555" s="256" t="n"/>
      <c r="Q3555" s="256" t="n"/>
    </row>
    <row r="3556">
      <c r="A3556">
        <f>IF(DAY(D3556)=DAY($L$1+1),A3555+1,A3555)</f>
        <v/>
      </c>
      <c r="B3556" s="1">
        <f>IF(DAY(D3556)=DAY($L$1+1),1,B3555+1)</f>
        <v/>
      </c>
      <c r="C3556" s="1">
        <f>IF(DAY(D3556)=DAY($L$1+1),1,C3555+1)</f>
        <v/>
      </c>
      <c r="D3556" s="2">
        <f>D3555+1</f>
        <v/>
      </c>
      <c r="E3556" s="8">
        <f>IF(DAY(D3556)=DAY($L$1+1),TRUNC((#REF!),8),E3555)</f>
        <v/>
      </c>
      <c r="F3556" s="49">
        <f>TRUNC(((1+VLOOKUP(A3556,IPCA!$A$2:$C$140,3,0)))^(C3556/(EDATE(D3556-C3556,1)-(D3556-C3556))),8)</f>
        <v/>
      </c>
      <c r="G3556" s="4">
        <f>TRUNC((E3556*F3556),8)</f>
        <v/>
      </c>
      <c r="H3556" s="4">
        <f>ROUND(((1+$H$4)^(30/360))^(C3556/(EDATE(D3556-B3556,1)-(D3556-B3556))),9)</f>
        <v/>
      </c>
      <c r="I3556" s="49">
        <f>TRUNC((G3556*H3556-G3556),8)</f>
        <v/>
      </c>
      <c r="J3556" s="4">
        <f>G3556+I3556</f>
        <v/>
      </c>
      <c r="K3556" s="256" t="n"/>
      <c r="L3556" s="256" t="n"/>
      <c r="M3556" s="256" t="n"/>
      <c r="N3556" s="256" t="n"/>
      <c r="O3556" s="256" t="n"/>
      <c r="P3556" s="256" t="n"/>
      <c r="Q3556" s="256" t="n"/>
    </row>
    <row r="3557">
      <c r="A3557">
        <f>IF(DAY(D3557)=DAY($L$1+1),A3556+1,A3556)</f>
        <v/>
      </c>
      <c r="B3557" s="46">
        <f>IF(DAY(D3557)=DAY($L$1+1),1,B3556+1)</f>
        <v/>
      </c>
      <c r="C3557" s="46">
        <f>IF(DAY(D3557)=DAY($L$1+1),1,C3556+1)</f>
        <v/>
      </c>
      <c r="D3557" s="2">
        <f>D3556+1</f>
        <v/>
      </c>
      <c r="E3557" s="8">
        <f>IF(DAY(D3557)=DAY($L$1+1),TRUNC((#REF!),8),E3556)</f>
        <v/>
      </c>
      <c r="F3557" s="49">
        <f>TRUNC(((1+VLOOKUP(A3557,IPCA!$A$2:$C$140,3,0)))^(C3557/(EDATE(D3557-C3557,1)-(D3557-C3557))),8)</f>
        <v/>
      </c>
      <c r="G3557" s="4">
        <f>TRUNC((E3557*F3557),8)</f>
        <v/>
      </c>
      <c r="H3557" s="4">
        <f>ROUND(((1+$H$4)^(30/360))^(C3557/(EDATE(D3557-B3557,1)-(D3557-B3557))),9)</f>
        <v/>
      </c>
      <c r="I3557" s="49">
        <f>TRUNC((G3557*H3557-G3557),8)</f>
        <v/>
      </c>
      <c r="J3557" s="4">
        <f>G3557+I3557</f>
        <v/>
      </c>
      <c r="K3557" s="256" t="n"/>
      <c r="L3557" s="256" t="n"/>
      <c r="M3557" s="256" t="n"/>
      <c r="N3557" s="256" t="n"/>
      <c r="O3557" s="256" t="n"/>
      <c r="P3557" s="256" t="n"/>
      <c r="Q3557" s="256" t="n"/>
    </row>
    <row r="3558">
      <c r="A3558">
        <f>IF(DAY(D3558)=DAY($L$1+1),A3557+1,A3557)</f>
        <v/>
      </c>
      <c r="B3558" s="1">
        <f>IF(DAY(D3558)=DAY($L$1+1),1,B3557+1)</f>
        <v/>
      </c>
      <c r="C3558" s="1">
        <f>IF(DAY(D3558)=DAY($L$1+1),1,C3557+1)</f>
        <v/>
      </c>
      <c r="D3558" s="2">
        <f>D3557+1</f>
        <v/>
      </c>
      <c r="E3558" s="8">
        <f>IF(DAY(D3558)=DAY($L$1+1),TRUNC((#REF!),8),E3557)</f>
        <v/>
      </c>
      <c r="F3558" s="49">
        <f>TRUNC(((1+VLOOKUP(A3558,IPCA!$A$2:$C$140,3,0)))^(C3558/(EDATE(D3558-C3558,1)-(D3558-C3558))),8)</f>
        <v/>
      </c>
      <c r="G3558" s="4">
        <f>TRUNC((E3558*F3558),8)</f>
        <v/>
      </c>
      <c r="H3558" s="4">
        <f>ROUND(((1+$H$4)^(30/360))^(C3558/(EDATE(D3558-B3558,1)-(D3558-B3558))),9)</f>
        <v/>
      </c>
      <c r="I3558" s="49">
        <f>TRUNC((G3558*H3558-G3558),8)</f>
        <v/>
      </c>
      <c r="J3558" s="4">
        <f>G3558+I3558</f>
        <v/>
      </c>
      <c r="K3558" s="256" t="n"/>
      <c r="L3558" s="256" t="n"/>
      <c r="M3558" s="256" t="n"/>
      <c r="N3558" s="256" t="n"/>
      <c r="O3558" s="256" t="n"/>
      <c r="P3558" s="256" t="n"/>
      <c r="Q3558" s="256" t="n"/>
    </row>
    <row r="3559">
      <c r="A3559">
        <f>IF(DAY(D3559)=DAY($L$1+1),A3558+1,A3558)</f>
        <v/>
      </c>
      <c r="B3559" s="46">
        <f>IF(DAY(D3559)=DAY($L$1+1),1,B3558+1)</f>
        <v/>
      </c>
      <c r="C3559" s="46">
        <f>IF(DAY(D3559)=DAY($L$1+1),1,C3558+1)</f>
        <v/>
      </c>
      <c r="D3559" s="2">
        <f>D3558+1</f>
        <v/>
      </c>
      <c r="E3559" s="8">
        <f>IF(DAY(D3559)=DAY($L$1+1),TRUNC((#REF!),8),E3558)</f>
        <v/>
      </c>
      <c r="F3559" s="49">
        <f>TRUNC(((1+VLOOKUP(A3559,IPCA!$A$2:$C$140,3,0)))^(C3559/(EDATE(D3559-C3559,1)-(D3559-C3559))),8)</f>
        <v/>
      </c>
      <c r="G3559" s="4">
        <f>TRUNC((E3559*F3559),8)</f>
        <v/>
      </c>
      <c r="H3559" s="4">
        <f>ROUND(((1+$H$4)^(30/360))^(C3559/(EDATE(D3559-B3559,1)-(D3559-B3559))),9)</f>
        <v/>
      </c>
      <c r="I3559" s="49">
        <f>TRUNC((G3559*H3559-G3559),8)</f>
        <v/>
      </c>
      <c r="J3559" s="4">
        <f>G3559+I3559</f>
        <v/>
      </c>
      <c r="K3559" s="256" t="n"/>
      <c r="L3559" s="256" t="n"/>
      <c r="M3559" s="256" t="n"/>
      <c r="N3559" s="256" t="n"/>
      <c r="O3559" s="256" t="n"/>
      <c r="P3559" s="256" t="n"/>
      <c r="Q3559" s="256" t="n"/>
    </row>
    <row r="3560">
      <c r="A3560">
        <f>IF(DAY(D3560)=DAY($L$1+1),A3559+1,A3559)</f>
        <v/>
      </c>
      <c r="B3560" s="1">
        <f>IF(DAY(D3560)=DAY($L$1+1),1,B3559+1)</f>
        <v/>
      </c>
      <c r="C3560" s="1">
        <f>IF(DAY(D3560)=DAY($L$1+1),1,C3559+1)</f>
        <v/>
      </c>
      <c r="D3560" s="2">
        <f>D3559+1</f>
        <v/>
      </c>
      <c r="E3560" s="8">
        <f>IF(DAY(D3560)=DAY($L$1+1),TRUNC((#REF!),8),E3559)</f>
        <v/>
      </c>
      <c r="F3560" s="49">
        <f>TRUNC(((1+VLOOKUP(A3560,IPCA!$A$2:$C$140,3,0)))^(C3560/(EDATE(D3560-C3560,1)-(D3560-C3560))),8)</f>
        <v/>
      </c>
      <c r="G3560" s="4">
        <f>TRUNC((E3560*F3560),8)</f>
        <v/>
      </c>
      <c r="H3560" s="4">
        <f>ROUND(((1+$H$4)^(30/360))^(C3560/(EDATE(D3560-B3560,1)-(D3560-B3560))),9)</f>
        <v/>
      </c>
      <c r="I3560" s="49">
        <f>TRUNC((G3560*H3560-G3560),8)</f>
        <v/>
      </c>
      <c r="J3560" s="4">
        <f>G3560+I3560</f>
        <v/>
      </c>
      <c r="K3560" s="256" t="n"/>
      <c r="L3560" s="256" t="n"/>
      <c r="M3560" s="256" t="n"/>
      <c r="N3560" s="256" t="n"/>
      <c r="O3560" s="256" t="n"/>
      <c r="P3560" s="256" t="n"/>
      <c r="Q3560" s="256" t="n"/>
    </row>
    <row r="3561">
      <c r="A3561">
        <f>IF(DAY(D3561)=DAY($L$1+1),A3560+1,A3560)</f>
        <v/>
      </c>
      <c r="B3561" s="46">
        <f>IF(DAY(D3561)=DAY($L$1+1),1,B3560+1)</f>
        <v/>
      </c>
      <c r="C3561" s="46">
        <f>IF(DAY(D3561)=DAY($L$1+1),1,C3560+1)</f>
        <v/>
      </c>
      <c r="D3561" s="2">
        <f>D3560+1</f>
        <v/>
      </c>
      <c r="E3561" s="8">
        <f>IF(DAY(D3561)=DAY($L$1+1),TRUNC((#REF!),8),E3560)</f>
        <v/>
      </c>
      <c r="F3561" s="49">
        <f>TRUNC(((1+VLOOKUP(A3561,IPCA!$A$2:$C$140,3,0)))^(C3561/(EDATE(D3561-C3561,1)-(D3561-C3561))),8)</f>
        <v/>
      </c>
      <c r="G3561" s="4">
        <f>TRUNC((E3561*F3561),8)</f>
        <v/>
      </c>
      <c r="H3561" s="4">
        <f>ROUND(((1+$H$4)^(30/360))^(C3561/(EDATE(D3561-B3561,1)-(D3561-B3561))),9)</f>
        <v/>
      </c>
      <c r="I3561" s="49">
        <f>TRUNC((G3561*H3561-G3561),8)</f>
        <v/>
      </c>
      <c r="J3561" s="4">
        <f>G3561+I3561</f>
        <v/>
      </c>
      <c r="K3561" s="256" t="n"/>
      <c r="L3561" s="256" t="n"/>
      <c r="M3561" s="256" t="n"/>
      <c r="N3561" s="256" t="n"/>
      <c r="O3561" s="256" t="n"/>
      <c r="P3561" s="256" t="n"/>
      <c r="Q3561" s="256" t="n"/>
    </row>
    <row r="3562">
      <c r="A3562">
        <f>IF(DAY(D3562)=DAY($L$1+1),A3561+1,A3561)</f>
        <v/>
      </c>
      <c r="B3562" s="1">
        <f>IF(DAY(D3562)=DAY($L$1+1),1,B3561+1)</f>
        <v/>
      </c>
      <c r="C3562" s="1">
        <f>IF(DAY(D3562)=DAY($L$1+1),1,C3561+1)</f>
        <v/>
      </c>
      <c r="D3562" s="2">
        <f>D3561+1</f>
        <v/>
      </c>
      <c r="E3562" s="8">
        <f>IF(DAY(D3562)=DAY($L$1+1),TRUNC((#REF!),8),E3561)</f>
        <v/>
      </c>
      <c r="F3562" s="49">
        <f>TRUNC(((1+VLOOKUP(A3562,IPCA!$A$2:$C$140,3,0)))^(C3562/(EDATE(D3562-C3562,1)-(D3562-C3562))),8)</f>
        <v/>
      </c>
      <c r="G3562" s="4">
        <f>TRUNC((E3562*F3562),8)</f>
        <v/>
      </c>
      <c r="H3562" s="4">
        <f>ROUND(((1+$H$4)^(30/360))^(C3562/(EDATE(D3562-B3562,1)-(D3562-B3562))),9)</f>
        <v/>
      </c>
      <c r="I3562" s="49">
        <f>TRUNC((G3562*H3562-G3562),8)</f>
        <v/>
      </c>
      <c r="J3562" s="4">
        <f>G3562+I3562</f>
        <v/>
      </c>
      <c r="K3562" s="256" t="n"/>
      <c r="L3562" s="256" t="n"/>
      <c r="M3562" s="256" t="n"/>
      <c r="N3562" s="256" t="n"/>
      <c r="O3562" s="256" t="n"/>
      <c r="P3562" s="256" t="n"/>
      <c r="Q3562" s="256" t="n"/>
    </row>
    <row r="3563">
      <c r="A3563">
        <f>IF(DAY(D3563)=DAY($L$1+1),A3562+1,A3562)</f>
        <v/>
      </c>
      <c r="B3563" s="46">
        <f>IF(DAY(D3563)=DAY($L$1+1),1,B3562+1)</f>
        <v/>
      </c>
      <c r="C3563" s="46">
        <f>IF(DAY(D3563)=DAY($L$1+1),1,C3562+1)</f>
        <v/>
      </c>
      <c r="D3563" s="2">
        <f>D3562+1</f>
        <v/>
      </c>
      <c r="E3563" s="8">
        <f>IF(DAY(D3563)=DAY($L$1+1),TRUNC((#REF!),8),E3562)</f>
        <v/>
      </c>
      <c r="F3563" s="49">
        <f>TRUNC(((1+VLOOKUP(A3563,IPCA!$A$2:$C$140,3,0)))^(C3563/(EDATE(D3563-C3563,1)-(D3563-C3563))),8)</f>
        <v/>
      </c>
      <c r="G3563" s="4">
        <f>TRUNC((E3563*F3563),8)</f>
        <v/>
      </c>
      <c r="H3563" s="4">
        <f>ROUND(((1+$H$4)^(30/360))^(C3563/(EDATE(D3563-B3563,1)-(D3563-B3563))),9)</f>
        <v/>
      </c>
      <c r="I3563" s="49">
        <f>TRUNC((G3563*H3563-G3563),8)</f>
        <v/>
      </c>
      <c r="J3563" s="4">
        <f>G3563+I3563</f>
        <v/>
      </c>
      <c r="K3563" s="256" t="n"/>
      <c r="L3563" s="256" t="n"/>
      <c r="M3563" s="256" t="n"/>
      <c r="N3563" s="256" t="n"/>
      <c r="O3563" s="256" t="n"/>
      <c r="P3563" s="256" t="n"/>
      <c r="Q3563" s="256" t="n"/>
    </row>
    <row r="3564">
      <c r="A3564">
        <f>IF(DAY(D3564)=DAY($L$1+1),A3563+1,A3563)</f>
        <v/>
      </c>
      <c r="B3564" s="1">
        <f>IF(DAY(D3564)=DAY($L$1+1),1,B3563+1)</f>
        <v/>
      </c>
      <c r="C3564" s="1">
        <f>IF(DAY(D3564)=DAY($L$1+1),1,C3563+1)</f>
        <v/>
      </c>
      <c r="D3564" s="2">
        <f>D3563+1</f>
        <v/>
      </c>
      <c r="E3564" s="8">
        <f>IF(DAY(D3564)=DAY($L$1+1),TRUNC((#REF!),8),E3563)</f>
        <v/>
      </c>
      <c r="F3564" s="49">
        <f>TRUNC(((1+VLOOKUP(A3564,IPCA!$A$2:$C$140,3,0)))^(C3564/(EDATE(D3564-C3564,1)-(D3564-C3564))),8)</f>
        <v/>
      </c>
      <c r="G3564" s="4">
        <f>TRUNC((E3564*F3564),8)</f>
        <v/>
      </c>
      <c r="H3564" s="4">
        <f>ROUND(((1+$H$4)^(30/360))^(C3564/(EDATE(D3564-B3564,1)-(D3564-B3564))),9)</f>
        <v/>
      </c>
      <c r="I3564" s="49">
        <f>TRUNC((G3564*H3564-G3564),8)</f>
        <v/>
      </c>
      <c r="J3564" s="4">
        <f>G3564+I3564</f>
        <v/>
      </c>
      <c r="K3564" s="256" t="n"/>
      <c r="L3564" s="256" t="n"/>
      <c r="M3564" s="256" t="n"/>
      <c r="N3564" s="256" t="n"/>
      <c r="O3564" s="256" t="n"/>
      <c r="P3564" s="256" t="n"/>
      <c r="Q3564" s="256" t="n"/>
    </row>
    <row r="3565">
      <c r="A3565">
        <f>IF(DAY(D3565)=DAY($L$1+1),A3564+1,A3564)</f>
        <v/>
      </c>
      <c r="B3565" s="46">
        <f>IF(DAY(D3565)=DAY($L$1+1),1,B3564+1)</f>
        <v/>
      </c>
      <c r="C3565" s="46">
        <f>IF(DAY(D3565)=DAY($L$1+1),1,C3564+1)</f>
        <v/>
      </c>
      <c r="D3565" s="2">
        <f>D3564+1</f>
        <v/>
      </c>
      <c r="E3565" s="8">
        <f>IF(DAY(D3565)=DAY($L$1+1),TRUNC((#REF!),8),E3564)</f>
        <v/>
      </c>
      <c r="F3565" s="49">
        <f>TRUNC(((1+VLOOKUP(A3565,IPCA!$A$2:$C$140,3,0)))^(C3565/(EDATE(D3565-C3565,1)-(D3565-C3565))),8)</f>
        <v/>
      </c>
      <c r="G3565" s="4">
        <f>TRUNC((E3565*F3565),8)</f>
        <v/>
      </c>
      <c r="H3565" s="4">
        <f>ROUND(((1+$H$4)^(30/360))^(C3565/(EDATE(D3565-B3565,1)-(D3565-B3565))),9)</f>
        <v/>
      </c>
      <c r="I3565" s="49">
        <f>TRUNC((G3565*H3565-G3565),8)</f>
        <v/>
      </c>
      <c r="J3565" s="4">
        <f>G3565+I3565</f>
        <v/>
      </c>
      <c r="K3565" s="256" t="n"/>
      <c r="L3565" s="256" t="n"/>
      <c r="M3565" s="256" t="n"/>
      <c r="N3565" s="256" t="n"/>
      <c r="O3565" s="256" t="n"/>
      <c r="P3565" s="256" t="n"/>
      <c r="Q3565" s="256" t="n"/>
    </row>
    <row r="3566">
      <c r="A3566">
        <f>IF(DAY(D3566)=DAY($L$1+1),A3565+1,A3565)</f>
        <v/>
      </c>
      <c r="B3566" s="1">
        <f>IF(DAY(D3566)=DAY($L$1+1),1,B3565+1)</f>
        <v/>
      </c>
      <c r="C3566" s="1">
        <f>IF(DAY(D3566)=DAY($L$1+1),1,C3565+1)</f>
        <v/>
      </c>
      <c r="D3566" s="2">
        <f>D3565+1</f>
        <v/>
      </c>
      <c r="E3566" s="8">
        <f>IF(DAY(D3566)=DAY($L$1+1),TRUNC((#REF!),8),E3565)</f>
        <v/>
      </c>
      <c r="F3566" s="49">
        <f>TRUNC(((1+VLOOKUP(A3566,IPCA!$A$2:$C$140,3,0)))^(C3566/(EDATE(D3566-C3566,1)-(D3566-C3566))),8)</f>
        <v/>
      </c>
      <c r="G3566" s="4">
        <f>TRUNC((E3566*F3566),8)</f>
        <v/>
      </c>
      <c r="H3566" s="4">
        <f>ROUND(((1+$H$4)^(30/360))^(C3566/(EDATE(D3566-B3566,1)-(D3566-B3566))),9)</f>
        <v/>
      </c>
      <c r="I3566" s="49">
        <f>TRUNC((G3566*H3566-G3566),8)</f>
        <v/>
      </c>
      <c r="J3566" s="4">
        <f>G3566+I3566</f>
        <v/>
      </c>
      <c r="K3566" s="256" t="n"/>
      <c r="L3566" s="256" t="n"/>
      <c r="M3566" s="256" t="n"/>
      <c r="N3566" s="256" t="n"/>
      <c r="O3566" s="256" t="n"/>
      <c r="P3566" s="256" t="n"/>
      <c r="Q3566" s="256" t="n"/>
    </row>
    <row r="3567">
      <c r="A3567">
        <f>IF(DAY(D3567)=DAY($L$1+1),A3566+1,A3566)</f>
        <v/>
      </c>
      <c r="B3567" s="46">
        <f>IF(DAY(D3567)=DAY($L$1+1),1,B3566+1)</f>
        <v/>
      </c>
      <c r="C3567" s="46">
        <f>IF(DAY(D3567)=DAY($L$1+1),1,C3566+1)</f>
        <v/>
      </c>
      <c r="D3567" s="2">
        <f>D3566+1</f>
        <v/>
      </c>
      <c r="E3567" s="8">
        <f>IF(DAY(D3567)=DAY($L$1+1),TRUNC((N3566),8),E3566)</f>
        <v/>
      </c>
      <c r="F3567" s="49">
        <f>TRUNC(((1+VLOOKUP(A3567,IPCA!$A$2:$C$140,3,0)))^(C3567/(EDATE(D3567-C3567,1)-(D3567-C3567))),8)</f>
        <v/>
      </c>
      <c r="G3567" s="4">
        <f>TRUNC((E3567*F3567),8)</f>
        <v/>
      </c>
      <c r="H3567" s="4">
        <f>ROUND(((1+$H$4)^(30/360))^(C3567/(EDATE(D3567-B3567,1)-(D3567-B3567))),9)</f>
        <v/>
      </c>
      <c r="I3567" s="49">
        <f>TRUNC((G3567*H3567-G3567),8)</f>
        <v/>
      </c>
      <c r="J3567" s="4">
        <f>G3567+I3567</f>
        <v/>
      </c>
      <c r="K3567" s="256" t="n"/>
      <c r="L3567" s="256" t="n"/>
      <c r="M3567" s="256" t="n"/>
      <c r="N3567" s="256" t="n"/>
      <c r="O3567" s="256" t="n"/>
      <c r="P3567" s="256" t="n"/>
      <c r="Q3567" s="256" t="n"/>
    </row>
    <row r="3568">
      <c r="A3568">
        <f>IF(DAY(D3568)=DAY($L$1+1),A3567+1,A3567)</f>
        <v/>
      </c>
      <c r="B3568" s="1">
        <f>IF(DAY(D3568)=DAY($L$1+1),1,B3567+1)</f>
        <v/>
      </c>
      <c r="C3568" s="1">
        <f>IF(DAY(D3568)=DAY($L$1+1),1,C3567+1)</f>
        <v/>
      </c>
      <c r="D3568" s="2">
        <f>D3567+1</f>
        <v/>
      </c>
      <c r="E3568" s="8">
        <f>IF(DAY(D3568)=DAY($L$1+1),TRUNC((N3567),8),E3567)</f>
        <v/>
      </c>
      <c r="F3568" s="49">
        <f>TRUNC(((1+VLOOKUP(A3568,IPCA!$A$2:$C$140,3,0)))^(C3568/(EDATE(D3568-C3568,1)-(D3568-C3568))),8)</f>
        <v/>
      </c>
      <c r="G3568" s="4">
        <f>TRUNC((E3568*F3568),8)</f>
        <v/>
      </c>
      <c r="H3568" s="4">
        <f>ROUND(((1+$H$4)^(30/360))^(C3568/(EDATE(D3568-B3568,1)-(D3568-B3568))),9)</f>
        <v/>
      </c>
      <c r="I3568" s="49">
        <f>TRUNC((G3568*H3568-G3568),8)</f>
        <v/>
      </c>
      <c r="J3568" s="4">
        <f>G3568+I3568</f>
        <v/>
      </c>
      <c r="K3568" s="256" t="n"/>
      <c r="L3568" s="256" t="n"/>
      <c r="M3568" s="256" t="n"/>
      <c r="N3568" s="256" t="n"/>
      <c r="O3568" s="256" t="n"/>
      <c r="P3568" s="256" t="n"/>
      <c r="Q3568" s="256" t="n"/>
    </row>
    <row r="3569">
      <c r="A3569">
        <f>IF(DAY(D3569)=DAY($L$1+1),A3568+1,A3568)</f>
        <v/>
      </c>
      <c r="B3569" s="46">
        <f>IF(DAY(D3569)=DAY($L$1+1),1,B3568+1)</f>
        <v/>
      </c>
      <c r="C3569" s="46">
        <f>IF(DAY(D3569)=DAY($L$1+1),1,C3568+1)</f>
        <v/>
      </c>
      <c r="D3569" s="2">
        <f>D3568+1</f>
        <v/>
      </c>
      <c r="E3569" s="8">
        <f>IF(DAY(D3569)=DAY($L$1+1),TRUNC((N3568),8),E3568)</f>
        <v/>
      </c>
      <c r="F3569" s="49">
        <f>TRUNC(((1+VLOOKUP(A3569,IPCA!$A$2:$C$140,3,0)))^(C3569/(EDATE(D3569-C3569,1)-(D3569-C3569))),8)</f>
        <v/>
      </c>
      <c r="G3569" s="4">
        <f>TRUNC((E3569*F3569),8)</f>
        <v/>
      </c>
      <c r="H3569" s="4">
        <f>ROUND(((1+$H$4)^(30/360))^(C3569/(EDATE(D3569-B3569,1)-(D3569-B3569))),9)</f>
        <v/>
      </c>
      <c r="I3569" s="49">
        <f>TRUNC((G3569*H3569-G3569),8)</f>
        <v/>
      </c>
      <c r="J3569" s="4">
        <f>G3569+I3569</f>
        <v/>
      </c>
      <c r="K3569" s="256" t="n"/>
      <c r="L3569" s="256" t="n"/>
      <c r="M3569" s="256" t="n"/>
      <c r="N3569" s="256" t="n"/>
      <c r="O3569" s="256" t="n"/>
      <c r="P3569" s="256" t="n"/>
      <c r="Q3569" s="256" t="n"/>
    </row>
    <row r="3570">
      <c r="A3570">
        <f>IF(DAY(D3570)=DAY($L$1+1),A3569+1,A3569)</f>
        <v/>
      </c>
      <c r="B3570" s="1">
        <f>IF(DAY(D3570)=DAY($L$1+1),1,B3569+1)</f>
        <v/>
      </c>
      <c r="C3570" s="1">
        <f>IF(DAY(D3570)=DAY($L$1+1),1,C3569+1)</f>
        <v/>
      </c>
      <c r="D3570" s="2">
        <f>D3569+1</f>
        <v/>
      </c>
      <c r="E3570" s="8">
        <f>IF(DAY(D3570)=DAY($L$1+1),TRUNC((N3569),8),E3569)</f>
        <v/>
      </c>
      <c r="F3570" s="49">
        <f>TRUNC(((1+VLOOKUP(A3570,IPCA!$A$2:$C$140,3,0)))^(C3570/(EDATE(D3570-C3570,1)-(D3570-C3570))),8)</f>
        <v/>
      </c>
      <c r="G3570" s="4">
        <f>TRUNC((E3570*F3570),8)</f>
        <v/>
      </c>
      <c r="H3570" s="4">
        <f>ROUND(((1+$H$4)^(30/360))^(C3570/(EDATE(D3570-B3570,1)-(D3570-B3570))),9)</f>
        <v/>
      </c>
      <c r="I3570" s="49">
        <f>TRUNC((G3570*H3570-G3570),8)</f>
        <v/>
      </c>
      <c r="J3570" s="4">
        <f>G3570+I3570</f>
        <v/>
      </c>
      <c r="K3570" s="256" t="n"/>
      <c r="L3570" s="256" t="n"/>
      <c r="M3570" s="256" t="n"/>
      <c r="N3570" s="256" t="n"/>
      <c r="O3570" s="256" t="n"/>
      <c r="P3570" s="256" t="n"/>
      <c r="Q3570" s="256" t="n"/>
    </row>
    <row r="3571">
      <c r="A3571">
        <f>IF(DAY(D3571)=DAY($L$1+1),A3570+1,A3570)</f>
        <v/>
      </c>
      <c r="B3571" s="46">
        <f>IF(DAY(D3571)=DAY($L$1+1),1,B3570+1)</f>
        <v/>
      </c>
      <c r="C3571" s="46">
        <f>IF(DAY(D3571)=DAY($L$1+1),1,C3570+1)</f>
        <v/>
      </c>
      <c r="D3571" s="2">
        <f>D3570+1</f>
        <v/>
      </c>
      <c r="E3571" s="8">
        <f>IF(DAY(D3571)=DAY($L$1+1),TRUNC((N3570),8),E3570)</f>
        <v/>
      </c>
      <c r="F3571" s="49">
        <f>TRUNC(((1+VLOOKUP(A3571,IPCA!$A$2:$C$140,3,0)))^(C3571/(EDATE(D3571-C3571,1)-(D3571-C3571))),8)</f>
        <v/>
      </c>
      <c r="G3571" s="4">
        <f>TRUNC((E3571*F3571),8)</f>
        <v/>
      </c>
      <c r="H3571" s="4">
        <f>ROUND(((1+$H$4)^(30/360))^(C3571/(EDATE(D3571-B3571,1)-(D3571-B3571))),9)</f>
        <v/>
      </c>
      <c r="I3571" s="49">
        <f>TRUNC((G3571*H3571-G3571),8)</f>
        <v/>
      </c>
      <c r="J3571" s="4">
        <f>G3571+I3571</f>
        <v/>
      </c>
      <c r="K3571" s="256" t="n"/>
      <c r="L3571" s="256" t="n"/>
      <c r="M3571" s="256" t="n"/>
      <c r="N3571" s="256" t="n"/>
      <c r="O3571" s="256" t="n"/>
      <c r="P3571" s="256" t="n"/>
      <c r="Q3571" s="256" t="n"/>
    </row>
    <row r="3572">
      <c r="A3572">
        <f>IF(DAY(D3572)=DAY($L$1+1),A3571+1,A3571)</f>
        <v/>
      </c>
      <c r="B3572" s="1">
        <f>IF(DAY(D3572)=DAY($L$1+1),1,B3571+1)</f>
        <v/>
      </c>
      <c r="C3572" s="1">
        <f>IF(DAY(D3572)=DAY($L$1+1),1,C3571+1)</f>
        <v/>
      </c>
      <c r="D3572" s="2">
        <f>D3571+1</f>
        <v/>
      </c>
      <c r="E3572" s="8">
        <f>IF(DAY(D3572)=DAY($L$1+1),TRUNC((N3571),8),E3571)</f>
        <v/>
      </c>
      <c r="F3572" s="49">
        <f>TRUNC(((1+VLOOKUP(A3572,IPCA!$A$2:$C$140,3,0)))^(C3572/(EDATE(D3572-C3572,1)-(D3572-C3572))),8)</f>
        <v/>
      </c>
      <c r="G3572" s="4">
        <f>TRUNC((E3572*F3572),8)</f>
        <v/>
      </c>
      <c r="H3572" s="4">
        <f>ROUND(((1+$H$4)^(30/360))^(C3572/(EDATE(D3572-B3572,1)-(D3572-B3572))),9)</f>
        <v/>
      </c>
      <c r="I3572" s="49">
        <f>TRUNC((G3572*H3572-G3572),8)</f>
        <v/>
      </c>
      <c r="J3572" s="4">
        <f>G3572+I3572</f>
        <v/>
      </c>
      <c r="K3572" s="256" t="n"/>
      <c r="L3572" s="256" t="n"/>
      <c r="M3572" s="256" t="n"/>
      <c r="N3572" s="256" t="n"/>
      <c r="O3572" s="256" t="n"/>
      <c r="P3572" s="256" t="n"/>
      <c r="Q3572" s="256" t="n"/>
    </row>
    <row r="3573">
      <c r="A3573">
        <f>IF(DAY(D3573)=DAY($L$1+1),A3572+1,A3572)</f>
        <v/>
      </c>
      <c r="B3573" s="46">
        <f>IF(DAY(D3573)=DAY($L$1+1),1,B3572+1)</f>
        <v/>
      </c>
      <c r="C3573" s="46">
        <f>IF(DAY(D3573)=DAY($L$1+1),1,C3572+1)</f>
        <v/>
      </c>
      <c r="D3573" s="2">
        <f>D3572+1</f>
        <v/>
      </c>
      <c r="E3573" s="8">
        <f>IF(DAY(D3573)=DAY($L$1+1),TRUNC((N3572),8),E3572)</f>
        <v/>
      </c>
      <c r="F3573" s="49">
        <f>TRUNC(((1+VLOOKUP(A3573,IPCA!$A$2:$C$140,3,0)))^(C3573/(EDATE(D3573-C3573,1)-(D3573-C3573))),8)</f>
        <v/>
      </c>
      <c r="G3573" s="4">
        <f>TRUNC((E3573*F3573),8)</f>
        <v/>
      </c>
      <c r="H3573" s="4">
        <f>ROUND(((1+$H$4)^(30/360))^(C3573/(EDATE(D3573-B3573,1)-(D3573-B3573))),9)</f>
        <v/>
      </c>
      <c r="I3573" s="49">
        <f>TRUNC((G3573*H3573-G3573),8)</f>
        <v/>
      </c>
      <c r="J3573" s="4">
        <f>G3573+I3573</f>
        <v/>
      </c>
      <c r="K3573" s="256" t="n"/>
      <c r="L3573" s="256" t="n"/>
      <c r="M3573" s="256" t="n"/>
      <c r="N3573" s="256" t="n"/>
      <c r="O3573" s="256" t="n"/>
      <c r="P3573" s="256" t="n"/>
      <c r="Q3573" s="256" t="n"/>
    </row>
    <row r="3574">
      <c r="A3574">
        <f>IF(DAY(D3574)=DAY($L$1+1),A3573+1,A3573)</f>
        <v/>
      </c>
      <c r="B3574" s="1">
        <f>IF(DAY(D3574)=DAY($L$1+1),1,B3573+1)</f>
        <v/>
      </c>
      <c r="C3574" s="1">
        <f>IF(DAY(D3574)=DAY($L$1+1),1,C3573+1)</f>
        <v/>
      </c>
      <c r="D3574" s="2">
        <f>D3573+1</f>
        <v/>
      </c>
      <c r="E3574" s="8">
        <f>IF(DAY(D3574)=DAY($L$1+1),TRUNC((N3573),8),E3573)</f>
        <v/>
      </c>
      <c r="F3574" s="49">
        <f>TRUNC(((1+VLOOKUP(A3574,IPCA!$A$2:$C$140,3,0)))^(C3574/(EDATE(D3574-C3574,1)-(D3574-C3574))),8)</f>
        <v/>
      </c>
      <c r="G3574" s="4">
        <f>TRUNC((E3574*F3574),8)</f>
        <v/>
      </c>
      <c r="H3574" s="4">
        <f>ROUND(((1+$H$4)^(30/360))^(C3574/(EDATE(D3574-B3574,1)-(D3574-B3574))),9)</f>
        <v/>
      </c>
      <c r="I3574" s="49">
        <f>TRUNC((G3574*H3574-G3574),8)</f>
        <v/>
      </c>
      <c r="J3574" s="4">
        <f>G3574+I3574</f>
        <v/>
      </c>
      <c r="K3574" s="256" t="n"/>
      <c r="L3574" s="256" t="n"/>
      <c r="M3574" s="256" t="n"/>
      <c r="N3574" s="256" t="n"/>
      <c r="O3574" s="256" t="n"/>
      <c r="P3574" s="256" t="n"/>
      <c r="Q3574" s="256" t="n"/>
    </row>
    <row r="3575">
      <c r="A3575">
        <f>IF(DAY(D3575)=DAY($L$1+1),A3574+1,A3574)</f>
        <v/>
      </c>
      <c r="B3575" s="46">
        <f>IF(DAY(D3575)=DAY($L$1+1),1,B3574+1)</f>
        <v/>
      </c>
      <c r="C3575" s="46">
        <f>IF(DAY(D3575)=DAY($L$1+1),1,C3574+1)</f>
        <v/>
      </c>
      <c r="D3575" s="2">
        <f>D3574+1</f>
        <v/>
      </c>
      <c r="E3575" s="8">
        <f>IF(DAY(D3575)=DAY($L$1+1),TRUNC((N3574),8),E3574)</f>
        <v/>
      </c>
      <c r="F3575" s="49">
        <f>TRUNC(((1+VLOOKUP(A3575,IPCA!$A$2:$C$140,3,0)))^(C3575/(EDATE(D3575-C3575,1)-(D3575-C3575))),8)</f>
        <v/>
      </c>
      <c r="G3575" s="4">
        <f>TRUNC((E3575*F3575),8)</f>
        <v/>
      </c>
      <c r="H3575" s="4">
        <f>ROUND(((1+$H$4)^(30/360))^(C3575/(EDATE(D3575-B3575,1)-(D3575-B3575))),9)</f>
        <v/>
      </c>
      <c r="I3575" s="49">
        <f>TRUNC((G3575*H3575-G3575),8)</f>
        <v/>
      </c>
      <c r="J3575" s="4">
        <f>G3575+I3575</f>
        <v/>
      </c>
      <c r="K3575" s="256" t="n"/>
      <c r="L3575" s="256" t="n"/>
      <c r="M3575" s="256" t="n"/>
      <c r="N3575" s="256" t="n"/>
      <c r="O3575" s="256" t="n"/>
      <c r="P3575" s="256" t="n"/>
      <c r="Q3575" s="256" t="n"/>
    </row>
    <row r="3576">
      <c r="A3576">
        <f>IF(DAY(D3576)=DAY($L$1+1),A3575+1,A3575)</f>
        <v/>
      </c>
      <c r="B3576" s="1">
        <f>IF(DAY(D3576)=DAY($L$1+1),1,B3575+1)</f>
        <v/>
      </c>
      <c r="C3576" s="1">
        <f>IF(DAY(D3576)=DAY($L$1+1),1,C3575+1)</f>
        <v/>
      </c>
      <c r="D3576" s="2">
        <f>D3575+1</f>
        <v/>
      </c>
      <c r="E3576" s="8">
        <f>IF(DAY(D3576)=DAY($L$1+1),TRUNC((N3575),8),E3575)</f>
        <v/>
      </c>
      <c r="F3576" s="49">
        <f>TRUNC(((1+VLOOKUP(A3576,IPCA!$A$2:$C$140,3,0)))^(C3576/(EDATE(D3576-C3576,1)-(D3576-C3576))),8)</f>
        <v/>
      </c>
      <c r="G3576" s="4">
        <f>TRUNC((E3576*F3576),8)</f>
        <v/>
      </c>
      <c r="H3576" s="4">
        <f>ROUND(((1+$H$4)^(30/360))^(C3576/(EDATE(D3576-B3576,1)-(D3576-B3576))),9)</f>
        <v/>
      </c>
      <c r="I3576" s="49">
        <f>TRUNC((G3576*H3576-G3576),8)</f>
        <v/>
      </c>
      <c r="J3576" s="4">
        <f>G3576+I3576</f>
        <v/>
      </c>
      <c r="K3576" s="256" t="n"/>
      <c r="L3576" s="256" t="n"/>
      <c r="M3576" s="256" t="n"/>
      <c r="N3576" s="256" t="n"/>
      <c r="O3576" s="256" t="n"/>
      <c r="P3576" s="256" t="n"/>
      <c r="Q3576" s="256" t="n"/>
    </row>
    <row r="3577">
      <c r="A3577">
        <f>IF(DAY(D3577)=DAY($L$1+1),A3576+1,A3576)</f>
        <v/>
      </c>
      <c r="B3577" s="46">
        <f>IF(DAY(D3577)=DAY($L$1+1),1,B3576+1)</f>
        <v/>
      </c>
      <c r="C3577" s="46">
        <f>IF(DAY(D3577)=DAY($L$1+1),1,C3576+1)</f>
        <v/>
      </c>
      <c r="D3577" s="2">
        <f>D3576+1</f>
        <v/>
      </c>
      <c r="E3577" s="8">
        <f>IF(DAY(D3577)=DAY($L$1+1),TRUNC((N3576),8),E3576)</f>
        <v/>
      </c>
      <c r="F3577" s="49">
        <f>TRUNC(((1+VLOOKUP(A3577,IPCA!$A$2:$C$140,3,0)))^(C3577/(EDATE(D3577-C3577,1)-(D3577-C3577))),8)</f>
        <v/>
      </c>
      <c r="G3577" s="4">
        <f>TRUNC((E3577*F3577),8)</f>
        <v/>
      </c>
      <c r="H3577" s="4">
        <f>ROUND(((1+$H$4)^(30/360))^(C3577/(EDATE(D3577-B3577,1)-(D3577-B3577))),9)</f>
        <v/>
      </c>
      <c r="I3577" s="49">
        <f>TRUNC((G3577*H3577-G3577),8)</f>
        <v/>
      </c>
      <c r="J3577" s="4">
        <f>G3577+I3577</f>
        <v/>
      </c>
      <c r="K3577" s="256" t="n"/>
      <c r="L3577" s="256" t="n"/>
      <c r="M3577" s="256" t="n"/>
      <c r="N3577" s="256" t="n"/>
      <c r="O3577" s="256" t="n"/>
      <c r="P3577" s="256" t="n"/>
      <c r="Q3577" s="256" t="n"/>
    </row>
    <row r="3578">
      <c r="A3578">
        <f>IF(DAY(D3578)=DAY($L$1+1),A3577+1,A3577)</f>
        <v/>
      </c>
      <c r="B3578" s="1">
        <f>IF(DAY(D3578)=DAY($L$1+1),1,B3577+1)</f>
        <v/>
      </c>
      <c r="C3578" s="1">
        <f>IF(DAY(D3578)=DAY($L$1+1),1,C3577+1)</f>
        <v/>
      </c>
      <c r="D3578" s="2">
        <f>D3577+1</f>
        <v/>
      </c>
      <c r="E3578" s="8">
        <f>IF(DAY(D3578)=DAY($L$1+1),TRUNC((N3577),8),E3577)</f>
        <v/>
      </c>
      <c r="F3578" s="49">
        <f>TRUNC(((1+VLOOKUP(A3578,IPCA!$A$2:$C$140,3,0)))^(C3578/(EDATE(D3578-C3578,1)-(D3578-C3578))),8)</f>
        <v/>
      </c>
      <c r="G3578" s="4">
        <f>TRUNC((E3578*F3578),8)</f>
        <v/>
      </c>
      <c r="H3578" s="4">
        <f>ROUND(((1+$H$4)^(30/360))^(C3578/(EDATE(D3578-B3578,1)-(D3578-B3578))),9)</f>
        <v/>
      </c>
      <c r="I3578" s="49">
        <f>TRUNC((G3578*H3578-G3578),8)</f>
        <v/>
      </c>
      <c r="J3578" s="4">
        <f>G3578+I3578</f>
        <v/>
      </c>
      <c r="K3578" s="256" t="n"/>
      <c r="L3578" s="256" t="n"/>
      <c r="M3578" s="256" t="n"/>
      <c r="N3578" s="256" t="n"/>
      <c r="O3578" s="256" t="n"/>
      <c r="P3578" s="256" t="n"/>
      <c r="Q3578" s="256" t="n"/>
    </row>
    <row r="3579">
      <c r="A3579">
        <f>IF(DAY(D3579)=DAY($L$1+1),A3578+1,A3578)</f>
        <v/>
      </c>
      <c r="B3579" s="46">
        <f>IF(DAY(D3579)=DAY($L$1+1),1,B3578+1)</f>
        <v/>
      </c>
      <c r="C3579" s="46">
        <f>IF(DAY(D3579)=DAY($L$1+1),1,C3578+1)</f>
        <v/>
      </c>
      <c r="D3579" s="2">
        <f>D3578+1</f>
        <v/>
      </c>
      <c r="E3579" s="8">
        <f>IF(DAY(D3579)=DAY($L$1+1),TRUNC((N3578),8),E3578)</f>
        <v/>
      </c>
      <c r="F3579" s="49">
        <f>TRUNC(((1+VLOOKUP(A3579,IPCA!$A$2:$C$140,3,0)))^(C3579/(EDATE(D3579-C3579,1)-(D3579-C3579))),8)</f>
        <v/>
      </c>
      <c r="G3579" s="4">
        <f>TRUNC((E3579*F3579),8)</f>
        <v/>
      </c>
      <c r="H3579" s="4">
        <f>ROUND(((1+$H$4)^(30/360))^(C3579/(EDATE(D3579-B3579,1)-(D3579-B3579))),9)</f>
        <v/>
      </c>
      <c r="I3579" s="49">
        <f>TRUNC((G3579*H3579-G3579),8)</f>
        <v/>
      </c>
      <c r="J3579" s="4">
        <f>G3579+I3579</f>
        <v/>
      </c>
      <c r="K3579" s="256" t="inlineStr">
        <is>
          <t>Cri Integralizado</t>
        </is>
      </c>
      <c r="L3579" s="270">
        <f>L3548</f>
        <v/>
      </c>
      <c r="M3579" s="256" t="n"/>
      <c r="N3579" s="256" t="n"/>
      <c r="O3579" s="256" t="n"/>
      <c r="P3579" s="256" t="n"/>
      <c r="Q3579" s="256" t="n"/>
    </row>
    <row r="3580">
      <c r="A3580">
        <f>IF(DAY(D3580)=DAY($L$1+1),A3579+1,A3579)</f>
        <v/>
      </c>
      <c r="B3580" s="46">
        <f>IF(DAY(D3580)=DAY($L$1+1),1,B3579+1)</f>
        <v/>
      </c>
      <c r="C3580" s="46">
        <f>IF(DAY(D3580)=DAY($L$1+1),1,C3579+1)</f>
        <v/>
      </c>
      <c r="D3580" s="47">
        <f>D3579+1</f>
        <v/>
      </c>
      <c r="E3580" s="8">
        <f>IF(DAY(D3580)=DAY($L$1+1),TRUNC((N3579),8),E3579)</f>
        <v/>
      </c>
      <c r="F3580" s="49">
        <f>TRUNC(((1+VLOOKUP(A3580,IPCA!$A$2:$C$140,3,0)))^(C3580/(EDATE(D3580-C3580,1)-(D3580-C3580))),8)</f>
        <v/>
      </c>
      <c r="G3580" s="4">
        <f>TRUNC((E3580*F3580),8)</f>
        <v/>
      </c>
      <c r="H3580" s="4">
        <f>ROUND(((1+$H$4)^(30/360))^(C3580/(EDATE(D3580-B3580,1)-(D3580-B3580))),9)</f>
        <v/>
      </c>
      <c r="I3580" s="49">
        <f>TRUNC((G3580*H3580-G3580),8)</f>
        <v/>
      </c>
      <c r="J3580" s="4">
        <f>G3580+I3580</f>
        <v/>
      </c>
      <c r="K3580" s="137" t="inlineStr">
        <is>
          <t>JUROS</t>
        </is>
      </c>
      <c r="L3580" s="118" t="inlineStr">
        <is>
          <t>AMORTIZAÇÃO</t>
        </is>
      </c>
      <c r="M3580" s="118" t="inlineStr">
        <is>
          <t>AMEX</t>
        </is>
      </c>
      <c r="N3580" s="118" t="inlineStr">
        <is>
          <t>RESIDUAL</t>
        </is>
      </c>
      <c r="O3580" s="256" t="n"/>
      <c r="P3580" s="256" t="n"/>
      <c r="Q3580" s="256" t="n"/>
    </row>
    <row r="3581">
      <c r="A3581">
        <f>IF(DAY(D3581)=DAY($L$1+1),A3580+1,A3580)</f>
        <v/>
      </c>
      <c r="B3581" s="111">
        <f>IF(DAY(D3581)=DAY($L$1+1),1,B3580+1)</f>
        <v/>
      </c>
      <c r="C3581" s="111">
        <f>IF(DAY(D3581)=DAY($L$1+1),1,C3580+1)</f>
        <v/>
      </c>
      <c r="D3581" s="112">
        <f>D3580+1</f>
        <v/>
      </c>
      <c r="E3581" s="113">
        <f>IF(DAY(D3581)=DAY($L$1+1),TRUNC((N3580),8),E3580)</f>
        <v/>
      </c>
      <c r="F3581" s="114">
        <f>TRUNC(((1+VLOOKUP(A3581,IPCA!$A$2:$C$140,3,0)))^(C3581/(EDATE(D3581-C3581,1)-(D3581-C3581))),8)</f>
        <v/>
      </c>
      <c r="G3581" s="114">
        <f>TRUNC((E3581*F3581),8)</f>
        <v/>
      </c>
      <c r="H3581" s="114">
        <f>ROUND(((1+$H$4)^(30/360))^(C3581/(EDATE(D3581-B3581,1)-(D3581-B3581))),9)</f>
        <v/>
      </c>
      <c r="I3581" s="114">
        <f>TRUNC((G3581*H3581-G3581),8)</f>
        <v/>
      </c>
      <c r="J3581" s="114">
        <f>G3581+I3581</f>
        <v/>
      </c>
      <c r="K3581" s="119">
        <f>I3581</f>
        <v/>
      </c>
      <c r="L3581" s="120">
        <f>TRUNC(G3581*VLOOKUP(D3581,'Amort TS'!$G$3:$H$140,2,0),8)</f>
        <v/>
      </c>
      <c r="M3581" s="120" t="n">
        <v>0</v>
      </c>
      <c r="N3581" s="120">
        <f>J3581-K3581-L3581-M3581</f>
        <v/>
      </c>
      <c r="O3581" s="256" t="n"/>
      <c r="P3581" s="256" t="n"/>
      <c r="Q3581" s="256" t="n"/>
    </row>
    <row r="3582">
      <c r="A3582">
        <f>IF(DAY(D3582)=DAY($L$1+1),A3581+1,A3581)</f>
        <v/>
      </c>
      <c r="B3582" s="46">
        <f>IF(DAY(D3582)=DAY($L$1+1),1,B3581+1)</f>
        <v/>
      </c>
      <c r="C3582" s="46">
        <f>IF(DAY(D3582)=DAY($L$1+1),1,C3581+1)</f>
        <v/>
      </c>
      <c r="D3582" s="2">
        <f>D3581+1</f>
        <v/>
      </c>
      <c r="E3582" s="8">
        <f>IF(DAY(D3582)=DAY($L$1+1),TRUNC((N3581),8),E3581)</f>
        <v/>
      </c>
      <c r="F3582" s="49">
        <f>TRUNC(((1+VLOOKUP(A3582,IPCA!$A$2:$C$140,3,0)))^(C3582/(EDATE(D3582-C3582,1)-(D3582-C3582))),8)</f>
        <v/>
      </c>
      <c r="G3582" s="4">
        <f>TRUNC((E3582*F3582),8)</f>
        <v/>
      </c>
      <c r="H3582" s="4">
        <f>ROUND(((1+$H$4)^(30/360))^(C3582/(EDATE(D3582-B3582,1)-(D3582-B3582))),9)</f>
        <v/>
      </c>
      <c r="I3582" s="49">
        <f>TRUNC((G3582*H3582-G3582),8)</f>
        <v/>
      </c>
      <c r="J3582" s="4">
        <f>G3582+I3582</f>
        <v/>
      </c>
      <c r="K3582" s="121">
        <f>K3581*L3579</f>
        <v/>
      </c>
      <c r="L3582" s="121">
        <f>L3581*L3579</f>
        <v/>
      </c>
      <c r="M3582" s="121">
        <f>M3581*L3579</f>
        <v/>
      </c>
      <c r="N3582" s="121">
        <f>N3581*L3579</f>
        <v/>
      </c>
      <c r="O3582" s="256" t="n"/>
      <c r="P3582" s="256" t="n"/>
      <c r="Q3582" s="256" t="n"/>
    </row>
    <row r="3583">
      <c r="A3583">
        <f>IF(DAY(D3583)=DAY($L$1+1),A3582+1,A3582)</f>
        <v/>
      </c>
      <c r="B3583" s="46">
        <f>IF(DAY(D3583)=DAY($L$1+1),1,B3582+1)</f>
        <v/>
      </c>
      <c r="C3583" s="46">
        <f>IF(DAY(D3583)=DAY($L$1+1),1,C3582+1)</f>
        <v/>
      </c>
      <c r="D3583" s="47">
        <f>D3582+1</f>
        <v/>
      </c>
      <c r="E3583" s="8">
        <f>IF(DAY(D3583)=DAY($L$1+1),TRUNC((N3582),8),E3582)</f>
        <v/>
      </c>
      <c r="F3583" s="49">
        <f>TRUNC(((1+VLOOKUP(A3583,IPCA!$A$2:$C$140,3,0)))^(C3583/(EDATE(D3583-C3583,1)-(D3583-C3583))),8)</f>
        <v/>
      </c>
      <c r="G3583" s="4">
        <f>TRUNC((E3583*F3583),8)</f>
        <v/>
      </c>
      <c r="H3583" s="4">
        <f>ROUND(((1+$H$4)^(30/360))^(C3583/(EDATE(D3583-B3583,1)-(D3583-B3583))),9)</f>
        <v/>
      </c>
      <c r="I3583" s="49">
        <f>TRUNC((G3583*H3583-G3583),8)</f>
        <v/>
      </c>
      <c r="J3583" s="4">
        <f>G3583+I3583</f>
        <v/>
      </c>
      <c r="K3583" s="256" t="n"/>
      <c r="L3583" s="256" t="n"/>
      <c r="M3583" s="256" t="n"/>
      <c r="N3583" s="256" t="n"/>
      <c r="O3583" s="256" t="n"/>
      <c r="P3583" s="256" t="n"/>
      <c r="Q3583" s="256" t="n"/>
    </row>
    <row r="3584">
      <c r="A3584">
        <f>IF(DAY(D3584)=DAY($L$1+1),A3583+1,A3583)</f>
        <v/>
      </c>
      <c r="B3584" s="1">
        <f>IF(DAY(D3584)=DAY($L$1+1),1,B3583+1)</f>
        <v/>
      </c>
      <c r="C3584" s="1">
        <f>IF(DAY(D3584)=DAY($L$1+1),1,C3583+1)</f>
        <v/>
      </c>
      <c r="D3584" s="2">
        <f>D3583+1</f>
        <v/>
      </c>
      <c r="E3584" s="8">
        <f>IF(DAY(D3584)=DAY($L$1+1),TRUNC((#REF!),8),E3583)</f>
        <v/>
      </c>
      <c r="F3584" s="49">
        <f>TRUNC(((1+VLOOKUP(A3584,IPCA!$A$2:$C$140,3,0)))^(C3584/(EDATE(D3584-C3584,1)-(D3584-C3584))),8)</f>
        <v/>
      </c>
      <c r="G3584" s="4">
        <f>TRUNC((E3584*F3584),8)</f>
        <v/>
      </c>
      <c r="H3584" s="4">
        <f>ROUND(((1+$H$4)^(30/360))^(C3584/(EDATE(D3584-B3584,1)-(D3584-B3584))),9)</f>
        <v/>
      </c>
      <c r="I3584" s="49">
        <f>TRUNC((G3584*H3584-G3584),8)</f>
        <v/>
      </c>
      <c r="J3584" s="4">
        <f>G3584+I3584</f>
        <v/>
      </c>
      <c r="K3584" s="256" t="n"/>
      <c r="L3584" s="256" t="n"/>
      <c r="M3584" s="256" t="n"/>
      <c r="N3584" s="256" t="n"/>
      <c r="O3584" s="256" t="n"/>
      <c r="P3584" s="256" t="n"/>
      <c r="Q3584" s="256" t="n"/>
    </row>
    <row r="3585">
      <c r="A3585">
        <f>IF(DAY(D3585)=DAY($L$1+1),A3584+1,A3584)</f>
        <v/>
      </c>
      <c r="B3585" s="46">
        <f>IF(DAY(D3585)=DAY($L$1+1),1,B3584+1)</f>
        <v/>
      </c>
      <c r="C3585" s="46">
        <f>IF(DAY(D3585)=DAY($L$1+1),1,C3584+1)</f>
        <v/>
      </c>
      <c r="D3585" s="2">
        <f>D3584+1</f>
        <v/>
      </c>
      <c r="E3585" s="8">
        <f>IF(DAY(D3585)=DAY($L$1+1),TRUNC((#REF!),8),E3584)</f>
        <v/>
      </c>
      <c r="F3585" s="49">
        <f>TRUNC(((1+VLOOKUP(A3585,IPCA!$A$2:$C$140,3,0)))^(C3585/(EDATE(D3585-C3585,1)-(D3585-C3585))),8)</f>
        <v/>
      </c>
      <c r="G3585" s="4">
        <f>TRUNC((E3585*F3585),8)</f>
        <v/>
      </c>
      <c r="H3585" s="4">
        <f>ROUND(((1+$H$4)^(30/360))^(C3585/(EDATE(D3585-B3585,1)-(D3585-B3585))),9)</f>
        <v/>
      </c>
      <c r="I3585" s="49">
        <f>TRUNC((G3585*H3585-G3585),8)</f>
        <v/>
      </c>
      <c r="J3585" s="4">
        <f>G3585+I3585</f>
        <v/>
      </c>
      <c r="K3585" s="256" t="n"/>
      <c r="L3585" s="256" t="n"/>
      <c r="M3585" s="256" t="n"/>
      <c r="N3585" s="256" t="n"/>
      <c r="O3585" s="256" t="n"/>
      <c r="P3585" s="256" t="n"/>
      <c r="Q3585" s="256" t="n"/>
    </row>
    <row r="3586">
      <c r="A3586">
        <f>IF(DAY(D3586)=DAY($L$1+1),A3585+1,A3585)</f>
        <v/>
      </c>
      <c r="B3586" s="1">
        <f>IF(DAY(D3586)=DAY($L$1+1),1,B3585+1)</f>
        <v/>
      </c>
      <c r="C3586" s="1">
        <f>IF(DAY(D3586)=DAY($L$1+1),1,C3585+1)</f>
        <v/>
      </c>
      <c r="D3586" s="2">
        <f>D3585+1</f>
        <v/>
      </c>
      <c r="E3586" s="8">
        <f>IF(DAY(D3586)=DAY($L$1+1),TRUNC((#REF!),8),E3585)</f>
        <v/>
      </c>
      <c r="F3586" s="49">
        <f>TRUNC(((1+VLOOKUP(A3586,IPCA!$A$2:$C$140,3,0)))^(C3586/(EDATE(D3586-C3586,1)-(D3586-C3586))),8)</f>
        <v/>
      </c>
      <c r="G3586" s="4">
        <f>TRUNC((E3586*F3586),8)</f>
        <v/>
      </c>
      <c r="H3586" s="4">
        <f>ROUND(((1+$H$4)^(30/360))^(C3586/(EDATE(D3586-B3586,1)-(D3586-B3586))),9)</f>
        <v/>
      </c>
      <c r="I3586" s="49">
        <f>TRUNC((G3586*H3586-G3586),8)</f>
        <v/>
      </c>
      <c r="J3586" s="4">
        <f>G3586+I3586</f>
        <v/>
      </c>
      <c r="K3586" s="256" t="n"/>
      <c r="L3586" s="256" t="n"/>
      <c r="M3586" s="256" t="n"/>
      <c r="N3586" s="256" t="n"/>
      <c r="O3586" s="256" t="n"/>
      <c r="P3586" s="256" t="n"/>
      <c r="Q3586" s="256" t="n"/>
    </row>
    <row r="3587">
      <c r="A3587">
        <f>IF(DAY(D3587)=DAY($L$1+1),A3586+1,A3586)</f>
        <v/>
      </c>
      <c r="B3587" s="46">
        <f>IF(DAY(D3587)=DAY($L$1+1),1,B3586+1)</f>
        <v/>
      </c>
      <c r="C3587" s="46">
        <f>IF(DAY(D3587)=DAY($L$1+1),1,C3586+1)</f>
        <v/>
      </c>
      <c r="D3587" s="2">
        <f>D3586+1</f>
        <v/>
      </c>
      <c r="E3587" s="8">
        <f>IF(DAY(D3587)=DAY($L$1+1),TRUNC((#REF!),8),E3586)</f>
        <v/>
      </c>
      <c r="F3587" s="49">
        <f>TRUNC(((1+VLOOKUP(A3587,IPCA!$A$2:$C$140,3,0)))^(C3587/(EDATE(D3587-C3587,1)-(D3587-C3587))),8)</f>
        <v/>
      </c>
      <c r="G3587" s="4">
        <f>TRUNC((E3587*F3587),8)</f>
        <v/>
      </c>
      <c r="H3587" s="4">
        <f>ROUND(((1+$H$4)^(30/360))^(C3587/(EDATE(D3587-B3587,1)-(D3587-B3587))),9)</f>
        <v/>
      </c>
      <c r="I3587" s="49">
        <f>TRUNC((G3587*H3587-G3587),8)</f>
        <v/>
      </c>
      <c r="J3587" s="4">
        <f>G3587+I3587</f>
        <v/>
      </c>
      <c r="K3587" s="256" t="n"/>
      <c r="L3587" s="256" t="n"/>
      <c r="M3587" s="256" t="n"/>
      <c r="N3587" s="256" t="n"/>
      <c r="O3587" s="256" t="n"/>
      <c r="P3587" s="256" t="n"/>
      <c r="Q3587" s="256" t="n"/>
    </row>
    <row r="3588">
      <c r="A3588">
        <f>IF(DAY(D3588)=DAY($L$1+1),A3587+1,A3587)</f>
        <v/>
      </c>
      <c r="B3588" s="1">
        <f>IF(DAY(D3588)=DAY($L$1+1),1,B3587+1)</f>
        <v/>
      </c>
      <c r="C3588" s="1">
        <f>IF(DAY(D3588)=DAY($L$1+1),1,C3587+1)</f>
        <v/>
      </c>
      <c r="D3588" s="2">
        <f>D3587+1</f>
        <v/>
      </c>
      <c r="E3588" s="8">
        <f>IF(DAY(D3588)=DAY($L$1+1),TRUNC((#REF!),8),E3587)</f>
        <v/>
      </c>
      <c r="F3588" s="49">
        <f>TRUNC(((1+VLOOKUP(A3588,IPCA!$A$2:$C$140,3,0)))^(C3588/(EDATE(D3588-C3588,1)-(D3588-C3588))),8)</f>
        <v/>
      </c>
      <c r="G3588" s="4">
        <f>TRUNC((E3588*F3588),8)</f>
        <v/>
      </c>
      <c r="H3588" s="4">
        <f>ROUND(((1+$H$4)^(30/360))^(C3588/(EDATE(D3588-B3588,1)-(D3588-B3588))),9)</f>
        <v/>
      </c>
      <c r="I3588" s="49">
        <f>TRUNC((G3588*H3588-G3588),8)</f>
        <v/>
      </c>
      <c r="J3588" s="4">
        <f>G3588+I3588</f>
        <v/>
      </c>
      <c r="K3588" s="256" t="n"/>
      <c r="L3588" s="256" t="n"/>
      <c r="M3588" s="256" t="n"/>
      <c r="N3588" s="256" t="n"/>
      <c r="O3588" s="256" t="n"/>
      <c r="P3588" s="256" t="n"/>
      <c r="Q3588" s="256" t="n"/>
    </row>
    <row r="3589">
      <c r="A3589">
        <f>IF(DAY(D3589)=DAY($L$1+1),A3588+1,A3588)</f>
        <v/>
      </c>
      <c r="B3589" s="46">
        <f>IF(DAY(D3589)=DAY($L$1+1),1,B3588+1)</f>
        <v/>
      </c>
      <c r="C3589" s="46">
        <f>IF(DAY(D3589)=DAY($L$1+1),1,C3588+1)</f>
        <v/>
      </c>
      <c r="D3589" s="2">
        <f>D3588+1</f>
        <v/>
      </c>
      <c r="E3589" s="8">
        <f>IF(DAY(D3589)=DAY($L$1+1),TRUNC((#REF!),8),E3588)</f>
        <v/>
      </c>
      <c r="F3589" s="49">
        <f>TRUNC(((1+VLOOKUP(A3589,IPCA!$A$2:$C$140,3,0)))^(C3589/(EDATE(D3589-C3589,1)-(D3589-C3589))),8)</f>
        <v/>
      </c>
      <c r="G3589" s="4">
        <f>TRUNC((E3589*F3589),8)</f>
        <v/>
      </c>
      <c r="H3589" s="4">
        <f>ROUND(((1+$H$4)^(30/360))^(C3589/(EDATE(D3589-B3589,1)-(D3589-B3589))),9)</f>
        <v/>
      </c>
      <c r="I3589" s="49">
        <f>TRUNC((G3589*H3589-G3589),8)</f>
        <v/>
      </c>
      <c r="J3589" s="4">
        <f>G3589+I3589</f>
        <v/>
      </c>
      <c r="K3589" s="256" t="n"/>
      <c r="L3589" s="256" t="n"/>
      <c r="M3589" s="256" t="n"/>
      <c r="N3589" s="256" t="n"/>
      <c r="O3589" s="256" t="n"/>
      <c r="P3589" s="256" t="n"/>
      <c r="Q3589" s="256" t="n"/>
    </row>
    <row r="3590">
      <c r="A3590">
        <f>IF(DAY(D3590)=DAY($L$1+1),A3589+1,A3589)</f>
        <v/>
      </c>
      <c r="B3590" s="1">
        <f>IF(DAY(D3590)=DAY($L$1+1),1,B3589+1)</f>
        <v/>
      </c>
      <c r="C3590" s="1">
        <f>IF(DAY(D3590)=DAY($L$1+1),1,C3589+1)</f>
        <v/>
      </c>
      <c r="D3590" s="2">
        <f>D3589+1</f>
        <v/>
      </c>
      <c r="E3590" s="8">
        <f>IF(DAY(D3590)=DAY($L$1+1),TRUNC((#REF!),8),E3589)</f>
        <v/>
      </c>
      <c r="F3590" s="49">
        <f>TRUNC(((1+VLOOKUP(A3590,IPCA!$A$2:$C$140,3,0)))^(C3590/(EDATE(D3590-C3590,1)-(D3590-C3590))),8)</f>
        <v/>
      </c>
      <c r="G3590" s="4">
        <f>TRUNC((E3590*F3590),8)</f>
        <v/>
      </c>
      <c r="H3590" s="4">
        <f>ROUND(((1+$H$4)^(30/360))^(C3590/(EDATE(D3590-B3590,1)-(D3590-B3590))),9)</f>
        <v/>
      </c>
      <c r="I3590" s="49">
        <f>TRUNC((G3590*H3590-G3590),8)</f>
        <v/>
      </c>
      <c r="J3590" s="4">
        <f>G3590+I3590</f>
        <v/>
      </c>
      <c r="K3590" s="256" t="n"/>
      <c r="L3590" s="256" t="n"/>
      <c r="M3590" s="256" t="n"/>
      <c r="N3590" s="256" t="n"/>
      <c r="O3590" s="256" t="n"/>
      <c r="P3590" s="256" t="n"/>
      <c r="Q3590" s="256" t="n"/>
    </row>
    <row r="3591">
      <c r="A3591">
        <f>IF(DAY(D3591)=DAY($L$1+1),A3590+1,A3590)</f>
        <v/>
      </c>
      <c r="B3591" s="46">
        <f>IF(DAY(D3591)=DAY($L$1+1),1,B3590+1)</f>
        <v/>
      </c>
      <c r="C3591" s="46">
        <f>IF(DAY(D3591)=DAY($L$1+1),1,C3590+1)</f>
        <v/>
      </c>
      <c r="D3591" s="2">
        <f>D3590+1</f>
        <v/>
      </c>
      <c r="E3591" s="8">
        <f>IF(DAY(D3591)=DAY($L$1+1),TRUNC((#REF!),8),E3590)</f>
        <v/>
      </c>
      <c r="F3591" s="49">
        <f>TRUNC(((1+VLOOKUP(A3591,IPCA!$A$2:$C$140,3,0)))^(C3591/(EDATE(D3591-C3591,1)-(D3591-C3591))),8)</f>
        <v/>
      </c>
      <c r="G3591" s="4">
        <f>TRUNC((E3591*F3591),8)</f>
        <v/>
      </c>
      <c r="H3591" s="4">
        <f>ROUND(((1+$H$4)^(30/360))^(C3591/(EDATE(D3591-B3591,1)-(D3591-B3591))),9)</f>
        <v/>
      </c>
      <c r="I3591" s="49">
        <f>TRUNC((G3591*H3591-G3591),8)</f>
        <v/>
      </c>
      <c r="J3591" s="4">
        <f>G3591+I3591</f>
        <v/>
      </c>
      <c r="K3591" s="256" t="n"/>
      <c r="L3591" s="256" t="n"/>
      <c r="M3591" s="256" t="n"/>
      <c r="N3591" s="256" t="n"/>
      <c r="O3591" s="256" t="n"/>
      <c r="P3591" s="256" t="n"/>
      <c r="Q3591" s="256" t="n"/>
    </row>
    <row r="3592">
      <c r="A3592">
        <f>IF(DAY(D3592)=DAY($L$1+1),A3591+1,A3591)</f>
        <v/>
      </c>
      <c r="B3592" s="1">
        <f>IF(DAY(D3592)=DAY($L$1+1),1,B3591+1)</f>
        <v/>
      </c>
      <c r="C3592" s="1">
        <f>IF(DAY(D3592)=DAY($L$1+1),1,C3591+1)</f>
        <v/>
      </c>
      <c r="D3592" s="2">
        <f>D3591+1</f>
        <v/>
      </c>
      <c r="E3592" s="8">
        <f>IF(DAY(D3592)=DAY($L$1+1),TRUNC((#REF!),8),E3591)</f>
        <v/>
      </c>
      <c r="F3592" s="49">
        <f>TRUNC(((1+VLOOKUP(A3592,IPCA!$A$2:$C$140,3,0)))^(C3592/(EDATE(D3592-C3592,1)-(D3592-C3592))),8)</f>
        <v/>
      </c>
      <c r="G3592" s="4">
        <f>TRUNC((E3592*F3592),8)</f>
        <v/>
      </c>
      <c r="H3592" s="4">
        <f>ROUND(((1+$H$4)^(30/360))^(C3592/(EDATE(D3592-B3592,1)-(D3592-B3592))),9)</f>
        <v/>
      </c>
      <c r="I3592" s="49">
        <f>TRUNC((G3592*H3592-G3592),8)</f>
        <v/>
      </c>
      <c r="J3592" s="4">
        <f>G3592+I3592</f>
        <v/>
      </c>
      <c r="K3592" s="256" t="n"/>
      <c r="L3592" s="256" t="n"/>
      <c r="M3592" s="256" t="n"/>
      <c r="N3592" s="256" t="n"/>
      <c r="O3592" s="256" t="n"/>
      <c r="P3592" s="256" t="n"/>
      <c r="Q3592" s="256" t="n"/>
    </row>
    <row r="3593">
      <c r="A3593">
        <f>IF(DAY(D3593)=DAY($L$1+1),A3592+1,A3592)</f>
        <v/>
      </c>
      <c r="B3593" s="46">
        <f>IF(DAY(D3593)=DAY($L$1+1),1,B3592+1)</f>
        <v/>
      </c>
      <c r="C3593" s="46">
        <f>IF(DAY(D3593)=DAY($L$1+1),1,C3592+1)</f>
        <v/>
      </c>
      <c r="D3593" s="2">
        <f>D3592+1</f>
        <v/>
      </c>
      <c r="E3593" s="8">
        <f>IF(DAY(D3593)=DAY($L$1+1),TRUNC((#REF!),8),E3592)</f>
        <v/>
      </c>
      <c r="F3593" s="49">
        <f>TRUNC(((1+VLOOKUP(A3593,IPCA!$A$2:$C$140,3,0)))^(C3593/(EDATE(D3593-C3593,1)-(D3593-C3593))),8)</f>
        <v/>
      </c>
      <c r="G3593" s="4">
        <f>TRUNC((E3593*F3593),8)</f>
        <v/>
      </c>
      <c r="H3593" s="4">
        <f>ROUND(((1+$H$4)^(30/360))^(C3593/(EDATE(D3593-B3593,1)-(D3593-B3593))),9)</f>
        <v/>
      </c>
      <c r="I3593" s="49">
        <f>TRUNC((G3593*H3593-G3593),8)</f>
        <v/>
      </c>
      <c r="J3593" s="4">
        <f>G3593+I3593</f>
        <v/>
      </c>
      <c r="K3593" s="256" t="n"/>
      <c r="L3593" s="256" t="n"/>
      <c r="M3593" s="256" t="n"/>
      <c r="N3593" s="256" t="n"/>
      <c r="O3593" s="256" t="n"/>
      <c r="P3593" s="256" t="n"/>
      <c r="Q3593" s="256" t="n"/>
    </row>
    <row r="3594">
      <c r="A3594">
        <f>IF(DAY(D3594)=DAY($L$1+1),A3593+1,A3593)</f>
        <v/>
      </c>
      <c r="B3594" s="1">
        <f>IF(DAY(D3594)=DAY($L$1+1),1,B3593+1)</f>
        <v/>
      </c>
      <c r="C3594" s="1">
        <f>IF(DAY(D3594)=DAY($L$1+1),1,C3593+1)</f>
        <v/>
      </c>
      <c r="D3594" s="2">
        <f>D3593+1</f>
        <v/>
      </c>
      <c r="E3594" s="8">
        <f>IF(DAY(D3594)=DAY($L$1+1),TRUNC((N3593),8),E3593)</f>
        <v/>
      </c>
      <c r="F3594" s="49">
        <f>TRUNC(((1+VLOOKUP(A3594,IPCA!$A$2:$C$140,3,0)))^(C3594/(EDATE(D3594-C3594,1)-(D3594-C3594))),8)</f>
        <v/>
      </c>
      <c r="G3594" s="4">
        <f>TRUNC((E3594*F3594),8)</f>
        <v/>
      </c>
      <c r="H3594" s="4">
        <f>ROUND(((1+$H$4)^(30/360))^(C3594/(EDATE(D3594-B3594,1)-(D3594-B3594))),9)</f>
        <v/>
      </c>
      <c r="I3594" s="49">
        <f>TRUNC((G3594*H3594-G3594),8)</f>
        <v/>
      </c>
      <c r="J3594" s="4">
        <f>G3594+I3594</f>
        <v/>
      </c>
      <c r="K3594" s="256" t="n"/>
      <c r="L3594" s="256" t="n"/>
      <c r="M3594" s="256" t="n"/>
      <c r="N3594" s="256" t="n"/>
      <c r="O3594" s="256" t="n"/>
      <c r="P3594" s="256" t="n"/>
      <c r="Q3594" s="256" t="n"/>
    </row>
    <row r="3595">
      <c r="A3595">
        <f>IF(DAY(D3595)=DAY($L$1+1),A3594+1,A3594)</f>
        <v/>
      </c>
      <c r="B3595" s="46">
        <f>IF(DAY(D3595)=DAY($L$1+1),1,B3594+1)</f>
        <v/>
      </c>
      <c r="C3595" s="46">
        <f>IF(DAY(D3595)=DAY($L$1+1),1,C3594+1)</f>
        <v/>
      </c>
      <c r="D3595" s="2">
        <f>D3594+1</f>
        <v/>
      </c>
      <c r="E3595" s="8">
        <f>IF(DAY(D3595)=DAY($L$1+1),TRUNC((N3594),8),E3594)</f>
        <v/>
      </c>
      <c r="F3595" s="49">
        <f>TRUNC(((1+VLOOKUP(A3595,IPCA!$A$2:$C$140,3,0)))^(C3595/(EDATE(D3595-C3595,1)-(D3595-C3595))),8)</f>
        <v/>
      </c>
      <c r="G3595" s="4">
        <f>TRUNC((E3595*F3595),8)</f>
        <v/>
      </c>
      <c r="H3595" s="4">
        <f>ROUND(((1+$H$4)^(30/360))^(C3595/(EDATE(D3595-B3595,1)-(D3595-B3595))),9)</f>
        <v/>
      </c>
      <c r="I3595" s="49">
        <f>TRUNC((G3595*H3595-G3595),8)</f>
        <v/>
      </c>
      <c r="J3595" s="4">
        <f>G3595+I3595</f>
        <v/>
      </c>
      <c r="K3595" s="256" t="n"/>
      <c r="L3595" s="256" t="n"/>
      <c r="M3595" s="256" t="n"/>
      <c r="N3595" s="256" t="n"/>
      <c r="O3595" s="256" t="n"/>
      <c r="P3595" s="256" t="n"/>
      <c r="Q3595" s="256" t="n"/>
    </row>
    <row r="3596">
      <c r="A3596">
        <f>IF(DAY(D3596)=DAY($L$1+1),A3595+1,A3595)</f>
        <v/>
      </c>
      <c r="B3596" s="1">
        <f>IF(DAY(D3596)=DAY($L$1+1),1,B3595+1)</f>
        <v/>
      </c>
      <c r="C3596" s="1">
        <f>IF(DAY(D3596)=DAY($L$1+1),1,C3595+1)</f>
        <v/>
      </c>
      <c r="D3596" s="2">
        <f>D3595+1</f>
        <v/>
      </c>
      <c r="E3596" s="8">
        <f>IF(DAY(D3596)=DAY($L$1+1),TRUNC((N3595),8),E3595)</f>
        <v/>
      </c>
      <c r="F3596" s="49">
        <f>TRUNC(((1+VLOOKUP(A3596,IPCA!$A$2:$C$140,3,0)))^(C3596/(EDATE(D3596-C3596,1)-(D3596-C3596))),8)</f>
        <v/>
      </c>
      <c r="G3596" s="4">
        <f>TRUNC((E3596*F3596),8)</f>
        <v/>
      </c>
      <c r="H3596" s="4">
        <f>ROUND(((1+$H$4)^(30/360))^(C3596/(EDATE(D3596-B3596,1)-(D3596-B3596))),9)</f>
        <v/>
      </c>
      <c r="I3596" s="49">
        <f>TRUNC((G3596*H3596-G3596),8)</f>
        <v/>
      </c>
      <c r="J3596" s="4">
        <f>G3596+I3596</f>
        <v/>
      </c>
      <c r="K3596" s="256" t="n"/>
      <c r="L3596" s="256" t="n"/>
      <c r="M3596" s="256" t="n"/>
      <c r="N3596" s="256" t="n"/>
      <c r="O3596" s="256" t="n"/>
      <c r="P3596" s="256" t="n"/>
      <c r="Q3596" s="256" t="n"/>
    </row>
    <row r="3597">
      <c r="A3597">
        <f>IF(DAY(D3597)=DAY($L$1+1),A3596+1,A3596)</f>
        <v/>
      </c>
      <c r="B3597" s="46">
        <f>IF(DAY(D3597)=DAY($L$1+1),1,B3596+1)</f>
        <v/>
      </c>
      <c r="C3597" s="46">
        <f>IF(DAY(D3597)=DAY($L$1+1),1,C3596+1)</f>
        <v/>
      </c>
      <c r="D3597" s="2">
        <f>D3596+1</f>
        <v/>
      </c>
      <c r="E3597" s="8">
        <f>IF(DAY(D3597)=DAY($L$1+1),TRUNC((N3596),8),E3596)</f>
        <v/>
      </c>
      <c r="F3597" s="49">
        <f>TRUNC(((1+VLOOKUP(A3597,IPCA!$A$2:$C$140,3,0)))^(C3597/(EDATE(D3597-C3597,1)-(D3597-C3597))),8)</f>
        <v/>
      </c>
      <c r="G3597" s="4">
        <f>TRUNC((E3597*F3597),8)</f>
        <v/>
      </c>
      <c r="H3597" s="4">
        <f>ROUND(((1+$H$4)^(30/360))^(C3597/(EDATE(D3597-B3597,1)-(D3597-B3597))),9)</f>
        <v/>
      </c>
      <c r="I3597" s="49">
        <f>TRUNC((G3597*H3597-G3597),8)</f>
        <v/>
      </c>
      <c r="J3597" s="4">
        <f>G3597+I3597</f>
        <v/>
      </c>
      <c r="K3597" s="256" t="n"/>
      <c r="L3597" s="256" t="n"/>
      <c r="M3597" s="256" t="n"/>
      <c r="N3597" s="256" t="n"/>
      <c r="O3597" s="256" t="n"/>
      <c r="P3597" s="256" t="n"/>
      <c r="Q3597" s="256" t="n"/>
    </row>
    <row r="3598">
      <c r="A3598">
        <f>IF(DAY(D3598)=DAY($L$1+1),A3597+1,A3597)</f>
        <v/>
      </c>
      <c r="B3598" s="1">
        <f>IF(DAY(D3598)=DAY($L$1+1),1,B3597+1)</f>
        <v/>
      </c>
      <c r="C3598" s="1">
        <f>IF(DAY(D3598)=DAY($L$1+1),1,C3597+1)</f>
        <v/>
      </c>
      <c r="D3598" s="2">
        <f>D3597+1</f>
        <v/>
      </c>
      <c r="E3598" s="8">
        <f>IF(DAY(D3598)=DAY($L$1+1),TRUNC((N3597),8),E3597)</f>
        <v/>
      </c>
      <c r="F3598" s="49">
        <f>TRUNC(((1+VLOOKUP(A3598,IPCA!$A$2:$C$140,3,0)))^(C3598/(EDATE(D3598-C3598,1)-(D3598-C3598))),8)</f>
        <v/>
      </c>
      <c r="G3598" s="4">
        <f>TRUNC((E3598*F3598),8)</f>
        <v/>
      </c>
      <c r="H3598" s="4">
        <f>ROUND(((1+$H$4)^(30/360))^(C3598/(EDATE(D3598-B3598,1)-(D3598-B3598))),9)</f>
        <v/>
      </c>
      <c r="I3598" s="49">
        <f>TRUNC((G3598*H3598-G3598),8)</f>
        <v/>
      </c>
      <c r="J3598" s="4">
        <f>G3598+I3598</f>
        <v/>
      </c>
      <c r="K3598" s="256" t="n"/>
      <c r="L3598" s="256" t="n"/>
      <c r="M3598" s="256" t="n"/>
      <c r="N3598" s="256" t="n"/>
      <c r="O3598" s="256" t="n"/>
      <c r="P3598" s="256" t="n"/>
      <c r="Q3598" s="256" t="n"/>
    </row>
    <row r="3599">
      <c r="A3599">
        <f>IF(DAY(D3599)=DAY($L$1+1),A3598+1,A3598)</f>
        <v/>
      </c>
      <c r="B3599" s="46">
        <f>IF(DAY(D3599)=DAY($L$1+1),1,B3598+1)</f>
        <v/>
      </c>
      <c r="C3599" s="46">
        <f>IF(DAY(D3599)=DAY($L$1+1),1,C3598+1)</f>
        <v/>
      </c>
      <c r="D3599" s="2">
        <f>D3598+1</f>
        <v/>
      </c>
      <c r="E3599" s="8">
        <f>IF(DAY(D3599)=DAY($L$1+1),TRUNC((N3598),8),E3598)</f>
        <v/>
      </c>
      <c r="F3599" s="49">
        <f>TRUNC(((1+VLOOKUP(A3599,IPCA!$A$2:$C$140,3,0)))^(C3599/(EDATE(D3599-C3599,1)-(D3599-C3599))),8)</f>
        <v/>
      </c>
      <c r="G3599" s="4">
        <f>TRUNC((E3599*F3599),8)</f>
        <v/>
      </c>
      <c r="H3599" s="4">
        <f>ROUND(((1+$H$4)^(30/360))^(C3599/(EDATE(D3599-B3599,1)-(D3599-B3599))),9)</f>
        <v/>
      </c>
      <c r="I3599" s="49">
        <f>TRUNC((G3599*H3599-G3599),8)</f>
        <v/>
      </c>
      <c r="J3599" s="4">
        <f>G3599+I3599</f>
        <v/>
      </c>
      <c r="K3599" s="256" t="n"/>
      <c r="L3599" s="256" t="n"/>
      <c r="M3599" s="256" t="n"/>
      <c r="N3599" s="256" t="n"/>
      <c r="O3599" s="256" t="n"/>
      <c r="P3599" s="256" t="n"/>
      <c r="Q3599" s="256" t="n"/>
    </row>
    <row r="3600">
      <c r="A3600">
        <f>IF(DAY(D3600)=DAY($L$1+1),A3599+1,A3599)</f>
        <v/>
      </c>
      <c r="B3600" s="1">
        <f>IF(DAY(D3600)=DAY($L$1+1),1,B3599+1)</f>
        <v/>
      </c>
      <c r="C3600" s="1">
        <f>IF(DAY(D3600)=DAY($L$1+1),1,C3599+1)</f>
        <v/>
      </c>
      <c r="D3600" s="2">
        <f>D3599+1</f>
        <v/>
      </c>
      <c r="E3600" s="8">
        <f>IF(DAY(D3600)=DAY($L$1+1),TRUNC((N3599),8),E3599)</f>
        <v/>
      </c>
      <c r="F3600" s="49">
        <f>TRUNC(((1+VLOOKUP(A3600,IPCA!$A$2:$C$140,3,0)))^(C3600/(EDATE(D3600-C3600,1)-(D3600-C3600))),8)</f>
        <v/>
      </c>
      <c r="G3600" s="4">
        <f>TRUNC((E3600*F3600),8)</f>
        <v/>
      </c>
      <c r="H3600" s="4">
        <f>ROUND(((1+$H$4)^(30/360))^(C3600/(EDATE(D3600-B3600,1)-(D3600-B3600))),9)</f>
        <v/>
      </c>
      <c r="I3600" s="49">
        <f>TRUNC((G3600*H3600-G3600),8)</f>
        <v/>
      </c>
      <c r="J3600" s="4">
        <f>G3600+I3600</f>
        <v/>
      </c>
      <c r="K3600" s="256" t="n"/>
      <c r="L3600" s="256" t="n"/>
      <c r="M3600" s="256" t="n"/>
      <c r="N3600" s="256" t="n"/>
      <c r="O3600" s="256" t="n"/>
      <c r="P3600" s="256" t="n"/>
      <c r="Q3600" s="256" t="n"/>
    </row>
    <row r="3601">
      <c r="A3601">
        <f>IF(DAY(D3601)=DAY($L$1+1),A3600+1,A3600)</f>
        <v/>
      </c>
      <c r="B3601" s="46">
        <f>IF(DAY(D3601)=DAY($L$1+1),1,B3600+1)</f>
        <v/>
      </c>
      <c r="C3601" s="46">
        <f>IF(DAY(D3601)=DAY($L$1+1),1,C3600+1)</f>
        <v/>
      </c>
      <c r="D3601" s="2">
        <f>D3600+1</f>
        <v/>
      </c>
      <c r="E3601" s="8">
        <f>IF(DAY(D3601)=DAY($L$1+1),TRUNC((N3600),8),E3600)</f>
        <v/>
      </c>
      <c r="F3601" s="49">
        <f>TRUNC(((1+VLOOKUP(A3601,IPCA!$A$2:$C$140,3,0)))^(C3601/(EDATE(D3601-C3601,1)-(D3601-C3601))),8)</f>
        <v/>
      </c>
      <c r="G3601" s="4">
        <f>TRUNC((E3601*F3601),8)</f>
        <v/>
      </c>
      <c r="H3601" s="4">
        <f>ROUND(((1+$H$4)^(30/360))^(C3601/(EDATE(D3601-B3601,1)-(D3601-B3601))),9)</f>
        <v/>
      </c>
      <c r="I3601" s="49">
        <f>TRUNC((G3601*H3601-G3601),8)</f>
        <v/>
      </c>
      <c r="J3601" s="4">
        <f>G3601+I3601</f>
        <v/>
      </c>
      <c r="K3601" s="256" t="n"/>
      <c r="L3601" s="256" t="n"/>
      <c r="M3601" s="256" t="n"/>
      <c r="N3601" s="256" t="n"/>
      <c r="O3601" s="256" t="n"/>
      <c r="P3601" s="256" t="n"/>
      <c r="Q3601" s="256" t="n"/>
    </row>
    <row r="3602">
      <c r="A3602">
        <f>IF(DAY(D3602)=DAY($L$1+1),A3601+1,A3601)</f>
        <v/>
      </c>
      <c r="B3602" s="1">
        <f>IF(DAY(D3602)=DAY($L$1+1),1,B3601+1)</f>
        <v/>
      </c>
      <c r="C3602" s="1">
        <f>IF(DAY(D3602)=DAY($L$1+1),1,C3601+1)</f>
        <v/>
      </c>
      <c r="D3602" s="2">
        <f>D3601+1</f>
        <v/>
      </c>
      <c r="E3602" s="8">
        <f>IF(DAY(D3602)=DAY($L$1+1),TRUNC((N3601),8),E3601)</f>
        <v/>
      </c>
      <c r="F3602" s="49">
        <f>TRUNC(((1+VLOOKUP(A3602,IPCA!$A$2:$C$140,3,0)))^(C3602/(EDATE(D3602-C3602,1)-(D3602-C3602))),8)</f>
        <v/>
      </c>
      <c r="G3602" s="4">
        <f>TRUNC((E3602*F3602),8)</f>
        <v/>
      </c>
      <c r="H3602" s="4">
        <f>ROUND(((1+$H$4)^(30/360))^(C3602/(EDATE(D3602-B3602,1)-(D3602-B3602))),9)</f>
        <v/>
      </c>
      <c r="I3602" s="49">
        <f>TRUNC((G3602*H3602-G3602),8)</f>
        <v/>
      </c>
      <c r="J3602" s="4">
        <f>G3602+I3602</f>
        <v/>
      </c>
      <c r="K3602" s="256" t="n"/>
      <c r="L3602" s="256" t="n"/>
      <c r="M3602" s="256" t="n"/>
      <c r="N3602" s="256" t="n"/>
      <c r="O3602" s="256" t="n"/>
      <c r="P3602" s="256" t="n"/>
      <c r="Q3602" s="256" t="n"/>
    </row>
    <row r="3603">
      <c r="A3603">
        <f>IF(DAY(D3603)=DAY($L$1+1),A3602+1,A3602)</f>
        <v/>
      </c>
      <c r="B3603" s="46">
        <f>IF(DAY(D3603)=DAY($L$1+1),1,B3602+1)</f>
        <v/>
      </c>
      <c r="C3603" s="46">
        <f>IF(DAY(D3603)=DAY($L$1+1),1,C3602+1)</f>
        <v/>
      </c>
      <c r="D3603" s="2">
        <f>D3602+1</f>
        <v/>
      </c>
      <c r="E3603" s="8">
        <f>IF(DAY(D3603)=DAY($L$1+1),TRUNC((N3602),8),E3602)</f>
        <v/>
      </c>
      <c r="F3603" s="49">
        <f>TRUNC(((1+VLOOKUP(A3603,IPCA!$A$2:$C$140,3,0)))^(C3603/(EDATE(D3603-C3603,1)-(D3603-C3603))),8)</f>
        <v/>
      </c>
      <c r="G3603" s="4">
        <f>TRUNC((E3603*F3603),8)</f>
        <v/>
      </c>
      <c r="H3603" s="4">
        <f>ROUND(((1+$H$4)^(30/360))^(C3603/(EDATE(D3603-B3603,1)-(D3603-B3603))),9)</f>
        <v/>
      </c>
      <c r="I3603" s="49">
        <f>TRUNC((G3603*H3603-G3603),8)</f>
        <v/>
      </c>
      <c r="J3603" s="4">
        <f>G3603+I3603</f>
        <v/>
      </c>
      <c r="K3603" s="256" t="n"/>
      <c r="L3603" s="256" t="n"/>
      <c r="M3603" s="256" t="n"/>
      <c r="N3603" s="256" t="n"/>
      <c r="O3603" s="256" t="n"/>
      <c r="P3603" s="256" t="n"/>
      <c r="Q3603" s="256" t="n"/>
    </row>
    <row r="3604">
      <c r="A3604">
        <f>IF(DAY(D3604)=DAY($L$1+1),A3603+1,A3603)</f>
        <v/>
      </c>
      <c r="B3604" s="1">
        <f>IF(DAY(D3604)=DAY($L$1+1),1,B3603+1)</f>
        <v/>
      </c>
      <c r="C3604" s="1">
        <f>IF(DAY(D3604)=DAY($L$1+1),1,C3603+1)</f>
        <v/>
      </c>
      <c r="D3604" s="2">
        <f>D3603+1</f>
        <v/>
      </c>
      <c r="E3604" s="8">
        <f>IF(DAY(D3604)=DAY($L$1+1),TRUNC((N3603),8),E3603)</f>
        <v/>
      </c>
      <c r="F3604" s="49">
        <f>TRUNC(((1+VLOOKUP(A3604,IPCA!$A$2:$C$140,3,0)))^(C3604/(EDATE(D3604-C3604,1)-(D3604-C3604))),8)</f>
        <v/>
      </c>
      <c r="G3604" s="4">
        <f>TRUNC((E3604*F3604),8)</f>
        <v/>
      </c>
      <c r="H3604" s="4">
        <f>ROUND(((1+$H$4)^(30/360))^(C3604/(EDATE(D3604-B3604,1)-(D3604-B3604))),9)</f>
        <v/>
      </c>
      <c r="I3604" s="49">
        <f>TRUNC((G3604*H3604-G3604),8)</f>
        <v/>
      </c>
      <c r="J3604" s="4">
        <f>G3604+I3604</f>
        <v/>
      </c>
      <c r="K3604" s="256" t="n"/>
      <c r="L3604" s="256" t="n"/>
      <c r="M3604" s="256" t="n"/>
      <c r="N3604" s="256" t="n"/>
      <c r="O3604" s="256" t="n"/>
      <c r="P3604" s="256" t="n"/>
      <c r="Q3604" s="256" t="n"/>
    </row>
    <row r="3605">
      <c r="A3605">
        <f>IF(DAY(D3605)=DAY($L$1+1),A3604+1,A3604)</f>
        <v/>
      </c>
      <c r="B3605" s="46">
        <f>IF(DAY(D3605)=DAY($L$1+1),1,B3604+1)</f>
        <v/>
      </c>
      <c r="C3605" s="46">
        <f>IF(DAY(D3605)=DAY($L$1+1),1,C3604+1)</f>
        <v/>
      </c>
      <c r="D3605" s="2">
        <f>D3604+1</f>
        <v/>
      </c>
      <c r="E3605" s="8">
        <f>IF(DAY(D3605)=DAY($L$1+1),TRUNC((N3604),8),E3604)</f>
        <v/>
      </c>
      <c r="F3605" s="49">
        <f>TRUNC(((1+VLOOKUP(A3605,IPCA!$A$2:$C$140,3,0)))^(C3605/(EDATE(D3605-C3605,1)-(D3605-C3605))),8)</f>
        <v/>
      </c>
      <c r="G3605" s="4">
        <f>TRUNC((E3605*F3605),8)</f>
        <v/>
      </c>
      <c r="H3605" s="4">
        <f>ROUND(((1+$H$4)^(30/360))^(C3605/(EDATE(D3605-B3605,1)-(D3605-B3605))),9)</f>
        <v/>
      </c>
      <c r="I3605" s="49">
        <f>TRUNC((G3605*H3605-G3605),8)</f>
        <v/>
      </c>
      <c r="J3605" s="4">
        <f>G3605+I3605</f>
        <v/>
      </c>
      <c r="K3605" s="256" t="n"/>
      <c r="L3605" s="256" t="n"/>
      <c r="M3605" s="256" t="n"/>
      <c r="N3605" s="256" t="n"/>
      <c r="O3605" s="256" t="n"/>
      <c r="P3605" s="256" t="n"/>
      <c r="Q3605" s="256" t="n"/>
    </row>
    <row r="3606">
      <c r="A3606">
        <f>IF(DAY(D3606)=DAY($L$1+1),A3605+1,A3605)</f>
        <v/>
      </c>
      <c r="B3606" s="1">
        <f>IF(DAY(D3606)=DAY($L$1+1),1,B3605+1)</f>
        <v/>
      </c>
      <c r="C3606" s="46">
        <f>IF(DAY(D3606)=DAY($L$1+1),1,C3605+1)</f>
        <v/>
      </c>
      <c r="D3606" s="2">
        <f>D3605+1</f>
        <v/>
      </c>
      <c r="E3606" s="8">
        <f>IF(DAY(D3606)=DAY($L$1+1),TRUNC((N3605),8),E3605)</f>
        <v/>
      </c>
      <c r="F3606" s="49">
        <f>TRUNC(((1+VLOOKUP(A3606,IPCA!$A$2:$C$140,3,0)))^(C3606/(EDATE(D3606-C3606,1)-(D3606-C3606))),8)</f>
        <v/>
      </c>
      <c r="G3606" s="4">
        <f>TRUNC((E3606*F3606),8)</f>
        <v/>
      </c>
      <c r="H3606" s="4">
        <f>ROUND(((1+$H$4)^(30/360))^(C3606/(EDATE(D3606-B3606,1)-(D3606-B3606))),9)</f>
        <v/>
      </c>
      <c r="I3606" s="49">
        <f>TRUNC((G3606*H3606-G3606),8)</f>
        <v/>
      </c>
      <c r="J3606" s="4">
        <f>G3606+I3606</f>
        <v/>
      </c>
      <c r="K3606" s="256" t="n"/>
      <c r="L3606" s="256" t="n"/>
      <c r="M3606" s="256" t="n"/>
      <c r="N3606" s="256" t="n"/>
      <c r="O3606" s="256" t="n"/>
      <c r="P3606" s="256" t="n"/>
      <c r="Q3606" s="256" t="n"/>
    </row>
    <row r="3607">
      <c r="A3607">
        <f>IF(DAY(D3607)=DAY($L$1+1),A3606+1,A3606)</f>
        <v/>
      </c>
      <c r="B3607" s="46">
        <f>IF(DAY(D3607)=DAY($L$1+1),1,B3606+1)</f>
        <v/>
      </c>
      <c r="C3607" s="46">
        <f>IF(DAY(D3607)=DAY($L$1+1),1,C3606+1)</f>
        <v/>
      </c>
      <c r="D3607" s="2">
        <f>D3606+1</f>
        <v/>
      </c>
      <c r="E3607" s="8">
        <f>IF(DAY(D3607)=DAY($L$1+1),TRUNC((N3606),8),E3606)</f>
        <v/>
      </c>
      <c r="F3607" s="49">
        <f>TRUNC(((1+VLOOKUP(A3607,IPCA!$A$2:$C$140,3,0)))^(C3607/(EDATE(D3607-C3607,1)-(D3607-C3607))),8)</f>
        <v/>
      </c>
      <c r="G3607" s="4">
        <f>TRUNC((E3607*F3607),8)</f>
        <v/>
      </c>
      <c r="H3607" s="4">
        <f>ROUND(((1+$H$4)^(30/360))^(C3607/(EDATE(D3607-B3607,1)-(D3607-B3607))),9)</f>
        <v/>
      </c>
      <c r="I3607" s="49">
        <f>TRUNC((G3607*H3607-G3607),8)</f>
        <v/>
      </c>
      <c r="J3607" s="4">
        <f>G3607+I3607</f>
        <v/>
      </c>
      <c r="K3607" s="256" t="n"/>
      <c r="L3607" s="256" t="n"/>
      <c r="M3607" s="256" t="n"/>
      <c r="N3607" s="256" t="n"/>
      <c r="O3607" s="256" t="n"/>
      <c r="P3607" s="256" t="n"/>
      <c r="Q3607" s="256" t="n"/>
    </row>
    <row r="3608">
      <c r="A3608">
        <f>IF(DAY(D3608)=DAY($L$1+1),A3607+1,A3607)</f>
        <v/>
      </c>
      <c r="B3608" s="1">
        <f>IF(DAY(D3608)=DAY($L$1+1),1,B3607+1)</f>
        <v/>
      </c>
      <c r="C3608" s="46">
        <f>IF(DAY(D3608)=DAY($L$1+1),1,C3607+1)</f>
        <v/>
      </c>
      <c r="D3608" s="2">
        <f>D3607+1</f>
        <v/>
      </c>
      <c r="E3608" s="8">
        <f>IF(DAY(D3608)=DAY($L$1+1),TRUNC((N3607),8),E3607)</f>
        <v/>
      </c>
      <c r="F3608" s="49">
        <f>TRUNC(((1+VLOOKUP(A3608,IPCA!$A$2:$C$140,3,0)))^(C3608/(EDATE(D3608-C3608,1)-(D3608-C3608))),8)</f>
        <v/>
      </c>
      <c r="G3608" s="4">
        <f>TRUNC((E3608*F3608),8)</f>
        <v/>
      </c>
      <c r="H3608" s="4">
        <f>ROUND(((1+$H$4)^(30/360))^(C3608/(EDATE(D3608-B3608,1)-(D3608-B3608))),9)</f>
        <v/>
      </c>
      <c r="I3608" s="49">
        <f>TRUNC((G3608*H3608-G3608),8)</f>
        <v/>
      </c>
      <c r="J3608" s="4">
        <f>G3608+I3608</f>
        <v/>
      </c>
      <c r="K3608" s="256" t="n"/>
      <c r="L3608" s="256" t="n"/>
      <c r="M3608" s="256" t="n"/>
      <c r="N3608" s="256" t="n"/>
      <c r="O3608" s="256" t="n"/>
      <c r="P3608" s="256" t="n"/>
      <c r="Q3608" s="256" t="n"/>
    </row>
    <row r="3609">
      <c r="A3609">
        <f>IF(DAY(D3609)=DAY($L$1+1),A3608+1,A3608)</f>
        <v/>
      </c>
      <c r="B3609" s="1">
        <f>IF(DAY(D3609)=DAY($L$1+1),1,B3608+1)</f>
        <v/>
      </c>
      <c r="C3609" s="46">
        <f>IF(DAY(D3609)=DAY($L$1+1),1,C3608+1)</f>
        <v/>
      </c>
      <c r="D3609" s="2">
        <f>D3608+1</f>
        <v/>
      </c>
      <c r="E3609" s="8">
        <f>IF(DAY(D3609)=DAY($L$1+1),TRUNC((N3608),8),E3608)</f>
        <v/>
      </c>
      <c r="F3609" s="49">
        <f>TRUNC(((1+VLOOKUP(A3609,IPCA!$A$2:$C$140,3,0)))^(C3609/(EDATE(D3609-C3609,1)-(D3609-C3609))),8)</f>
        <v/>
      </c>
      <c r="G3609" s="4">
        <f>TRUNC((E3609*F3609),8)</f>
        <v/>
      </c>
      <c r="H3609" s="4">
        <f>ROUND(((1+$H$4)^(30/360))^(C3609/(EDATE(D3609-B3609,1)-(D3609-B3609))),9)</f>
        <v/>
      </c>
      <c r="I3609" s="49">
        <f>TRUNC((G3609*H3609-G3609),8)</f>
        <v/>
      </c>
      <c r="J3609" s="4">
        <f>G3609+I3609</f>
        <v/>
      </c>
      <c r="K3609" s="256" t="inlineStr">
        <is>
          <t>Cri Integralizado</t>
        </is>
      </c>
      <c r="L3609" s="270">
        <f>L3579</f>
        <v/>
      </c>
      <c r="M3609" s="256" t="n"/>
      <c r="N3609" s="256" t="n"/>
      <c r="O3609" s="256" t="n"/>
      <c r="P3609" s="256" t="n"/>
      <c r="Q3609" s="256" t="n"/>
    </row>
    <row r="3610">
      <c r="A3610">
        <f>IF(DAY(D3610)=DAY($L$1+1),A3609+1,A3609)</f>
        <v/>
      </c>
      <c r="B3610" s="1">
        <f>IF(DAY(D3610)=DAY($L$1+1),1,B3609+1)</f>
        <v/>
      </c>
      <c r="C3610" s="46">
        <f>IF(DAY(D3610)=DAY($L$1+1),1,C3609+1)</f>
        <v/>
      </c>
      <c r="D3610" s="2">
        <f>D3609+1</f>
        <v/>
      </c>
      <c r="E3610" s="8">
        <f>IF(DAY(D3610)=DAY($L$1+1),TRUNC((N3609),8),E3609)</f>
        <v/>
      </c>
      <c r="F3610" s="49">
        <f>TRUNC(((1+VLOOKUP(A3610,IPCA!$A$2:$C$140,3,0)))^(C3610/(EDATE(D3610-C3610,1)-(D3610-C3610))),8)</f>
        <v/>
      </c>
      <c r="G3610" s="4">
        <f>TRUNC((E3610*F3610),8)</f>
        <v/>
      </c>
      <c r="H3610" s="4">
        <f>ROUND(((1+$H$4)^(30/360))^(C3610/(EDATE(D3610-B3610,1)-(D3610-B3610))),9)</f>
        <v/>
      </c>
      <c r="I3610" s="49">
        <f>TRUNC((G3610*H3610-G3610),8)</f>
        <v/>
      </c>
      <c r="J3610" s="4">
        <f>G3610+I3610</f>
        <v/>
      </c>
      <c r="K3610" s="137" t="inlineStr">
        <is>
          <t>JUROS</t>
        </is>
      </c>
      <c r="L3610" s="118" t="inlineStr">
        <is>
          <t>AMORTIZAÇÃO</t>
        </is>
      </c>
      <c r="M3610" s="118" t="inlineStr">
        <is>
          <t>AMEX</t>
        </is>
      </c>
      <c r="N3610" s="118" t="inlineStr">
        <is>
          <t>RESIDUAL</t>
        </is>
      </c>
      <c r="O3610" s="256" t="n"/>
      <c r="P3610" s="256" t="n"/>
      <c r="Q3610" s="256" t="n"/>
    </row>
    <row r="3611">
      <c r="A3611">
        <f>IF(DAY(D3611)=DAY($L$1+1),A3610+1,A3610)</f>
        <v/>
      </c>
      <c r="B3611" s="111">
        <f>IF(DAY(D3611)=DAY($L$1+1),1,B3610+1)</f>
        <v/>
      </c>
      <c r="C3611" s="111">
        <f>IF(DAY(D3611)=DAY($L$1+1),1,C3610+1)</f>
        <v/>
      </c>
      <c r="D3611" s="112">
        <f>D3610+1</f>
        <v/>
      </c>
      <c r="E3611" s="113">
        <f>IF(DAY(D3611)=DAY($L$1+1),TRUNC((N3610),8),E3610)</f>
        <v/>
      </c>
      <c r="F3611" s="114">
        <f>TRUNC(((1+VLOOKUP(A3611,IPCA!$A$2:$C$140,3,0)))^(C3611/(EDATE(D3611-C3611,1)-(D3611-C3611))),8)</f>
        <v/>
      </c>
      <c r="G3611" s="114">
        <f>TRUNC((E3611*F3611),8)</f>
        <v/>
      </c>
      <c r="H3611" s="114">
        <f>ROUND(((1+$H$4)^(30/360))^(C3611/(EDATE(D3611-B3611,1)-(D3611-B3611))),9)</f>
        <v/>
      </c>
      <c r="I3611" s="114">
        <f>TRUNC((G3611*H3611-G3611),8)</f>
        <v/>
      </c>
      <c r="J3611" s="114">
        <f>G3611+I3611</f>
        <v/>
      </c>
      <c r="K3611" s="119">
        <f>I3611</f>
        <v/>
      </c>
      <c r="L3611" s="120">
        <f>TRUNC(G3611*VLOOKUP(D3611,'Amort TS'!$G$3:$H$140,2,0),8)</f>
        <v/>
      </c>
      <c r="M3611" s="120" t="n">
        <v>0</v>
      </c>
      <c r="N3611" s="120">
        <f>J3611-K3611-L3611-M3611</f>
        <v/>
      </c>
      <c r="O3611" s="256" t="n"/>
      <c r="P3611" s="256" t="n"/>
      <c r="Q3611" s="256" t="n"/>
    </row>
    <row r="3612">
      <c r="A3612">
        <f>IF(DAY(D3612)=DAY($L$1+1),A3611+1,A3611)</f>
        <v/>
      </c>
      <c r="B3612" s="1">
        <f>IF(DAY(D3612)=DAY($L$1+1),1,B3611+1)</f>
        <v/>
      </c>
      <c r="C3612" s="46">
        <f>IF(DAY(D3612)=DAY($L$1+1),1,C3611+1)</f>
        <v/>
      </c>
      <c r="D3612" s="2">
        <f>D3611+1</f>
        <v/>
      </c>
      <c r="E3612" s="8">
        <f>IF(DAY(D3612)=DAY($L$1+1),TRUNC((N3611),8),E3611)</f>
        <v/>
      </c>
      <c r="F3612" s="49">
        <f>TRUNC(((1+VLOOKUP(A3612,IPCA!$A$2:$C$140,3,0)))^(C3612/(EDATE(D3612-C3612,1)-(D3612-C3612))),8)</f>
        <v/>
      </c>
      <c r="G3612" s="4">
        <f>TRUNC((E3612*F3612),8)</f>
        <v/>
      </c>
      <c r="H3612" s="4">
        <f>ROUND(((1+$H$4)^(30/360))^(C3612/(EDATE(D3612-B3612,1)-(D3612-B3612))),9)</f>
        <v/>
      </c>
      <c r="I3612" s="49">
        <f>TRUNC((G3612*H3612-G3612),8)</f>
        <v/>
      </c>
      <c r="J3612" s="4">
        <f>G3612+I3612</f>
        <v/>
      </c>
      <c r="K3612" s="121">
        <f>K3611*L3609</f>
        <v/>
      </c>
      <c r="L3612" s="121">
        <f>L3611*L3609</f>
        <v/>
      </c>
      <c r="M3612" s="121">
        <f>M3611*L3609</f>
        <v/>
      </c>
      <c r="N3612" s="121">
        <f>N3611*L3609</f>
        <v/>
      </c>
      <c r="O3612" s="256" t="n"/>
      <c r="P3612" s="256" t="n"/>
      <c r="Q3612" s="256" t="n"/>
    </row>
    <row r="3613">
      <c r="A3613">
        <f>IF(DAY(D3613)=DAY($L$1+1),A3612+1,A3612)</f>
        <v/>
      </c>
      <c r="B3613" s="1">
        <f>IF(DAY(D3613)=DAY($L$1+1),1,B3612+1)</f>
        <v/>
      </c>
      <c r="C3613" s="46">
        <f>IF(DAY(D3613)=DAY($L$1+1),1,C3612+1)</f>
        <v/>
      </c>
      <c r="D3613" s="2">
        <f>D3612+1</f>
        <v/>
      </c>
      <c r="E3613" s="8">
        <f>IF(DAY(D3613)=DAY($L$1+1),TRUNC((N3612),8),E3612)</f>
        <v/>
      </c>
      <c r="F3613" s="49">
        <f>TRUNC(((1+VLOOKUP(A3613,IPCA!$A$2:$C$140,3,0)))^(C3613/(EDATE(D3613-C3613,1)-(D3613-C3613))),8)</f>
        <v/>
      </c>
      <c r="G3613" s="4">
        <f>TRUNC((E3613*F3613),8)</f>
        <v/>
      </c>
      <c r="H3613" s="4">
        <f>ROUND(((1+$H$4)^(30/360))^(C3613/(EDATE(D3613-B3613,1)-(D3613-B3613))),9)</f>
        <v/>
      </c>
      <c r="I3613" s="49">
        <f>TRUNC((G3613*H3613-G3613),8)</f>
        <v/>
      </c>
      <c r="J3613" s="4">
        <f>G3613+I3613</f>
        <v/>
      </c>
      <c r="K3613" s="256" t="n"/>
      <c r="L3613" s="256" t="n"/>
      <c r="M3613" s="256" t="n"/>
      <c r="N3613" s="256" t="n"/>
      <c r="O3613" s="256" t="n"/>
      <c r="P3613" s="256" t="n"/>
      <c r="Q3613" s="256" t="n"/>
    </row>
    <row r="3614">
      <c r="A3614">
        <f>IF(DAY(D3614)=DAY($L$1+1),A3613+1,A3613)</f>
        <v/>
      </c>
      <c r="B3614" s="1">
        <f>IF(DAY(D3614)=DAY($L$1+1),1,B3613+1)</f>
        <v/>
      </c>
      <c r="C3614" s="46">
        <f>IF(DAY(D3614)=DAY($L$1+1),1,C3613+1)</f>
        <v/>
      </c>
      <c r="D3614" s="2">
        <f>D3613+1</f>
        <v/>
      </c>
      <c r="E3614" s="8">
        <f>IF(DAY(D3614)=DAY($L$1+1),TRUNC((#REF!),8),E3613)</f>
        <v/>
      </c>
      <c r="F3614" s="49">
        <f>TRUNC(((1+VLOOKUP(A3614,IPCA!$A$2:$C$140,3,0)))^(C3614/(EDATE(D3614-C3614,1)-(D3614-C3614))),8)</f>
        <v/>
      </c>
      <c r="G3614" s="4">
        <f>TRUNC((E3614*F3614),8)</f>
        <v/>
      </c>
      <c r="H3614" s="4">
        <f>ROUND(((1+$H$4)^(30/360))^(C3614/(EDATE(D3614-B3614,1)-(D3614-B3614))),9)</f>
        <v/>
      </c>
      <c r="I3614" s="49">
        <f>TRUNC((G3614*H3614-G3614),8)</f>
        <v/>
      </c>
      <c r="J3614" s="4">
        <f>G3614+I3614</f>
        <v/>
      </c>
      <c r="K3614" s="256" t="n"/>
      <c r="L3614" s="256" t="n"/>
      <c r="M3614" s="256" t="n"/>
      <c r="N3614" s="256" t="n"/>
      <c r="O3614" s="256" t="n"/>
      <c r="P3614" s="256" t="n"/>
      <c r="Q3614" s="256" t="n"/>
    </row>
    <row r="3615">
      <c r="A3615">
        <f>IF(DAY(D3615)=DAY($L$1+1),A3614+1,A3614)</f>
        <v/>
      </c>
      <c r="B3615" s="1">
        <f>IF(DAY(D3615)=DAY($L$1+1),1,B3614+1)</f>
        <v/>
      </c>
      <c r="C3615" s="46">
        <f>IF(DAY(D3615)=DAY($L$1+1),1,C3614+1)</f>
        <v/>
      </c>
      <c r="D3615" s="2">
        <f>D3614+1</f>
        <v/>
      </c>
      <c r="E3615" s="8">
        <f>IF(DAY(D3615)=DAY($L$1+1),TRUNC((#REF!),8),E3614)</f>
        <v/>
      </c>
      <c r="F3615" s="49">
        <f>TRUNC(((1+VLOOKUP(A3615,IPCA!$A$2:$C$140,3,0)))^(C3615/(EDATE(D3615-C3615,1)-(D3615-C3615))),8)</f>
        <v/>
      </c>
      <c r="G3615" s="4">
        <f>TRUNC((E3615*F3615),8)</f>
        <v/>
      </c>
      <c r="H3615" s="4">
        <f>ROUND(((1+$H$4)^(30/360))^(C3615/(EDATE(D3615-B3615,1)-(D3615-B3615))),9)</f>
        <v/>
      </c>
      <c r="I3615" s="49">
        <f>TRUNC((G3615*H3615-G3615),8)</f>
        <v/>
      </c>
      <c r="J3615" s="4">
        <f>G3615+I3615</f>
        <v/>
      </c>
      <c r="K3615" s="256" t="n"/>
      <c r="L3615" s="256" t="n"/>
      <c r="M3615" s="256" t="n"/>
      <c r="N3615" s="256" t="n"/>
      <c r="O3615" s="256" t="n"/>
      <c r="P3615" s="256" t="n"/>
      <c r="Q3615" s="256" t="n"/>
    </row>
    <row r="3616">
      <c r="A3616">
        <f>IF(DAY(D3616)=DAY($L$1+1),A3615+1,A3615)</f>
        <v/>
      </c>
      <c r="B3616" s="1">
        <f>IF(DAY(D3616)=DAY($L$1+1),1,B3615+1)</f>
        <v/>
      </c>
      <c r="C3616" s="46">
        <f>IF(DAY(D3616)=DAY($L$1+1),1,C3615+1)</f>
        <v/>
      </c>
      <c r="D3616" s="2">
        <f>D3615+1</f>
        <v/>
      </c>
      <c r="E3616" s="8">
        <f>IF(DAY(D3616)=DAY($L$1+1),TRUNC((#REF!),8),E3615)</f>
        <v/>
      </c>
      <c r="F3616" s="49">
        <f>TRUNC(((1+VLOOKUP(A3616,IPCA!$A$2:$C$140,3,0)))^(C3616/(EDATE(D3616-C3616,1)-(D3616-C3616))),8)</f>
        <v/>
      </c>
      <c r="G3616" s="4">
        <f>TRUNC((E3616*F3616),8)</f>
        <v/>
      </c>
      <c r="H3616" s="4">
        <f>ROUND(((1+$H$4)^(30/360))^(C3616/(EDATE(D3616-B3616,1)-(D3616-B3616))),9)</f>
        <v/>
      </c>
      <c r="I3616" s="49">
        <f>TRUNC((G3616*H3616-G3616),8)</f>
        <v/>
      </c>
      <c r="J3616" s="4">
        <f>G3616+I3616</f>
        <v/>
      </c>
      <c r="K3616" s="256" t="n"/>
      <c r="L3616" s="256" t="n"/>
      <c r="M3616" s="256" t="n"/>
      <c r="N3616" s="256" t="n"/>
      <c r="O3616" s="256" t="n"/>
      <c r="P3616" s="256" t="n"/>
      <c r="Q3616" s="256" t="n"/>
    </row>
    <row r="3617">
      <c r="A3617">
        <f>IF(DAY(D3617)=DAY($L$1+1),A3616+1,A3616)</f>
        <v/>
      </c>
      <c r="B3617" s="1">
        <f>IF(DAY(D3617)=DAY($L$1+1),1,B3616+1)</f>
        <v/>
      </c>
      <c r="C3617" s="46">
        <f>IF(DAY(D3617)=DAY($L$1+1),1,C3616+1)</f>
        <v/>
      </c>
      <c r="D3617" s="2">
        <f>D3616+1</f>
        <v/>
      </c>
      <c r="E3617" s="8">
        <f>IF(DAY(D3617)=DAY($L$1+1),TRUNC((#REF!),8),E3616)</f>
        <v/>
      </c>
      <c r="F3617" s="49">
        <f>TRUNC(((1+VLOOKUP(A3617,IPCA!$A$2:$C$140,3,0)))^(C3617/(EDATE(D3617-C3617,1)-(D3617-C3617))),8)</f>
        <v/>
      </c>
      <c r="G3617" s="4">
        <f>TRUNC((E3617*F3617),8)</f>
        <v/>
      </c>
      <c r="H3617" s="4">
        <f>ROUND(((1+$H$4)^(30/360))^(C3617/(EDATE(D3617-B3617,1)-(D3617-B3617))),9)</f>
        <v/>
      </c>
      <c r="I3617" s="49">
        <f>TRUNC((G3617*H3617-G3617),8)</f>
        <v/>
      </c>
      <c r="J3617" s="4">
        <f>G3617+I3617</f>
        <v/>
      </c>
      <c r="K3617" s="256" t="n"/>
      <c r="L3617" s="256" t="n"/>
      <c r="M3617" s="256" t="n"/>
      <c r="N3617" s="256" t="n"/>
      <c r="O3617" s="256" t="n"/>
      <c r="P3617" s="256" t="n"/>
      <c r="Q3617" s="256" t="n"/>
    </row>
    <row r="3618">
      <c r="A3618">
        <f>IF(DAY(D3618)=DAY($L$1+1),A3617+1,A3617)</f>
        <v/>
      </c>
      <c r="B3618" s="1">
        <f>IF(DAY(D3618)=DAY($L$1+1),1,B3617+1)</f>
        <v/>
      </c>
      <c r="C3618" s="46">
        <f>IF(DAY(D3618)=DAY($L$1+1),1,C3617+1)</f>
        <v/>
      </c>
      <c r="D3618" s="2">
        <f>D3617+1</f>
        <v/>
      </c>
      <c r="E3618" s="8">
        <f>IF(DAY(D3618)=DAY($L$1+1),TRUNC((#REF!),8),E3617)</f>
        <v/>
      </c>
      <c r="F3618" s="49">
        <f>TRUNC(((1+VLOOKUP(A3618,IPCA!$A$2:$C$140,3,0)))^(C3618/(EDATE(D3618-C3618,1)-(D3618-C3618))),8)</f>
        <v/>
      </c>
      <c r="G3618" s="4">
        <f>TRUNC((E3618*F3618),8)</f>
        <v/>
      </c>
      <c r="H3618" s="4">
        <f>ROUND(((1+$H$4)^(30/360))^(C3618/(EDATE(D3618-B3618,1)-(D3618-B3618))),9)</f>
        <v/>
      </c>
      <c r="I3618" s="49">
        <f>TRUNC((G3618*H3618-G3618),8)</f>
        <v/>
      </c>
      <c r="J3618" s="4">
        <f>G3618+I3618</f>
        <v/>
      </c>
      <c r="K3618" s="256" t="n"/>
      <c r="L3618" s="256" t="n"/>
      <c r="M3618" s="256" t="n"/>
      <c r="N3618" s="256" t="n"/>
      <c r="O3618" s="256" t="n"/>
      <c r="P3618" s="256" t="n"/>
      <c r="Q3618" s="256" t="n"/>
    </row>
    <row r="3619">
      <c r="A3619">
        <f>IF(DAY(D3619)=DAY($L$1+1),A3618+1,A3618)</f>
        <v/>
      </c>
      <c r="B3619" s="1">
        <f>IF(DAY(D3619)=DAY($L$1+1),1,B3618+1)</f>
        <v/>
      </c>
      <c r="C3619" s="46">
        <f>IF(DAY(D3619)=DAY($L$1+1),1,C3618+1)</f>
        <v/>
      </c>
      <c r="D3619" s="2">
        <f>D3618+1</f>
        <v/>
      </c>
      <c r="E3619" s="8">
        <f>IF(DAY(D3619)=DAY($L$1+1),TRUNC((#REF!),8),E3618)</f>
        <v/>
      </c>
      <c r="F3619" s="49">
        <f>TRUNC(((1+VLOOKUP(A3619,IPCA!$A$2:$C$140,3,0)))^(C3619/(EDATE(D3619-C3619,1)-(D3619-C3619))),8)</f>
        <v/>
      </c>
      <c r="G3619" s="4">
        <f>TRUNC((E3619*F3619),8)</f>
        <v/>
      </c>
      <c r="H3619" s="4">
        <f>ROUND(((1+$H$4)^(30/360))^(C3619/(EDATE(D3619-B3619,1)-(D3619-B3619))),9)</f>
        <v/>
      </c>
      <c r="I3619" s="49">
        <f>TRUNC((G3619*H3619-G3619),8)</f>
        <v/>
      </c>
      <c r="J3619" s="4">
        <f>G3619+I3619</f>
        <v/>
      </c>
      <c r="K3619" s="256" t="n"/>
      <c r="L3619" s="256" t="n"/>
      <c r="M3619" s="256" t="n"/>
      <c r="N3619" s="256" t="n"/>
      <c r="O3619" s="256" t="n"/>
      <c r="P3619" s="256" t="n"/>
      <c r="Q3619" s="256" t="n"/>
    </row>
    <row r="3620">
      <c r="A3620">
        <f>IF(DAY(D3620)=DAY($L$1+1),A3619+1,A3619)</f>
        <v/>
      </c>
      <c r="B3620" s="1">
        <f>IF(DAY(D3620)=DAY($L$1+1),1,B3619+1)</f>
        <v/>
      </c>
      <c r="C3620" s="46">
        <f>IF(DAY(D3620)=DAY($L$1+1),1,C3619+1)</f>
        <v/>
      </c>
      <c r="D3620" s="2">
        <f>D3619+1</f>
        <v/>
      </c>
      <c r="E3620" s="8">
        <f>IF(DAY(D3620)=DAY($L$1+1),TRUNC((#REF!),8),E3619)</f>
        <v/>
      </c>
      <c r="F3620" s="49">
        <f>TRUNC(((1+VLOOKUP(A3620,IPCA!$A$2:$C$140,3,0)))^(C3620/(EDATE(D3620-C3620,1)-(D3620-C3620))),8)</f>
        <v/>
      </c>
      <c r="G3620" s="4">
        <f>TRUNC((E3620*F3620),8)</f>
        <v/>
      </c>
      <c r="H3620" s="4">
        <f>ROUND(((1+$H$4)^(30/360))^(C3620/(EDATE(D3620-B3620,1)-(D3620-B3620))),9)</f>
        <v/>
      </c>
      <c r="I3620" s="49">
        <f>TRUNC((G3620*H3620-G3620),8)</f>
        <v/>
      </c>
      <c r="J3620" s="4">
        <f>G3620+I3620</f>
        <v/>
      </c>
      <c r="K3620" s="256" t="n"/>
      <c r="L3620" s="256" t="n"/>
      <c r="M3620" s="256" t="n"/>
      <c r="N3620" s="256" t="n"/>
      <c r="O3620" s="256" t="n"/>
      <c r="P3620" s="256" t="n"/>
      <c r="Q3620" s="256" t="n"/>
    </row>
    <row r="3621">
      <c r="A3621">
        <f>IF(DAY(D3621)=DAY($L$1+1),A3620+1,A3620)</f>
        <v/>
      </c>
      <c r="B3621" s="1">
        <f>IF(DAY(D3621)=DAY($L$1+1),1,B3620+1)</f>
        <v/>
      </c>
      <c r="C3621" s="46">
        <f>IF(DAY(D3621)=DAY($L$1+1),1,C3620+1)</f>
        <v/>
      </c>
      <c r="D3621" s="2">
        <f>D3620+1</f>
        <v/>
      </c>
      <c r="E3621" s="8">
        <f>IF(DAY(D3621)=DAY($L$1+1),TRUNC((#REF!),8),E3620)</f>
        <v/>
      </c>
      <c r="F3621" s="49">
        <f>TRUNC(((1+VLOOKUP(A3621,IPCA!$A$2:$C$140,3,0)))^(C3621/(EDATE(D3621-C3621,1)-(D3621-C3621))),8)</f>
        <v/>
      </c>
      <c r="G3621" s="4">
        <f>TRUNC((E3621*F3621),8)</f>
        <v/>
      </c>
      <c r="H3621" s="4">
        <f>ROUND(((1+$H$4)^(30/360))^(C3621/(EDATE(D3621-B3621,1)-(D3621-B3621))),9)</f>
        <v/>
      </c>
      <c r="I3621" s="49">
        <f>TRUNC((G3621*H3621-G3621),8)</f>
        <v/>
      </c>
      <c r="J3621" s="4">
        <f>G3621+I3621</f>
        <v/>
      </c>
      <c r="K3621" s="256" t="n"/>
      <c r="L3621" s="256" t="n"/>
      <c r="M3621" s="256" t="n"/>
      <c r="N3621" s="256" t="n"/>
      <c r="O3621" s="256" t="n"/>
      <c r="P3621" s="256" t="n"/>
      <c r="Q3621" s="256" t="n"/>
    </row>
    <row r="3622">
      <c r="A3622">
        <f>IF(DAY(D3622)=DAY($L$1+1),A3621+1,A3621)</f>
        <v/>
      </c>
      <c r="B3622" s="1">
        <f>IF(DAY(D3622)=DAY($L$1+1),1,B3621+1)</f>
        <v/>
      </c>
      <c r="C3622" s="46">
        <f>IF(DAY(D3622)=DAY($L$1+1),1,C3621+1)</f>
        <v/>
      </c>
      <c r="D3622" s="2">
        <f>D3621+1</f>
        <v/>
      </c>
      <c r="E3622" s="8">
        <f>IF(DAY(D3622)=DAY($L$1+1),TRUNC((#REF!),8),E3621)</f>
        <v/>
      </c>
      <c r="F3622" s="49">
        <f>TRUNC(((1+VLOOKUP(A3622,IPCA!$A$2:$C$140,3,0)))^(C3622/(EDATE(D3622-C3622,1)-(D3622-C3622))),8)</f>
        <v/>
      </c>
      <c r="G3622" s="4">
        <f>TRUNC((E3622*F3622),8)</f>
        <v/>
      </c>
      <c r="H3622" s="4">
        <f>ROUND(((1+$H$4)^(30/360))^(C3622/(EDATE(D3622-B3622,1)-(D3622-B3622))),9)</f>
        <v/>
      </c>
      <c r="I3622" s="49">
        <f>TRUNC((G3622*H3622-G3622),8)</f>
        <v/>
      </c>
      <c r="J3622" s="4">
        <f>G3622+I3622</f>
        <v/>
      </c>
      <c r="K3622" s="256" t="n"/>
      <c r="L3622" s="256" t="n"/>
      <c r="M3622" s="256" t="n"/>
      <c r="N3622" s="256" t="n"/>
      <c r="O3622" s="256" t="n"/>
      <c r="P3622" s="256" t="n"/>
      <c r="Q3622" s="256" t="n"/>
    </row>
    <row r="3623">
      <c r="A3623">
        <f>IF(DAY(D3623)=DAY($L$1+1),A3622+1,A3622)</f>
        <v/>
      </c>
      <c r="B3623" s="1">
        <f>IF(DAY(D3623)=DAY($L$1+1),1,B3622+1)</f>
        <v/>
      </c>
      <c r="C3623" s="46">
        <f>IF(DAY(D3623)=DAY($L$1+1),1,C3622+1)</f>
        <v/>
      </c>
      <c r="D3623" s="2">
        <f>D3622+1</f>
        <v/>
      </c>
      <c r="E3623" s="8">
        <f>IF(DAY(D3623)=DAY($L$1+1),TRUNC((#REF!),8),E3622)</f>
        <v/>
      </c>
      <c r="F3623" s="49">
        <f>TRUNC(((1+VLOOKUP(A3623,IPCA!$A$2:$C$140,3,0)))^(C3623/(EDATE(D3623-C3623,1)-(D3623-C3623))),8)</f>
        <v/>
      </c>
      <c r="G3623" s="4">
        <f>TRUNC((E3623*F3623),8)</f>
        <v/>
      </c>
      <c r="H3623" s="4">
        <f>ROUND(((1+$H$4)^(30/360))^(C3623/(EDATE(D3623-B3623,1)-(D3623-B3623))),9)</f>
        <v/>
      </c>
      <c r="I3623" s="49">
        <f>TRUNC((G3623*H3623-G3623),8)</f>
        <v/>
      </c>
      <c r="J3623" s="4">
        <f>G3623+I3623</f>
        <v/>
      </c>
      <c r="K3623" s="256" t="n"/>
      <c r="L3623" s="256" t="n"/>
      <c r="M3623" s="256" t="n"/>
      <c r="N3623" s="256" t="n"/>
      <c r="O3623" s="256" t="n"/>
      <c r="P3623" s="256" t="n"/>
      <c r="Q3623" s="256" t="n"/>
    </row>
    <row r="3624">
      <c r="A3624">
        <f>IF(DAY(D3624)=DAY($L$1+1),A3623+1,A3623)</f>
        <v/>
      </c>
      <c r="B3624" s="1">
        <f>IF(DAY(D3624)=DAY($L$1+1),1,B3623+1)</f>
        <v/>
      </c>
      <c r="C3624" s="46">
        <f>IF(DAY(D3624)=DAY($L$1+1),1,C3623+1)</f>
        <v/>
      </c>
      <c r="D3624" s="2">
        <f>D3623+1</f>
        <v/>
      </c>
      <c r="E3624" s="8">
        <f>IF(DAY(D3624)=DAY($L$1+1),TRUNC((#REF!),8),E3623)</f>
        <v/>
      </c>
      <c r="F3624" s="49">
        <f>TRUNC(((1+VLOOKUP(A3624,IPCA!$A$2:$C$140,3,0)))^(C3624/(EDATE(D3624-C3624,1)-(D3624-C3624))),8)</f>
        <v/>
      </c>
      <c r="G3624" s="4">
        <f>TRUNC((E3624*F3624),8)</f>
        <v/>
      </c>
      <c r="H3624" s="4">
        <f>ROUND(((1+$H$4)^(30/360))^(C3624/(EDATE(D3624-B3624,1)-(D3624-B3624))),9)</f>
        <v/>
      </c>
      <c r="I3624" s="49">
        <f>TRUNC((G3624*H3624-G3624),8)</f>
        <v/>
      </c>
      <c r="J3624" s="4">
        <f>G3624+I3624</f>
        <v/>
      </c>
      <c r="K3624" s="256" t="n"/>
      <c r="L3624" s="256" t="n"/>
      <c r="M3624" s="256" t="n"/>
      <c r="N3624" s="256" t="n"/>
      <c r="O3624" s="256" t="n"/>
      <c r="P3624" s="256" t="n"/>
      <c r="Q3624" s="256" t="n"/>
    </row>
    <row r="3625">
      <c r="A3625">
        <f>IF(DAY(D3625)=DAY($L$1+1),A3624+1,A3624)</f>
        <v/>
      </c>
      <c r="B3625" s="1">
        <f>IF(DAY(D3625)=DAY($L$1+1),1,B3624+1)</f>
        <v/>
      </c>
      <c r="C3625" s="46">
        <f>IF(DAY(D3625)=DAY($L$1+1),1,C3624+1)</f>
        <v/>
      </c>
      <c r="D3625" s="2">
        <f>D3624+1</f>
        <v/>
      </c>
      <c r="E3625" s="8">
        <f>IF(DAY(D3625)=DAY($L$1+1),TRUNC((#REF!),8),E3624)</f>
        <v/>
      </c>
      <c r="F3625" s="49">
        <f>TRUNC(((1+VLOOKUP(A3625,IPCA!$A$2:$C$140,3,0)))^(C3625/(EDATE(D3625-C3625,1)-(D3625-C3625))),8)</f>
        <v/>
      </c>
      <c r="G3625" s="4">
        <f>TRUNC((E3625*F3625),8)</f>
        <v/>
      </c>
      <c r="H3625" s="4">
        <f>ROUND(((1+$H$4)^(30/360))^(C3625/(EDATE(D3625-B3625,1)-(D3625-B3625))),9)</f>
        <v/>
      </c>
      <c r="I3625" s="49">
        <f>TRUNC((G3625*H3625-G3625),8)</f>
        <v/>
      </c>
      <c r="J3625" s="4">
        <f>G3625+I3625</f>
        <v/>
      </c>
      <c r="K3625" s="256" t="n"/>
      <c r="L3625" s="256" t="n"/>
      <c r="M3625" s="256" t="n"/>
      <c r="N3625" s="256" t="n"/>
      <c r="O3625" s="256" t="n"/>
      <c r="P3625" s="256" t="n"/>
      <c r="Q3625" s="256" t="n"/>
    </row>
    <row r="3626">
      <c r="A3626">
        <f>IF(DAY(D3626)=DAY($L$1+1),A3625+1,A3625)</f>
        <v/>
      </c>
      <c r="B3626" s="1">
        <f>IF(DAY(D3626)=DAY($L$1+1),1,B3625+1)</f>
        <v/>
      </c>
      <c r="C3626" s="46">
        <f>IF(DAY(D3626)=DAY($L$1+1),1,C3625+1)</f>
        <v/>
      </c>
      <c r="D3626" s="2">
        <f>D3625+1</f>
        <v/>
      </c>
      <c r="E3626" s="8">
        <f>IF(DAY(D3626)=DAY($L$1+1),TRUNC((#REF!),8),E3625)</f>
        <v/>
      </c>
      <c r="F3626" s="49">
        <f>TRUNC(((1+VLOOKUP(A3626,IPCA!$A$2:$C$140,3,0)))^(C3626/(EDATE(D3626-C3626,1)-(D3626-C3626))),8)</f>
        <v/>
      </c>
      <c r="G3626" s="4">
        <f>TRUNC((E3626*F3626),8)</f>
        <v/>
      </c>
      <c r="H3626" s="4">
        <f>ROUND(((1+$H$4)^(30/360))^(C3626/(EDATE(D3626-B3626,1)-(D3626-B3626))),9)</f>
        <v/>
      </c>
      <c r="I3626" s="49">
        <f>TRUNC((G3626*H3626-G3626),8)</f>
        <v/>
      </c>
      <c r="J3626" s="4">
        <f>G3626+I3626</f>
        <v/>
      </c>
      <c r="K3626" s="256" t="n"/>
      <c r="L3626" s="256" t="n"/>
      <c r="M3626" s="256" t="n"/>
      <c r="N3626" s="256" t="n"/>
      <c r="O3626" s="256" t="n"/>
      <c r="P3626" s="256" t="n"/>
      <c r="Q3626" s="256" t="n"/>
    </row>
    <row r="3627">
      <c r="A3627">
        <f>IF(DAY(D3627)=DAY($L$1+1),A3626+1,A3626)</f>
        <v/>
      </c>
      <c r="B3627" s="1">
        <f>IF(DAY(D3627)=DAY($L$1+1),1,B3626+1)</f>
        <v/>
      </c>
      <c r="C3627" s="46">
        <f>IF(DAY(D3627)=DAY($L$1+1),1,C3626+1)</f>
        <v/>
      </c>
      <c r="D3627" s="2">
        <f>D3626+1</f>
        <v/>
      </c>
      <c r="E3627" s="8">
        <f>IF(DAY(D3627)=DAY($L$1+1),TRUNC((#REF!),8),E3626)</f>
        <v/>
      </c>
      <c r="F3627" s="49">
        <f>TRUNC(((1+VLOOKUP(A3627,IPCA!$A$2:$C$140,3,0)))^(C3627/(EDATE(D3627-C3627,1)-(D3627-C3627))),8)</f>
        <v/>
      </c>
      <c r="G3627" s="4">
        <f>TRUNC((E3627*F3627),8)</f>
        <v/>
      </c>
      <c r="H3627" s="4">
        <f>ROUND(((1+$H$4)^(30/360))^(C3627/(EDATE(D3627-B3627,1)-(D3627-B3627))),9)</f>
        <v/>
      </c>
      <c r="I3627" s="49">
        <f>TRUNC((G3627*H3627-G3627),8)</f>
        <v/>
      </c>
      <c r="J3627" s="4">
        <f>G3627+I3627</f>
        <v/>
      </c>
      <c r="K3627" s="256" t="n"/>
      <c r="L3627" s="256" t="n"/>
      <c r="M3627" s="256" t="n"/>
      <c r="N3627" s="256" t="n"/>
      <c r="O3627" s="256" t="n"/>
      <c r="P3627" s="256" t="n"/>
      <c r="Q3627" s="256" t="n"/>
    </row>
    <row r="3628">
      <c r="A3628">
        <f>IF(DAY(D3628)=DAY($L$1+1),A3627+1,A3627)</f>
        <v/>
      </c>
      <c r="B3628" s="1">
        <f>IF(DAY(D3628)=DAY($L$1+1),1,B3627+1)</f>
        <v/>
      </c>
      <c r="C3628" s="46">
        <f>IF(DAY(D3628)=DAY($L$1+1),1,C3627+1)</f>
        <v/>
      </c>
      <c r="D3628" s="2">
        <f>D3627+1</f>
        <v/>
      </c>
      <c r="E3628" s="8">
        <f>IF(DAY(D3628)=DAY($L$1+1),TRUNC((N3627),8),E3627)</f>
        <v/>
      </c>
      <c r="F3628" s="49">
        <f>TRUNC(((1+VLOOKUP(A3628,IPCA!$A$2:$C$140,3,0)))^(C3628/(EDATE(D3628-C3628,1)-(D3628-C3628))),8)</f>
        <v/>
      </c>
      <c r="G3628" s="4">
        <f>TRUNC((E3628*F3628),8)</f>
        <v/>
      </c>
      <c r="H3628" s="4">
        <f>ROUND(((1+$H$4)^(30/360))^(C3628/(EDATE(D3628-B3628,1)-(D3628-B3628))),9)</f>
        <v/>
      </c>
      <c r="I3628" s="49">
        <f>TRUNC((G3628*H3628-G3628),8)</f>
        <v/>
      </c>
      <c r="J3628" s="4">
        <f>G3628+I3628</f>
        <v/>
      </c>
      <c r="K3628" s="256" t="n"/>
      <c r="L3628" s="256" t="n"/>
      <c r="M3628" s="256" t="n"/>
      <c r="N3628" s="256" t="n"/>
      <c r="O3628" s="256" t="n"/>
      <c r="P3628" s="256" t="n"/>
      <c r="Q3628" s="256" t="n"/>
    </row>
    <row r="3629">
      <c r="A3629">
        <f>IF(DAY(D3629)=DAY($L$1+1),A3628+1,A3628)</f>
        <v/>
      </c>
      <c r="B3629" s="1">
        <f>IF(DAY(D3629)=DAY($L$1+1),1,B3628+1)</f>
        <v/>
      </c>
      <c r="C3629" s="46">
        <f>IF(DAY(D3629)=DAY($L$1+1),1,C3628+1)</f>
        <v/>
      </c>
      <c r="D3629" s="2">
        <f>D3628+1</f>
        <v/>
      </c>
      <c r="E3629" s="8">
        <f>IF(DAY(D3629)=DAY($L$1+1),TRUNC((N3628),8),E3628)</f>
        <v/>
      </c>
      <c r="F3629" s="49">
        <f>TRUNC(((1+VLOOKUP(A3629,IPCA!$A$2:$C$140,3,0)))^(C3629/(EDATE(D3629-C3629,1)-(D3629-C3629))),8)</f>
        <v/>
      </c>
      <c r="G3629" s="4">
        <f>TRUNC((E3629*F3629),8)</f>
        <v/>
      </c>
      <c r="H3629" s="4">
        <f>ROUND(((1+$H$4)^(30/360))^(C3629/(EDATE(D3629-B3629,1)-(D3629-B3629))),9)</f>
        <v/>
      </c>
      <c r="I3629" s="49">
        <f>TRUNC((G3629*H3629-G3629),8)</f>
        <v/>
      </c>
      <c r="J3629" s="4">
        <f>G3629+I3629</f>
        <v/>
      </c>
      <c r="K3629" s="256" t="n"/>
      <c r="L3629" s="256" t="n"/>
      <c r="M3629" s="256" t="n"/>
      <c r="N3629" s="256" t="n"/>
      <c r="O3629" s="256" t="n"/>
      <c r="P3629" s="256" t="n"/>
      <c r="Q3629" s="256" t="n"/>
    </row>
    <row r="3630">
      <c r="A3630">
        <f>IF(DAY(D3630)=DAY($L$1+1),A3629+1,A3629)</f>
        <v/>
      </c>
      <c r="B3630" s="1">
        <f>IF(DAY(D3630)=DAY($L$1+1),1,B3629+1)</f>
        <v/>
      </c>
      <c r="C3630" s="46">
        <f>IF(DAY(D3630)=DAY($L$1+1),1,C3629+1)</f>
        <v/>
      </c>
      <c r="D3630" s="2">
        <f>D3629+1</f>
        <v/>
      </c>
      <c r="E3630" s="8">
        <f>IF(DAY(D3630)=DAY($L$1+1),TRUNC((N3629),8),E3629)</f>
        <v/>
      </c>
      <c r="F3630" s="49">
        <f>TRUNC(((1+VLOOKUP(A3630,IPCA!$A$2:$C$140,3,0)))^(C3630/(EDATE(D3630-C3630,1)-(D3630-C3630))),8)</f>
        <v/>
      </c>
      <c r="G3630" s="4">
        <f>TRUNC((E3630*F3630),8)</f>
        <v/>
      </c>
      <c r="H3630" s="4">
        <f>ROUND(((1+$H$4)^(30/360))^(C3630/(EDATE(D3630-B3630,1)-(D3630-B3630))),9)</f>
        <v/>
      </c>
      <c r="I3630" s="49">
        <f>TRUNC((G3630*H3630-G3630),8)</f>
        <v/>
      </c>
      <c r="J3630" s="4">
        <f>G3630+I3630</f>
        <v/>
      </c>
      <c r="K3630" s="256" t="n"/>
      <c r="L3630" s="256" t="n"/>
      <c r="M3630" s="256" t="n"/>
      <c r="N3630" s="256" t="n"/>
      <c r="O3630" s="256" t="n"/>
      <c r="P3630" s="256" t="n"/>
      <c r="Q3630" s="256" t="n"/>
    </row>
    <row r="3631">
      <c r="A3631">
        <f>IF(DAY(D3631)=DAY($L$1+1),A3630+1,A3630)</f>
        <v/>
      </c>
      <c r="B3631" s="1">
        <f>IF(DAY(D3631)=DAY($L$1+1),1,B3630+1)</f>
        <v/>
      </c>
      <c r="C3631" s="46">
        <f>IF(DAY(D3631)=DAY($L$1+1),1,C3630+1)</f>
        <v/>
      </c>
      <c r="D3631" s="2">
        <f>D3630+1</f>
        <v/>
      </c>
      <c r="E3631" s="8">
        <f>IF(DAY(D3631)=DAY($L$1+1),TRUNC((N3630),8),E3630)</f>
        <v/>
      </c>
      <c r="F3631" s="49">
        <f>TRUNC(((1+VLOOKUP(A3631,IPCA!$A$2:$C$140,3,0)))^(C3631/(EDATE(D3631-C3631,1)-(D3631-C3631))),8)</f>
        <v/>
      </c>
      <c r="G3631" s="4">
        <f>TRUNC((E3631*F3631),8)</f>
        <v/>
      </c>
      <c r="H3631" s="4">
        <f>ROUND(((1+$H$4)^(30/360))^(C3631/(EDATE(D3631-B3631,1)-(D3631-B3631))),9)</f>
        <v/>
      </c>
      <c r="I3631" s="49">
        <f>TRUNC((G3631*H3631-G3631),8)</f>
        <v/>
      </c>
      <c r="J3631" s="4">
        <f>G3631+I3631</f>
        <v/>
      </c>
      <c r="K3631" s="256" t="n"/>
      <c r="L3631" s="256" t="n"/>
      <c r="M3631" s="256" t="n"/>
      <c r="N3631" s="256" t="n"/>
      <c r="O3631" s="256" t="n"/>
      <c r="P3631" s="256" t="n"/>
      <c r="Q3631" s="256" t="n"/>
    </row>
    <row r="3632">
      <c r="A3632">
        <f>IF(DAY(D3632)=DAY($L$1+1),A3631+1,A3631)</f>
        <v/>
      </c>
      <c r="B3632" s="1">
        <f>IF(DAY(D3632)=DAY($L$1+1),1,B3631+1)</f>
        <v/>
      </c>
      <c r="C3632" s="46">
        <f>IF(DAY(D3632)=DAY($L$1+1),1,C3631+1)</f>
        <v/>
      </c>
      <c r="D3632" s="2">
        <f>D3631+1</f>
        <v/>
      </c>
      <c r="E3632" s="8">
        <f>IF(DAY(D3632)=DAY($L$1+1),TRUNC((N3631),8),E3631)</f>
        <v/>
      </c>
      <c r="F3632" s="49">
        <f>TRUNC(((1+VLOOKUP(A3632,IPCA!$A$2:$C$140,3,0)))^(C3632/(EDATE(D3632-C3632,1)-(D3632-C3632))),8)</f>
        <v/>
      </c>
      <c r="G3632" s="4">
        <f>TRUNC((E3632*F3632),8)</f>
        <v/>
      </c>
      <c r="H3632" s="4">
        <f>ROUND(((1+$H$4)^(30/360))^(C3632/(EDATE(D3632-B3632,1)-(D3632-B3632))),9)</f>
        <v/>
      </c>
      <c r="I3632" s="49">
        <f>TRUNC((G3632*H3632-G3632),8)</f>
        <v/>
      </c>
      <c r="J3632" s="4">
        <f>G3632+I3632</f>
        <v/>
      </c>
      <c r="K3632" s="256" t="n"/>
      <c r="L3632" s="256" t="n"/>
      <c r="M3632" s="256" t="n"/>
      <c r="N3632" s="256" t="n"/>
      <c r="O3632" s="256" t="n"/>
      <c r="P3632" s="256" t="n"/>
      <c r="Q3632" s="256" t="n"/>
    </row>
    <row r="3633">
      <c r="A3633">
        <f>IF(DAY(D3633)=DAY($L$1+1),A3632+1,A3632)</f>
        <v/>
      </c>
      <c r="B3633" s="1">
        <f>IF(DAY(D3633)=DAY($L$1+1),1,B3632+1)</f>
        <v/>
      </c>
      <c r="C3633" s="46">
        <f>IF(DAY(D3633)=DAY($L$1+1),1,C3632+1)</f>
        <v/>
      </c>
      <c r="D3633" s="2">
        <f>D3632+1</f>
        <v/>
      </c>
      <c r="E3633" s="8">
        <f>IF(DAY(D3633)=DAY($L$1+1),TRUNC((N3632),8),E3632)</f>
        <v/>
      </c>
      <c r="F3633" s="49">
        <f>TRUNC(((1+VLOOKUP(A3633,IPCA!$A$2:$C$140,3,0)))^(C3633/(EDATE(D3633-C3633,1)-(D3633-C3633))),8)</f>
        <v/>
      </c>
      <c r="G3633" s="4">
        <f>TRUNC((E3633*F3633),8)</f>
        <v/>
      </c>
      <c r="H3633" s="4">
        <f>ROUND(((1+$H$4)^(30/360))^(C3633/(EDATE(D3633-B3633,1)-(D3633-B3633))),9)</f>
        <v/>
      </c>
      <c r="I3633" s="49">
        <f>TRUNC((G3633*H3633-G3633),8)</f>
        <v/>
      </c>
      <c r="J3633" s="4">
        <f>G3633+I3633</f>
        <v/>
      </c>
      <c r="K3633" s="256" t="n"/>
      <c r="L3633" s="256" t="n"/>
      <c r="M3633" s="256" t="n"/>
      <c r="N3633" s="256" t="n"/>
      <c r="O3633" s="256" t="n"/>
      <c r="P3633" s="256" t="n"/>
      <c r="Q3633" s="256" t="n"/>
    </row>
    <row r="3634">
      <c r="A3634">
        <f>IF(DAY(D3634)=DAY($L$1+1),A3633+1,A3633)</f>
        <v/>
      </c>
      <c r="B3634" s="1">
        <f>IF(DAY(D3634)=DAY($L$1+1),1,B3633+1)</f>
        <v/>
      </c>
      <c r="C3634" s="46">
        <f>IF(DAY(D3634)=DAY($L$1+1),1,C3633+1)</f>
        <v/>
      </c>
      <c r="D3634" s="2">
        <f>D3633+1</f>
        <v/>
      </c>
      <c r="E3634" s="8">
        <f>IF(DAY(D3634)=DAY($L$1+1),TRUNC((N3633),8),E3633)</f>
        <v/>
      </c>
      <c r="F3634" s="49">
        <f>TRUNC(((1+VLOOKUP(A3634,IPCA!$A$2:$C$140,3,0)))^(C3634/(EDATE(D3634-C3634,1)-(D3634-C3634))),8)</f>
        <v/>
      </c>
      <c r="G3634" s="4">
        <f>TRUNC((E3634*F3634),8)</f>
        <v/>
      </c>
      <c r="H3634" s="4">
        <f>ROUND(((1+$H$4)^(30/360))^(C3634/(EDATE(D3634-B3634,1)-(D3634-B3634))),9)</f>
        <v/>
      </c>
      <c r="I3634" s="49">
        <f>TRUNC((G3634*H3634-G3634),8)</f>
        <v/>
      </c>
      <c r="J3634" s="4">
        <f>G3634+I3634</f>
        <v/>
      </c>
      <c r="K3634" s="256" t="n"/>
      <c r="L3634" s="256" t="n"/>
      <c r="M3634" s="256" t="n"/>
      <c r="N3634" s="256" t="n"/>
      <c r="O3634" s="256" t="n"/>
      <c r="P3634" s="256" t="n"/>
      <c r="Q3634" s="256" t="n"/>
    </row>
    <row r="3635">
      <c r="A3635">
        <f>IF(DAY(D3635)=DAY($L$1+1),A3634+1,A3634)</f>
        <v/>
      </c>
      <c r="B3635" s="1">
        <f>IF(DAY(D3635)=DAY($L$1+1),1,B3634+1)</f>
        <v/>
      </c>
      <c r="C3635" s="46">
        <f>IF(DAY(D3635)=DAY($L$1+1),1,C3634+1)</f>
        <v/>
      </c>
      <c r="D3635" s="2">
        <f>D3634+1</f>
        <v/>
      </c>
      <c r="E3635" s="8">
        <f>IF(DAY(D3635)=DAY($L$1+1),TRUNC((N3634),8),E3634)</f>
        <v/>
      </c>
      <c r="F3635" s="49">
        <f>TRUNC(((1+VLOOKUP(A3635,IPCA!$A$2:$C$140,3,0)))^(C3635/(EDATE(D3635-C3635,1)-(D3635-C3635))),8)</f>
        <v/>
      </c>
      <c r="G3635" s="4">
        <f>TRUNC((E3635*F3635),8)</f>
        <v/>
      </c>
      <c r="H3635" s="4">
        <f>ROUND(((1+$H$4)^(30/360))^(C3635/(EDATE(D3635-B3635,1)-(D3635-B3635))),9)</f>
        <v/>
      </c>
      <c r="I3635" s="49">
        <f>TRUNC((G3635*H3635-G3635),8)</f>
        <v/>
      </c>
      <c r="J3635" s="4">
        <f>G3635+I3635</f>
        <v/>
      </c>
      <c r="K3635" s="256" t="n"/>
      <c r="L3635" s="256" t="n"/>
      <c r="M3635" s="256" t="n"/>
      <c r="N3635" s="256" t="n"/>
      <c r="O3635" s="256" t="n"/>
      <c r="P3635" s="256" t="n"/>
      <c r="Q3635" s="256" t="n"/>
    </row>
    <row r="3636">
      <c r="A3636">
        <f>IF(DAY(D3636)=DAY($L$1+1),A3635+1,A3635)</f>
        <v/>
      </c>
      <c r="B3636" s="1">
        <f>IF(DAY(D3636)=DAY($L$1+1),1,B3635+1)</f>
        <v/>
      </c>
      <c r="C3636" s="46">
        <f>IF(DAY(D3636)=DAY($L$1+1),1,C3635+1)</f>
        <v/>
      </c>
      <c r="D3636" s="2">
        <f>D3635+1</f>
        <v/>
      </c>
      <c r="E3636" s="8">
        <f>IF(DAY(D3636)=DAY($L$1+1),TRUNC((N3635),8),E3635)</f>
        <v/>
      </c>
      <c r="F3636" s="49">
        <f>TRUNC(((1+VLOOKUP(A3636,IPCA!$A$2:$C$140,3,0)))^(C3636/(EDATE(D3636-C3636,1)-(D3636-C3636))),8)</f>
        <v/>
      </c>
      <c r="G3636" s="4">
        <f>TRUNC((E3636*F3636),8)</f>
        <v/>
      </c>
      <c r="H3636" s="4">
        <f>ROUND(((1+$H$4)^(30/360))^(C3636/(EDATE(D3636-B3636,1)-(D3636-B3636))),9)</f>
        <v/>
      </c>
      <c r="I3636" s="49">
        <f>TRUNC((G3636*H3636-G3636),8)</f>
        <v/>
      </c>
      <c r="J3636" s="4">
        <f>G3636+I3636</f>
        <v/>
      </c>
      <c r="K3636" s="256" t="n"/>
      <c r="L3636" s="256" t="n"/>
      <c r="M3636" s="256" t="n"/>
      <c r="N3636" s="256" t="n"/>
      <c r="O3636" s="256" t="n"/>
      <c r="P3636" s="256" t="n"/>
      <c r="Q3636" s="256" t="n"/>
    </row>
    <row r="3637">
      <c r="A3637">
        <f>IF(DAY(D3637)=DAY($L$1+1),A3636+1,A3636)</f>
        <v/>
      </c>
      <c r="B3637" s="1">
        <f>IF(DAY(D3637)=DAY($L$1+1),1,B3636+1)</f>
        <v/>
      </c>
      <c r="C3637" s="46">
        <f>IF(DAY(D3637)=DAY($L$1+1),1,C3636+1)</f>
        <v/>
      </c>
      <c r="D3637" s="2">
        <f>D3636+1</f>
        <v/>
      </c>
      <c r="E3637" s="8">
        <f>IF(DAY(D3637)=DAY($L$1+1),TRUNC((N3636),8),E3636)</f>
        <v/>
      </c>
      <c r="F3637" s="49">
        <f>TRUNC(((1+VLOOKUP(A3637,IPCA!$A$2:$C$140,3,0)))^(C3637/(EDATE(D3637-C3637,1)-(D3637-C3637))),8)</f>
        <v/>
      </c>
      <c r="G3637" s="4">
        <f>TRUNC((E3637*F3637),8)</f>
        <v/>
      </c>
      <c r="H3637" s="4">
        <f>ROUND(((1+$H$4)^(30/360))^(C3637/(EDATE(D3637-B3637,1)-(D3637-B3637))),9)</f>
        <v/>
      </c>
      <c r="I3637" s="49">
        <f>TRUNC((G3637*H3637-G3637),8)</f>
        <v/>
      </c>
      <c r="J3637" s="4">
        <f>G3637+I3637</f>
        <v/>
      </c>
      <c r="K3637" s="256" t="n"/>
      <c r="L3637" s="256" t="n"/>
      <c r="M3637" s="256" t="n"/>
      <c r="N3637" s="256" t="n"/>
      <c r="O3637" s="256" t="n"/>
      <c r="P3637" s="256" t="n"/>
      <c r="Q3637" s="256" t="n"/>
    </row>
    <row r="3638">
      <c r="A3638">
        <f>IF(DAY(D3638)=DAY($L$1+1),A3637+1,A3637)</f>
        <v/>
      </c>
      <c r="B3638" s="1">
        <f>IF(DAY(D3638)=DAY($L$1+1),1,B3637+1)</f>
        <v/>
      </c>
      <c r="C3638" s="46">
        <f>IF(DAY(D3638)=DAY($L$1+1),1,C3637+1)</f>
        <v/>
      </c>
      <c r="D3638" s="2">
        <f>D3637+1</f>
        <v/>
      </c>
      <c r="E3638" s="8">
        <f>IF(DAY(D3638)=DAY($L$1+1),TRUNC((N3637),8),E3637)</f>
        <v/>
      </c>
      <c r="F3638" s="49">
        <f>TRUNC(((1+VLOOKUP(A3638,IPCA!$A$2:$C$140,3,0)))^(C3638/(EDATE(D3638-C3638,1)-(D3638-C3638))),8)</f>
        <v/>
      </c>
      <c r="G3638" s="4">
        <f>TRUNC((E3638*F3638),8)</f>
        <v/>
      </c>
      <c r="H3638" s="4">
        <f>ROUND(((1+$H$4)^(30/360))^(C3638/(EDATE(D3638-B3638,1)-(D3638-B3638))),9)</f>
        <v/>
      </c>
      <c r="I3638" s="49">
        <f>TRUNC((G3638*H3638-G3638),8)</f>
        <v/>
      </c>
      <c r="J3638" s="4">
        <f>G3638+I3638</f>
        <v/>
      </c>
      <c r="K3638" s="256" t="n"/>
      <c r="L3638" s="256" t="n"/>
      <c r="M3638" s="256" t="n"/>
      <c r="N3638" s="256" t="n"/>
      <c r="O3638" s="256" t="n"/>
      <c r="P3638" s="256" t="n"/>
      <c r="Q3638" s="256" t="n"/>
    </row>
    <row r="3639">
      <c r="A3639">
        <f>IF(DAY(D3639)=DAY($L$1+1),A3638+1,A3638)</f>
        <v/>
      </c>
      <c r="B3639" s="1">
        <f>IF(DAY(D3639)=DAY($L$1+1),1,B3638+1)</f>
        <v/>
      </c>
      <c r="C3639" s="46">
        <f>IF(DAY(D3639)=DAY($L$1+1),1,C3638+1)</f>
        <v/>
      </c>
      <c r="D3639" s="2">
        <f>D3638+1</f>
        <v/>
      </c>
      <c r="E3639" s="8">
        <f>IF(DAY(D3639)=DAY($L$1+1),TRUNC((N3638),8),E3638)</f>
        <v/>
      </c>
      <c r="F3639" s="49">
        <f>TRUNC(((1+VLOOKUP(A3639,IPCA!$A$2:$C$140,3,0)))^(C3639/(EDATE(D3639-C3639,1)-(D3639-C3639))),8)</f>
        <v/>
      </c>
      <c r="G3639" s="4">
        <f>TRUNC((E3639*F3639),8)</f>
        <v/>
      </c>
      <c r="H3639" s="4">
        <f>ROUND(((1+$H$4)^(30/360))^(C3639/(EDATE(D3639-B3639,1)-(D3639-B3639))),9)</f>
        <v/>
      </c>
      <c r="I3639" s="49">
        <f>TRUNC((G3639*H3639-G3639),8)</f>
        <v/>
      </c>
      <c r="J3639" s="4">
        <f>G3639+I3639</f>
        <v/>
      </c>
      <c r="K3639" s="256" t="n"/>
      <c r="L3639" s="256" t="n"/>
      <c r="M3639" s="256" t="n"/>
      <c r="N3639" s="256" t="n"/>
      <c r="O3639" s="256" t="n"/>
      <c r="P3639" s="256" t="n"/>
      <c r="Q3639" s="256" t="n"/>
    </row>
    <row r="3640">
      <c r="A3640">
        <f>IF(DAY(D3640)=DAY($L$1+1),A3639+1,A3639)</f>
        <v/>
      </c>
      <c r="B3640" s="1">
        <f>IF(DAY(D3640)=DAY($L$1+1),1,B3639+1)</f>
        <v/>
      </c>
      <c r="C3640" s="46">
        <f>IF(DAY(D3640)=DAY($L$1+1),1,C3639+1)</f>
        <v/>
      </c>
      <c r="D3640" s="2">
        <f>D3639+1</f>
        <v/>
      </c>
      <c r="E3640" s="8">
        <f>IF(DAY(D3640)=DAY($L$1+1),TRUNC((N3639),8),E3639)</f>
        <v/>
      </c>
      <c r="F3640" s="49">
        <f>TRUNC(((1+VLOOKUP(A3640,IPCA!$A$2:$C$140,3,0)))^(C3640/(EDATE(D3640-C3640,1)-(D3640-C3640))),8)</f>
        <v/>
      </c>
      <c r="G3640" s="4">
        <f>TRUNC((E3640*F3640),8)</f>
        <v/>
      </c>
      <c r="H3640" s="4">
        <f>ROUND(((1+$H$4)^(30/360))^(C3640/(EDATE(D3640-B3640,1)-(D3640-B3640))),9)</f>
        <v/>
      </c>
      <c r="I3640" s="49">
        <f>TRUNC((G3640*H3640-G3640),8)</f>
        <v/>
      </c>
      <c r="J3640" s="4">
        <f>G3640+I3640</f>
        <v/>
      </c>
      <c r="K3640" s="256" t="inlineStr">
        <is>
          <t>Cri Integralizado</t>
        </is>
      </c>
      <c r="L3640" s="270">
        <f>L3609</f>
        <v/>
      </c>
      <c r="M3640" s="256" t="n"/>
      <c r="N3640" s="256" t="n"/>
      <c r="O3640" s="256" t="n"/>
      <c r="P3640" s="256" t="n"/>
      <c r="Q3640" s="256" t="n"/>
    </row>
    <row r="3641">
      <c r="A3641">
        <f>IF(DAY(D3641)=DAY($L$1+1),A3640+1,A3640)</f>
        <v/>
      </c>
      <c r="B3641" s="1">
        <f>IF(DAY(D3641)=DAY($L$1+1),1,B3640+1)</f>
        <v/>
      </c>
      <c r="C3641" s="46">
        <f>IF(DAY(D3641)=DAY($L$1+1),1,C3640+1)</f>
        <v/>
      </c>
      <c r="D3641" s="2">
        <f>D3640+1</f>
        <v/>
      </c>
      <c r="E3641" s="8">
        <f>IF(DAY(D3641)=DAY($L$1+1),TRUNC((N3640),8),E3640)</f>
        <v/>
      </c>
      <c r="F3641" s="49">
        <f>TRUNC(((1+VLOOKUP(A3641,IPCA!$A$2:$C$140,3,0)))^(C3641/(EDATE(D3641-C3641,1)-(D3641-C3641))),8)</f>
        <v/>
      </c>
      <c r="G3641" s="4">
        <f>TRUNC((E3641*F3641),8)</f>
        <v/>
      </c>
      <c r="H3641" s="4">
        <f>ROUND(((1+$H$4)^(30/360))^(C3641/(EDATE(D3641-B3641,1)-(D3641-B3641))),9)</f>
        <v/>
      </c>
      <c r="I3641" s="49">
        <f>TRUNC((G3641*H3641-G3641),8)</f>
        <v/>
      </c>
      <c r="J3641" s="4">
        <f>G3641+I3641</f>
        <v/>
      </c>
      <c r="K3641" s="137" t="inlineStr">
        <is>
          <t>JUROS</t>
        </is>
      </c>
      <c r="L3641" s="118" t="inlineStr">
        <is>
          <t>AMORTIZAÇÃO</t>
        </is>
      </c>
      <c r="M3641" s="118" t="inlineStr">
        <is>
          <t>AMEX</t>
        </is>
      </c>
      <c r="N3641" s="118" t="inlineStr">
        <is>
          <t>RESIDUAL</t>
        </is>
      </c>
      <c r="O3641" s="256" t="n"/>
      <c r="P3641" s="256" t="n"/>
      <c r="Q3641" s="256" t="n"/>
    </row>
    <row r="3642">
      <c r="A3642">
        <f>IF(DAY(D3642)=DAY($L$1+1),A3641+1,A3641)</f>
        <v/>
      </c>
      <c r="B3642" s="111">
        <f>IF(DAY(D3642)=DAY($L$1+1),1,B3641+1)</f>
        <v/>
      </c>
      <c r="C3642" s="111">
        <f>IF(DAY(D3642)=DAY($L$1+1),1,C3641+1)</f>
        <v/>
      </c>
      <c r="D3642" s="112">
        <f>D3641+1</f>
        <v/>
      </c>
      <c r="E3642" s="113">
        <f>IF(DAY(D3642)=DAY($L$1+1),TRUNC((N3641),8),E3641)</f>
        <v/>
      </c>
      <c r="F3642" s="114">
        <f>TRUNC(((1+VLOOKUP(A3642,IPCA!$A$2:$C$140,3,0)))^(C3642/(EDATE(D3642-C3642,1)-(D3642-C3642))),8)</f>
        <v/>
      </c>
      <c r="G3642" s="114">
        <f>TRUNC((E3642*F3642),8)</f>
        <v/>
      </c>
      <c r="H3642" s="114">
        <f>ROUND(((1+$H$4)^(30/360))^(C3642/(EDATE(D3642-B3642,1)-(D3642-B3642))),9)</f>
        <v/>
      </c>
      <c r="I3642" s="114">
        <f>TRUNC((G3642*H3642-G3642),8)</f>
        <v/>
      </c>
      <c r="J3642" s="114">
        <f>G3642+I3642</f>
        <v/>
      </c>
      <c r="K3642" s="119">
        <f>I3642</f>
        <v/>
      </c>
      <c r="L3642" s="120">
        <f>TRUNC(G3642*VLOOKUP(D3642,'Amort TS'!$G$3:$H$140,2,0),8)</f>
        <v/>
      </c>
      <c r="M3642" s="120" t="n">
        <v>0</v>
      </c>
      <c r="N3642" s="120">
        <f>J3642-K3642-L3642-M3642</f>
        <v/>
      </c>
      <c r="O3642" s="256" t="n"/>
      <c r="P3642" s="256" t="n"/>
      <c r="Q3642" s="256" t="n"/>
    </row>
    <row r="3643">
      <c r="A3643">
        <f>IF(DAY(D3643)=DAY($L$1+1),A3642+1,A3642)</f>
        <v/>
      </c>
      <c r="B3643" s="1">
        <f>IF(DAY(D3643)=DAY($L$1+1),1,B3642+1)</f>
        <v/>
      </c>
      <c r="C3643" s="46">
        <f>IF(DAY(D3643)=DAY($L$1+1),1,C3642+1)</f>
        <v/>
      </c>
      <c r="D3643" s="2">
        <f>D3642+1</f>
        <v/>
      </c>
      <c r="E3643" s="8">
        <f>IF(DAY(D3643)=DAY($L$1+1),TRUNC((N3642),8),E3642)</f>
        <v/>
      </c>
      <c r="F3643" s="49">
        <f>TRUNC(((1+VLOOKUP(A3643,IPCA!$A$2:$C$140,3,0)))^(C3643/(EDATE(D3643-C3643,1)-(D3643-C3643))),8)</f>
        <v/>
      </c>
      <c r="G3643" s="4">
        <f>TRUNC((E3643*F3643),8)</f>
        <v/>
      </c>
      <c r="H3643" s="4">
        <f>ROUND(((1+$H$4)^(30/360))^(C3643/(EDATE(D3643-B3643,1)-(D3643-B3643))),9)</f>
        <v/>
      </c>
      <c r="I3643" s="49">
        <f>TRUNC((G3643*H3643-G3643),8)</f>
        <v/>
      </c>
      <c r="J3643" s="4">
        <f>G3643+I3643</f>
        <v/>
      </c>
      <c r="K3643" s="121">
        <f>K3642*L3640</f>
        <v/>
      </c>
      <c r="L3643" s="121">
        <f>L3642*L3640</f>
        <v/>
      </c>
      <c r="M3643" s="121">
        <f>M3642*L3640</f>
        <v/>
      </c>
      <c r="N3643" s="121">
        <f>N3642*L3640</f>
        <v/>
      </c>
      <c r="O3643" s="256" t="n"/>
      <c r="P3643" s="256" t="n"/>
      <c r="Q3643" s="256" t="n"/>
    </row>
    <row r="3644">
      <c r="A3644">
        <f>IF(DAY(D3644)=DAY($L$1+1),A3643+1,A3643)</f>
        <v/>
      </c>
      <c r="B3644" s="1">
        <f>IF(DAY(D3644)=DAY($L$1+1),1,B3643+1)</f>
        <v/>
      </c>
      <c r="C3644" s="46">
        <f>IF(DAY(D3644)=DAY($L$1+1),1,C3643+1)</f>
        <v/>
      </c>
      <c r="D3644" s="2">
        <f>D3643+1</f>
        <v/>
      </c>
      <c r="E3644" s="8">
        <f>IF(DAY(D3644)=DAY($L$1+1),TRUNC((N3643),8),E3643)</f>
        <v/>
      </c>
      <c r="F3644" s="49">
        <f>TRUNC(((1+VLOOKUP(A3644,IPCA!$A$2:$C$140,3,0)))^(C3644/(EDATE(D3644-C3644,1)-(D3644-C3644))),8)</f>
        <v/>
      </c>
      <c r="G3644" s="4">
        <f>TRUNC((E3644*F3644),8)</f>
        <v/>
      </c>
      <c r="H3644" s="4">
        <f>ROUND(((1+$H$4)^(30/360))^(C3644/(EDATE(D3644-B3644,1)-(D3644-B3644))),9)</f>
        <v/>
      </c>
      <c r="I3644" s="49">
        <f>TRUNC((G3644*H3644-G3644),8)</f>
        <v/>
      </c>
      <c r="J3644" s="4">
        <f>G3644+I3644</f>
        <v/>
      </c>
      <c r="K3644" s="256" t="n"/>
      <c r="L3644" s="256" t="n"/>
      <c r="M3644" s="256" t="n"/>
      <c r="N3644" s="256" t="n"/>
      <c r="O3644" s="256" t="n"/>
      <c r="P3644" s="256" t="n"/>
      <c r="Q3644" s="256" t="n"/>
    </row>
    <row r="3645">
      <c r="A3645">
        <f>IF(DAY(D3645)=DAY($L$1+1),A3644+1,A3644)</f>
        <v/>
      </c>
      <c r="B3645" s="1">
        <f>IF(DAY(D3645)=DAY($L$1+1),1,B3644+1)</f>
        <v/>
      </c>
      <c r="C3645" s="46">
        <f>IF(DAY(D3645)=DAY($L$1+1),1,C3644+1)</f>
        <v/>
      </c>
      <c r="D3645" s="2">
        <f>D3644+1</f>
        <v/>
      </c>
      <c r="E3645" s="8">
        <f>IF(DAY(D3645)=DAY($L$1+1),TRUNC((#REF!),8),E3644)</f>
        <v/>
      </c>
      <c r="F3645" s="49">
        <f>TRUNC(((1+VLOOKUP(A3645,IPCA!$A$2:$C$140,3,0)))^(C3645/(EDATE(D3645-C3645,1)-(D3645-C3645))),8)</f>
        <v/>
      </c>
      <c r="G3645" s="4">
        <f>TRUNC((E3645*F3645),8)</f>
        <v/>
      </c>
      <c r="H3645" s="4">
        <f>ROUND(((1+$H$4)^(30/360))^(C3645/(EDATE(D3645-B3645,1)-(D3645-B3645))),9)</f>
        <v/>
      </c>
      <c r="I3645" s="49">
        <f>TRUNC((G3645*H3645-G3645),8)</f>
        <v/>
      </c>
      <c r="J3645" s="4">
        <f>G3645+I3645</f>
        <v/>
      </c>
      <c r="K3645" s="256" t="n"/>
      <c r="L3645" s="256" t="n"/>
      <c r="M3645" s="256" t="n"/>
      <c r="N3645" s="256" t="n"/>
      <c r="O3645" s="256" t="n"/>
      <c r="P3645" s="256" t="n"/>
      <c r="Q3645" s="256" t="n"/>
    </row>
    <row r="3646">
      <c r="A3646">
        <f>IF(DAY(D3646)=DAY($L$1+1),A3645+1,A3645)</f>
        <v/>
      </c>
      <c r="B3646" s="1">
        <f>IF(DAY(D3646)=DAY($L$1+1),1,B3645+1)</f>
        <v/>
      </c>
      <c r="C3646" s="46">
        <f>IF(DAY(D3646)=DAY($L$1+1),1,C3645+1)</f>
        <v/>
      </c>
      <c r="D3646" s="2">
        <f>D3645+1</f>
        <v/>
      </c>
      <c r="E3646" s="8">
        <f>IF(DAY(D3646)=DAY($L$1+1),TRUNC((#REF!),8),E3645)</f>
        <v/>
      </c>
      <c r="F3646" s="49">
        <f>TRUNC(((1+VLOOKUP(A3646,IPCA!$A$2:$C$140,3,0)))^(C3646/(EDATE(D3646-C3646,1)-(D3646-C3646))),8)</f>
        <v/>
      </c>
      <c r="G3646" s="4">
        <f>TRUNC((E3646*F3646),8)</f>
        <v/>
      </c>
      <c r="H3646" s="4">
        <f>ROUND(((1+$H$4)^(30/360))^(C3646/(EDATE(D3646-B3646,1)-(D3646-B3646))),9)</f>
        <v/>
      </c>
      <c r="I3646" s="49">
        <f>TRUNC((G3646*H3646-G3646),8)</f>
        <v/>
      </c>
      <c r="J3646" s="4">
        <f>G3646+I3646</f>
        <v/>
      </c>
      <c r="K3646" s="256" t="n"/>
      <c r="L3646" s="256" t="n"/>
      <c r="M3646" s="256" t="n"/>
      <c r="N3646" s="256" t="n"/>
      <c r="O3646" s="256" t="n"/>
      <c r="P3646" s="256" t="n"/>
      <c r="Q3646" s="256" t="n"/>
    </row>
    <row r="3647">
      <c r="A3647">
        <f>IF(DAY(D3647)=DAY($L$1+1),A3646+1,A3646)</f>
        <v/>
      </c>
      <c r="B3647" s="1">
        <f>IF(DAY(D3647)=DAY($L$1+1),1,B3646+1)</f>
        <v/>
      </c>
      <c r="C3647" s="46">
        <f>IF(DAY(D3647)=DAY($L$1+1),1,C3646+1)</f>
        <v/>
      </c>
      <c r="D3647" s="2">
        <f>D3646+1</f>
        <v/>
      </c>
      <c r="E3647" s="8">
        <f>IF(DAY(D3647)=DAY($L$1+1),TRUNC((#REF!),8),E3646)</f>
        <v/>
      </c>
      <c r="F3647" s="49">
        <f>TRUNC(((1+VLOOKUP(A3647,IPCA!$A$2:$C$140,3,0)))^(C3647/(EDATE(D3647-C3647,1)-(D3647-C3647))),8)</f>
        <v/>
      </c>
      <c r="G3647" s="4">
        <f>TRUNC((E3647*F3647),8)</f>
        <v/>
      </c>
      <c r="H3647" s="4">
        <f>ROUND(((1+$H$4)^(30/360))^(C3647/(EDATE(D3647-B3647,1)-(D3647-B3647))),9)</f>
        <v/>
      </c>
      <c r="I3647" s="49">
        <f>TRUNC((G3647*H3647-G3647),8)</f>
        <v/>
      </c>
      <c r="J3647" s="4">
        <f>G3647+I3647</f>
        <v/>
      </c>
      <c r="K3647" s="256" t="n"/>
      <c r="L3647" s="256" t="n"/>
      <c r="M3647" s="256" t="n"/>
      <c r="N3647" s="256" t="n"/>
      <c r="O3647" s="256" t="n"/>
      <c r="P3647" s="256" t="n"/>
      <c r="Q3647" s="256" t="n"/>
    </row>
    <row r="3648">
      <c r="A3648">
        <f>IF(DAY(D3648)=DAY($L$1+1),A3647+1,A3647)</f>
        <v/>
      </c>
      <c r="B3648" s="1">
        <f>IF(DAY(D3648)=DAY($L$1+1),1,B3647+1)</f>
        <v/>
      </c>
      <c r="C3648" s="46">
        <f>IF(DAY(D3648)=DAY($L$1+1),1,C3647+1)</f>
        <v/>
      </c>
      <c r="D3648" s="2">
        <f>D3647+1</f>
        <v/>
      </c>
      <c r="E3648" s="8">
        <f>IF(DAY(D3648)=DAY($L$1+1),TRUNC((#REF!),8),E3647)</f>
        <v/>
      </c>
      <c r="F3648" s="49">
        <f>TRUNC(((1+VLOOKUP(A3648,IPCA!$A$2:$C$140,3,0)))^(C3648/(EDATE(D3648-C3648,1)-(D3648-C3648))),8)</f>
        <v/>
      </c>
      <c r="G3648" s="4">
        <f>TRUNC((E3648*F3648),8)</f>
        <v/>
      </c>
      <c r="H3648" s="4">
        <f>ROUND(((1+$H$4)^(30/360))^(C3648/(EDATE(D3648-B3648,1)-(D3648-B3648))),9)</f>
        <v/>
      </c>
      <c r="I3648" s="49">
        <f>TRUNC((G3648*H3648-G3648),8)</f>
        <v/>
      </c>
      <c r="J3648" s="4">
        <f>G3648+I3648</f>
        <v/>
      </c>
      <c r="K3648" s="256" t="n"/>
      <c r="L3648" s="256" t="n"/>
      <c r="M3648" s="256" t="n"/>
      <c r="N3648" s="256" t="n"/>
      <c r="O3648" s="256" t="n"/>
      <c r="P3648" s="256" t="n"/>
      <c r="Q3648" s="256" t="n"/>
    </row>
    <row r="3649">
      <c r="A3649">
        <f>IF(DAY(D3649)=DAY($L$1+1),A3648+1,A3648)</f>
        <v/>
      </c>
      <c r="B3649" s="1">
        <f>IF(DAY(D3649)=DAY($L$1+1),1,B3648+1)</f>
        <v/>
      </c>
      <c r="C3649" s="46">
        <f>IF(DAY(D3649)=DAY($L$1+1),1,C3648+1)</f>
        <v/>
      </c>
      <c r="D3649" s="2">
        <f>D3648+1</f>
        <v/>
      </c>
      <c r="E3649" s="8">
        <f>IF(DAY(D3649)=DAY($L$1+1),TRUNC((#REF!),8),E3648)</f>
        <v/>
      </c>
      <c r="F3649" s="49">
        <f>TRUNC(((1+VLOOKUP(A3649,IPCA!$A$2:$C$140,3,0)))^(C3649/(EDATE(D3649-C3649,1)-(D3649-C3649))),8)</f>
        <v/>
      </c>
      <c r="G3649" s="4">
        <f>TRUNC((E3649*F3649),8)</f>
        <v/>
      </c>
      <c r="H3649" s="4">
        <f>ROUND(((1+$H$4)^(30/360))^(C3649/(EDATE(D3649-B3649,1)-(D3649-B3649))),9)</f>
        <v/>
      </c>
      <c r="I3649" s="49">
        <f>TRUNC((G3649*H3649-G3649),8)</f>
        <v/>
      </c>
      <c r="J3649" s="4">
        <f>G3649+I3649</f>
        <v/>
      </c>
      <c r="K3649" s="256" t="n"/>
      <c r="L3649" s="256" t="n"/>
      <c r="M3649" s="256" t="n"/>
      <c r="N3649" s="256" t="n"/>
      <c r="O3649" s="256" t="n"/>
      <c r="P3649" s="256" t="n"/>
      <c r="Q3649" s="256" t="n"/>
    </row>
    <row r="3650">
      <c r="A3650">
        <f>IF(DAY(D3650)=DAY($L$1+1),A3649+1,A3649)</f>
        <v/>
      </c>
      <c r="B3650" s="1">
        <f>IF(DAY(D3650)=DAY($L$1+1),1,B3649+1)</f>
        <v/>
      </c>
      <c r="C3650" s="46">
        <f>IF(DAY(D3650)=DAY($L$1+1),1,C3649+1)</f>
        <v/>
      </c>
      <c r="D3650" s="2">
        <f>D3649+1</f>
        <v/>
      </c>
      <c r="E3650" s="8">
        <f>IF(DAY(D3650)=DAY($L$1+1),TRUNC((#REF!),8),E3649)</f>
        <v/>
      </c>
      <c r="F3650" s="49">
        <f>TRUNC(((1+VLOOKUP(A3650,IPCA!$A$2:$C$140,3,0)))^(C3650/(EDATE(D3650-C3650,1)-(D3650-C3650))),8)</f>
        <v/>
      </c>
      <c r="G3650" s="4">
        <f>TRUNC((E3650*F3650),8)</f>
        <v/>
      </c>
      <c r="H3650" s="4">
        <f>ROUND(((1+$H$4)^(30/360))^(C3650/(EDATE(D3650-B3650,1)-(D3650-B3650))),9)</f>
        <v/>
      </c>
      <c r="I3650" s="49">
        <f>TRUNC((G3650*H3650-G3650),8)</f>
        <v/>
      </c>
      <c r="J3650" s="4">
        <f>G3650+I3650</f>
        <v/>
      </c>
      <c r="K3650" s="256" t="n"/>
      <c r="L3650" s="256" t="n"/>
      <c r="M3650" s="256" t="n"/>
      <c r="N3650" s="256" t="n"/>
      <c r="O3650" s="256" t="n"/>
      <c r="P3650" s="256" t="n"/>
      <c r="Q3650" s="256" t="n"/>
    </row>
    <row r="3651">
      <c r="A3651">
        <f>IF(DAY(D3651)=DAY($L$1+1),A3650+1,A3650)</f>
        <v/>
      </c>
      <c r="B3651" s="1">
        <f>IF(DAY(D3651)=DAY($L$1+1),1,B3650+1)</f>
        <v/>
      </c>
      <c r="C3651" s="46">
        <f>IF(DAY(D3651)=DAY($L$1+1),1,C3650+1)</f>
        <v/>
      </c>
      <c r="D3651" s="2">
        <f>D3650+1</f>
        <v/>
      </c>
      <c r="E3651" s="8">
        <f>IF(DAY(D3651)=DAY($L$1+1),TRUNC((#REF!),8),E3650)</f>
        <v/>
      </c>
      <c r="F3651" s="49">
        <f>TRUNC(((1+VLOOKUP(A3651,IPCA!$A$2:$C$140,3,0)))^(C3651/(EDATE(D3651-C3651,1)-(D3651-C3651))),8)</f>
        <v/>
      </c>
      <c r="G3651" s="4">
        <f>TRUNC((E3651*F3651),8)</f>
        <v/>
      </c>
      <c r="H3651" s="4">
        <f>ROUND(((1+$H$4)^(30/360))^(C3651/(EDATE(D3651-B3651,1)-(D3651-B3651))),9)</f>
        <v/>
      </c>
      <c r="I3651" s="49">
        <f>TRUNC((G3651*H3651-G3651),8)</f>
        <v/>
      </c>
      <c r="J3651" s="4">
        <f>G3651+I3651</f>
        <v/>
      </c>
      <c r="K3651" s="256" t="n"/>
      <c r="L3651" s="256" t="n"/>
      <c r="M3651" s="256" t="n"/>
      <c r="N3651" s="256" t="n"/>
      <c r="O3651" s="256" t="n"/>
      <c r="P3651" s="256" t="n"/>
      <c r="Q3651" s="256" t="n"/>
    </row>
    <row r="3652">
      <c r="A3652">
        <f>IF(DAY(D3652)=DAY($L$1+1),A3651+1,A3651)</f>
        <v/>
      </c>
      <c r="B3652" s="1">
        <f>IF(DAY(D3652)=DAY($L$1+1),1,B3651+1)</f>
        <v/>
      </c>
      <c r="C3652" s="46">
        <f>IF(DAY(D3652)=DAY($L$1+1),1,C3651+1)</f>
        <v/>
      </c>
      <c r="D3652" s="2">
        <f>D3651+1</f>
        <v/>
      </c>
      <c r="E3652" s="8">
        <f>IF(DAY(D3652)=DAY($L$1+1),TRUNC((#REF!),8),E3651)</f>
        <v/>
      </c>
      <c r="F3652" s="49">
        <f>TRUNC(((1+VLOOKUP(A3652,IPCA!$A$2:$C$140,3,0)))^(C3652/(EDATE(D3652-C3652,1)-(D3652-C3652))),8)</f>
        <v/>
      </c>
      <c r="G3652" s="4">
        <f>TRUNC((E3652*F3652),8)</f>
        <v/>
      </c>
      <c r="H3652" s="4">
        <f>ROUND(((1+$H$4)^(30/360))^(C3652/(EDATE(D3652-B3652,1)-(D3652-B3652))),9)</f>
        <v/>
      </c>
      <c r="I3652" s="49">
        <f>TRUNC((G3652*H3652-G3652),8)</f>
        <v/>
      </c>
      <c r="J3652" s="4">
        <f>G3652+I3652</f>
        <v/>
      </c>
      <c r="K3652" s="256" t="n"/>
      <c r="L3652" s="256" t="n"/>
      <c r="M3652" s="256" t="n"/>
      <c r="N3652" s="256" t="n"/>
      <c r="O3652" s="256" t="n"/>
      <c r="P3652" s="256" t="n"/>
      <c r="Q3652" s="256" t="n"/>
    </row>
    <row r="3653">
      <c r="A3653">
        <f>IF(DAY(D3653)=DAY($L$1+1),A3652+1,A3652)</f>
        <v/>
      </c>
      <c r="B3653" s="1">
        <f>IF(DAY(D3653)=DAY($L$1+1),1,B3652+1)</f>
        <v/>
      </c>
      <c r="C3653" s="46">
        <f>IF(DAY(D3653)=DAY($L$1+1),1,C3652+1)</f>
        <v/>
      </c>
      <c r="D3653" s="2">
        <f>D3652+1</f>
        <v/>
      </c>
      <c r="E3653" s="8">
        <f>IF(DAY(D3653)=DAY($L$1+1),TRUNC((#REF!),8),E3652)</f>
        <v/>
      </c>
      <c r="F3653" s="49">
        <f>TRUNC(((1+VLOOKUP(A3653,IPCA!$A$2:$C$140,3,0)))^(C3653/(EDATE(D3653-C3653,1)-(D3653-C3653))),8)</f>
        <v/>
      </c>
      <c r="G3653" s="4">
        <f>TRUNC((E3653*F3653),8)</f>
        <v/>
      </c>
      <c r="H3653" s="4">
        <f>ROUND(((1+$H$4)^(30/360))^(C3653/(EDATE(D3653-B3653,1)-(D3653-B3653))),9)</f>
        <v/>
      </c>
      <c r="I3653" s="49">
        <f>TRUNC((G3653*H3653-G3653),8)</f>
        <v/>
      </c>
      <c r="J3653" s="4">
        <f>G3653+I3653</f>
        <v/>
      </c>
      <c r="K3653" s="256" t="n"/>
      <c r="L3653" s="256" t="n"/>
      <c r="M3653" s="256" t="n"/>
      <c r="N3653" s="256" t="n"/>
      <c r="O3653" s="256" t="n"/>
      <c r="P3653" s="256" t="n"/>
      <c r="Q3653" s="256" t="n"/>
    </row>
    <row r="3654">
      <c r="A3654">
        <f>IF(DAY(D3654)=DAY($L$1+1),A3653+1,A3653)</f>
        <v/>
      </c>
      <c r="B3654" s="1">
        <f>IF(DAY(D3654)=DAY($L$1+1),1,B3653+1)</f>
        <v/>
      </c>
      <c r="C3654" s="46">
        <f>IF(DAY(D3654)=DAY($L$1+1),1,C3653+1)</f>
        <v/>
      </c>
      <c r="D3654" s="2">
        <f>D3653+1</f>
        <v/>
      </c>
      <c r="E3654" s="8">
        <f>IF(DAY(D3654)=DAY($L$1+1),TRUNC((#REF!),8),E3653)</f>
        <v/>
      </c>
      <c r="F3654" s="49">
        <f>TRUNC(((1+VLOOKUP(A3654,IPCA!$A$2:$C$140,3,0)))^(C3654/(EDATE(D3654-C3654,1)-(D3654-C3654))),8)</f>
        <v/>
      </c>
      <c r="G3654" s="4">
        <f>TRUNC((E3654*F3654),8)</f>
        <v/>
      </c>
      <c r="H3654" s="4">
        <f>ROUND(((1+$H$4)^(30/360))^(C3654/(EDATE(D3654-B3654,1)-(D3654-B3654))),9)</f>
        <v/>
      </c>
      <c r="I3654" s="49">
        <f>TRUNC((G3654*H3654-G3654),8)</f>
        <v/>
      </c>
      <c r="J3654" s="4">
        <f>G3654+I3654</f>
        <v/>
      </c>
      <c r="K3654" s="256" t="n"/>
      <c r="L3654" s="256" t="n"/>
      <c r="M3654" s="256" t="n"/>
      <c r="N3654" s="256" t="n"/>
      <c r="O3654" s="256" t="n"/>
      <c r="P3654" s="256" t="n"/>
      <c r="Q3654" s="256" t="n"/>
    </row>
    <row r="3655">
      <c r="A3655">
        <f>IF(DAY(D3655)=DAY($L$1+1),A3654+1,A3654)</f>
        <v/>
      </c>
      <c r="B3655" s="1">
        <f>IF(DAY(D3655)=DAY($L$1+1),1,B3654+1)</f>
        <v/>
      </c>
      <c r="C3655" s="46">
        <f>IF(DAY(D3655)=DAY($L$1+1),1,C3654+1)</f>
        <v/>
      </c>
      <c r="D3655" s="2">
        <f>D3654+1</f>
        <v/>
      </c>
      <c r="E3655" s="8">
        <f>IF(DAY(D3655)=DAY($L$1+1),TRUNC((#REF!),8),E3654)</f>
        <v/>
      </c>
      <c r="F3655" s="49">
        <f>TRUNC(((1+VLOOKUP(A3655,IPCA!$A$2:$C$140,3,0)))^(C3655/(EDATE(D3655-C3655,1)-(D3655-C3655))),8)</f>
        <v/>
      </c>
      <c r="G3655" s="4">
        <f>TRUNC((E3655*F3655),8)</f>
        <v/>
      </c>
      <c r="H3655" s="4">
        <f>ROUND(((1+$H$4)^(30/360))^(C3655/(EDATE(D3655-B3655,1)-(D3655-B3655))),9)</f>
        <v/>
      </c>
      <c r="I3655" s="49">
        <f>TRUNC((G3655*H3655-G3655),8)</f>
        <v/>
      </c>
      <c r="J3655" s="4">
        <f>G3655+I3655</f>
        <v/>
      </c>
      <c r="K3655" s="256" t="n"/>
      <c r="L3655" s="256" t="n"/>
      <c r="M3655" s="256" t="n"/>
      <c r="N3655" s="256" t="n"/>
      <c r="O3655" s="256" t="n"/>
      <c r="P3655" s="256" t="n"/>
      <c r="Q3655" s="256" t="n"/>
    </row>
    <row r="3656">
      <c r="A3656">
        <f>IF(DAY(D3656)=DAY($L$1+1),A3655+1,A3655)</f>
        <v/>
      </c>
      <c r="B3656" s="1">
        <f>IF(DAY(D3656)=DAY($L$1+1),1,B3655+1)</f>
        <v/>
      </c>
      <c r="C3656" s="46">
        <f>IF(DAY(D3656)=DAY($L$1+1),1,C3655+1)</f>
        <v/>
      </c>
      <c r="D3656" s="2">
        <f>D3655+1</f>
        <v/>
      </c>
      <c r="E3656" s="8">
        <f>IF(DAY(D3656)=DAY($L$1+1),TRUNC((#REF!),8),E3655)</f>
        <v/>
      </c>
      <c r="F3656" s="49">
        <f>TRUNC(((1+VLOOKUP(A3656,IPCA!$A$2:$C$140,3,0)))^(C3656/(EDATE(D3656-C3656,1)-(D3656-C3656))),8)</f>
        <v/>
      </c>
      <c r="G3656" s="4">
        <f>TRUNC((E3656*F3656),8)</f>
        <v/>
      </c>
      <c r="H3656" s="4">
        <f>ROUND(((1+$H$4)^(30/360))^(C3656/(EDATE(D3656-B3656,1)-(D3656-B3656))),9)</f>
        <v/>
      </c>
      <c r="I3656" s="49">
        <f>TRUNC((G3656*H3656-G3656),8)</f>
        <v/>
      </c>
      <c r="J3656" s="4">
        <f>G3656+I3656</f>
        <v/>
      </c>
      <c r="K3656" s="256" t="n"/>
      <c r="L3656" s="256" t="n"/>
      <c r="M3656" s="256" t="n"/>
      <c r="N3656" s="256" t="n"/>
      <c r="O3656" s="256" t="n"/>
      <c r="P3656" s="256" t="n"/>
      <c r="Q3656" s="256" t="n"/>
    </row>
    <row r="3657">
      <c r="A3657">
        <f>IF(DAY(D3657)=DAY($L$1+1),A3656+1,A3656)</f>
        <v/>
      </c>
      <c r="B3657" s="1">
        <f>IF(DAY(D3657)=DAY($L$1+1),1,B3656+1)</f>
        <v/>
      </c>
      <c r="C3657" s="46">
        <f>IF(DAY(D3657)=DAY($L$1+1),1,C3656+1)</f>
        <v/>
      </c>
      <c r="D3657" s="2">
        <f>D3656+1</f>
        <v/>
      </c>
      <c r="E3657" s="8">
        <f>IF(DAY(D3657)=DAY($L$1+1),TRUNC((#REF!),8),E3656)</f>
        <v/>
      </c>
      <c r="F3657" s="49">
        <f>TRUNC(((1+VLOOKUP(A3657,IPCA!$A$2:$C$140,3,0)))^(C3657/(EDATE(D3657-C3657,1)-(D3657-C3657))),8)</f>
        <v/>
      </c>
      <c r="G3657" s="4">
        <f>TRUNC((E3657*F3657),8)</f>
        <v/>
      </c>
      <c r="H3657" s="4">
        <f>ROUND(((1+$H$4)^(30/360))^(C3657/(EDATE(D3657-B3657,1)-(D3657-B3657))),9)</f>
        <v/>
      </c>
      <c r="I3657" s="49">
        <f>TRUNC((G3657*H3657-G3657),8)</f>
        <v/>
      </c>
      <c r="J3657" s="4">
        <f>G3657+I3657</f>
        <v/>
      </c>
      <c r="K3657" s="256" t="n"/>
      <c r="L3657" s="256" t="n"/>
      <c r="M3657" s="256" t="n"/>
      <c r="N3657" s="256" t="n"/>
      <c r="O3657" s="256" t="n"/>
      <c r="P3657" s="256" t="n"/>
      <c r="Q3657" s="256" t="n"/>
    </row>
    <row r="3658">
      <c r="A3658">
        <f>IF(DAY(D3658)=DAY($L$1+1),A3657+1,A3657)</f>
        <v/>
      </c>
      <c r="B3658" s="1">
        <f>IF(DAY(D3658)=DAY($L$1+1),1,B3657+1)</f>
        <v/>
      </c>
      <c r="C3658" s="46">
        <f>IF(DAY(D3658)=DAY($L$1+1),1,C3657+1)</f>
        <v/>
      </c>
      <c r="D3658" s="2">
        <f>D3657+1</f>
        <v/>
      </c>
      <c r="E3658" s="8">
        <f>IF(DAY(D3658)=DAY($L$1+1),TRUNC((N3657),8),E3657)</f>
        <v/>
      </c>
      <c r="F3658" s="49">
        <f>TRUNC(((1+VLOOKUP(A3658,IPCA!$A$2:$C$140,3,0)))^(C3658/(EDATE(D3658-C3658,1)-(D3658-C3658))),8)</f>
        <v/>
      </c>
      <c r="G3658" s="4">
        <f>TRUNC((E3658*F3658),8)</f>
        <v/>
      </c>
      <c r="H3658" s="4">
        <f>ROUND(((1+$H$4)^(30/360))^(C3658/(EDATE(D3658-B3658,1)-(D3658-B3658))),9)</f>
        <v/>
      </c>
      <c r="I3658" s="49">
        <f>TRUNC((G3658*H3658-G3658),8)</f>
        <v/>
      </c>
      <c r="J3658" s="4">
        <f>G3658+I3658</f>
        <v/>
      </c>
      <c r="K3658" s="256" t="n"/>
      <c r="L3658" s="256" t="n"/>
      <c r="M3658" s="256" t="n"/>
      <c r="N3658" s="256" t="n"/>
      <c r="O3658" s="256" t="n"/>
      <c r="P3658" s="256" t="n"/>
      <c r="Q3658" s="256" t="n"/>
    </row>
    <row r="3659">
      <c r="A3659">
        <f>IF(DAY(D3659)=DAY($L$1+1),A3658+1,A3658)</f>
        <v/>
      </c>
      <c r="B3659" s="1">
        <f>IF(DAY(D3659)=DAY($L$1+1),1,B3658+1)</f>
        <v/>
      </c>
      <c r="C3659" s="46">
        <f>IF(DAY(D3659)=DAY($L$1+1),1,C3658+1)</f>
        <v/>
      </c>
      <c r="D3659" s="2">
        <f>D3658+1</f>
        <v/>
      </c>
      <c r="E3659" s="8">
        <f>IF(DAY(D3659)=DAY($L$1+1),TRUNC((N3658),8),E3658)</f>
        <v/>
      </c>
      <c r="F3659" s="49">
        <f>TRUNC(((1+VLOOKUP(A3659,IPCA!$A$2:$C$140,3,0)))^(C3659/(EDATE(D3659-C3659,1)-(D3659-C3659))),8)</f>
        <v/>
      </c>
      <c r="G3659" s="4">
        <f>TRUNC((E3659*F3659),8)</f>
        <v/>
      </c>
      <c r="H3659" s="4">
        <f>ROUND(((1+$H$4)^(30/360))^(C3659/(EDATE(D3659-B3659,1)-(D3659-B3659))),9)</f>
        <v/>
      </c>
      <c r="I3659" s="49">
        <f>TRUNC((G3659*H3659-G3659),8)</f>
        <v/>
      </c>
      <c r="J3659" s="4">
        <f>G3659+I3659</f>
        <v/>
      </c>
      <c r="K3659" s="256" t="n"/>
      <c r="L3659" s="256" t="n"/>
      <c r="M3659" s="256" t="n"/>
      <c r="N3659" s="256" t="n"/>
      <c r="O3659" s="256" t="n"/>
      <c r="P3659" s="256" t="n"/>
      <c r="Q3659" s="256" t="n"/>
    </row>
    <row r="3660">
      <c r="A3660">
        <f>IF(DAY(D3660)=DAY($L$1+1),A3659+1,A3659)</f>
        <v/>
      </c>
      <c r="B3660" s="1">
        <f>IF(DAY(D3660)=DAY($L$1+1),1,B3659+1)</f>
        <v/>
      </c>
      <c r="C3660" s="46">
        <f>IF(DAY(D3660)=DAY($L$1+1),1,C3659+1)</f>
        <v/>
      </c>
      <c r="D3660" s="2">
        <f>D3659+1</f>
        <v/>
      </c>
      <c r="E3660" s="8">
        <f>IF(DAY(D3660)=DAY($L$1+1),TRUNC((N3659),8),E3659)</f>
        <v/>
      </c>
      <c r="F3660" s="49">
        <f>TRUNC(((1+VLOOKUP(A3660,IPCA!$A$2:$C$140,3,0)))^(C3660/(EDATE(D3660-C3660,1)-(D3660-C3660))),8)</f>
        <v/>
      </c>
      <c r="G3660" s="4">
        <f>TRUNC((E3660*F3660),8)</f>
        <v/>
      </c>
      <c r="H3660" s="4">
        <f>ROUND(((1+$H$4)^(30/360))^(C3660/(EDATE(D3660-B3660,1)-(D3660-B3660))),9)</f>
        <v/>
      </c>
      <c r="I3660" s="49">
        <f>TRUNC((G3660*H3660-G3660),8)</f>
        <v/>
      </c>
      <c r="J3660" s="4">
        <f>G3660+I3660</f>
        <v/>
      </c>
      <c r="K3660" s="256" t="n"/>
      <c r="L3660" s="256" t="n"/>
      <c r="M3660" s="256" t="n"/>
      <c r="N3660" s="256" t="n"/>
      <c r="O3660" s="256" t="n"/>
      <c r="P3660" s="256" t="n"/>
      <c r="Q3660" s="256" t="n"/>
    </row>
    <row r="3661">
      <c r="A3661">
        <f>IF(DAY(D3661)=DAY($L$1+1),A3660+1,A3660)</f>
        <v/>
      </c>
      <c r="B3661" s="1">
        <f>IF(DAY(D3661)=DAY($L$1+1),1,B3660+1)</f>
        <v/>
      </c>
      <c r="C3661" s="46">
        <f>IF(DAY(D3661)=DAY($L$1+1),1,C3660+1)</f>
        <v/>
      </c>
      <c r="D3661" s="2">
        <f>D3660+1</f>
        <v/>
      </c>
      <c r="E3661" s="8">
        <f>IF(DAY(D3661)=DAY($L$1+1),TRUNC((N3660),8),E3660)</f>
        <v/>
      </c>
      <c r="F3661" s="49">
        <f>TRUNC(((1+VLOOKUP(A3661,IPCA!$A$2:$C$140,3,0)))^(C3661/(EDATE(D3661-C3661,1)-(D3661-C3661))),8)</f>
        <v/>
      </c>
      <c r="G3661" s="4">
        <f>TRUNC((E3661*F3661),8)</f>
        <v/>
      </c>
      <c r="H3661" s="4">
        <f>ROUND(((1+$H$4)^(30/360))^(C3661/(EDATE(D3661-B3661,1)-(D3661-B3661))),9)</f>
        <v/>
      </c>
      <c r="I3661" s="49">
        <f>TRUNC((G3661*H3661-G3661),8)</f>
        <v/>
      </c>
      <c r="J3661" s="4">
        <f>G3661+I3661</f>
        <v/>
      </c>
      <c r="K3661" s="256" t="n"/>
      <c r="L3661" s="256" t="n"/>
      <c r="M3661" s="256" t="n"/>
      <c r="N3661" s="256" t="n"/>
      <c r="O3661" s="256" t="n"/>
      <c r="P3661" s="256" t="n"/>
      <c r="Q3661" s="256" t="n"/>
    </row>
    <row r="3662">
      <c r="A3662">
        <f>IF(DAY(D3662)=DAY($L$1+1),A3661+1,A3661)</f>
        <v/>
      </c>
      <c r="B3662" s="1">
        <f>IF(DAY(D3662)=DAY($L$1+1),1,B3661+1)</f>
        <v/>
      </c>
      <c r="C3662" s="46">
        <f>IF(DAY(D3662)=DAY($L$1+1),1,C3661+1)</f>
        <v/>
      </c>
      <c r="D3662" s="2">
        <f>D3661+1</f>
        <v/>
      </c>
      <c r="E3662" s="8">
        <f>IF(DAY(D3662)=DAY($L$1+1),TRUNC((N3661),8),E3661)</f>
        <v/>
      </c>
      <c r="F3662" s="49">
        <f>TRUNC(((1+VLOOKUP(A3662,IPCA!$A$2:$C$140,3,0)))^(C3662/(EDATE(D3662-C3662,1)-(D3662-C3662))),8)</f>
        <v/>
      </c>
      <c r="G3662" s="4">
        <f>TRUNC((E3662*F3662),8)</f>
        <v/>
      </c>
      <c r="H3662" s="4">
        <f>ROUND(((1+$H$4)^(30/360))^(C3662/(EDATE(D3662-B3662,1)-(D3662-B3662))),9)</f>
        <v/>
      </c>
      <c r="I3662" s="49">
        <f>TRUNC((G3662*H3662-G3662),8)</f>
        <v/>
      </c>
      <c r="J3662" s="4">
        <f>G3662+I3662</f>
        <v/>
      </c>
      <c r="K3662" s="256" t="n"/>
      <c r="L3662" s="256" t="n"/>
      <c r="M3662" s="256" t="n"/>
      <c r="N3662" s="256" t="n"/>
      <c r="O3662" s="256" t="n"/>
      <c r="P3662" s="256" t="n"/>
      <c r="Q3662" s="256" t="n"/>
    </row>
    <row r="3663">
      <c r="A3663">
        <f>IF(DAY(D3663)=DAY($L$1+1),A3662+1,A3662)</f>
        <v/>
      </c>
      <c r="B3663" s="1">
        <f>IF(DAY(D3663)=DAY($L$1+1),1,B3662+1)</f>
        <v/>
      </c>
      <c r="C3663" s="46">
        <f>IF(DAY(D3663)=DAY($L$1+1),1,C3662+1)</f>
        <v/>
      </c>
      <c r="D3663" s="2">
        <f>D3662+1</f>
        <v/>
      </c>
      <c r="E3663" s="8">
        <f>IF(DAY(D3663)=DAY($L$1+1),TRUNC((N3662),8),E3662)</f>
        <v/>
      </c>
      <c r="F3663" s="49">
        <f>TRUNC(((1+VLOOKUP(A3663,IPCA!$A$2:$C$140,3,0)))^(C3663/(EDATE(D3663-C3663,1)-(D3663-C3663))),8)</f>
        <v/>
      </c>
      <c r="G3663" s="4">
        <f>TRUNC((E3663*F3663),8)</f>
        <v/>
      </c>
      <c r="H3663" s="4">
        <f>ROUND(((1+$H$4)^(30/360))^(C3663/(EDATE(D3663-B3663,1)-(D3663-B3663))),9)</f>
        <v/>
      </c>
      <c r="I3663" s="49">
        <f>TRUNC((G3663*H3663-G3663),8)</f>
        <v/>
      </c>
      <c r="J3663" s="4">
        <f>G3663+I3663</f>
        <v/>
      </c>
      <c r="K3663" s="256" t="n"/>
      <c r="L3663" s="256" t="n"/>
      <c r="M3663" s="256" t="n"/>
      <c r="N3663" s="256" t="n"/>
      <c r="O3663" s="256" t="n"/>
      <c r="P3663" s="256" t="n"/>
      <c r="Q3663" s="256" t="n"/>
    </row>
    <row r="3664">
      <c r="A3664">
        <f>IF(DAY(D3664)=DAY($L$1+1),A3663+1,A3663)</f>
        <v/>
      </c>
      <c r="B3664" s="1">
        <f>IF(DAY(D3664)=DAY($L$1+1),1,B3663+1)</f>
        <v/>
      </c>
      <c r="C3664" s="46">
        <f>IF(DAY(D3664)=DAY($L$1+1),1,C3663+1)</f>
        <v/>
      </c>
      <c r="D3664" s="2">
        <f>D3663+1</f>
        <v/>
      </c>
      <c r="E3664" s="8">
        <f>IF(DAY(D3664)=DAY($L$1+1),TRUNC((N3663),8),E3663)</f>
        <v/>
      </c>
      <c r="F3664" s="49">
        <f>TRUNC(((1+VLOOKUP(A3664,IPCA!$A$2:$C$140,3,0)))^(C3664/(EDATE(D3664-C3664,1)-(D3664-C3664))),8)</f>
        <v/>
      </c>
      <c r="G3664" s="4">
        <f>TRUNC((E3664*F3664),8)</f>
        <v/>
      </c>
      <c r="H3664" s="4">
        <f>ROUND(((1+$H$4)^(30/360))^(C3664/(EDATE(D3664-B3664,1)-(D3664-B3664))),9)</f>
        <v/>
      </c>
      <c r="I3664" s="49">
        <f>TRUNC((G3664*H3664-G3664),8)</f>
        <v/>
      </c>
      <c r="J3664" s="4">
        <f>G3664+I3664</f>
        <v/>
      </c>
      <c r="K3664" s="256" t="n"/>
      <c r="L3664" s="256" t="n"/>
      <c r="M3664" s="256" t="n"/>
      <c r="N3664" s="256" t="n"/>
      <c r="O3664" s="256" t="n"/>
      <c r="P3664" s="256" t="n"/>
      <c r="Q3664" s="256" t="n"/>
    </row>
    <row r="3665">
      <c r="A3665">
        <f>IF(DAY(D3665)=DAY($L$1+1),A3664+1,A3664)</f>
        <v/>
      </c>
      <c r="B3665" s="1">
        <f>IF(DAY(D3665)=DAY($L$1+1),1,B3664+1)</f>
        <v/>
      </c>
      <c r="C3665" s="46">
        <f>IF(DAY(D3665)=DAY($L$1+1),1,C3664+1)</f>
        <v/>
      </c>
      <c r="D3665" s="2">
        <f>D3664+1</f>
        <v/>
      </c>
      <c r="E3665" s="8">
        <f>IF(DAY(D3665)=DAY($L$1+1),TRUNC((N3664),8),E3664)</f>
        <v/>
      </c>
      <c r="F3665" s="49">
        <f>TRUNC(((1+VLOOKUP(A3665,IPCA!$A$2:$C$140,3,0)))^(C3665/(EDATE(D3665-C3665,1)-(D3665-C3665))),8)</f>
        <v/>
      </c>
      <c r="G3665" s="4">
        <f>TRUNC((E3665*F3665),8)</f>
        <v/>
      </c>
      <c r="H3665" s="4">
        <f>ROUND(((1+$H$4)^(30/360))^(C3665/(EDATE(D3665-B3665,1)-(D3665-B3665))),9)</f>
        <v/>
      </c>
      <c r="I3665" s="49">
        <f>TRUNC((G3665*H3665-G3665),8)</f>
        <v/>
      </c>
      <c r="J3665" s="4">
        <f>G3665+I3665</f>
        <v/>
      </c>
      <c r="K3665" s="256" t="n"/>
      <c r="L3665" s="256" t="n"/>
      <c r="M3665" s="256" t="n"/>
      <c r="N3665" s="256" t="n"/>
      <c r="O3665" s="256" t="n"/>
      <c r="P3665" s="256" t="n"/>
      <c r="Q3665" s="256" t="n"/>
    </row>
    <row r="3666">
      <c r="A3666">
        <f>IF(DAY(D3666)=DAY($L$1+1),A3665+1,A3665)</f>
        <v/>
      </c>
      <c r="B3666" s="1">
        <f>IF(DAY(D3666)=DAY($L$1+1),1,B3665+1)</f>
        <v/>
      </c>
      <c r="C3666" s="46">
        <f>IF(DAY(D3666)=DAY($L$1+1),1,C3665+1)</f>
        <v/>
      </c>
      <c r="D3666" s="2">
        <f>D3665+1</f>
        <v/>
      </c>
      <c r="E3666" s="8">
        <f>IF(DAY(D3666)=DAY($L$1+1),TRUNC((N3665),8),E3665)</f>
        <v/>
      </c>
      <c r="F3666" s="49">
        <f>TRUNC(((1+VLOOKUP(A3666,IPCA!$A$2:$C$140,3,0)))^(C3666/(EDATE(D3666-C3666,1)-(D3666-C3666))),8)</f>
        <v/>
      </c>
      <c r="G3666" s="4">
        <f>TRUNC((E3666*F3666),8)</f>
        <v/>
      </c>
      <c r="H3666" s="4">
        <f>ROUND(((1+$H$4)^(30/360))^(C3666/(EDATE(D3666-B3666,1)-(D3666-B3666))),9)</f>
        <v/>
      </c>
      <c r="I3666" s="49">
        <f>TRUNC((G3666*H3666-G3666),8)</f>
        <v/>
      </c>
      <c r="J3666" s="4">
        <f>G3666+I3666</f>
        <v/>
      </c>
      <c r="K3666" s="256" t="n"/>
      <c r="L3666" s="256" t="n"/>
      <c r="M3666" s="256" t="n"/>
      <c r="N3666" s="256" t="n"/>
      <c r="O3666" s="256" t="n"/>
      <c r="P3666" s="256" t="n"/>
      <c r="Q3666" s="256" t="n"/>
    </row>
    <row r="3667">
      <c r="A3667">
        <f>IF(DAY(D3667)=DAY($L$1+1),A3666+1,A3666)</f>
        <v/>
      </c>
      <c r="B3667" s="1">
        <f>IF(DAY(D3667)=DAY($L$1+1),1,B3666+1)</f>
        <v/>
      </c>
      <c r="C3667" s="46">
        <f>IF(DAY(D3667)=DAY($L$1+1),1,C3666+1)</f>
        <v/>
      </c>
      <c r="D3667" s="2">
        <f>D3666+1</f>
        <v/>
      </c>
      <c r="E3667" s="8">
        <f>IF(DAY(D3667)=DAY($L$1+1),TRUNC((N3666),8),E3666)</f>
        <v/>
      </c>
      <c r="F3667" s="49">
        <f>TRUNC(((1+VLOOKUP(A3667,IPCA!$A$2:$C$140,3,0)))^(C3667/(EDATE(D3667-C3667,1)-(D3667-C3667))),8)</f>
        <v/>
      </c>
      <c r="G3667" s="4">
        <f>TRUNC((E3667*F3667),8)</f>
        <v/>
      </c>
      <c r="H3667" s="4">
        <f>ROUND(((1+$H$4)^(30/360))^(C3667/(EDATE(D3667-B3667,1)-(D3667-B3667))),9)</f>
        <v/>
      </c>
      <c r="I3667" s="49">
        <f>TRUNC((G3667*H3667-G3667),8)</f>
        <v/>
      </c>
      <c r="J3667" s="4">
        <f>G3667+I3667</f>
        <v/>
      </c>
      <c r="K3667" s="256" t="n"/>
      <c r="L3667" s="256" t="n"/>
      <c r="M3667" s="256" t="n"/>
      <c r="N3667" s="256" t="n"/>
      <c r="O3667" s="256" t="n"/>
      <c r="P3667" s="256" t="n"/>
      <c r="Q3667" s="256" t="n"/>
    </row>
    <row r="3668">
      <c r="A3668">
        <f>IF(DAY(D3668)=DAY($L$1+1),A3667+1,A3667)</f>
        <v/>
      </c>
      <c r="B3668" s="1">
        <f>IF(DAY(D3668)=DAY($L$1+1),1,B3667+1)</f>
        <v/>
      </c>
      <c r="C3668" s="46">
        <f>IF(DAY(D3668)=DAY($L$1+1),1,C3667+1)</f>
        <v/>
      </c>
      <c r="D3668" s="2">
        <f>D3667+1</f>
        <v/>
      </c>
      <c r="E3668" s="8">
        <f>IF(DAY(D3668)=DAY($L$1+1),TRUNC((N3667),8),E3667)</f>
        <v/>
      </c>
      <c r="F3668" s="49">
        <f>TRUNC(((1+VLOOKUP(A3668,IPCA!$A$2:$C$140,3,0)))^(C3668/(EDATE(D3668-C3668,1)-(D3668-C3668))),8)</f>
        <v/>
      </c>
      <c r="G3668" s="4">
        <f>TRUNC((E3668*F3668),8)</f>
        <v/>
      </c>
      <c r="H3668" s="4">
        <f>ROUND(((1+$H$4)^(30/360))^(C3668/(EDATE(D3668-B3668,1)-(D3668-B3668))),9)</f>
        <v/>
      </c>
      <c r="I3668" s="49">
        <f>TRUNC((G3668*H3668-G3668),8)</f>
        <v/>
      </c>
      <c r="J3668" s="4">
        <f>G3668+I3668</f>
        <v/>
      </c>
      <c r="K3668" s="256" t="n"/>
      <c r="L3668" s="256" t="n"/>
      <c r="M3668" s="256" t="n"/>
      <c r="N3668" s="256" t="n"/>
      <c r="O3668" s="256" t="n"/>
      <c r="P3668" s="256" t="n"/>
      <c r="Q3668" s="256" t="n"/>
    </row>
    <row r="3669">
      <c r="A3669">
        <f>IF(DAY(D3669)=DAY($L$1+1),A3668+1,A3668)</f>
        <v/>
      </c>
      <c r="B3669" s="1">
        <f>IF(DAY(D3669)=DAY($L$1+1),1,B3668+1)</f>
        <v/>
      </c>
      <c r="C3669" s="46">
        <f>IF(DAY(D3669)=DAY($L$1+1),1,C3668+1)</f>
        <v/>
      </c>
      <c r="D3669" s="2">
        <f>D3668+1</f>
        <v/>
      </c>
      <c r="E3669" s="8">
        <f>IF(DAY(D3669)=DAY($L$1+1),TRUNC((N3668),8),E3668)</f>
        <v/>
      </c>
      <c r="F3669" s="49">
        <f>TRUNC(((1+VLOOKUP(A3669,IPCA!$A$2:$C$140,3,0)))^(C3669/(EDATE(D3669-C3669,1)-(D3669-C3669))),8)</f>
        <v/>
      </c>
      <c r="G3669" s="4">
        <f>TRUNC((E3669*F3669),8)</f>
        <v/>
      </c>
      <c r="H3669" s="4">
        <f>ROUND(((1+$H$4)^(30/360))^(C3669/(EDATE(D3669-B3669,1)-(D3669-B3669))),9)</f>
        <v/>
      </c>
      <c r="I3669" s="49">
        <f>TRUNC((G3669*H3669-G3669),8)</f>
        <v/>
      </c>
      <c r="J3669" s="4">
        <f>G3669+I3669</f>
        <v/>
      </c>
      <c r="K3669" s="256" t="n"/>
      <c r="L3669" s="256" t="n"/>
      <c r="M3669" s="256" t="n"/>
      <c r="N3669" s="256" t="n"/>
      <c r="O3669" s="256" t="n"/>
      <c r="P3669" s="256" t="n"/>
      <c r="Q3669" s="256" t="n"/>
    </row>
    <row r="3670">
      <c r="A3670">
        <f>IF(DAY(D3670)=DAY($L$1+1),A3669+1,A3669)</f>
        <v/>
      </c>
      <c r="B3670" s="1">
        <f>IF(DAY(D3670)=DAY($L$1+1),1,B3669+1)</f>
        <v/>
      </c>
      <c r="C3670" s="46">
        <f>IF(DAY(D3670)=DAY($L$1+1),1,C3669+1)</f>
        <v/>
      </c>
      <c r="D3670" s="2">
        <f>D3669+1</f>
        <v/>
      </c>
      <c r="E3670" s="8">
        <f>IF(DAY(D3670)=DAY($L$1+1),TRUNC((N3669),8),E3669)</f>
        <v/>
      </c>
      <c r="F3670" s="49">
        <f>TRUNC(((1+VLOOKUP(A3670,IPCA!$A$2:$C$140,3,0)))^(C3670/(EDATE(D3670-C3670,1)-(D3670-C3670))),8)</f>
        <v/>
      </c>
      <c r="G3670" s="4">
        <f>TRUNC((E3670*F3670),8)</f>
        <v/>
      </c>
      <c r="H3670" s="4">
        <f>ROUND(((1+$H$4)^(30/360))^(C3670/(EDATE(D3670-B3670,1)-(D3670-B3670))),9)</f>
        <v/>
      </c>
      <c r="I3670" s="49">
        <f>TRUNC((G3670*H3670-G3670),8)</f>
        <v/>
      </c>
      <c r="J3670" s="4">
        <f>G3670+I3670</f>
        <v/>
      </c>
      <c r="K3670" s="256" t="inlineStr">
        <is>
          <t>Cri Integralizado</t>
        </is>
      </c>
      <c r="L3670" s="270">
        <f>L3640</f>
        <v/>
      </c>
      <c r="M3670" s="256" t="n"/>
      <c r="N3670" s="256" t="n"/>
      <c r="O3670" s="256" t="n"/>
      <c r="P3670" s="256" t="n"/>
      <c r="Q3670" s="256" t="n"/>
    </row>
    <row r="3671">
      <c r="A3671">
        <f>IF(DAY(D3671)=DAY($L$1+1),A3670+1,A3670)</f>
        <v/>
      </c>
      <c r="B3671" s="1">
        <f>IF(DAY(D3671)=DAY($L$1+1),1,B3670+1)</f>
        <v/>
      </c>
      <c r="C3671" s="46">
        <f>IF(DAY(D3671)=DAY($L$1+1),1,C3670+1)</f>
        <v/>
      </c>
      <c r="D3671" s="2">
        <f>D3670+1</f>
        <v/>
      </c>
      <c r="E3671" s="8">
        <f>IF(DAY(D3671)=DAY($L$1+1),TRUNC((N3670),8),E3670)</f>
        <v/>
      </c>
      <c r="F3671" s="49">
        <f>TRUNC(((1+VLOOKUP(A3671,IPCA!$A$2:$C$140,3,0)))^(C3671/(EDATE(D3671-C3671,1)-(D3671-C3671))),8)</f>
        <v/>
      </c>
      <c r="G3671" s="4">
        <f>TRUNC((E3671*F3671),8)</f>
        <v/>
      </c>
      <c r="H3671" s="4">
        <f>ROUND(((1+$H$4)^(30/360))^(C3671/(EDATE(D3671-B3671,1)-(D3671-B3671))),9)</f>
        <v/>
      </c>
      <c r="I3671" s="49">
        <f>TRUNC((G3671*H3671-G3671),8)</f>
        <v/>
      </c>
      <c r="J3671" s="4">
        <f>G3671+I3671</f>
        <v/>
      </c>
      <c r="K3671" s="137" t="inlineStr">
        <is>
          <t>JUROS</t>
        </is>
      </c>
      <c r="L3671" s="118" t="inlineStr">
        <is>
          <t>AMORTIZAÇÃO</t>
        </is>
      </c>
      <c r="M3671" s="118" t="inlineStr">
        <is>
          <t>AMEX</t>
        </is>
      </c>
      <c r="N3671" s="118" t="inlineStr">
        <is>
          <t>RESIDUAL</t>
        </is>
      </c>
      <c r="O3671" s="256" t="n"/>
      <c r="P3671" s="256" t="n"/>
      <c r="Q3671" s="256" t="n"/>
    </row>
    <row r="3672">
      <c r="A3672">
        <f>IF(DAY(D3672)=DAY($L$1+1),A3671+1,A3671)</f>
        <v/>
      </c>
      <c r="B3672" s="111">
        <f>IF(DAY(D3672)=DAY($L$1+1),1,B3671+1)</f>
        <v/>
      </c>
      <c r="C3672" s="111">
        <f>IF(DAY(D3672)=DAY($L$1+1),1,C3671+1)</f>
        <v/>
      </c>
      <c r="D3672" s="112">
        <f>D3671+1</f>
        <v/>
      </c>
      <c r="E3672" s="113">
        <f>IF(DAY(D3672)=DAY($L$1+1),TRUNC((N3671),8),E3671)</f>
        <v/>
      </c>
      <c r="F3672" s="114">
        <f>TRUNC(((1+VLOOKUP(A3672,IPCA!$A$2:$C$140,3,0)))^(C3672/(EDATE(D3672-C3672,1)-(D3672-C3672))),8)</f>
        <v/>
      </c>
      <c r="G3672" s="114">
        <f>TRUNC((E3672*F3672),8)</f>
        <v/>
      </c>
      <c r="H3672" s="114">
        <f>ROUND(((1+$H$4)^(30/360))^(C3672/(EDATE(D3672-B3672,1)-(D3672-B3672))),9)</f>
        <v/>
      </c>
      <c r="I3672" s="114">
        <f>TRUNC((G3672*H3672-G3672),8)</f>
        <v/>
      </c>
      <c r="J3672" s="114">
        <f>G3672+I3672</f>
        <v/>
      </c>
      <c r="K3672" s="119">
        <f>I3672</f>
        <v/>
      </c>
      <c r="L3672" s="120">
        <f>TRUNC(G3672*VLOOKUP(D3672,'Amort TS'!$G$3:$H$140,2,0),8)</f>
        <v/>
      </c>
      <c r="M3672" s="120" t="n">
        <v>0</v>
      </c>
      <c r="N3672" s="120">
        <f>J3672-K3672-L3672-M3672</f>
        <v/>
      </c>
      <c r="O3672" s="256" t="n"/>
      <c r="P3672" s="256" t="n"/>
      <c r="Q3672" s="256" t="n"/>
    </row>
    <row r="3673">
      <c r="A3673">
        <f>IF(DAY(D3673)=DAY($L$1+1),A3672+1,A3672)</f>
        <v/>
      </c>
      <c r="B3673" s="46">
        <f>IF(DAY(D3673)=DAY($L$1+1),1,B3672+1)</f>
        <v/>
      </c>
      <c r="C3673" s="46">
        <f>IF(DAY(D3673)=DAY($L$1+1),1,C3672+1)</f>
        <v/>
      </c>
      <c r="D3673" s="2">
        <f>D3672+1</f>
        <v/>
      </c>
      <c r="E3673" s="8">
        <f>IF(DAY(D3673)=DAY($L$1+1),TRUNC((N3672),8),E3672)</f>
        <v/>
      </c>
      <c r="F3673" s="49">
        <f>TRUNC(((1+VLOOKUP(A3673,IPCA!$A$2:$C$140,3,0)))^(C3673/(EDATE(D3673-C3673,1)-(D3673-C3673))),8)</f>
        <v/>
      </c>
      <c r="G3673" s="4">
        <f>TRUNC((E3673*F3673),8)</f>
        <v/>
      </c>
      <c r="H3673" s="4">
        <f>ROUND(((1+$H$4)^(30/360))^(C3673/(EDATE(D3673-B3673,1)-(D3673-B3673))),9)</f>
        <v/>
      </c>
      <c r="I3673" s="49">
        <f>TRUNC((G3673*H3673-G3673),8)</f>
        <v/>
      </c>
      <c r="J3673" s="4">
        <f>G3673+I3673</f>
        <v/>
      </c>
      <c r="K3673" s="121">
        <f>K3672*L3670</f>
        <v/>
      </c>
      <c r="L3673" s="121">
        <f>L3672*L3670</f>
        <v/>
      </c>
      <c r="M3673" s="121">
        <f>M3672*L3670</f>
        <v/>
      </c>
      <c r="N3673" s="121">
        <f>N3672*L3670</f>
        <v/>
      </c>
      <c r="O3673" s="256" t="n"/>
      <c r="P3673" s="256" t="n"/>
      <c r="Q3673" s="256" t="n"/>
    </row>
    <row r="3674">
      <c r="A3674">
        <f>IF(DAY(D3674)=DAY($L$1+1),A3673+1,A3673)</f>
        <v/>
      </c>
      <c r="B3674" s="46">
        <f>IF(DAY(D3674)=DAY($L$1+1),1,B3673+1)</f>
        <v/>
      </c>
      <c r="C3674" s="46">
        <f>IF(DAY(D3674)=DAY($L$1+1),1,C3673+1)</f>
        <v/>
      </c>
      <c r="D3674" s="47">
        <f>D3673+1</f>
        <v/>
      </c>
      <c r="E3674" s="8">
        <f>IF(DAY(D3674)=DAY($L$1+1),TRUNC((N3673),8),E3673)</f>
        <v/>
      </c>
      <c r="F3674" s="49">
        <f>TRUNC(((1+VLOOKUP(A3674,IPCA!$A$2:$C$140,3,0)))^(C3674/(EDATE(D3674-C3674,1)-(D3674-C3674))),8)</f>
        <v/>
      </c>
      <c r="G3674" s="4">
        <f>TRUNC((E3674*F3674),8)</f>
        <v/>
      </c>
      <c r="H3674" s="4">
        <f>ROUND(((1+$H$4)^(30/360))^(C3674/(EDATE(D3674-B3674,1)-(D3674-B3674))),9)</f>
        <v/>
      </c>
      <c r="I3674" s="49">
        <f>TRUNC((G3674*H3674-G3674),8)</f>
        <v/>
      </c>
      <c r="J3674" s="4">
        <f>G3674+I3674</f>
        <v/>
      </c>
      <c r="K3674" s="256" t="n"/>
      <c r="L3674" s="256" t="n"/>
      <c r="M3674" s="256" t="n"/>
      <c r="N3674" s="256" t="n"/>
      <c r="O3674" s="256" t="n"/>
      <c r="P3674" s="256" t="n"/>
      <c r="Q3674" s="256" t="n"/>
    </row>
    <row r="3675">
      <c r="A3675">
        <f>IF(DAY(D3675)=DAY($L$1+1),A3674+1,A3674)</f>
        <v/>
      </c>
      <c r="B3675" s="1">
        <f>IF(DAY(D3675)=DAY($L$1+1),1,B3674+1)</f>
        <v/>
      </c>
      <c r="C3675" s="1">
        <f>IF(DAY(D3675)=DAY($L$1+1),1,C3674+1)</f>
        <v/>
      </c>
      <c r="D3675" s="2">
        <f>D3674+1</f>
        <v/>
      </c>
      <c r="E3675" s="8">
        <f>IF(DAY(D3675)=DAY($L$1+1),TRUNC((#REF!),8),E3674)</f>
        <v/>
      </c>
      <c r="F3675" s="49">
        <f>TRUNC(((1+VLOOKUP(A3675,IPCA!$A$2:$C$140,3,0)))^(C3675/(EDATE(D3675-C3675,1)-(D3675-C3675))),8)</f>
        <v/>
      </c>
      <c r="G3675" s="4">
        <f>TRUNC((E3675*F3675),8)</f>
        <v/>
      </c>
      <c r="H3675" s="4">
        <f>ROUND(((1+$H$4)^(30/360))^(C3675/(EDATE(D3675-B3675,1)-(D3675-B3675))),9)</f>
        <v/>
      </c>
      <c r="I3675" s="49">
        <f>TRUNC((G3675*H3675-G3675),8)</f>
        <v/>
      </c>
      <c r="J3675" s="4">
        <f>G3675+I3675</f>
        <v/>
      </c>
      <c r="K3675" s="256" t="n"/>
      <c r="L3675" s="256" t="n"/>
      <c r="M3675" s="256" t="n"/>
      <c r="N3675" s="256" t="n"/>
      <c r="O3675" s="256" t="n"/>
      <c r="P3675" s="256" t="n"/>
      <c r="Q3675" s="256" t="n"/>
    </row>
    <row r="3676">
      <c r="A3676">
        <f>IF(DAY(D3676)=DAY($L$1+1),A3675+1,A3675)</f>
        <v/>
      </c>
      <c r="B3676" s="46">
        <f>IF(DAY(D3676)=DAY($L$1+1),1,B3675+1)</f>
        <v/>
      </c>
      <c r="C3676" s="46">
        <f>IF(DAY(D3676)=DAY($L$1+1),1,C3675+1)</f>
        <v/>
      </c>
      <c r="D3676" s="2">
        <f>D3675+1</f>
        <v/>
      </c>
      <c r="E3676" s="8">
        <f>IF(DAY(D3676)=DAY($L$1+1),TRUNC((#REF!),8),E3675)</f>
        <v/>
      </c>
      <c r="F3676" s="49">
        <f>TRUNC(((1+VLOOKUP(A3676,IPCA!$A$2:$C$140,3,0)))^(C3676/(EDATE(D3676-C3676,1)-(D3676-C3676))),8)</f>
        <v/>
      </c>
      <c r="G3676" s="4">
        <f>TRUNC((E3676*F3676),8)</f>
        <v/>
      </c>
      <c r="H3676" s="4">
        <f>ROUND(((1+$H$4)^(30/360))^(C3676/(EDATE(D3676-B3676,1)-(D3676-B3676))),9)</f>
        <v/>
      </c>
      <c r="I3676" s="49">
        <f>TRUNC((G3676*H3676-G3676),8)</f>
        <v/>
      </c>
      <c r="J3676" s="4">
        <f>G3676+I3676</f>
        <v/>
      </c>
      <c r="K3676" s="256" t="n"/>
      <c r="L3676" s="256" t="n"/>
      <c r="M3676" s="256" t="n"/>
      <c r="N3676" s="256" t="n"/>
      <c r="O3676" s="256" t="n"/>
      <c r="P3676" s="256" t="n"/>
      <c r="Q3676" s="256" t="n"/>
    </row>
    <row r="3677">
      <c r="A3677">
        <f>IF(DAY(D3677)=DAY($L$1+1),A3676+1,A3676)</f>
        <v/>
      </c>
      <c r="B3677" s="1">
        <f>IF(DAY(D3677)=DAY($L$1+1),1,B3676+1)</f>
        <v/>
      </c>
      <c r="C3677" s="1">
        <f>IF(DAY(D3677)=DAY($L$1+1),1,C3676+1)</f>
        <v/>
      </c>
      <c r="D3677" s="2">
        <f>D3676+1</f>
        <v/>
      </c>
      <c r="E3677" s="8">
        <f>IF(DAY(D3677)=DAY($L$1+1),TRUNC((#REF!),8),E3676)</f>
        <v/>
      </c>
      <c r="F3677" s="49">
        <f>TRUNC(((1+VLOOKUP(A3677,IPCA!$A$2:$C$140,3,0)))^(C3677/(EDATE(D3677-C3677,1)-(D3677-C3677))),8)</f>
        <v/>
      </c>
      <c r="G3677" s="4">
        <f>TRUNC((E3677*F3677),8)</f>
        <v/>
      </c>
      <c r="H3677" s="4">
        <f>ROUND(((1+$H$4)^(30/360))^(C3677/(EDATE(D3677-B3677,1)-(D3677-B3677))),9)</f>
        <v/>
      </c>
      <c r="I3677" s="49">
        <f>TRUNC((G3677*H3677-G3677),8)</f>
        <v/>
      </c>
      <c r="J3677" s="4">
        <f>G3677+I3677</f>
        <v/>
      </c>
      <c r="K3677" s="256" t="n"/>
      <c r="L3677" s="256" t="n"/>
      <c r="M3677" s="256" t="n"/>
      <c r="N3677" s="256" t="n"/>
      <c r="O3677" s="256" t="n"/>
      <c r="P3677" s="256" t="n"/>
      <c r="Q3677" s="256" t="n"/>
    </row>
    <row r="3678">
      <c r="A3678">
        <f>IF(DAY(D3678)=DAY($L$1+1),A3677+1,A3677)</f>
        <v/>
      </c>
      <c r="B3678" s="46">
        <f>IF(DAY(D3678)=DAY($L$1+1),1,B3677+1)</f>
        <v/>
      </c>
      <c r="C3678" s="46">
        <f>IF(DAY(D3678)=DAY($L$1+1),1,C3677+1)</f>
        <v/>
      </c>
      <c r="D3678" s="2">
        <f>D3677+1</f>
        <v/>
      </c>
      <c r="E3678" s="8">
        <f>IF(DAY(D3678)=DAY($L$1+1),TRUNC((#REF!),8),E3677)</f>
        <v/>
      </c>
      <c r="F3678" s="49">
        <f>TRUNC(((1+VLOOKUP(A3678,IPCA!$A$2:$C$140,3,0)))^(C3678/(EDATE(D3678-C3678,1)-(D3678-C3678))),8)</f>
        <v/>
      </c>
      <c r="G3678" s="4">
        <f>TRUNC((E3678*F3678),8)</f>
        <v/>
      </c>
      <c r="H3678" s="4">
        <f>ROUND(((1+$H$4)^(30/360))^(C3678/(EDATE(D3678-B3678,1)-(D3678-B3678))),9)</f>
        <v/>
      </c>
      <c r="I3678" s="49">
        <f>TRUNC((G3678*H3678-G3678),8)</f>
        <v/>
      </c>
      <c r="J3678" s="4">
        <f>G3678+I3678</f>
        <v/>
      </c>
      <c r="K3678" s="256" t="n"/>
      <c r="L3678" s="256" t="n"/>
      <c r="M3678" s="256" t="n"/>
      <c r="N3678" s="256" t="n"/>
      <c r="O3678" s="256" t="n"/>
      <c r="P3678" s="256" t="n"/>
      <c r="Q3678" s="256" t="n"/>
    </row>
    <row r="3679">
      <c r="A3679">
        <f>IF(DAY(D3679)=DAY($L$1+1),A3678+1,A3678)</f>
        <v/>
      </c>
      <c r="B3679" s="1">
        <f>IF(DAY(D3679)=DAY($L$1+1),1,B3678+1)</f>
        <v/>
      </c>
      <c r="C3679" s="1">
        <f>IF(DAY(D3679)=DAY($L$1+1),1,C3678+1)</f>
        <v/>
      </c>
      <c r="D3679" s="2">
        <f>D3678+1</f>
        <v/>
      </c>
      <c r="E3679" s="8">
        <f>IF(DAY(D3679)=DAY($L$1+1),TRUNC((#REF!),8),E3678)</f>
        <v/>
      </c>
      <c r="F3679" s="49">
        <f>TRUNC(((1+VLOOKUP(A3679,IPCA!$A$2:$C$140,3,0)))^(C3679/(EDATE(D3679-C3679,1)-(D3679-C3679))),8)</f>
        <v/>
      </c>
      <c r="G3679" s="4">
        <f>TRUNC((E3679*F3679),8)</f>
        <v/>
      </c>
      <c r="H3679" s="4">
        <f>ROUND(((1+$H$4)^(30/360))^(C3679/(EDATE(D3679-B3679,1)-(D3679-B3679))),9)</f>
        <v/>
      </c>
      <c r="I3679" s="49">
        <f>TRUNC((G3679*H3679-G3679),8)</f>
        <v/>
      </c>
      <c r="J3679" s="4">
        <f>G3679+I3679</f>
        <v/>
      </c>
      <c r="K3679" s="256" t="n"/>
      <c r="L3679" s="256" t="n"/>
      <c r="M3679" s="256" t="n"/>
      <c r="N3679" s="256" t="n"/>
      <c r="O3679" s="256" t="n"/>
      <c r="P3679" s="256" t="n"/>
      <c r="Q3679" s="256" t="n"/>
    </row>
    <row r="3680">
      <c r="A3680">
        <f>IF(DAY(D3680)=DAY($L$1+1),A3679+1,A3679)</f>
        <v/>
      </c>
      <c r="B3680" s="46">
        <f>IF(DAY(D3680)=DAY($L$1+1),1,B3679+1)</f>
        <v/>
      </c>
      <c r="C3680" s="46">
        <f>IF(DAY(D3680)=DAY($L$1+1),1,C3679+1)</f>
        <v/>
      </c>
      <c r="D3680" s="2">
        <f>D3679+1</f>
        <v/>
      </c>
      <c r="E3680" s="8">
        <f>IF(DAY(D3680)=DAY($L$1+1),TRUNC((#REF!),8),E3679)</f>
        <v/>
      </c>
      <c r="F3680" s="49">
        <f>TRUNC(((1+VLOOKUP(A3680,IPCA!$A$2:$C$140,3,0)))^(C3680/(EDATE(D3680-C3680,1)-(D3680-C3680))),8)</f>
        <v/>
      </c>
      <c r="G3680" s="4">
        <f>TRUNC((E3680*F3680),8)</f>
        <v/>
      </c>
      <c r="H3680" s="4">
        <f>ROUND(((1+$H$4)^(30/360))^(C3680/(EDATE(D3680-B3680,1)-(D3680-B3680))),9)</f>
        <v/>
      </c>
      <c r="I3680" s="49">
        <f>TRUNC((G3680*H3680-G3680),8)</f>
        <v/>
      </c>
      <c r="J3680" s="4">
        <f>G3680+I3680</f>
        <v/>
      </c>
      <c r="K3680" s="256" t="n"/>
      <c r="L3680" s="256" t="n"/>
      <c r="M3680" s="256" t="n"/>
      <c r="N3680" s="256" t="n"/>
      <c r="O3680" s="256" t="n"/>
      <c r="P3680" s="256" t="n"/>
      <c r="Q3680" s="256" t="n"/>
    </row>
    <row r="3681">
      <c r="A3681">
        <f>IF(DAY(D3681)=DAY($L$1+1),A3680+1,A3680)</f>
        <v/>
      </c>
      <c r="B3681" s="1">
        <f>IF(DAY(D3681)=DAY($L$1+1),1,B3680+1)</f>
        <v/>
      </c>
      <c r="C3681" s="1">
        <f>IF(DAY(D3681)=DAY($L$1+1),1,C3680+1)</f>
        <v/>
      </c>
      <c r="D3681" s="2">
        <f>D3680+1</f>
        <v/>
      </c>
      <c r="E3681" s="8">
        <f>IF(DAY(D3681)=DAY($L$1+1),TRUNC((#REF!),8),E3680)</f>
        <v/>
      </c>
      <c r="F3681" s="49">
        <f>TRUNC(((1+VLOOKUP(A3681,IPCA!$A$2:$C$140,3,0)))^(C3681/(EDATE(D3681-C3681,1)-(D3681-C3681))),8)</f>
        <v/>
      </c>
      <c r="G3681" s="4">
        <f>TRUNC((E3681*F3681),8)</f>
        <v/>
      </c>
      <c r="H3681" s="4">
        <f>ROUND(((1+$H$4)^(30/360))^(C3681/(EDATE(D3681-B3681,1)-(D3681-B3681))),9)</f>
        <v/>
      </c>
      <c r="I3681" s="49">
        <f>TRUNC((G3681*H3681-G3681),8)</f>
        <v/>
      </c>
      <c r="J3681" s="4">
        <f>G3681+I3681</f>
        <v/>
      </c>
      <c r="K3681" s="256" t="n"/>
      <c r="L3681" s="256" t="n"/>
      <c r="M3681" s="256" t="n"/>
      <c r="N3681" s="256" t="n"/>
      <c r="O3681" s="256" t="n"/>
      <c r="P3681" s="256" t="n"/>
      <c r="Q3681" s="256" t="n"/>
    </row>
    <row r="3682">
      <c r="A3682">
        <f>IF(DAY(D3682)=DAY($L$1+1),A3681+1,A3681)</f>
        <v/>
      </c>
      <c r="B3682" s="46">
        <f>IF(DAY(D3682)=DAY($L$1+1),1,B3681+1)</f>
        <v/>
      </c>
      <c r="C3682" s="46">
        <f>IF(DAY(D3682)=DAY($L$1+1),1,C3681+1)</f>
        <v/>
      </c>
      <c r="D3682" s="2">
        <f>D3681+1</f>
        <v/>
      </c>
      <c r="E3682" s="8">
        <f>IF(DAY(D3682)=DAY($L$1+1),TRUNC((#REF!),8),E3681)</f>
        <v/>
      </c>
      <c r="F3682" s="49">
        <f>TRUNC(((1+VLOOKUP(A3682,IPCA!$A$2:$C$140,3,0)))^(C3682/(EDATE(D3682-C3682,1)-(D3682-C3682))),8)</f>
        <v/>
      </c>
      <c r="G3682" s="4">
        <f>TRUNC((E3682*F3682),8)</f>
        <v/>
      </c>
      <c r="H3682" s="4">
        <f>ROUND(((1+$H$4)^(30/360))^(C3682/(EDATE(D3682-B3682,1)-(D3682-B3682))),9)</f>
        <v/>
      </c>
      <c r="I3682" s="49">
        <f>TRUNC((G3682*H3682-G3682),8)</f>
        <v/>
      </c>
      <c r="J3682" s="4">
        <f>G3682+I3682</f>
        <v/>
      </c>
      <c r="K3682" s="256" t="n"/>
      <c r="L3682" s="256" t="n"/>
      <c r="M3682" s="256" t="n"/>
      <c r="N3682" s="256" t="n"/>
      <c r="O3682" s="256" t="n"/>
      <c r="P3682" s="256" t="n"/>
      <c r="Q3682" s="256" t="n"/>
    </row>
    <row r="3683">
      <c r="A3683">
        <f>IF(DAY(D3683)=DAY($L$1+1),A3682+1,A3682)</f>
        <v/>
      </c>
      <c r="B3683" s="1">
        <f>IF(DAY(D3683)=DAY($L$1+1),1,B3682+1)</f>
        <v/>
      </c>
      <c r="C3683" s="1">
        <f>IF(DAY(D3683)=DAY($L$1+1),1,C3682+1)</f>
        <v/>
      </c>
      <c r="D3683" s="2">
        <f>D3682+1</f>
        <v/>
      </c>
      <c r="E3683" s="8">
        <f>IF(DAY(D3683)=DAY($L$1+1),TRUNC((#REF!),8),E3682)</f>
        <v/>
      </c>
      <c r="F3683" s="49">
        <f>TRUNC(((1+VLOOKUP(A3683,IPCA!$A$2:$C$140,3,0)))^(C3683/(EDATE(D3683-C3683,1)-(D3683-C3683))),8)</f>
        <v/>
      </c>
      <c r="G3683" s="4">
        <f>TRUNC((E3683*F3683),8)</f>
        <v/>
      </c>
      <c r="H3683" s="4">
        <f>ROUND(((1+$H$4)^(30/360))^(C3683/(EDATE(D3683-B3683,1)-(D3683-B3683))),9)</f>
        <v/>
      </c>
      <c r="I3683" s="49">
        <f>TRUNC((G3683*H3683-G3683),8)</f>
        <v/>
      </c>
      <c r="J3683" s="4">
        <f>G3683+I3683</f>
        <v/>
      </c>
      <c r="K3683" s="256" t="n"/>
      <c r="L3683" s="256" t="n"/>
      <c r="M3683" s="256" t="n"/>
      <c r="N3683" s="256" t="n"/>
      <c r="O3683" s="256" t="n"/>
      <c r="P3683" s="256" t="n"/>
      <c r="Q3683" s="256" t="n"/>
    </row>
    <row r="3684">
      <c r="A3684">
        <f>IF(DAY(D3684)=DAY($L$1+1),A3683+1,A3683)</f>
        <v/>
      </c>
      <c r="B3684" s="46">
        <f>IF(DAY(D3684)=DAY($L$1+1),1,B3683+1)</f>
        <v/>
      </c>
      <c r="C3684" s="46">
        <f>IF(DAY(D3684)=DAY($L$1+1),1,C3683+1)</f>
        <v/>
      </c>
      <c r="D3684" s="2">
        <f>D3683+1</f>
        <v/>
      </c>
      <c r="E3684" s="8">
        <f>IF(DAY(D3684)=DAY($L$1+1),TRUNC((N3683),8),E3683)</f>
        <v/>
      </c>
      <c r="F3684" s="49">
        <f>TRUNC(((1+VLOOKUP(A3684,IPCA!$A$2:$C$140,3,0)))^(C3684/(EDATE(D3684-C3684,1)-(D3684-C3684))),8)</f>
        <v/>
      </c>
      <c r="G3684" s="4">
        <f>TRUNC((E3684*F3684),8)</f>
        <v/>
      </c>
      <c r="H3684" s="4">
        <f>ROUND(((1+$H$4)^(30/360))^(C3684/(EDATE(D3684-B3684,1)-(D3684-B3684))),9)</f>
        <v/>
      </c>
      <c r="I3684" s="49">
        <f>TRUNC((G3684*H3684-G3684),8)</f>
        <v/>
      </c>
      <c r="J3684" s="4">
        <f>G3684+I3684</f>
        <v/>
      </c>
      <c r="K3684" s="256" t="n"/>
      <c r="L3684" s="256" t="n"/>
      <c r="M3684" s="256" t="n"/>
      <c r="N3684" s="256" t="n"/>
      <c r="O3684" s="256" t="n"/>
      <c r="P3684" s="256" t="n"/>
      <c r="Q3684" s="256" t="n"/>
    </row>
    <row r="3685">
      <c r="A3685">
        <f>IF(DAY(D3685)=DAY($L$1+1),A3684+1,A3684)</f>
        <v/>
      </c>
      <c r="B3685" s="1">
        <f>IF(DAY(D3685)=DAY($L$1+1),1,B3684+1)</f>
        <v/>
      </c>
      <c r="C3685" s="1">
        <f>IF(DAY(D3685)=DAY($L$1+1),1,C3684+1)</f>
        <v/>
      </c>
      <c r="D3685" s="2">
        <f>D3684+1</f>
        <v/>
      </c>
      <c r="E3685" s="8">
        <f>IF(DAY(D3685)=DAY($L$1+1),TRUNC((N3684),8),E3684)</f>
        <v/>
      </c>
      <c r="F3685" s="49">
        <f>TRUNC(((1+VLOOKUP(A3685,IPCA!$A$2:$C$140,3,0)))^(C3685/(EDATE(D3685-C3685,1)-(D3685-C3685))),8)</f>
        <v/>
      </c>
      <c r="G3685" s="4">
        <f>TRUNC((E3685*F3685),8)</f>
        <v/>
      </c>
      <c r="H3685" s="4">
        <f>ROUND(((1+$H$4)^(30/360))^(C3685/(EDATE(D3685-B3685,1)-(D3685-B3685))),9)</f>
        <v/>
      </c>
      <c r="I3685" s="49">
        <f>TRUNC((G3685*H3685-G3685),8)</f>
        <v/>
      </c>
      <c r="J3685" s="4">
        <f>G3685+I3685</f>
        <v/>
      </c>
      <c r="K3685" s="256" t="n"/>
      <c r="L3685" s="256" t="n"/>
      <c r="M3685" s="256" t="n"/>
      <c r="N3685" s="256" t="n"/>
      <c r="O3685" s="256" t="n"/>
      <c r="P3685" s="256" t="n"/>
      <c r="Q3685" s="256" t="n"/>
    </row>
    <row r="3686">
      <c r="A3686">
        <f>IF(DAY(D3686)=DAY($L$1+1),A3685+1,A3685)</f>
        <v/>
      </c>
      <c r="B3686" s="46">
        <f>IF(DAY(D3686)=DAY($L$1+1),1,B3685+1)</f>
        <v/>
      </c>
      <c r="C3686" s="46">
        <f>IF(DAY(D3686)=DAY($L$1+1),1,C3685+1)</f>
        <v/>
      </c>
      <c r="D3686" s="2">
        <f>D3685+1</f>
        <v/>
      </c>
      <c r="E3686" s="8">
        <f>IF(DAY(D3686)=DAY($L$1+1),TRUNC((N3685),8),E3685)</f>
        <v/>
      </c>
      <c r="F3686" s="49">
        <f>TRUNC(((1+VLOOKUP(A3686,IPCA!$A$2:$C$140,3,0)))^(C3686/(EDATE(D3686-C3686,1)-(D3686-C3686))),8)</f>
        <v/>
      </c>
      <c r="G3686" s="4">
        <f>TRUNC((E3686*F3686),8)</f>
        <v/>
      </c>
      <c r="H3686" s="4">
        <f>ROUND(((1+$H$4)^(30/360))^(C3686/(EDATE(D3686-B3686,1)-(D3686-B3686))),9)</f>
        <v/>
      </c>
      <c r="I3686" s="49">
        <f>TRUNC((G3686*H3686-G3686),8)</f>
        <v/>
      </c>
      <c r="J3686" s="4">
        <f>G3686+I3686</f>
        <v/>
      </c>
      <c r="K3686" s="256" t="n"/>
      <c r="L3686" s="256" t="n"/>
      <c r="M3686" s="256" t="n"/>
      <c r="N3686" s="256" t="n"/>
      <c r="O3686" s="256" t="n"/>
      <c r="P3686" s="256" t="n"/>
      <c r="Q3686" s="256" t="n"/>
    </row>
    <row r="3687">
      <c r="A3687">
        <f>IF(DAY(D3687)=DAY($L$1+1),A3686+1,A3686)</f>
        <v/>
      </c>
      <c r="B3687" s="1">
        <f>IF(DAY(D3687)=DAY($L$1+1),1,B3686+1)</f>
        <v/>
      </c>
      <c r="C3687" s="1">
        <f>IF(DAY(D3687)=DAY($L$1+1),1,C3686+1)</f>
        <v/>
      </c>
      <c r="D3687" s="2">
        <f>D3686+1</f>
        <v/>
      </c>
      <c r="E3687" s="8">
        <f>IF(DAY(D3687)=DAY($L$1+1),TRUNC((N3686),8),E3686)</f>
        <v/>
      </c>
      <c r="F3687" s="49">
        <f>TRUNC(((1+VLOOKUP(A3687,IPCA!$A$2:$C$140,3,0)))^(C3687/(EDATE(D3687-C3687,1)-(D3687-C3687))),8)</f>
        <v/>
      </c>
      <c r="G3687" s="4">
        <f>TRUNC((E3687*F3687),8)</f>
        <v/>
      </c>
      <c r="H3687" s="4">
        <f>ROUND(((1+$H$4)^(30/360))^(C3687/(EDATE(D3687-B3687,1)-(D3687-B3687))),9)</f>
        <v/>
      </c>
      <c r="I3687" s="49">
        <f>TRUNC((G3687*H3687-G3687),8)</f>
        <v/>
      </c>
      <c r="J3687" s="4">
        <f>G3687+I3687</f>
        <v/>
      </c>
      <c r="K3687" s="256" t="n"/>
      <c r="L3687" s="256" t="n"/>
      <c r="M3687" s="256" t="n"/>
      <c r="N3687" s="256" t="n"/>
      <c r="O3687" s="256" t="n"/>
      <c r="P3687" s="256" t="n"/>
      <c r="Q3687" s="256" t="n"/>
    </row>
    <row r="3688">
      <c r="A3688">
        <f>IF(DAY(D3688)=DAY($L$1+1),A3687+1,A3687)</f>
        <v/>
      </c>
      <c r="B3688" s="46">
        <f>IF(DAY(D3688)=DAY($L$1+1),1,B3687+1)</f>
        <v/>
      </c>
      <c r="C3688" s="46">
        <f>IF(DAY(D3688)=DAY($L$1+1),1,C3687+1)</f>
        <v/>
      </c>
      <c r="D3688" s="2">
        <f>D3687+1</f>
        <v/>
      </c>
      <c r="E3688" s="8">
        <f>IF(DAY(D3688)=DAY($L$1+1),TRUNC((N3687),8),E3687)</f>
        <v/>
      </c>
      <c r="F3688" s="49">
        <f>TRUNC(((1+VLOOKUP(A3688,IPCA!$A$2:$C$140,3,0)))^(C3688/(EDATE(D3688-C3688,1)-(D3688-C3688))),8)</f>
        <v/>
      </c>
      <c r="G3688" s="4">
        <f>TRUNC((E3688*F3688),8)</f>
        <v/>
      </c>
      <c r="H3688" s="4">
        <f>ROUND(((1+$H$4)^(30/360))^(C3688/(EDATE(D3688-B3688,1)-(D3688-B3688))),9)</f>
        <v/>
      </c>
      <c r="I3688" s="49">
        <f>TRUNC((G3688*H3688-G3688),8)</f>
        <v/>
      </c>
      <c r="J3688" s="4">
        <f>G3688+I3688</f>
        <v/>
      </c>
      <c r="K3688" s="256" t="n"/>
      <c r="L3688" s="256" t="n"/>
      <c r="M3688" s="256" t="n"/>
      <c r="N3688" s="256" t="n"/>
      <c r="O3688" s="256" t="n"/>
      <c r="P3688" s="256" t="n"/>
      <c r="Q3688" s="256" t="n"/>
    </row>
    <row r="3689">
      <c r="A3689">
        <f>IF(DAY(D3689)=DAY($L$1+1),A3688+1,A3688)</f>
        <v/>
      </c>
      <c r="B3689" s="1">
        <f>IF(DAY(D3689)=DAY($L$1+1),1,B3688+1)</f>
        <v/>
      </c>
      <c r="C3689" s="1">
        <f>IF(DAY(D3689)=DAY($L$1+1),1,C3688+1)</f>
        <v/>
      </c>
      <c r="D3689" s="2">
        <f>D3688+1</f>
        <v/>
      </c>
      <c r="E3689" s="8">
        <f>IF(DAY(D3689)=DAY($L$1+1),TRUNC((N3688),8),E3688)</f>
        <v/>
      </c>
      <c r="F3689" s="49">
        <f>TRUNC(((1+VLOOKUP(A3689,IPCA!$A$2:$C$140,3,0)))^(C3689/(EDATE(D3689-C3689,1)-(D3689-C3689))),8)</f>
        <v/>
      </c>
      <c r="G3689" s="4">
        <f>TRUNC((E3689*F3689),8)</f>
        <v/>
      </c>
      <c r="H3689" s="4">
        <f>ROUND(((1+$H$4)^(30/360))^(C3689/(EDATE(D3689-B3689,1)-(D3689-B3689))),9)</f>
        <v/>
      </c>
      <c r="I3689" s="49">
        <f>TRUNC((G3689*H3689-G3689),8)</f>
        <v/>
      </c>
      <c r="J3689" s="4">
        <f>G3689+I3689</f>
        <v/>
      </c>
      <c r="K3689" s="256" t="n"/>
      <c r="L3689" s="256" t="n"/>
      <c r="M3689" s="256" t="n"/>
      <c r="N3689" s="256" t="n"/>
      <c r="O3689" s="256" t="n"/>
      <c r="P3689" s="256" t="n"/>
      <c r="Q3689" s="256" t="n"/>
    </row>
    <row r="3690">
      <c r="A3690">
        <f>IF(DAY(D3690)=DAY($L$1+1),A3689+1,A3689)</f>
        <v/>
      </c>
      <c r="B3690" s="46">
        <f>IF(DAY(D3690)=DAY($L$1+1),1,B3689+1)</f>
        <v/>
      </c>
      <c r="C3690" s="46">
        <f>IF(DAY(D3690)=DAY($L$1+1),1,C3689+1)</f>
        <v/>
      </c>
      <c r="D3690" s="2">
        <f>D3689+1</f>
        <v/>
      </c>
      <c r="E3690" s="8">
        <f>IF(DAY(D3690)=DAY($L$1+1),TRUNC((N3689),8),E3689)</f>
        <v/>
      </c>
      <c r="F3690" s="49">
        <f>TRUNC(((1+VLOOKUP(A3690,IPCA!$A$2:$C$140,3,0)))^(C3690/(EDATE(D3690-C3690,1)-(D3690-C3690))),8)</f>
        <v/>
      </c>
      <c r="G3690" s="4">
        <f>TRUNC((E3690*F3690),8)</f>
        <v/>
      </c>
      <c r="H3690" s="4">
        <f>ROUND(((1+$H$4)^(30/360))^(C3690/(EDATE(D3690-B3690,1)-(D3690-B3690))),9)</f>
        <v/>
      </c>
      <c r="I3690" s="49">
        <f>TRUNC((G3690*H3690-G3690),8)</f>
        <v/>
      </c>
      <c r="J3690" s="4">
        <f>G3690+I3690</f>
        <v/>
      </c>
      <c r="K3690" s="256" t="n"/>
      <c r="L3690" s="256" t="n"/>
      <c r="M3690" s="256" t="n"/>
      <c r="N3690" s="256" t="n"/>
      <c r="O3690" s="256" t="n"/>
      <c r="P3690" s="256" t="n"/>
      <c r="Q3690" s="256" t="n"/>
    </row>
    <row r="3691">
      <c r="A3691">
        <f>IF(DAY(D3691)=DAY($L$1+1),A3690+1,A3690)</f>
        <v/>
      </c>
      <c r="B3691" s="1">
        <f>IF(DAY(D3691)=DAY($L$1+1),1,B3690+1)</f>
        <v/>
      </c>
      <c r="C3691" s="1">
        <f>IF(DAY(D3691)=DAY($L$1+1),1,C3690+1)</f>
        <v/>
      </c>
      <c r="D3691" s="2">
        <f>D3690+1</f>
        <v/>
      </c>
      <c r="E3691" s="8">
        <f>IF(DAY(D3691)=DAY($L$1+1),TRUNC((N3690),8),E3690)</f>
        <v/>
      </c>
      <c r="F3691" s="49">
        <f>TRUNC(((1+VLOOKUP(A3691,IPCA!$A$2:$C$140,3,0)))^(C3691/(EDATE(D3691-C3691,1)-(D3691-C3691))),8)</f>
        <v/>
      </c>
      <c r="G3691" s="4">
        <f>TRUNC((E3691*F3691),8)</f>
        <v/>
      </c>
      <c r="H3691" s="4">
        <f>ROUND(((1+$H$4)^(30/360))^(C3691/(EDATE(D3691-B3691,1)-(D3691-B3691))),9)</f>
        <v/>
      </c>
      <c r="I3691" s="49">
        <f>TRUNC((G3691*H3691-G3691),8)</f>
        <v/>
      </c>
      <c r="J3691" s="4">
        <f>G3691+I3691</f>
        <v/>
      </c>
      <c r="K3691" s="256" t="n"/>
      <c r="L3691" s="256" t="n"/>
      <c r="M3691" s="256" t="n"/>
      <c r="N3691" s="256" t="n"/>
      <c r="O3691" s="256" t="n"/>
      <c r="P3691" s="256" t="n"/>
      <c r="Q3691" s="256" t="n"/>
    </row>
    <row r="3692">
      <c r="A3692">
        <f>IF(DAY(D3692)=DAY($L$1+1),A3691+1,A3691)</f>
        <v/>
      </c>
      <c r="B3692" s="46">
        <f>IF(DAY(D3692)=DAY($L$1+1),1,B3691+1)</f>
        <v/>
      </c>
      <c r="C3692" s="46">
        <f>IF(DAY(D3692)=DAY($L$1+1),1,C3691+1)</f>
        <v/>
      </c>
      <c r="D3692" s="2">
        <f>D3691+1</f>
        <v/>
      </c>
      <c r="E3692" s="8">
        <f>IF(DAY(D3692)=DAY($L$1+1),TRUNC((N3691),8),E3691)</f>
        <v/>
      </c>
      <c r="F3692" s="49">
        <f>TRUNC(((1+VLOOKUP(A3692,IPCA!$A$2:$C$140,3,0)))^(C3692/(EDATE(D3692-C3692,1)-(D3692-C3692))),8)</f>
        <v/>
      </c>
      <c r="G3692" s="4">
        <f>TRUNC((E3692*F3692),8)</f>
        <v/>
      </c>
      <c r="H3692" s="4">
        <f>ROUND(((1+$H$4)^(30/360))^(C3692/(EDATE(D3692-B3692,1)-(D3692-B3692))),9)</f>
        <v/>
      </c>
      <c r="I3692" s="49">
        <f>TRUNC((G3692*H3692-G3692),8)</f>
        <v/>
      </c>
      <c r="J3692" s="4">
        <f>G3692+I3692</f>
        <v/>
      </c>
      <c r="K3692" s="256" t="n"/>
      <c r="L3692" s="256" t="n"/>
      <c r="M3692" s="256" t="n"/>
      <c r="N3692" s="256" t="n"/>
      <c r="O3692" s="256" t="n"/>
      <c r="P3692" s="256" t="n"/>
      <c r="Q3692" s="256" t="n"/>
    </row>
    <row r="3693">
      <c r="A3693">
        <f>IF(DAY(D3693)=DAY($L$1+1),A3692+1,A3692)</f>
        <v/>
      </c>
      <c r="B3693" s="1">
        <f>IF(DAY(D3693)=DAY($L$1+1),1,B3692+1)</f>
        <v/>
      </c>
      <c r="C3693" s="1">
        <f>IF(DAY(D3693)=DAY($L$1+1),1,C3692+1)</f>
        <v/>
      </c>
      <c r="D3693" s="2">
        <f>D3692+1</f>
        <v/>
      </c>
      <c r="E3693" s="8">
        <f>IF(DAY(D3693)=DAY($L$1+1),TRUNC((N3692),8),E3692)</f>
        <v/>
      </c>
      <c r="F3693" s="49">
        <f>TRUNC(((1+VLOOKUP(A3693,IPCA!$A$2:$C$140,3,0)))^(C3693/(EDATE(D3693-C3693,1)-(D3693-C3693))),8)</f>
        <v/>
      </c>
      <c r="G3693" s="4">
        <f>TRUNC((E3693*F3693),8)</f>
        <v/>
      </c>
      <c r="H3693" s="4">
        <f>ROUND(((1+$H$4)^(30/360))^(C3693/(EDATE(D3693-B3693,1)-(D3693-B3693))),9)</f>
        <v/>
      </c>
      <c r="I3693" s="49">
        <f>TRUNC((G3693*H3693-G3693),8)</f>
        <v/>
      </c>
      <c r="J3693" s="4">
        <f>G3693+I3693</f>
        <v/>
      </c>
      <c r="K3693" s="256" t="n"/>
      <c r="L3693" s="256" t="n"/>
      <c r="M3693" s="256" t="n"/>
      <c r="N3693" s="256" t="n"/>
      <c r="O3693" s="256" t="n"/>
      <c r="P3693" s="256" t="n"/>
      <c r="Q3693" s="256" t="n"/>
    </row>
    <row r="3694">
      <c r="A3694">
        <f>IF(DAY(D3694)=DAY($L$1+1),A3693+1,A3693)</f>
        <v/>
      </c>
      <c r="B3694" s="46">
        <f>IF(DAY(D3694)=DAY($L$1+1),1,B3693+1)</f>
        <v/>
      </c>
      <c r="C3694" s="46">
        <f>IF(DAY(D3694)=DAY($L$1+1),1,C3693+1)</f>
        <v/>
      </c>
      <c r="D3694" s="2">
        <f>D3693+1</f>
        <v/>
      </c>
      <c r="E3694" s="8">
        <f>IF(DAY(D3694)=DAY($L$1+1),TRUNC((N3693),8),E3693)</f>
        <v/>
      </c>
      <c r="F3694" s="49">
        <f>TRUNC(((1+VLOOKUP(A3694,IPCA!$A$2:$C$140,3,0)))^(C3694/(EDATE(D3694-C3694,1)-(D3694-C3694))),8)</f>
        <v/>
      </c>
      <c r="G3694" s="4">
        <f>TRUNC((E3694*F3694),8)</f>
        <v/>
      </c>
      <c r="H3694" s="4">
        <f>ROUND(((1+$H$4)^(30/360))^(C3694/(EDATE(D3694-B3694,1)-(D3694-B3694))),9)</f>
        <v/>
      </c>
      <c r="I3694" s="49">
        <f>TRUNC((G3694*H3694-G3694),8)</f>
        <v/>
      </c>
      <c r="J3694" s="4">
        <f>G3694+I3694</f>
        <v/>
      </c>
      <c r="K3694" s="256" t="n"/>
      <c r="L3694" s="256" t="n"/>
      <c r="M3694" s="256" t="n"/>
      <c r="N3694" s="256" t="n"/>
      <c r="O3694" s="256" t="n"/>
      <c r="P3694" s="256" t="n"/>
      <c r="Q3694" s="256" t="n"/>
    </row>
    <row r="3695">
      <c r="A3695">
        <f>IF(DAY(D3695)=DAY($L$1+1),A3694+1,A3694)</f>
        <v/>
      </c>
      <c r="B3695" s="1">
        <f>IF(DAY(D3695)=DAY($L$1+1),1,B3694+1)</f>
        <v/>
      </c>
      <c r="C3695" s="1">
        <f>IF(DAY(D3695)=DAY($L$1+1),1,C3694+1)</f>
        <v/>
      </c>
      <c r="D3695" s="2">
        <f>D3694+1</f>
        <v/>
      </c>
      <c r="E3695" s="8">
        <f>IF(DAY(D3695)=DAY($L$1+1),TRUNC((N3694),8),E3694)</f>
        <v/>
      </c>
      <c r="F3695" s="49">
        <f>TRUNC(((1+VLOOKUP(A3695,IPCA!$A$2:$C$140,3,0)))^(C3695/(EDATE(D3695-C3695,1)-(D3695-C3695))),8)</f>
        <v/>
      </c>
      <c r="G3695" s="4">
        <f>TRUNC((E3695*F3695),8)</f>
        <v/>
      </c>
      <c r="H3695" s="4">
        <f>ROUND(((1+$H$4)^(30/360))^(C3695/(EDATE(D3695-B3695,1)-(D3695-B3695))),9)</f>
        <v/>
      </c>
      <c r="I3695" s="49">
        <f>TRUNC((G3695*H3695-G3695),8)</f>
        <v/>
      </c>
      <c r="J3695" s="4">
        <f>G3695+I3695</f>
        <v/>
      </c>
      <c r="K3695" s="256" t="n"/>
      <c r="L3695" s="256" t="n"/>
      <c r="M3695" s="256" t="n"/>
      <c r="N3695" s="256" t="n"/>
      <c r="O3695" s="256" t="n"/>
      <c r="P3695" s="256" t="n"/>
      <c r="Q3695" s="256" t="n"/>
    </row>
    <row r="3696">
      <c r="A3696">
        <f>IF(DAY(D3696)=DAY($L$1+1),A3695+1,A3695)</f>
        <v/>
      </c>
      <c r="B3696" s="46">
        <f>IF(DAY(D3696)=DAY($L$1+1),1,B3695+1)</f>
        <v/>
      </c>
      <c r="C3696" s="46">
        <f>IF(DAY(D3696)=DAY($L$1+1),1,C3695+1)</f>
        <v/>
      </c>
      <c r="D3696" s="2">
        <f>D3695+1</f>
        <v/>
      </c>
      <c r="E3696" s="8">
        <f>IF(DAY(D3696)=DAY($L$1+1),TRUNC((N3695),8),E3695)</f>
        <v/>
      </c>
      <c r="F3696" s="49">
        <f>TRUNC(((1+VLOOKUP(A3696,IPCA!$A$2:$C$140,3,0)))^(C3696/(EDATE(D3696-C3696,1)-(D3696-C3696))),8)</f>
        <v/>
      </c>
      <c r="G3696" s="4">
        <f>TRUNC((E3696*F3696),8)</f>
        <v/>
      </c>
      <c r="H3696" s="4">
        <f>ROUND(((1+$H$4)^(30/360))^(C3696/(EDATE(D3696-B3696,1)-(D3696-B3696))),9)</f>
        <v/>
      </c>
      <c r="I3696" s="49">
        <f>TRUNC((G3696*H3696-G3696),8)</f>
        <v/>
      </c>
      <c r="J3696" s="4">
        <f>G3696+I3696</f>
        <v/>
      </c>
      <c r="K3696" s="256" t="n"/>
      <c r="L3696" s="256" t="n"/>
      <c r="M3696" s="256" t="n"/>
      <c r="N3696" s="256" t="n"/>
      <c r="O3696" s="256" t="n"/>
      <c r="P3696" s="256" t="n"/>
      <c r="Q3696" s="256" t="n"/>
    </row>
    <row r="3697">
      <c r="A3697">
        <f>IF(DAY(D3697)=DAY($L$1+1),A3696+1,A3696)</f>
        <v/>
      </c>
      <c r="B3697" s="1">
        <f>IF(DAY(D3697)=DAY($L$1+1),1,B3696+1)</f>
        <v/>
      </c>
      <c r="C3697" s="1">
        <f>IF(DAY(D3697)=DAY($L$1+1),1,C3696+1)</f>
        <v/>
      </c>
      <c r="D3697" s="2">
        <f>D3696+1</f>
        <v/>
      </c>
      <c r="E3697" s="8">
        <f>IF(DAY(D3697)=DAY($L$1+1),TRUNC((N3696),8),E3696)</f>
        <v/>
      </c>
      <c r="F3697" s="49">
        <f>TRUNC(((1+VLOOKUP(A3697,IPCA!$A$2:$C$140,3,0)))^(C3697/(EDATE(D3697-C3697,1)-(D3697-C3697))),8)</f>
        <v/>
      </c>
      <c r="G3697" s="4">
        <f>TRUNC((E3697*F3697),8)</f>
        <v/>
      </c>
      <c r="H3697" s="4">
        <f>ROUND(((1+$H$4)^(30/360))^(C3697/(EDATE(D3697-B3697,1)-(D3697-B3697))),9)</f>
        <v/>
      </c>
      <c r="I3697" s="49">
        <f>TRUNC((G3697*H3697-G3697),8)</f>
        <v/>
      </c>
      <c r="J3697" s="4">
        <f>G3697+I3697</f>
        <v/>
      </c>
      <c r="K3697" s="256" t="n"/>
      <c r="L3697" s="256" t="n"/>
      <c r="M3697" s="256" t="n"/>
      <c r="N3697" s="256" t="n"/>
      <c r="O3697" s="256" t="n"/>
      <c r="P3697" s="256" t="n"/>
      <c r="Q3697" s="256" t="n"/>
    </row>
    <row r="3698">
      <c r="A3698">
        <f>IF(DAY(D3698)=DAY($L$1+1),A3697+1,A3697)</f>
        <v/>
      </c>
      <c r="B3698" s="46">
        <f>IF(DAY(D3698)=DAY($L$1+1),1,B3697+1)</f>
        <v/>
      </c>
      <c r="C3698" s="46">
        <f>IF(DAY(D3698)=DAY($L$1+1),1,C3697+1)</f>
        <v/>
      </c>
      <c r="D3698" s="2">
        <f>D3697+1</f>
        <v/>
      </c>
      <c r="E3698" s="8">
        <f>IF(DAY(D3698)=DAY($L$1+1),TRUNC((N3697),8),E3697)</f>
        <v/>
      </c>
      <c r="F3698" s="49">
        <f>TRUNC(((1+VLOOKUP(A3698,IPCA!$A$2:$C$140,3,0)))^(C3698/(EDATE(D3698-C3698,1)-(D3698-C3698))),8)</f>
        <v/>
      </c>
      <c r="G3698" s="4">
        <f>TRUNC((E3698*F3698),8)</f>
        <v/>
      </c>
      <c r="H3698" s="4">
        <f>ROUND(((1+$H$4)^(30/360))^(C3698/(EDATE(D3698-B3698,1)-(D3698-B3698))),9)</f>
        <v/>
      </c>
      <c r="I3698" s="49">
        <f>TRUNC((G3698*H3698-G3698),8)</f>
        <v/>
      </c>
      <c r="J3698" s="4">
        <f>G3698+I3698</f>
        <v/>
      </c>
      <c r="K3698" s="256" t="n"/>
      <c r="L3698" s="256" t="n"/>
      <c r="M3698" s="256" t="n"/>
      <c r="N3698" s="256" t="n"/>
      <c r="O3698" s="256" t="n"/>
      <c r="P3698" s="256" t="n"/>
      <c r="Q3698" s="256" t="n"/>
    </row>
    <row r="3699">
      <c r="A3699">
        <f>IF(DAY(D3699)=DAY($L$1+1),A3698+1,A3698)</f>
        <v/>
      </c>
      <c r="B3699" s="1">
        <f>IF(DAY(D3699)=DAY($L$1+1),1,B3698+1)</f>
        <v/>
      </c>
      <c r="C3699" s="1">
        <f>IF(DAY(D3699)=DAY($L$1+1),1,C3698+1)</f>
        <v/>
      </c>
      <c r="D3699" s="2">
        <f>D3698+1</f>
        <v/>
      </c>
      <c r="E3699" s="8">
        <f>IF(DAY(D3699)=DAY($L$1+1),TRUNC((N3698),8),E3698)</f>
        <v/>
      </c>
      <c r="F3699" s="49">
        <f>TRUNC(((1+VLOOKUP(A3699,IPCA!$A$2:$C$140,3,0)))^(C3699/(EDATE(D3699-C3699,1)-(D3699-C3699))),8)</f>
        <v/>
      </c>
      <c r="G3699" s="4">
        <f>TRUNC((E3699*F3699),8)</f>
        <v/>
      </c>
      <c r="H3699" s="4">
        <f>ROUND(((1+$H$4)^(30/360))^(C3699/(EDATE(D3699-B3699,1)-(D3699-B3699))),9)</f>
        <v/>
      </c>
      <c r="I3699" s="49">
        <f>TRUNC((G3699*H3699-G3699),8)</f>
        <v/>
      </c>
      <c r="J3699" s="4">
        <f>G3699+I3699</f>
        <v/>
      </c>
      <c r="K3699" s="256" t="n"/>
      <c r="L3699" s="256" t="n"/>
      <c r="M3699" s="256" t="n"/>
      <c r="N3699" s="256" t="n"/>
      <c r="O3699" s="256" t="n"/>
      <c r="P3699" s="256" t="n"/>
      <c r="Q3699" s="256" t="n"/>
    </row>
    <row r="3700">
      <c r="A3700">
        <f>IF(DAY(D3700)=DAY($L$1+1),A3699+1,A3699)</f>
        <v/>
      </c>
      <c r="B3700" s="46">
        <f>IF(DAY(D3700)=DAY($L$1+1),1,B3699+1)</f>
        <v/>
      </c>
      <c r="C3700" s="46">
        <f>IF(DAY(D3700)=DAY($L$1+1),1,C3699+1)</f>
        <v/>
      </c>
      <c r="D3700" s="2">
        <f>D3699+1</f>
        <v/>
      </c>
      <c r="E3700" s="8">
        <f>IF(DAY(D3700)=DAY($L$1+1),TRUNC((N3699),8),E3699)</f>
        <v/>
      </c>
      <c r="F3700" s="49">
        <f>TRUNC(((1+VLOOKUP(A3700,IPCA!$A$2:$C$140,3,0)))^(C3700/(EDATE(D3700-C3700,1)-(D3700-C3700))),8)</f>
        <v/>
      </c>
      <c r="G3700" s="4">
        <f>TRUNC((E3700*F3700),8)</f>
        <v/>
      </c>
      <c r="H3700" s="4">
        <f>ROUND(((1+$H$4)^(30/360))^(C3700/(EDATE(D3700-B3700,1)-(D3700-B3700))),9)</f>
        <v/>
      </c>
      <c r="I3700" s="49">
        <f>TRUNC((G3700*H3700-G3700),8)</f>
        <v/>
      </c>
      <c r="J3700" s="4">
        <f>G3700+I3700</f>
        <v/>
      </c>
      <c r="K3700" s="256" t="n"/>
      <c r="L3700" s="256" t="n"/>
      <c r="M3700" s="256" t="n"/>
      <c r="N3700" s="256" t="n"/>
      <c r="O3700" s="256" t="n"/>
      <c r="P3700" s="256" t="n"/>
      <c r="Q3700" s="256" t="n"/>
    </row>
    <row r="3701">
      <c r="A3701">
        <f>IF(DAY(D3701)=DAY($L$1+1),A3700+1,A3700)</f>
        <v/>
      </c>
      <c r="B3701" s="46">
        <f>IF(DAY(D3701)=DAY($L$1+1),1,B3700+1)</f>
        <v/>
      </c>
      <c r="C3701" s="46">
        <f>IF(DAY(D3701)=DAY($L$1+1),1,C3700+1)</f>
        <v/>
      </c>
      <c r="D3701" s="2">
        <f>D3700+1</f>
        <v/>
      </c>
      <c r="E3701" s="8">
        <f>IF(DAY(D3701)=DAY($L$1+1),TRUNC((N3700),8),E3700)</f>
        <v/>
      </c>
      <c r="F3701" s="49">
        <f>TRUNC(((1+VLOOKUP(A3701,IPCA!$A$2:$C$140,3,0)))^(C3701/(EDATE(D3701-C3701,1)-(D3701-C3701))),8)</f>
        <v/>
      </c>
      <c r="G3701" s="4">
        <f>TRUNC((E3701*F3701),8)</f>
        <v/>
      </c>
      <c r="H3701" s="4">
        <f>ROUND(((1+$H$4)^(30/360))^(C3701/(EDATE(D3701-B3701,1)-(D3701-B3701))),9)</f>
        <v/>
      </c>
      <c r="I3701" s="49">
        <f>TRUNC((G3701*H3701-G3701),8)</f>
        <v/>
      </c>
      <c r="J3701" s="4">
        <f>G3701+I3701</f>
        <v/>
      </c>
      <c r="K3701" s="256" t="inlineStr">
        <is>
          <t>Cri Integralizado</t>
        </is>
      </c>
      <c r="L3701" s="270">
        <f>L3670</f>
        <v/>
      </c>
      <c r="M3701" s="256" t="n"/>
      <c r="N3701" s="256" t="n"/>
      <c r="O3701" s="256" t="n"/>
      <c r="P3701" s="256" t="n"/>
      <c r="Q3701" s="256" t="n"/>
    </row>
    <row r="3702">
      <c r="A3702">
        <f>IF(DAY(D3702)=DAY($L$1+1),A3701+1,A3701)</f>
        <v/>
      </c>
      <c r="B3702" s="46">
        <f>IF(DAY(D3702)=DAY($L$1+1),1,B3701+1)</f>
        <v/>
      </c>
      <c r="C3702" s="46">
        <f>IF(DAY(D3702)=DAY($L$1+1),1,C3701+1)</f>
        <v/>
      </c>
      <c r="D3702" s="47">
        <f>D3701+1</f>
        <v/>
      </c>
      <c r="E3702" s="8">
        <f>IF(DAY(D3702)=DAY($L$1+1),TRUNC((N3701),8),E3701)</f>
        <v/>
      </c>
      <c r="F3702" s="49">
        <f>TRUNC(((1+VLOOKUP(A3702,IPCA!$A$2:$C$140,3,0)))^(C3702/(EDATE(D3702-C3702,1)-(D3702-C3702))),8)</f>
        <v/>
      </c>
      <c r="G3702" s="4">
        <f>TRUNC((E3702*F3702),8)</f>
        <v/>
      </c>
      <c r="H3702" s="4">
        <f>ROUND(((1+$H$4)^(30/360))^(C3702/(EDATE(D3702-B3702,1)-(D3702-B3702))),9)</f>
        <v/>
      </c>
      <c r="I3702" s="49">
        <f>TRUNC((G3702*H3702-G3702),8)</f>
        <v/>
      </c>
      <c r="J3702" s="4">
        <f>G3702+I3702</f>
        <v/>
      </c>
      <c r="K3702" s="137" t="inlineStr">
        <is>
          <t>JUROS</t>
        </is>
      </c>
      <c r="L3702" s="118" t="inlineStr">
        <is>
          <t>AMORTIZAÇÃO</t>
        </is>
      </c>
      <c r="M3702" s="118" t="inlineStr">
        <is>
          <t>AMEX</t>
        </is>
      </c>
      <c r="N3702" s="118" t="inlineStr">
        <is>
          <t>RESIDUAL</t>
        </is>
      </c>
      <c r="O3702" s="256" t="n"/>
      <c r="P3702" s="256" t="n"/>
      <c r="Q3702" s="256" t="n"/>
    </row>
    <row r="3703">
      <c r="A3703">
        <f>IF(DAY(D3703)=DAY($L$1+1),A3702+1,A3702)</f>
        <v/>
      </c>
      <c r="B3703" s="111">
        <f>IF(DAY(D3703)=DAY($L$1+1),1,B3702+1)</f>
        <v/>
      </c>
      <c r="C3703" s="111">
        <f>IF(DAY(D3703)=DAY($L$1+1),1,C3702+1)</f>
        <v/>
      </c>
      <c r="D3703" s="112">
        <f>D3702+1</f>
        <v/>
      </c>
      <c r="E3703" s="113">
        <f>IF(DAY(D3703)=DAY($L$1+1),TRUNC((N3702),8),E3702)</f>
        <v/>
      </c>
      <c r="F3703" s="114">
        <f>TRUNC(((1+VLOOKUP(A3703,IPCA!$A$2:$C$140,3,0)))^(C3703/(EDATE(D3703-C3703,1)-(D3703-C3703))),8)</f>
        <v/>
      </c>
      <c r="G3703" s="114">
        <f>TRUNC((E3703*F3703),8)</f>
        <v/>
      </c>
      <c r="H3703" s="114">
        <f>ROUND(((1+$H$4)^(30/360))^(C3703/(EDATE(D3703-B3703,1)-(D3703-B3703))),9)</f>
        <v/>
      </c>
      <c r="I3703" s="114">
        <f>TRUNC((G3703*H3703-G3703),8)</f>
        <v/>
      </c>
      <c r="J3703" s="114">
        <f>G3703+I3703</f>
        <v/>
      </c>
      <c r="K3703" s="119">
        <f>I3703</f>
        <v/>
      </c>
      <c r="L3703" s="120">
        <f>TRUNC(G3703*VLOOKUP(D3703,'Amort TS'!$G$3:$H$140,2,0),8)</f>
        <v/>
      </c>
      <c r="M3703" s="120" t="n">
        <v>0</v>
      </c>
      <c r="N3703" s="120">
        <f>J3703-K3703-L3703-M3703</f>
        <v/>
      </c>
      <c r="O3703" s="256" t="n"/>
      <c r="P3703" s="256" t="n"/>
      <c r="Q3703" s="256" t="n"/>
    </row>
    <row r="3704">
      <c r="A3704">
        <f>IF(DAY(D3704)=DAY($L$1+1),A3703+1,A3703)</f>
        <v/>
      </c>
      <c r="B3704" s="46">
        <f>IF(DAY(D3704)=DAY($L$1+1),1,B3703+1)</f>
        <v/>
      </c>
      <c r="C3704" s="46">
        <f>IF(DAY(D3704)=DAY($L$1+1),1,C3703+1)</f>
        <v/>
      </c>
      <c r="D3704" s="2">
        <f>D3703+1</f>
        <v/>
      </c>
      <c r="E3704" s="8">
        <f>IF(DAY(D3704)=DAY($L$1+1),TRUNC((N3703),8),E3703)</f>
        <v/>
      </c>
      <c r="F3704" s="49">
        <f>TRUNC(((1+VLOOKUP(A3704,IPCA!$A$2:$C$140,3,0)))^(C3704/(EDATE(D3704-C3704,1)-(D3704-C3704))),8)</f>
        <v/>
      </c>
      <c r="G3704" s="4">
        <f>TRUNC((E3704*F3704),8)</f>
        <v/>
      </c>
      <c r="H3704" s="4">
        <f>ROUND(((1+$H$4)^(30/360))^(C3704/(EDATE(D3704-B3704,1)-(D3704-B3704))),9)</f>
        <v/>
      </c>
      <c r="I3704" s="49">
        <f>TRUNC((G3704*H3704-G3704),8)</f>
        <v/>
      </c>
      <c r="J3704" s="4">
        <f>G3704+I3704</f>
        <v/>
      </c>
      <c r="K3704" s="121">
        <f>K3703*L3701</f>
        <v/>
      </c>
      <c r="L3704" s="121">
        <f>L3703*L3701</f>
        <v/>
      </c>
      <c r="M3704" s="121">
        <f>M3703*L3701</f>
        <v/>
      </c>
      <c r="N3704" s="121">
        <f>N3703*L3701</f>
        <v/>
      </c>
      <c r="O3704" s="256" t="n"/>
      <c r="P3704" s="256" t="n"/>
      <c r="Q3704" s="256" t="n"/>
    </row>
    <row r="3705">
      <c r="A3705">
        <f>IF(DAY(D3705)=DAY($L$1+1),A3704+1,A3704)</f>
        <v/>
      </c>
      <c r="B3705" s="46">
        <f>IF(DAY(D3705)=DAY($L$1+1),1,B3704+1)</f>
        <v/>
      </c>
      <c r="C3705" s="46">
        <f>IF(DAY(D3705)=DAY($L$1+1),1,C3704+1)</f>
        <v/>
      </c>
      <c r="D3705" s="47">
        <f>D3704+1</f>
        <v/>
      </c>
      <c r="E3705" s="8">
        <f>IF(DAY(D3705)=DAY($L$1+1),TRUNC((N3704),8),E3704)</f>
        <v/>
      </c>
      <c r="F3705" s="49">
        <f>TRUNC(((1+VLOOKUP(A3705,IPCA!$A$2:$C$140,3,0)))^(C3705/(EDATE(D3705-C3705,1)-(D3705-C3705))),8)</f>
        <v/>
      </c>
      <c r="G3705" s="4">
        <f>TRUNC((E3705*F3705),8)</f>
        <v/>
      </c>
      <c r="H3705" s="4">
        <f>ROUND(((1+$H$4)^(30/360))^(C3705/(EDATE(D3705-B3705,1)-(D3705-B3705))),9)</f>
        <v/>
      </c>
      <c r="I3705" s="49">
        <f>TRUNC((G3705*H3705-G3705),8)</f>
        <v/>
      </c>
      <c r="J3705" s="4">
        <f>G3705+I3705</f>
        <v/>
      </c>
      <c r="K3705" s="256" t="n"/>
      <c r="L3705" s="256" t="n"/>
      <c r="M3705" s="256" t="n"/>
      <c r="N3705" s="256" t="n"/>
      <c r="O3705" s="256" t="n"/>
      <c r="P3705" s="256" t="n"/>
      <c r="Q3705" s="256" t="n"/>
    </row>
    <row r="3706">
      <c r="A3706">
        <f>IF(DAY(D3706)=DAY($L$1+1),A3705+1,A3705)</f>
        <v/>
      </c>
      <c r="B3706" s="46">
        <f>IF(DAY(D3706)=DAY($L$1+1),1,B3705+1)</f>
        <v/>
      </c>
      <c r="C3706" s="46">
        <f>IF(DAY(D3706)=DAY($L$1+1),1,C3705+1)</f>
        <v/>
      </c>
      <c r="D3706" s="2">
        <f>D3705+1</f>
        <v/>
      </c>
      <c r="E3706" s="8">
        <f>IF(DAY(D3706)=DAY($L$1+1),TRUNC((#REF!),8),E3705)</f>
        <v/>
      </c>
      <c r="F3706" s="49">
        <f>TRUNC(((1+VLOOKUP(A3706,IPCA!$A$2:$C$140,3,0)))^(C3706/(EDATE(D3706-C3706,1)-(D3706-C3706))),8)</f>
        <v/>
      </c>
      <c r="G3706" s="4">
        <f>TRUNC((E3706*F3706),8)</f>
        <v/>
      </c>
      <c r="H3706" s="4">
        <f>ROUND(((1+$H$4)^(30/360))^(C3706/(EDATE(D3706-B3706,1)-(D3706-B3706))),9)</f>
        <v/>
      </c>
      <c r="I3706" s="49">
        <f>TRUNC((G3706*H3706-G3706),8)</f>
        <v/>
      </c>
      <c r="J3706" s="4">
        <f>G3706+I3706</f>
        <v/>
      </c>
      <c r="K3706" s="256" t="n"/>
      <c r="L3706" s="256" t="n"/>
      <c r="M3706" s="256" t="n"/>
      <c r="N3706" s="256" t="n"/>
      <c r="O3706" s="256" t="n"/>
      <c r="P3706" s="256" t="n"/>
      <c r="Q3706" s="256" t="n"/>
    </row>
    <row r="3707">
      <c r="A3707">
        <f>IF(DAY(D3707)=DAY($L$1+1),A3706+1,A3706)</f>
        <v/>
      </c>
      <c r="B3707" s="1">
        <f>IF(DAY(D3707)=DAY($L$1+1),1,B3706+1)</f>
        <v/>
      </c>
      <c r="C3707" s="1">
        <f>IF(DAY(D3707)=DAY($L$1+1),1,C3706+1)</f>
        <v/>
      </c>
      <c r="D3707" s="2">
        <f>D3706+1</f>
        <v/>
      </c>
      <c r="E3707" s="8">
        <f>IF(DAY(D3707)=DAY($L$1+1),TRUNC((#REF!),8),E3706)</f>
        <v/>
      </c>
      <c r="F3707" s="49">
        <f>TRUNC(((1+VLOOKUP(A3707,IPCA!$A$2:$C$140,3,0)))^(C3707/(EDATE(D3707-C3707,1)-(D3707-C3707))),8)</f>
        <v/>
      </c>
      <c r="G3707" s="4">
        <f>TRUNC((E3707*F3707),8)</f>
        <v/>
      </c>
      <c r="H3707" s="4">
        <f>ROUND(((1+$H$4)^(30/360))^(C3707/(EDATE(D3707-B3707,1)-(D3707-B3707))),9)</f>
        <v/>
      </c>
      <c r="I3707" s="49">
        <f>TRUNC((G3707*H3707-G3707),8)</f>
        <v/>
      </c>
      <c r="J3707" s="4">
        <f>G3707+I3707</f>
        <v/>
      </c>
      <c r="K3707" s="256" t="n"/>
      <c r="L3707" s="256" t="n"/>
      <c r="M3707" s="256" t="n"/>
      <c r="N3707" s="256" t="n"/>
      <c r="O3707" s="256" t="n"/>
      <c r="P3707" s="256" t="n"/>
      <c r="Q3707" s="256" t="n"/>
    </row>
    <row r="3708">
      <c r="A3708">
        <f>IF(DAY(D3708)=DAY($L$1+1),A3707+1,A3707)</f>
        <v/>
      </c>
      <c r="B3708" s="46">
        <f>IF(DAY(D3708)=DAY($L$1+1),1,B3707+1)</f>
        <v/>
      </c>
      <c r="C3708" s="46">
        <f>IF(DAY(D3708)=DAY($L$1+1),1,C3707+1)</f>
        <v/>
      </c>
      <c r="D3708" s="2">
        <f>D3707+1</f>
        <v/>
      </c>
      <c r="E3708" s="8">
        <f>IF(DAY(D3708)=DAY($L$1+1),TRUNC((#REF!),8),E3707)</f>
        <v/>
      </c>
      <c r="F3708" s="49">
        <f>TRUNC(((1+VLOOKUP(A3708,IPCA!$A$2:$C$140,3,0)))^(C3708/(EDATE(D3708-C3708,1)-(D3708-C3708))),8)</f>
        <v/>
      </c>
      <c r="G3708" s="4">
        <f>TRUNC((E3708*F3708),8)</f>
        <v/>
      </c>
      <c r="H3708" s="4">
        <f>ROUND(((1+$H$4)^(30/360))^(C3708/(EDATE(D3708-B3708,1)-(D3708-B3708))),9)</f>
        <v/>
      </c>
      <c r="I3708" s="49">
        <f>TRUNC((G3708*H3708-G3708),8)</f>
        <v/>
      </c>
      <c r="J3708" s="4">
        <f>G3708+I3708</f>
        <v/>
      </c>
      <c r="K3708" s="256" t="n"/>
      <c r="L3708" s="256" t="n"/>
      <c r="M3708" s="256" t="n"/>
      <c r="N3708" s="256" t="n"/>
      <c r="O3708" s="256" t="n"/>
      <c r="P3708" s="256" t="n"/>
      <c r="Q3708" s="256" t="n"/>
    </row>
    <row r="3709">
      <c r="A3709">
        <f>IF(DAY(D3709)=DAY($L$1+1),A3708+1,A3708)</f>
        <v/>
      </c>
      <c r="B3709" s="1">
        <f>IF(DAY(D3709)=DAY($L$1+1),1,B3708+1)</f>
        <v/>
      </c>
      <c r="C3709" s="1">
        <f>IF(DAY(D3709)=DAY($L$1+1),1,C3708+1)</f>
        <v/>
      </c>
      <c r="D3709" s="2">
        <f>D3708+1</f>
        <v/>
      </c>
      <c r="E3709" s="8">
        <f>IF(DAY(D3709)=DAY($L$1+1),TRUNC((#REF!),8),E3708)</f>
        <v/>
      </c>
      <c r="F3709" s="49">
        <f>TRUNC(((1+VLOOKUP(A3709,IPCA!$A$2:$C$140,3,0)))^(C3709/(EDATE(D3709-C3709,1)-(D3709-C3709))),8)</f>
        <v/>
      </c>
      <c r="G3709" s="4">
        <f>TRUNC((E3709*F3709),8)</f>
        <v/>
      </c>
      <c r="H3709" s="4">
        <f>ROUND(((1+$H$4)^(30/360))^(C3709/(EDATE(D3709-B3709,1)-(D3709-B3709))),9)</f>
        <v/>
      </c>
      <c r="I3709" s="49">
        <f>TRUNC((G3709*H3709-G3709),8)</f>
        <v/>
      </c>
      <c r="J3709" s="4">
        <f>G3709+I3709</f>
        <v/>
      </c>
      <c r="K3709" s="256" t="n"/>
      <c r="L3709" s="256" t="n"/>
      <c r="M3709" s="256" t="n"/>
      <c r="N3709" s="256" t="n"/>
      <c r="O3709" s="256" t="n"/>
      <c r="P3709" s="256" t="n"/>
      <c r="Q3709" s="256" t="n"/>
    </row>
    <row r="3710">
      <c r="A3710">
        <f>IF(DAY(D3710)=DAY($L$1+1),A3709+1,A3709)</f>
        <v/>
      </c>
      <c r="B3710" s="46">
        <f>IF(DAY(D3710)=DAY($L$1+1),1,B3709+1)</f>
        <v/>
      </c>
      <c r="C3710" s="46">
        <f>IF(DAY(D3710)=DAY($L$1+1),1,C3709+1)</f>
        <v/>
      </c>
      <c r="D3710" s="2">
        <f>D3709+1</f>
        <v/>
      </c>
      <c r="E3710" s="8">
        <f>IF(DAY(D3710)=DAY($L$1+1),TRUNC((#REF!),8),E3709)</f>
        <v/>
      </c>
      <c r="F3710" s="49">
        <f>TRUNC(((1+VLOOKUP(A3710,IPCA!$A$2:$C$140,3,0)))^(C3710/(EDATE(D3710-C3710,1)-(D3710-C3710))),8)</f>
        <v/>
      </c>
      <c r="G3710" s="4">
        <f>TRUNC((E3710*F3710),8)</f>
        <v/>
      </c>
      <c r="H3710" s="4">
        <f>ROUND(((1+$H$4)^(30/360))^(C3710/(EDATE(D3710-B3710,1)-(D3710-B3710))),9)</f>
        <v/>
      </c>
      <c r="I3710" s="49">
        <f>TRUNC((G3710*H3710-G3710),8)</f>
        <v/>
      </c>
      <c r="J3710" s="4">
        <f>G3710+I3710</f>
        <v/>
      </c>
      <c r="K3710" s="256" t="n"/>
      <c r="L3710" s="256" t="n"/>
      <c r="M3710" s="256" t="n"/>
      <c r="N3710" s="256" t="n"/>
      <c r="O3710" s="256" t="n"/>
      <c r="P3710" s="256" t="n"/>
      <c r="Q3710" s="256" t="n"/>
    </row>
    <row r="3711">
      <c r="A3711">
        <f>IF(DAY(D3711)=DAY($L$1+1),A3710+1,A3710)</f>
        <v/>
      </c>
      <c r="B3711" s="1">
        <f>IF(DAY(D3711)=DAY($L$1+1),1,B3710+1)</f>
        <v/>
      </c>
      <c r="C3711" s="1">
        <f>IF(DAY(D3711)=DAY($L$1+1),1,C3710+1)</f>
        <v/>
      </c>
      <c r="D3711" s="2">
        <f>D3710+1</f>
        <v/>
      </c>
      <c r="E3711" s="8">
        <f>IF(DAY(D3711)=DAY($L$1+1),TRUNC((#REF!),8),E3710)</f>
        <v/>
      </c>
      <c r="F3711" s="49">
        <f>TRUNC(((1+VLOOKUP(A3711,IPCA!$A$2:$C$140,3,0)))^(C3711/(EDATE(D3711-C3711,1)-(D3711-C3711))),8)</f>
        <v/>
      </c>
      <c r="G3711" s="4">
        <f>TRUNC((E3711*F3711),8)</f>
        <v/>
      </c>
      <c r="H3711" s="4">
        <f>ROUND(((1+$H$4)^(30/360))^(C3711/(EDATE(D3711-B3711,1)-(D3711-B3711))),9)</f>
        <v/>
      </c>
      <c r="I3711" s="49">
        <f>TRUNC((G3711*H3711-G3711),8)</f>
        <v/>
      </c>
      <c r="J3711" s="4">
        <f>G3711+I3711</f>
        <v/>
      </c>
      <c r="K3711" s="256" t="n"/>
      <c r="L3711" s="256" t="n"/>
      <c r="M3711" s="256" t="n"/>
      <c r="N3711" s="256" t="n"/>
      <c r="O3711" s="256" t="n"/>
      <c r="P3711" s="256" t="n"/>
      <c r="Q3711" s="256" t="n"/>
    </row>
    <row r="3712">
      <c r="A3712">
        <f>IF(DAY(D3712)=DAY($L$1+1),A3711+1,A3711)</f>
        <v/>
      </c>
      <c r="B3712" s="46">
        <f>IF(DAY(D3712)=DAY($L$1+1),1,B3711+1)</f>
        <v/>
      </c>
      <c r="C3712" s="46">
        <f>IF(DAY(D3712)=DAY($L$1+1),1,C3711+1)</f>
        <v/>
      </c>
      <c r="D3712" s="2">
        <f>D3711+1</f>
        <v/>
      </c>
      <c r="E3712" s="8">
        <f>IF(DAY(D3712)=DAY($L$1+1),TRUNC((#REF!),8),E3711)</f>
        <v/>
      </c>
      <c r="F3712" s="49">
        <f>TRUNC(((1+VLOOKUP(A3712,IPCA!$A$2:$C$140,3,0)))^(C3712/(EDATE(D3712-C3712,1)-(D3712-C3712))),8)</f>
        <v/>
      </c>
      <c r="G3712" s="4">
        <f>TRUNC((E3712*F3712),8)</f>
        <v/>
      </c>
      <c r="H3712" s="4">
        <f>ROUND(((1+$H$4)^(30/360))^(C3712/(EDATE(D3712-B3712,1)-(D3712-B3712))),9)</f>
        <v/>
      </c>
      <c r="I3712" s="49">
        <f>TRUNC((G3712*H3712-G3712),8)</f>
        <v/>
      </c>
      <c r="J3712" s="4">
        <f>G3712+I3712</f>
        <v/>
      </c>
      <c r="K3712" s="256" t="n"/>
      <c r="L3712" s="256" t="n"/>
      <c r="M3712" s="256" t="n"/>
      <c r="N3712" s="256" t="n"/>
      <c r="O3712" s="256" t="n"/>
      <c r="P3712" s="256" t="n"/>
      <c r="Q3712" s="256" t="n"/>
    </row>
    <row r="3713">
      <c r="A3713">
        <f>IF(DAY(D3713)=DAY($L$1+1),A3712+1,A3712)</f>
        <v/>
      </c>
      <c r="B3713" s="1">
        <f>IF(DAY(D3713)=DAY($L$1+1),1,B3712+1)</f>
        <v/>
      </c>
      <c r="C3713" s="1">
        <f>IF(DAY(D3713)=DAY($L$1+1),1,C3712+1)</f>
        <v/>
      </c>
      <c r="D3713" s="2">
        <f>D3712+1</f>
        <v/>
      </c>
      <c r="E3713" s="8">
        <f>IF(DAY(D3713)=DAY($L$1+1),TRUNC((#REF!),8),E3712)</f>
        <v/>
      </c>
      <c r="F3713" s="49">
        <f>TRUNC(((1+VLOOKUP(A3713,IPCA!$A$2:$C$140,3,0)))^(C3713/(EDATE(D3713-C3713,1)-(D3713-C3713))),8)</f>
        <v/>
      </c>
      <c r="G3713" s="4">
        <f>TRUNC((E3713*F3713),8)</f>
        <v/>
      </c>
      <c r="H3713" s="4">
        <f>ROUND(((1+$H$4)^(30/360))^(C3713/(EDATE(D3713-B3713,1)-(D3713-B3713))),9)</f>
        <v/>
      </c>
      <c r="I3713" s="49">
        <f>TRUNC((G3713*H3713-G3713),8)</f>
        <v/>
      </c>
      <c r="J3713" s="4">
        <f>G3713+I3713</f>
        <v/>
      </c>
      <c r="K3713" s="256" t="n"/>
      <c r="L3713" s="256" t="n"/>
      <c r="M3713" s="256" t="n"/>
      <c r="N3713" s="256" t="n"/>
      <c r="O3713" s="256" t="n"/>
      <c r="P3713" s="256" t="n"/>
      <c r="Q3713" s="256" t="n"/>
    </row>
    <row r="3714">
      <c r="A3714">
        <f>IF(DAY(D3714)=DAY($L$1+1),A3713+1,A3713)</f>
        <v/>
      </c>
      <c r="B3714" s="46">
        <f>IF(DAY(D3714)=DAY($L$1+1),1,B3713+1)</f>
        <v/>
      </c>
      <c r="C3714" s="46">
        <f>IF(DAY(D3714)=DAY($L$1+1),1,C3713+1)</f>
        <v/>
      </c>
      <c r="D3714" s="2">
        <f>D3713+1</f>
        <v/>
      </c>
      <c r="E3714" s="8">
        <f>IF(DAY(D3714)=DAY($L$1+1),TRUNC((#REF!),8),E3713)</f>
        <v/>
      </c>
      <c r="F3714" s="49">
        <f>TRUNC(((1+VLOOKUP(A3714,IPCA!$A$2:$C$140,3,0)))^(C3714/(EDATE(D3714-C3714,1)-(D3714-C3714))),8)</f>
        <v/>
      </c>
      <c r="G3714" s="4">
        <f>TRUNC((E3714*F3714),8)</f>
        <v/>
      </c>
      <c r="H3714" s="4">
        <f>ROUND(((1+$H$4)^(30/360))^(C3714/(EDATE(D3714-B3714,1)-(D3714-B3714))),9)</f>
        <v/>
      </c>
      <c r="I3714" s="49">
        <f>TRUNC((G3714*H3714-G3714),8)</f>
        <v/>
      </c>
      <c r="J3714" s="4">
        <f>G3714+I3714</f>
        <v/>
      </c>
      <c r="K3714" s="256" t="n"/>
      <c r="L3714" s="256" t="n"/>
      <c r="M3714" s="256" t="n"/>
      <c r="N3714" s="256" t="n"/>
      <c r="O3714" s="256" t="n"/>
      <c r="P3714" s="256" t="n"/>
      <c r="Q3714" s="256" t="n"/>
    </row>
    <row r="3715">
      <c r="A3715">
        <f>IF(DAY(D3715)=DAY($L$1+1),A3714+1,A3714)</f>
        <v/>
      </c>
      <c r="B3715" s="1">
        <f>IF(DAY(D3715)=DAY($L$1+1),1,B3714+1)</f>
        <v/>
      </c>
      <c r="C3715" s="1">
        <f>IF(DAY(D3715)=DAY($L$1+1),1,C3714+1)</f>
        <v/>
      </c>
      <c r="D3715" s="2">
        <f>D3714+1</f>
        <v/>
      </c>
      <c r="E3715" s="8">
        <f>IF(DAY(D3715)=DAY($L$1+1),TRUNC((#REF!),8),E3714)</f>
        <v/>
      </c>
      <c r="F3715" s="49">
        <f>TRUNC(((1+VLOOKUP(A3715,IPCA!$A$2:$C$140,3,0)))^(C3715/(EDATE(D3715-C3715,1)-(D3715-C3715))),8)</f>
        <v/>
      </c>
      <c r="G3715" s="4">
        <f>TRUNC((E3715*F3715),8)</f>
        <v/>
      </c>
      <c r="H3715" s="4">
        <f>ROUND(((1+$H$4)^(30/360))^(C3715/(EDATE(D3715-B3715,1)-(D3715-B3715))),9)</f>
        <v/>
      </c>
      <c r="I3715" s="49">
        <f>TRUNC((G3715*H3715-G3715),8)</f>
        <v/>
      </c>
      <c r="J3715" s="4">
        <f>G3715+I3715</f>
        <v/>
      </c>
      <c r="K3715" s="256" t="n"/>
      <c r="L3715" s="256" t="n"/>
      <c r="M3715" s="256" t="n"/>
      <c r="N3715" s="256" t="n"/>
      <c r="O3715" s="256" t="n"/>
      <c r="P3715" s="256" t="n"/>
      <c r="Q3715" s="256" t="n"/>
    </row>
    <row r="3716">
      <c r="A3716">
        <f>IF(DAY(D3716)=DAY($L$1+1),A3715+1,A3715)</f>
        <v/>
      </c>
      <c r="B3716" s="46">
        <f>IF(DAY(D3716)=DAY($L$1+1),1,B3715+1)</f>
        <v/>
      </c>
      <c r="C3716" s="46">
        <f>IF(DAY(D3716)=DAY($L$1+1),1,C3715+1)</f>
        <v/>
      </c>
      <c r="D3716" s="2">
        <f>D3715+1</f>
        <v/>
      </c>
      <c r="E3716" s="8">
        <f>IF(DAY(D3716)=DAY($L$1+1),TRUNC((#REF!),8),E3715)</f>
        <v/>
      </c>
      <c r="F3716" s="49">
        <f>TRUNC(((1+VLOOKUP(A3716,IPCA!$A$2:$C$140,3,0)))^(C3716/(EDATE(D3716-C3716,1)-(D3716-C3716))),8)</f>
        <v/>
      </c>
      <c r="G3716" s="4">
        <f>TRUNC((E3716*F3716),8)</f>
        <v/>
      </c>
      <c r="H3716" s="4">
        <f>ROUND(((1+$H$4)^(30/360))^(C3716/(EDATE(D3716-B3716,1)-(D3716-B3716))),9)</f>
        <v/>
      </c>
      <c r="I3716" s="49">
        <f>TRUNC((G3716*H3716-G3716),8)</f>
        <v/>
      </c>
      <c r="J3716" s="4">
        <f>G3716+I3716</f>
        <v/>
      </c>
      <c r="K3716" s="256" t="n"/>
      <c r="L3716" s="256" t="n"/>
      <c r="M3716" s="256" t="n"/>
      <c r="N3716" s="256" t="n"/>
      <c r="O3716" s="256" t="n"/>
      <c r="P3716" s="256" t="n"/>
      <c r="Q3716" s="256" t="n"/>
    </row>
    <row r="3717">
      <c r="A3717">
        <f>IF(DAY(D3717)=DAY($L$1+1),A3716+1,A3716)</f>
        <v/>
      </c>
      <c r="B3717" s="1">
        <f>IF(DAY(D3717)=DAY($L$1+1),1,B3716+1)</f>
        <v/>
      </c>
      <c r="C3717" s="1">
        <f>IF(DAY(D3717)=DAY($L$1+1),1,C3716+1)</f>
        <v/>
      </c>
      <c r="D3717" s="2">
        <f>D3716+1</f>
        <v/>
      </c>
      <c r="E3717" s="8">
        <f>IF(DAY(D3717)=DAY($L$1+1),TRUNC((#REF!),8),E3716)</f>
        <v/>
      </c>
      <c r="F3717" s="49">
        <f>TRUNC(((1+VLOOKUP(A3717,IPCA!$A$2:$C$140,3,0)))^(C3717/(EDATE(D3717-C3717,1)-(D3717-C3717))),8)</f>
        <v/>
      </c>
      <c r="G3717" s="4">
        <f>TRUNC((E3717*F3717),8)</f>
        <v/>
      </c>
      <c r="H3717" s="4">
        <f>ROUND(((1+$H$4)^(30/360))^(C3717/(EDATE(D3717-B3717,1)-(D3717-B3717))),9)</f>
        <v/>
      </c>
      <c r="I3717" s="49">
        <f>TRUNC((G3717*H3717-G3717),8)</f>
        <v/>
      </c>
      <c r="J3717" s="4">
        <f>G3717+I3717</f>
        <v/>
      </c>
      <c r="K3717" s="256" t="n"/>
      <c r="L3717" s="256" t="n"/>
      <c r="M3717" s="256" t="n"/>
      <c r="N3717" s="256" t="n"/>
      <c r="O3717" s="256" t="n"/>
      <c r="P3717" s="256" t="n"/>
      <c r="Q3717" s="256" t="n"/>
    </row>
    <row r="3718">
      <c r="A3718">
        <f>IF(DAY(D3718)=DAY($L$1+1),A3717+1,A3717)</f>
        <v/>
      </c>
      <c r="B3718" s="46">
        <f>IF(DAY(D3718)=DAY($L$1+1),1,B3717+1)</f>
        <v/>
      </c>
      <c r="C3718" s="46">
        <f>IF(DAY(D3718)=DAY($L$1+1),1,C3717+1)</f>
        <v/>
      </c>
      <c r="D3718" s="2">
        <f>D3717+1</f>
        <v/>
      </c>
      <c r="E3718" s="8">
        <f>IF(DAY(D3718)=DAY($L$1+1),TRUNC((#REF!),8),E3717)</f>
        <v/>
      </c>
      <c r="F3718" s="49">
        <f>TRUNC(((1+VLOOKUP(A3718,IPCA!$A$2:$C$140,3,0)))^(C3718/(EDATE(D3718-C3718,1)-(D3718-C3718))),8)</f>
        <v/>
      </c>
      <c r="G3718" s="4">
        <f>TRUNC((E3718*F3718),8)</f>
        <v/>
      </c>
      <c r="H3718" s="4">
        <f>ROUND(((1+$H$4)^(30/360))^(C3718/(EDATE(D3718-B3718,1)-(D3718-B3718))),9)</f>
        <v/>
      </c>
      <c r="I3718" s="49">
        <f>TRUNC((G3718*H3718-G3718),8)</f>
        <v/>
      </c>
      <c r="J3718" s="4">
        <f>G3718+I3718</f>
        <v/>
      </c>
      <c r="K3718" s="256" t="n"/>
      <c r="L3718" s="256" t="n"/>
      <c r="M3718" s="256" t="n"/>
      <c r="N3718" s="256" t="n"/>
      <c r="O3718" s="256" t="n"/>
      <c r="P3718" s="256" t="n"/>
      <c r="Q3718" s="256" t="n"/>
    </row>
    <row r="3719">
      <c r="A3719">
        <f>IF(DAY(D3719)=DAY($L$1+1),A3718+1,A3718)</f>
        <v/>
      </c>
      <c r="B3719" s="1">
        <f>IF(DAY(D3719)=DAY($L$1+1),1,B3718+1)</f>
        <v/>
      </c>
      <c r="C3719" s="1">
        <f>IF(DAY(D3719)=DAY($L$1+1),1,C3718+1)</f>
        <v/>
      </c>
      <c r="D3719" s="2">
        <f>D3718+1</f>
        <v/>
      </c>
      <c r="E3719" s="8">
        <f>IF(DAY(D3719)=DAY($L$1+1),TRUNC((#REF!),8),E3718)</f>
        <v/>
      </c>
      <c r="F3719" s="49">
        <f>TRUNC(((1+VLOOKUP(A3719,IPCA!$A$2:$C$140,3,0)))^(C3719/(EDATE(D3719-C3719,1)-(D3719-C3719))),8)</f>
        <v/>
      </c>
      <c r="G3719" s="4">
        <f>TRUNC((E3719*F3719),8)</f>
        <v/>
      </c>
      <c r="H3719" s="4">
        <f>ROUND(((1+$H$4)^(30/360))^(C3719/(EDATE(D3719-B3719,1)-(D3719-B3719))),9)</f>
        <v/>
      </c>
      <c r="I3719" s="49">
        <f>TRUNC((G3719*H3719-G3719),8)</f>
        <v/>
      </c>
      <c r="J3719" s="4">
        <f>G3719+I3719</f>
        <v/>
      </c>
      <c r="K3719" s="256" t="n"/>
      <c r="L3719" s="256" t="n"/>
      <c r="M3719" s="256" t="n"/>
      <c r="N3719" s="256" t="n"/>
      <c r="O3719" s="256" t="n"/>
      <c r="P3719" s="256" t="n"/>
      <c r="Q3719" s="256" t="n"/>
    </row>
    <row r="3720">
      <c r="A3720">
        <f>IF(DAY(D3720)=DAY($L$1+1),A3719+1,A3719)</f>
        <v/>
      </c>
      <c r="B3720" s="46">
        <f>IF(DAY(D3720)=DAY($L$1+1),1,B3719+1)</f>
        <v/>
      </c>
      <c r="C3720" s="46">
        <f>IF(DAY(D3720)=DAY($L$1+1),1,C3719+1)</f>
        <v/>
      </c>
      <c r="D3720" s="2">
        <f>D3719+1</f>
        <v/>
      </c>
      <c r="E3720" s="8">
        <f>IF(DAY(D3720)=DAY($L$1+1),TRUNC((#REF!),8),E3719)</f>
        <v/>
      </c>
      <c r="F3720" s="49">
        <f>TRUNC(((1+VLOOKUP(A3720,IPCA!$A$2:$C$140,3,0)))^(C3720/(EDATE(D3720-C3720,1)-(D3720-C3720))),8)</f>
        <v/>
      </c>
      <c r="G3720" s="4">
        <f>TRUNC((E3720*F3720),8)</f>
        <v/>
      </c>
      <c r="H3720" s="4">
        <f>ROUND(((1+$H$4)^(30/360))^(C3720/(EDATE(D3720-B3720,1)-(D3720-B3720))),9)</f>
        <v/>
      </c>
      <c r="I3720" s="49">
        <f>TRUNC((G3720*H3720-G3720),8)</f>
        <v/>
      </c>
      <c r="J3720" s="4">
        <f>G3720+I3720</f>
        <v/>
      </c>
      <c r="K3720" s="256" t="n"/>
      <c r="L3720" s="256" t="n"/>
      <c r="M3720" s="256" t="n"/>
      <c r="N3720" s="256" t="n"/>
      <c r="O3720" s="256" t="n"/>
      <c r="P3720" s="256" t="n"/>
      <c r="Q3720" s="256" t="n"/>
    </row>
    <row r="3721">
      <c r="A3721">
        <f>IF(DAY(D3721)=DAY($L$1+1),A3720+1,A3720)</f>
        <v/>
      </c>
      <c r="B3721" s="1">
        <f>IF(DAY(D3721)=DAY($L$1+1),1,B3720+1)</f>
        <v/>
      </c>
      <c r="C3721" s="1">
        <f>IF(DAY(D3721)=DAY($L$1+1),1,C3720+1)</f>
        <v/>
      </c>
      <c r="D3721" s="2">
        <f>D3720+1</f>
        <v/>
      </c>
      <c r="E3721" s="8">
        <f>IF(DAY(D3721)=DAY($L$1+1),TRUNC((#REF!),8),E3720)</f>
        <v/>
      </c>
      <c r="F3721" s="49">
        <f>TRUNC(((1+VLOOKUP(A3721,IPCA!$A$2:$C$140,3,0)))^(C3721/(EDATE(D3721-C3721,1)-(D3721-C3721))),8)</f>
        <v/>
      </c>
      <c r="G3721" s="4">
        <f>TRUNC((E3721*F3721),8)</f>
        <v/>
      </c>
      <c r="H3721" s="4">
        <f>ROUND(((1+$H$4)^(30/360))^(C3721/(EDATE(D3721-B3721,1)-(D3721-B3721))),9)</f>
        <v/>
      </c>
      <c r="I3721" s="49">
        <f>TRUNC((G3721*H3721-G3721),8)</f>
        <v/>
      </c>
      <c r="J3721" s="4">
        <f>G3721+I3721</f>
        <v/>
      </c>
      <c r="K3721" s="256" t="n"/>
      <c r="L3721" s="256" t="n"/>
      <c r="M3721" s="256" t="n"/>
      <c r="N3721" s="256" t="n"/>
      <c r="O3721" s="256" t="n"/>
      <c r="P3721" s="256" t="n"/>
      <c r="Q3721" s="256" t="n"/>
    </row>
    <row r="3722">
      <c r="A3722">
        <f>IF(DAY(D3722)=DAY($L$1+1),A3721+1,A3721)</f>
        <v/>
      </c>
      <c r="B3722" s="46">
        <f>IF(DAY(D3722)=DAY($L$1+1),1,B3721+1)</f>
        <v/>
      </c>
      <c r="C3722" s="46">
        <f>IF(DAY(D3722)=DAY($L$1+1),1,C3721+1)</f>
        <v/>
      </c>
      <c r="D3722" s="2">
        <f>D3721+1</f>
        <v/>
      </c>
      <c r="E3722" s="8">
        <f>IF(DAY(D3722)=DAY($L$1+1),TRUNC((#REF!),8),E3721)</f>
        <v/>
      </c>
      <c r="F3722" s="49">
        <f>TRUNC(((1+VLOOKUP(A3722,IPCA!$A$2:$C$140,3,0)))^(C3722/(EDATE(D3722-C3722,1)-(D3722-C3722))),8)</f>
        <v/>
      </c>
      <c r="G3722" s="4">
        <f>TRUNC((E3722*F3722),8)</f>
        <v/>
      </c>
      <c r="H3722" s="4">
        <f>ROUND(((1+$H$4)^(30/360))^(C3722/(EDATE(D3722-B3722,1)-(D3722-B3722))),9)</f>
        <v/>
      </c>
      <c r="I3722" s="49">
        <f>TRUNC((G3722*H3722-G3722),8)</f>
        <v/>
      </c>
      <c r="J3722" s="4">
        <f>G3722+I3722</f>
        <v/>
      </c>
      <c r="K3722" s="256" t="n"/>
      <c r="L3722" s="256" t="n"/>
      <c r="M3722" s="256" t="n"/>
      <c r="N3722" s="256" t="n"/>
      <c r="O3722" s="256" t="n"/>
      <c r="P3722" s="256" t="n"/>
      <c r="Q3722" s="256" t="n"/>
    </row>
    <row r="3723">
      <c r="A3723">
        <f>IF(DAY(D3723)=DAY($L$1+1),A3722+1,A3722)</f>
        <v/>
      </c>
      <c r="B3723" s="1">
        <f>IF(DAY(D3723)=DAY($L$1+1),1,B3722+1)</f>
        <v/>
      </c>
      <c r="C3723" s="1">
        <f>IF(DAY(D3723)=DAY($L$1+1),1,C3722+1)</f>
        <v/>
      </c>
      <c r="D3723" s="2">
        <f>D3722+1</f>
        <v/>
      </c>
      <c r="E3723" s="8">
        <f>IF(DAY(D3723)=DAY($L$1+1),TRUNC((#REF!),8),E3722)</f>
        <v/>
      </c>
      <c r="F3723" s="49">
        <f>TRUNC(((1+VLOOKUP(A3723,IPCA!$A$2:$C$140,3,0)))^(C3723/(EDATE(D3723-C3723,1)-(D3723-C3723))),8)</f>
        <v/>
      </c>
      <c r="G3723" s="4">
        <f>TRUNC((E3723*F3723),8)</f>
        <v/>
      </c>
      <c r="H3723" s="4">
        <f>ROUND(((1+$H$4)^(30/360))^(C3723/(EDATE(D3723-B3723,1)-(D3723-B3723))),9)</f>
        <v/>
      </c>
      <c r="I3723" s="49">
        <f>TRUNC((G3723*H3723-G3723),8)</f>
        <v/>
      </c>
      <c r="J3723" s="4">
        <f>G3723+I3723</f>
        <v/>
      </c>
      <c r="K3723" s="256" t="n"/>
      <c r="L3723" s="256" t="n"/>
      <c r="M3723" s="256" t="n"/>
      <c r="N3723" s="256" t="n"/>
      <c r="O3723" s="256" t="n"/>
      <c r="P3723" s="256" t="n"/>
      <c r="Q3723" s="256" t="n"/>
    </row>
    <row r="3724">
      <c r="A3724">
        <f>IF(DAY(D3724)=DAY($L$1+1),A3723+1,A3723)</f>
        <v/>
      </c>
      <c r="B3724" s="46">
        <f>IF(DAY(D3724)=DAY($L$1+1),1,B3723+1)</f>
        <v/>
      </c>
      <c r="C3724" s="46">
        <f>IF(DAY(D3724)=DAY($L$1+1),1,C3723+1)</f>
        <v/>
      </c>
      <c r="D3724" s="2">
        <f>D3723+1</f>
        <v/>
      </c>
      <c r="E3724" s="8">
        <f>IF(DAY(D3724)=DAY($L$1+1),TRUNC((N3723),8),E3723)</f>
        <v/>
      </c>
      <c r="F3724" s="49">
        <f>TRUNC(((1+VLOOKUP(A3724,IPCA!$A$2:$C$140,3,0)))^(C3724/(EDATE(D3724-C3724,1)-(D3724-C3724))),8)</f>
        <v/>
      </c>
      <c r="G3724" s="4">
        <f>TRUNC((E3724*F3724),8)</f>
        <v/>
      </c>
      <c r="H3724" s="4">
        <f>ROUND(((1+$H$4)^(30/360))^(C3724/(EDATE(D3724-B3724,1)-(D3724-B3724))),9)</f>
        <v/>
      </c>
      <c r="I3724" s="49">
        <f>TRUNC((G3724*H3724-G3724),8)</f>
        <v/>
      </c>
      <c r="J3724" s="4">
        <f>G3724+I3724</f>
        <v/>
      </c>
      <c r="K3724" s="256" t="n"/>
      <c r="L3724" s="256" t="n"/>
      <c r="M3724" s="256" t="n"/>
      <c r="N3724" s="256" t="n"/>
      <c r="O3724" s="256" t="n"/>
      <c r="P3724" s="256" t="n"/>
      <c r="Q3724" s="256" t="n"/>
    </row>
    <row r="3725">
      <c r="A3725">
        <f>IF(DAY(D3725)=DAY($L$1+1),A3724+1,A3724)</f>
        <v/>
      </c>
      <c r="B3725" s="1">
        <f>IF(DAY(D3725)=DAY($L$1+1),1,B3724+1)</f>
        <v/>
      </c>
      <c r="C3725" s="1">
        <f>IF(DAY(D3725)=DAY($L$1+1),1,C3724+1)</f>
        <v/>
      </c>
      <c r="D3725" s="2">
        <f>D3724+1</f>
        <v/>
      </c>
      <c r="E3725" s="8">
        <f>IF(DAY(D3725)=DAY($L$1+1),TRUNC((N3724),8),E3724)</f>
        <v/>
      </c>
      <c r="F3725" s="49">
        <f>TRUNC(((1+VLOOKUP(A3725,IPCA!$A$2:$C$140,3,0)))^(C3725/(EDATE(D3725-C3725,1)-(D3725-C3725))),8)</f>
        <v/>
      </c>
      <c r="G3725" s="4">
        <f>TRUNC((E3725*F3725),8)</f>
        <v/>
      </c>
      <c r="H3725" s="4">
        <f>ROUND(((1+$H$4)^(30/360))^(C3725/(EDATE(D3725-B3725,1)-(D3725-B3725))),9)</f>
        <v/>
      </c>
      <c r="I3725" s="49">
        <f>TRUNC((G3725*H3725-G3725),8)</f>
        <v/>
      </c>
      <c r="J3725" s="4">
        <f>G3725+I3725</f>
        <v/>
      </c>
      <c r="K3725" s="256" t="n"/>
      <c r="L3725" s="256" t="n"/>
      <c r="M3725" s="256" t="n"/>
      <c r="N3725" s="256" t="n"/>
      <c r="O3725" s="256" t="n"/>
      <c r="P3725" s="256" t="n"/>
      <c r="Q3725" s="256" t="n"/>
    </row>
    <row r="3726">
      <c r="A3726">
        <f>IF(DAY(D3726)=DAY($L$1+1),A3725+1,A3725)</f>
        <v/>
      </c>
      <c r="B3726" s="46">
        <f>IF(DAY(D3726)=DAY($L$1+1),1,B3725+1)</f>
        <v/>
      </c>
      <c r="C3726" s="46">
        <f>IF(DAY(D3726)=DAY($L$1+1),1,C3725+1)</f>
        <v/>
      </c>
      <c r="D3726" s="2">
        <f>D3725+1</f>
        <v/>
      </c>
      <c r="E3726" s="8">
        <f>IF(DAY(D3726)=DAY($L$1+1),TRUNC((N3725),8),E3725)</f>
        <v/>
      </c>
      <c r="F3726" s="49">
        <f>TRUNC(((1+VLOOKUP(A3726,IPCA!$A$2:$C$140,3,0)))^(C3726/(EDATE(D3726-C3726,1)-(D3726-C3726))),8)</f>
        <v/>
      </c>
      <c r="G3726" s="4">
        <f>TRUNC((E3726*F3726),8)</f>
        <v/>
      </c>
      <c r="H3726" s="4">
        <f>ROUND(((1+$H$4)^(30/360))^(C3726/(EDATE(D3726-B3726,1)-(D3726-B3726))),9)</f>
        <v/>
      </c>
      <c r="I3726" s="49">
        <f>TRUNC((G3726*H3726-G3726),8)</f>
        <v/>
      </c>
      <c r="J3726" s="4">
        <f>G3726+I3726</f>
        <v/>
      </c>
      <c r="K3726" s="256" t="n"/>
      <c r="L3726" s="256" t="n"/>
      <c r="M3726" s="256" t="n"/>
      <c r="N3726" s="256" t="n"/>
      <c r="O3726" s="256" t="n"/>
      <c r="P3726" s="256" t="n"/>
      <c r="Q3726" s="256" t="n"/>
    </row>
    <row r="3727">
      <c r="A3727">
        <f>IF(DAY(D3727)=DAY($L$1+1),A3726+1,A3726)</f>
        <v/>
      </c>
      <c r="B3727" s="1">
        <f>IF(DAY(D3727)=DAY($L$1+1),1,B3726+1)</f>
        <v/>
      </c>
      <c r="C3727" s="1">
        <f>IF(DAY(D3727)=DAY($L$1+1),1,C3726+1)</f>
        <v/>
      </c>
      <c r="D3727" s="2">
        <f>D3726+1</f>
        <v/>
      </c>
      <c r="E3727" s="8">
        <f>IF(DAY(D3727)=DAY($L$1+1),TRUNC((N3726),8),E3726)</f>
        <v/>
      </c>
      <c r="F3727" s="49">
        <f>TRUNC(((1+VLOOKUP(A3727,IPCA!$A$2:$C$140,3,0)))^(C3727/(EDATE(D3727-C3727,1)-(D3727-C3727))),8)</f>
        <v/>
      </c>
      <c r="G3727" s="4">
        <f>TRUNC((E3727*F3727),8)</f>
        <v/>
      </c>
      <c r="H3727" s="4">
        <f>ROUND(((1+$H$4)^(30/360))^(C3727/(EDATE(D3727-B3727,1)-(D3727-B3727))),9)</f>
        <v/>
      </c>
      <c r="I3727" s="49">
        <f>TRUNC((G3727*H3727-G3727),8)</f>
        <v/>
      </c>
      <c r="J3727" s="4">
        <f>G3727+I3727</f>
        <v/>
      </c>
      <c r="K3727" s="256" t="n"/>
      <c r="L3727" s="256" t="n"/>
      <c r="M3727" s="256" t="n"/>
      <c r="N3727" s="256" t="n"/>
      <c r="O3727" s="256" t="n"/>
      <c r="P3727" s="256" t="n"/>
      <c r="Q3727" s="256" t="n"/>
    </row>
    <row r="3728">
      <c r="A3728">
        <f>IF(DAY(D3728)=DAY($L$1+1),A3727+1,A3727)</f>
        <v/>
      </c>
      <c r="B3728" s="46">
        <f>IF(DAY(D3728)=DAY($L$1+1),1,B3727+1)</f>
        <v/>
      </c>
      <c r="C3728" s="46">
        <f>IF(DAY(D3728)=DAY($L$1+1),1,C3727+1)</f>
        <v/>
      </c>
      <c r="D3728" s="2">
        <f>D3727+1</f>
        <v/>
      </c>
      <c r="E3728" s="8">
        <f>IF(DAY(D3728)=DAY($L$1+1),TRUNC((N3727),8),E3727)</f>
        <v/>
      </c>
      <c r="F3728" s="49">
        <f>TRUNC(((1+VLOOKUP(A3728,IPCA!$A$2:$C$140,3,0)))^(C3728/(EDATE(D3728-C3728,1)-(D3728-C3728))),8)</f>
        <v/>
      </c>
      <c r="G3728" s="4">
        <f>TRUNC((E3728*F3728),8)</f>
        <v/>
      </c>
      <c r="H3728" s="4">
        <f>ROUND(((1+$H$4)^(30/360))^(C3728/(EDATE(D3728-B3728,1)-(D3728-B3728))),9)</f>
        <v/>
      </c>
      <c r="I3728" s="49">
        <f>TRUNC((G3728*H3728-G3728),8)</f>
        <v/>
      </c>
      <c r="J3728" s="4">
        <f>G3728+I3728</f>
        <v/>
      </c>
      <c r="K3728" s="256" t="n"/>
      <c r="L3728" s="256" t="n"/>
      <c r="M3728" s="256" t="n"/>
      <c r="N3728" s="256" t="n"/>
      <c r="O3728" s="256" t="n"/>
      <c r="P3728" s="256" t="n"/>
      <c r="Q3728" s="256" t="n"/>
    </row>
    <row r="3729">
      <c r="A3729">
        <f>IF(DAY(D3729)=DAY($L$1+1),A3728+1,A3728)</f>
        <v/>
      </c>
      <c r="B3729" s="1">
        <f>IF(DAY(D3729)=DAY($L$1+1),1,B3728+1)</f>
        <v/>
      </c>
      <c r="C3729" s="1">
        <f>IF(DAY(D3729)=DAY($L$1+1),1,C3728+1)</f>
        <v/>
      </c>
      <c r="D3729" s="2">
        <f>D3728+1</f>
        <v/>
      </c>
      <c r="E3729" s="8">
        <f>IF(DAY(D3729)=DAY($L$1+1),TRUNC((N3728),8),E3728)</f>
        <v/>
      </c>
      <c r="F3729" s="49">
        <f>TRUNC(((1+VLOOKUP(A3729,IPCA!$A$2:$C$140,3,0)))^(C3729/(EDATE(D3729-C3729,1)-(D3729-C3729))),8)</f>
        <v/>
      </c>
      <c r="G3729" s="4">
        <f>TRUNC((E3729*F3729),8)</f>
        <v/>
      </c>
      <c r="H3729" s="4">
        <f>ROUND(((1+$H$4)^(30/360))^(C3729/(EDATE(D3729-B3729,1)-(D3729-B3729))),9)</f>
        <v/>
      </c>
      <c r="I3729" s="49">
        <f>TRUNC((G3729*H3729-G3729),8)</f>
        <v/>
      </c>
      <c r="J3729" s="4">
        <f>G3729+I3729</f>
        <v/>
      </c>
      <c r="K3729" s="256" t="n"/>
      <c r="L3729" s="256" t="n"/>
      <c r="M3729" s="256" t="n"/>
      <c r="N3729" s="256" t="n"/>
      <c r="O3729" s="256" t="n"/>
      <c r="P3729" s="256" t="n"/>
      <c r="Q3729" s="256" t="n"/>
    </row>
    <row r="3730">
      <c r="A3730">
        <f>IF(DAY(D3730)=DAY($L$1+1),A3729+1,A3729)</f>
        <v/>
      </c>
      <c r="B3730" s="46">
        <f>IF(DAY(D3730)=DAY($L$1+1),1,B3729+1)</f>
        <v/>
      </c>
      <c r="C3730" s="46">
        <f>IF(DAY(D3730)=DAY($L$1+1),1,C3729+1)</f>
        <v/>
      </c>
      <c r="D3730" s="2">
        <f>D3729+1</f>
        <v/>
      </c>
      <c r="E3730" s="8">
        <f>IF(DAY(D3730)=DAY($L$1+1),TRUNC((N3729),8),E3729)</f>
        <v/>
      </c>
      <c r="F3730" s="49">
        <f>TRUNC(((1+VLOOKUP(A3730,IPCA!$A$2:$C$140,3,0)))^(C3730/(EDATE(D3730-C3730,1)-(D3730-C3730))),8)</f>
        <v/>
      </c>
      <c r="G3730" s="4">
        <f>TRUNC((E3730*F3730),8)</f>
        <v/>
      </c>
      <c r="H3730" s="4">
        <f>ROUND(((1+$H$4)^(30/360))^(C3730/(EDATE(D3730-B3730,1)-(D3730-B3730))),9)</f>
        <v/>
      </c>
      <c r="I3730" s="49">
        <f>TRUNC((G3730*H3730-G3730),8)</f>
        <v/>
      </c>
      <c r="J3730" s="4">
        <f>G3730+I3730</f>
        <v/>
      </c>
      <c r="K3730" s="256" t="n"/>
      <c r="L3730" s="256" t="n"/>
      <c r="M3730" s="256" t="n"/>
      <c r="N3730" s="256" t="n"/>
      <c r="O3730" s="256" t="n"/>
      <c r="P3730" s="256" t="n"/>
      <c r="Q3730" s="256" t="n"/>
    </row>
    <row r="3731">
      <c r="A3731">
        <f>IF(DAY(D3731)=DAY($L$1+1),A3730+1,A3730)</f>
        <v/>
      </c>
      <c r="B3731" s="46">
        <f>IF(DAY(D3731)=DAY($L$1+1),1,B3730+1)</f>
        <v/>
      </c>
      <c r="C3731" s="46">
        <f>IF(DAY(D3731)=DAY($L$1+1),1,C3730+1)</f>
        <v/>
      </c>
      <c r="D3731" s="2">
        <f>D3730+1</f>
        <v/>
      </c>
      <c r="E3731" s="8">
        <f>IF(DAY(D3731)=DAY($L$1+1),TRUNC((N3730),8),E3730)</f>
        <v/>
      </c>
      <c r="F3731" s="49">
        <f>TRUNC(((1+VLOOKUP(A3731,IPCA!$A$2:$C$140,3,0)))^(C3731/(EDATE(D3731-C3731,1)-(D3731-C3731))),8)</f>
        <v/>
      </c>
      <c r="G3731" s="4">
        <f>TRUNC((E3731*F3731),8)</f>
        <v/>
      </c>
      <c r="H3731" s="4">
        <f>ROUND(((1+$H$4)^(30/360))^(C3731/(EDATE(D3731-B3731,1)-(D3731-B3731))),9)</f>
        <v/>
      </c>
      <c r="I3731" s="49">
        <f>TRUNC((G3731*H3731-G3731),8)</f>
        <v/>
      </c>
      <c r="J3731" s="4">
        <f>G3731+I3731</f>
        <v/>
      </c>
      <c r="K3731" s="256" t="n"/>
      <c r="L3731" s="256" t="n"/>
      <c r="M3731" s="256" t="n"/>
      <c r="N3731" s="256" t="n"/>
      <c r="O3731" s="256" t="n"/>
      <c r="P3731" s="256" t="n"/>
      <c r="Q3731" s="256" t="n"/>
    </row>
    <row r="3732">
      <c r="A3732">
        <f>IF(DAY(D3732)=DAY($L$1+1),A3731+1,A3731)</f>
        <v/>
      </c>
      <c r="B3732" s="46">
        <f>IF(DAY(D3732)=DAY($L$1+1),1,B3731+1)</f>
        <v/>
      </c>
      <c r="C3732" s="46">
        <f>IF(DAY(D3732)=DAY($L$1+1),1,C3731+1)</f>
        <v/>
      </c>
      <c r="D3732" s="47">
        <f>D3731+1</f>
        <v/>
      </c>
      <c r="E3732" s="8">
        <f>IF(DAY(D3732)=DAY($L$1+1),TRUNC((N3731),8),E3731)</f>
        <v/>
      </c>
      <c r="F3732" s="49">
        <f>TRUNC(((1+VLOOKUP(A3732,IPCA!$A$2:$C$140,3,0)))^(C3732/(EDATE(D3732-C3732,1)-(D3732-C3732))),8)</f>
        <v/>
      </c>
      <c r="G3732" s="4">
        <f>TRUNC((E3732*F3732),8)</f>
        <v/>
      </c>
      <c r="H3732" s="4">
        <f>ROUND(((1+$H$4)^(30/360))^(C3732/(EDATE(D3732-B3732,1)-(D3732-B3732))),9)</f>
        <v/>
      </c>
      <c r="I3732" s="49">
        <f>TRUNC((G3732*H3732-G3732),8)</f>
        <v/>
      </c>
      <c r="J3732" s="4">
        <f>G3732+I3732</f>
        <v/>
      </c>
      <c r="K3732" s="256" t="inlineStr">
        <is>
          <t>Cri Integralizado</t>
        </is>
      </c>
      <c r="L3732" s="270">
        <f>L3701</f>
        <v/>
      </c>
      <c r="M3732" s="256" t="n"/>
      <c r="N3732" s="256" t="n"/>
      <c r="O3732" s="256" t="n"/>
      <c r="P3732" s="256" t="n"/>
      <c r="Q3732" s="256" t="n"/>
    </row>
    <row r="3733">
      <c r="A3733">
        <f>IF(DAY(D3733)=DAY($L$1+1),A3732+1,A3732)</f>
        <v/>
      </c>
      <c r="B3733" s="1">
        <f>IF(DAY(D3733)=DAY($L$1+1),1,B3732+1)</f>
        <v/>
      </c>
      <c r="C3733" s="46">
        <f>IF(DAY(D3733)=DAY($L$1+1),1,C3732+1)</f>
        <v/>
      </c>
      <c r="D3733" s="2">
        <f>D3732+1</f>
        <v/>
      </c>
      <c r="E3733" s="8">
        <f>IF(DAY(D3733)=DAY($L$1+1),TRUNC((N3732),8),E3732)</f>
        <v/>
      </c>
      <c r="F3733" s="49">
        <f>TRUNC(((1+VLOOKUP(A3733,IPCA!$A$2:$C$140,3,0)))^(C3733/(EDATE(D3733-C3733,1)-(D3733-C3733))),8)</f>
        <v/>
      </c>
      <c r="G3733" s="4">
        <f>TRUNC((E3733*F3733),8)</f>
        <v/>
      </c>
      <c r="H3733" s="4">
        <f>ROUND(((1+$H$4)^(30/360))^(C3733/(EDATE(D3733-B3733,1)-(D3733-B3733))),9)</f>
        <v/>
      </c>
      <c r="I3733" s="49">
        <f>TRUNC((G3733*H3733-G3733),8)</f>
        <v/>
      </c>
      <c r="J3733" s="4">
        <f>G3733+I3733</f>
        <v/>
      </c>
      <c r="K3733" s="137" t="inlineStr">
        <is>
          <t>JUROS</t>
        </is>
      </c>
      <c r="L3733" s="118" t="inlineStr">
        <is>
          <t>AMORTIZAÇÃO</t>
        </is>
      </c>
      <c r="M3733" s="118" t="inlineStr">
        <is>
          <t>AMEX</t>
        </is>
      </c>
      <c r="N3733" s="118" t="inlineStr">
        <is>
          <t>RESIDUAL</t>
        </is>
      </c>
      <c r="O3733" s="256" t="n"/>
      <c r="P3733" s="256" t="n"/>
      <c r="Q3733" s="256" t="n"/>
    </row>
    <row r="3734">
      <c r="A3734">
        <f>IF(DAY(D3734)=DAY($L$1+1),A3733+1,A3733)</f>
        <v/>
      </c>
      <c r="B3734" s="111">
        <f>IF(DAY(D3734)=DAY($L$1+1),1,B3733+1)</f>
        <v/>
      </c>
      <c r="C3734" s="111">
        <f>IF(DAY(D3734)=DAY($L$1+1),1,C3733+1)</f>
        <v/>
      </c>
      <c r="D3734" s="112">
        <f>D3733+1</f>
        <v/>
      </c>
      <c r="E3734" s="113">
        <f>IF(DAY(D3734)=DAY($L$1+1),TRUNC((N3733),8),E3733)</f>
        <v/>
      </c>
      <c r="F3734" s="114">
        <f>TRUNC(((1+VLOOKUP(A3734,IPCA!$A$2:$C$140,3,0)))^(C3734/(EDATE(D3734-C3734,1)-(D3734-C3734))),8)</f>
        <v/>
      </c>
      <c r="G3734" s="114">
        <f>TRUNC((E3734*F3734),8)</f>
        <v/>
      </c>
      <c r="H3734" s="114">
        <f>ROUND(((1+$H$4)^(30/360))^(C3734/(EDATE(D3734-B3734,1)-(D3734-B3734))),9)</f>
        <v/>
      </c>
      <c r="I3734" s="114">
        <f>TRUNC((G3734*H3734-G3734),8)</f>
        <v/>
      </c>
      <c r="J3734" s="114">
        <f>G3734+I3734</f>
        <v/>
      </c>
      <c r="K3734" s="119">
        <f>I3734</f>
        <v/>
      </c>
      <c r="L3734" s="120">
        <f>TRUNC(G3734*VLOOKUP(D3734,'Amort TS'!$G$3:$H$140,2,0),8)</f>
        <v/>
      </c>
      <c r="M3734" s="120" t="n">
        <v>0</v>
      </c>
      <c r="N3734" s="120">
        <f>J3734-K3734-L3734-M3734</f>
        <v/>
      </c>
      <c r="O3734" s="256" t="n"/>
      <c r="P3734" s="256" t="n"/>
      <c r="Q3734" s="256" t="n"/>
    </row>
    <row r="3735">
      <c r="A3735">
        <f>IF(DAY(D3735)=DAY($L$1+1),A3734+1,A3734)</f>
        <v/>
      </c>
      <c r="B3735" s="46">
        <f>IF(DAY(D3735)=DAY($L$1+1),1,B3734+1)</f>
        <v/>
      </c>
      <c r="C3735" s="46">
        <f>IF(DAY(D3735)=DAY($L$1+1),1,C3734+1)</f>
        <v/>
      </c>
      <c r="D3735" s="47">
        <f>D3734+1</f>
        <v/>
      </c>
      <c r="E3735" s="8">
        <f>IF(DAY(D3735)=DAY($L$1+1),TRUNC((N3734),8),E3734)</f>
        <v/>
      </c>
      <c r="F3735" s="49">
        <f>TRUNC(((1+VLOOKUP(A3735,IPCA!$A$2:$C$140,3,0)))^(C3735/(EDATE(D3735-C3735,1)-(D3735-C3735))),8)</f>
        <v/>
      </c>
      <c r="G3735" s="4">
        <f>TRUNC((E3735*F3735),8)</f>
        <v/>
      </c>
      <c r="H3735" s="4">
        <f>ROUND(((1+$H$4)^(30/360))^(C3735/(EDATE(D3735-B3735,1)-(D3735-B3735))),9)</f>
        <v/>
      </c>
      <c r="I3735" s="49">
        <f>TRUNC((G3735*H3735-G3735),8)</f>
        <v/>
      </c>
      <c r="J3735" s="4">
        <f>G3735+I3735</f>
        <v/>
      </c>
      <c r="K3735" s="121">
        <f>K3734*L3732</f>
        <v/>
      </c>
      <c r="L3735" s="121">
        <f>L3734*L3732</f>
        <v/>
      </c>
      <c r="M3735" s="121">
        <f>M3734*L3732</f>
        <v/>
      </c>
      <c r="N3735" s="121">
        <f>N3734*L3732</f>
        <v/>
      </c>
      <c r="O3735" s="256" t="n"/>
      <c r="P3735" s="256" t="n"/>
      <c r="Q3735" s="256" t="n"/>
    </row>
    <row r="3736">
      <c r="A3736">
        <f>IF(DAY(D3736)=DAY($L$1+1),A3735+1,A3735)</f>
        <v/>
      </c>
      <c r="B3736" s="46">
        <f>IF(DAY(D3736)=DAY($L$1+1),1,B3735+1)</f>
        <v/>
      </c>
      <c r="C3736" s="46">
        <f>IF(DAY(D3736)=DAY($L$1+1),1,C3735+1)</f>
        <v/>
      </c>
      <c r="D3736" s="2">
        <f>D3735+1</f>
        <v/>
      </c>
      <c r="E3736" s="8">
        <f>IF(DAY(D3736)=DAY($L$1+1),TRUNC((N3735),8),E3735)</f>
        <v/>
      </c>
      <c r="F3736" s="49">
        <f>TRUNC(((1+VLOOKUP(A3736,IPCA!$A$2:$C$140,3,0)))^(C3736/(EDATE(D3736-C3736,1)-(D3736-C3736))),8)</f>
        <v/>
      </c>
      <c r="G3736" s="4">
        <f>TRUNC((E3736*F3736),8)</f>
        <v/>
      </c>
      <c r="H3736" s="4">
        <f>ROUND(((1+$H$4)^(30/360))^(C3736/(EDATE(D3736-B3736,1)-(D3736-B3736))),9)</f>
        <v/>
      </c>
      <c r="I3736" s="49">
        <f>TRUNC((G3736*H3736-G3736),8)</f>
        <v/>
      </c>
      <c r="J3736" s="4">
        <f>G3736+I3736</f>
        <v/>
      </c>
      <c r="K3736" s="256" t="n"/>
      <c r="L3736" s="256" t="n"/>
      <c r="M3736" s="256" t="n"/>
      <c r="N3736" s="256" t="n"/>
      <c r="O3736" s="256" t="n"/>
      <c r="P3736" s="256" t="n"/>
      <c r="Q3736" s="256" t="n"/>
    </row>
    <row r="3737">
      <c r="A3737">
        <f>IF(DAY(D3737)=DAY($L$1+1),A3736+1,A3736)</f>
        <v/>
      </c>
      <c r="B3737" s="1">
        <f>IF(DAY(D3737)=DAY($L$1+1),1,B3736+1)</f>
        <v/>
      </c>
      <c r="C3737" s="1">
        <f>IF(DAY(D3737)=DAY($L$1+1),1,C3736+1)</f>
        <v/>
      </c>
      <c r="D3737" s="2">
        <f>D3736+1</f>
        <v/>
      </c>
      <c r="E3737" s="8">
        <f>IF(DAY(D3737)=DAY($L$1+1),TRUNC((#REF!),8),E3736)</f>
        <v/>
      </c>
      <c r="F3737" s="49">
        <f>TRUNC(((1+VLOOKUP(A3737,IPCA!$A$2:$C$140,3,0)))^(C3737/(EDATE(D3737-C3737,1)-(D3737-C3737))),8)</f>
        <v/>
      </c>
      <c r="G3737" s="4">
        <f>TRUNC((E3737*F3737),8)</f>
        <v/>
      </c>
      <c r="H3737" s="4">
        <f>ROUND(((1+$H$4)^(30/360))^(C3737/(EDATE(D3737-B3737,1)-(D3737-B3737))),9)</f>
        <v/>
      </c>
      <c r="I3737" s="49">
        <f>TRUNC((G3737*H3737-G3737),8)</f>
        <v/>
      </c>
      <c r="J3737" s="4">
        <f>G3737+I3737</f>
        <v/>
      </c>
      <c r="K3737" s="256" t="n"/>
      <c r="L3737" s="256" t="n"/>
      <c r="M3737" s="256" t="n"/>
      <c r="N3737" s="256" t="n"/>
      <c r="O3737" s="256" t="n"/>
      <c r="P3737" s="256" t="n"/>
      <c r="Q3737" s="256" t="n"/>
    </row>
    <row r="3738">
      <c r="A3738">
        <f>IF(DAY(D3738)=DAY($L$1+1),A3737+1,A3737)</f>
        <v/>
      </c>
      <c r="B3738" s="46">
        <f>IF(DAY(D3738)=DAY($L$1+1),1,B3737+1)</f>
        <v/>
      </c>
      <c r="C3738" s="46">
        <f>IF(DAY(D3738)=DAY($L$1+1),1,C3737+1)</f>
        <v/>
      </c>
      <c r="D3738" s="2">
        <f>D3737+1</f>
        <v/>
      </c>
      <c r="E3738" s="8">
        <f>IF(DAY(D3738)=DAY($L$1+1),TRUNC((#REF!),8),E3737)</f>
        <v/>
      </c>
      <c r="F3738" s="49">
        <f>TRUNC(((1+VLOOKUP(A3738,IPCA!$A$2:$C$140,3,0)))^(C3738/(EDATE(D3738-C3738,1)-(D3738-C3738))),8)</f>
        <v/>
      </c>
      <c r="G3738" s="4">
        <f>TRUNC((E3738*F3738),8)</f>
        <v/>
      </c>
      <c r="H3738" s="4">
        <f>ROUND(((1+$H$4)^(30/360))^(C3738/(EDATE(D3738-B3738,1)-(D3738-B3738))),9)</f>
        <v/>
      </c>
      <c r="I3738" s="49">
        <f>TRUNC((G3738*H3738-G3738),8)</f>
        <v/>
      </c>
      <c r="J3738" s="4">
        <f>G3738+I3738</f>
        <v/>
      </c>
      <c r="K3738" s="256" t="n"/>
      <c r="L3738" s="256" t="n"/>
      <c r="M3738" s="256" t="n"/>
      <c r="N3738" s="256" t="n"/>
      <c r="O3738" s="256" t="n"/>
      <c r="P3738" s="256" t="n"/>
      <c r="Q3738" s="256" t="n"/>
    </row>
    <row r="3739">
      <c r="A3739">
        <f>IF(DAY(D3739)=DAY($L$1+1),A3738+1,A3738)</f>
        <v/>
      </c>
      <c r="B3739" s="1">
        <f>IF(DAY(D3739)=DAY($L$1+1),1,B3738+1)</f>
        <v/>
      </c>
      <c r="C3739" s="1">
        <f>IF(DAY(D3739)=DAY($L$1+1),1,C3738+1)</f>
        <v/>
      </c>
      <c r="D3739" s="2">
        <f>D3738+1</f>
        <v/>
      </c>
      <c r="E3739" s="8">
        <f>IF(DAY(D3739)=DAY($L$1+1),TRUNC((#REF!),8),E3738)</f>
        <v/>
      </c>
      <c r="F3739" s="49">
        <f>TRUNC(((1+VLOOKUP(A3739,IPCA!$A$2:$C$140,3,0)))^(C3739/(EDATE(D3739-C3739,1)-(D3739-C3739))),8)</f>
        <v/>
      </c>
      <c r="G3739" s="4">
        <f>TRUNC((E3739*F3739),8)</f>
        <v/>
      </c>
      <c r="H3739" s="4">
        <f>ROUND(((1+$H$4)^(30/360))^(C3739/(EDATE(D3739-B3739,1)-(D3739-B3739))),9)</f>
        <v/>
      </c>
      <c r="I3739" s="49">
        <f>TRUNC((G3739*H3739-G3739),8)</f>
        <v/>
      </c>
      <c r="J3739" s="4">
        <f>G3739+I3739</f>
        <v/>
      </c>
      <c r="K3739" s="256" t="n"/>
      <c r="L3739" s="256" t="n"/>
      <c r="M3739" s="256" t="n"/>
      <c r="N3739" s="256" t="n"/>
      <c r="O3739" s="256" t="n"/>
      <c r="P3739" s="256" t="n"/>
      <c r="Q3739" s="256" t="n"/>
    </row>
    <row r="3740">
      <c r="A3740">
        <f>IF(DAY(D3740)=DAY($L$1+1),A3739+1,A3739)</f>
        <v/>
      </c>
      <c r="B3740" s="46">
        <f>IF(DAY(D3740)=DAY($L$1+1),1,B3739+1)</f>
        <v/>
      </c>
      <c r="C3740" s="46">
        <f>IF(DAY(D3740)=DAY($L$1+1),1,C3739+1)</f>
        <v/>
      </c>
      <c r="D3740" s="2">
        <f>D3739+1</f>
        <v/>
      </c>
      <c r="E3740" s="8">
        <f>IF(DAY(D3740)=DAY($L$1+1),TRUNC((#REF!),8),E3739)</f>
        <v/>
      </c>
      <c r="F3740" s="49">
        <f>TRUNC(((1+VLOOKUP(A3740,IPCA!$A$2:$C$140,3,0)))^(C3740/(EDATE(D3740-C3740,1)-(D3740-C3740))),8)</f>
        <v/>
      </c>
      <c r="G3740" s="4">
        <f>TRUNC((E3740*F3740),8)</f>
        <v/>
      </c>
      <c r="H3740" s="4">
        <f>ROUND(((1+$H$4)^(30/360))^(C3740/(EDATE(D3740-B3740,1)-(D3740-B3740))),9)</f>
        <v/>
      </c>
      <c r="I3740" s="49">
        <f>TRUNC((G3740*H3740-G3740),8)</f>
        <v/>
      </c>
      <c r="J3740" s="4">
        <f>G3740+I3740</f>
        <v/>
      </c>
      <c r="K3740" s="256" t="n"/>
      <c r="L3740" s="256" t="n"/>
      <c r="M3740" s="256" t="n"/>
      <c r="N3740" s="256" t="n"/>
      <c r="O3740" s="256" t="n"/>
      <c r="P3740" s="256" t="n"/>
      <c r="Q3740" s="256" t="n"/>
    </row>
    <row r="3741">
      <c r="A3741">
        <f>IF(DAY(D3741)=DAY($L$1+1),A3740+1,A3740)</f>
        <v/>
      </c>
      <c r="B3741" s="1">
        <f>IF(DAY(D3741)=DAY($L$1+1),1,B3740+1)</f>
        <v/>
      </c>
      <c r="C3741" s="1">
        <f>IF(DAY(D3741)=DAY($L$1+1),1,C3740+1)</f>
        <v/>
      </c>
      <c r="D3741" s="2">
        <f>D3740+1</f>
        <v/>
      </c>
      <c r="E3741" s="8">
        <f>IF(DAY(D3741)=DAY($L$1+1),TRUNC((#REF!),8),E3740)</f>
        <v/>
      </c>
      <c r="F3741" s="49">
        <f>TRUNC(((1+VLOOKUP(A3741,IPCA!$A$2:$C$140,3,0)))^(C3741/(EDATE(D3741-C3741,1)-(D3741-C3741))),8)</f>
        <v/>
      </c>
      <c r="G3741" s="4">
        <f>TRUNC((E3741*F3741),8)</f>
        <v/>
      </c>
      <c r="H3741" s="4">
        <f>ROUND(((1+$H$4)^(30/360))^(C3741/(EDATE(D3741-B3741,1)-(D3741-B3741))),9)</f>
        <v/>
      </c>
      <c r="I3741" s="49">
        <f>TRUNC((G3741*H3741-G3741),8)</f>
        <v/>
      </c>
      <c r="J3741" s="4">
        <f>G3741+I3741</f>
        <v/>
      </c>
      <c r="K3741" s="256" t="n"/>
      <c r="L3741" s="256" t="n"/>
      <c r="M3741" s="256" t="n"/>
      <c r="N3741" s="256" t="n"/>
      <c r="O3741" s="256" t="n"/>
      <c r="P3741" s="256" t="n"/>
      <c r="Q3741" s="256" t="n"/>
    </row>
    <row r="3742">
      <c r="A3742">
        <f>IF(DAY(D3742)=DAY($L$1+1),A3741+1,A3741)</f>
        <v/>
      </c>
      <c r="B3742" s="46">
        <f>IF(DAY(D3742)=DAY($L$1+1),1,B3741+1)</f>
        <v/>
      </c>
      <c r="C3742" s="46">
        <f>IF(DAY(D3742)=DAY($L$1+1),1,C3741+1)</f>
        <v/>
      </c>
      <c r="D3742" s="2">
        <f>D3741+1</f>
        <v/>
      </c>
      <c r="E3742" s="8">
        <f>IF(DAY(D3742)=DAY($L$1+1),TRUNC((#REF!),8),E3741)</f>
        <v/>
      </c>
      <c r="F3742" s="49">
        <f>TRUNC(((1+VLOOKUP(A3742,IPCA!$A$2:$C$140,3,0)))^(C3742/(EDATE(D3742-C3742,1)-(D3742-C3742))),8)</f>
        <v/>
      </c>
      <c r="G3742" s="4">
        <f>TRUNC((E3742*F3742),8)</f>
        <v/>
      </c>
      <c r="H3742" s="4">
        <f>ROUND(((1+$H$4)^(30/360))^(C3742/(EDATE(D3742-B3742,1)-(D3742-B3742))),9)</f>
        <v/>
      </c>
      <c r="I3742" s="49">
        <f>TRUNC((G3742*H3742-G3742),8)</f>
        <v/>
      </c>
      <c r="J3742" s="4">
        <f>G3742+I3742</f>
        <v/>
      </c>
      <c r="K3742" s="256" t="n"/>
      <c r="L3742" s="256" t="n"/>
      <c r="M3742" s="256" t="n"/>
      <c r="N3742" s="256" t="n"/>
      <c r="O3742" s="256" t="n"/>
      <c r="P3742" s="256" t="n"/>
      <c r="Q3742" s="256" t="n"/>
    </row>
    <row r="3743">
      <c r="A3743">
        <f>IF(DAY(D3743)=DAY($L$1+1),A3742+1,A3742)</f>
        <v/>
      </c>
      <c r="B3743" s="1">
        <f>IF(DAY(D3743)=DAY($L$1+1),1,B3742+1)</f>
        <v/>
      </c>
      <c r="C3743" s="1">
        <f>IF(DAY(D3743)=DAY($L$1+1),1,C3742+1)</f>
        <v/>
      </c>
      <c r="D3743" s="2">
        <f>D3742+1</f>
        <v/>
      </c>
      <c r="E3743" s="8">
        <f>IF(DAY(D3743)=DAY($L$1+1),TRUNC((#REF!),8),E3742)</f>
        <v/>
      </c>
      <c r="F3743" s="49">
        <f>TRUNC(((1+VLOOKUP(A3743,IPCA!$A$2:$C$140,3,0)))^(C3743/(EDATE(D3743-C3743,1)-(D3743-C3743))),8)</f>
        <v/>
      </c>
      <c r="G3743" s="4">
        <f>TRUNC((E3743*F3743),8)</f>
        <v/>
      </c>
      <c r="H3743" s="4">
        <f>ROUND(((1+$H$4)^(30/360))^(C3743/(EDATE(D3743-B3743,1)-(D3743-B3743))),9)</f>
        <v/>
      </c>
      <c r="I3743" s="49">
        <f>TRUNC((G3743*H3743-G3743),8)</f>
        <v/>
      </c>
      <c r="J3743" s="4">
        <f>G3743+I3743</f>
        <v/>
      </c>
      <c r="K3743" s="256" t="n"/>
      <c r="L3743" s="256" t="n"/>
      <c r="M3743" s="256" t="n"/>
      <c r="N3743" s="256" t="n"/>
      <c r="O3743" s="256" t="n"/>
      <c r="P3743" s="256" t="n"/>
      <c r="Q3743" s="256" t="n"/>
    </row>
    <row r="3744">
      <c r="A3744">
        <f>IF(DAY(D3744)=DAY($L$1+1),A3743+1,A3743)</f>
        <v/>
      </c>
      <c r="B3744" s="46">
        <f>IF(DAY(D3744)=DAY($L$1+1),1,B3743+1)</f>
        <v/>
      </c>
      <c r="C3744" s="46">
        <f>IF(DAY(D3744)=DAY($L$1+1),1,C3743+1)</f>
        <v/>
      </c>
      <c r="D3744" s="2">
        <f>D3743+1</f>
        <v/>
      </c>
      <c r="E3744" s="8">
        <f>IF(DAY(D3744)=DAY($L$1+1),TRUNC((#REF!),8),E3743)</f>
        <v/>
      </c>
      <c r="F3744" s="49">
        <f>TRUNC(((1+VLOOKUP(A3744,IPCA!$A$2:$C$140,3,0)))^(C3744/(EDATE(D3744-C3744,1)-(D3744-C3744))),8)</f>
        <v/>
      </c>
      <c r="G3744" s="4">
        <f>TRUNC((E3744*F3744),8)</f>
        <v/>
      </c>
      <c r="H3744" s="4">
        <f>ROUND(((1+$H$4)^(30/360))^(C3744/(EDATE(D3744-B3744,1)-(D3744-B3744))),9)</f>
        <v/>
      </c>
      <c r="I3744" s="49">
        <f>TRUNC((G3744*H3744-G3744),8)</f>
        <v/>
      </c>
      <c r="J3744" s="4">
        <f>G3744+I3744</f>
        <v/>
      </c>
      <c r="K3744" s="256" t="n"/>
      <c r="L3744" s="256" t="n"/>
      <c r="M3744" s="256" t="n"/>
      <c r="N3744" s="256" t="n"/>
      <c r="O3744" s="256" t="n"/>
      <c r="P3744" s="256" t="n"/>
      <c r="Q3744" s="256" t="n"/>
    </row>
    <row r="3745">
      <c r="A3745">
        <f>IF(DAY(D3745)=DAY($L$1+1),A3744+1,A3744)</f>
        <v/>
      </c>
      <c r="B3745" s="1">
        <f>IF(DAY(D3745)=DAY($L$1+1),1,B3744+1)</f>
        <v/>
      </c>
      <c r="C3745" s="1">
        <f>IF(DAY(D3745)=DAY($L$1+1),1,C3744+1)</f>
        <v/>
      </c>
      <c r="D3745" s="2">
        <f>D3744+1</f>
        <v/>
      </c>
      <c r="E3745" s="8">
        <f>IF(DAY(D3745)=DAY($L$1+1),TRUNC((#REF!),8),E3744)</f>
        <v/>
      </c>
      <c r="F3745" s="49">
        <f>TRUNC(((1+VLOOKUP(A3745,IPCA!$A$2:$C$140,3,0)))^(C3745/(EDATE(D3745-C3745,1)-(D3745-C3745))),8)</f>
        <v/>
      </c>
      <c r="G3745" s="4">
        <f>TRUNC((E3745*F3745),8)</f>
        <v/>
      </c>
      <c r="H3745" s="4">
        <f>ROUND(((1+$H$4)^(30/360))^(C3745/(EDATE(D3745-B3745,1)-(D3745-B3745))),9)</f>
        <v/>
      </c>
      <c r="I3745" s="49">
        <f>TRUNC((G3745*H3745-G3745),8)</f>
        <v/>
      </c>
      <c r="J3745" s="4">
        <f>G3745+I3745</f>
        <v/>
      </c>
      <c r="K3745" s="256" t="n"/>
      <c r="L3745" s="256" t="n"/>
      <c r="M3745" s="256" t="n"/>
      <c r="N3745" s="256" t="n"/>
      <c r="O3745" s="256" t="n"/>
      <c r="P3745" s="256" t="n"/>
      <c r="Q3745" s="256" t="n"/>
    </row>
    <row r="3746">
      <c r="A3746">
        <f>IF(DAY(D3746)=DAY($L$1+1),A3745+1,A3745)</f>
        <v/>
      </c>
      <c r="B3746" s="46">
        <f>IF(DAY(D3746)=DAY($L$1+1),1,B3745+1)</f>
        <v/>
      </c>
      <c r="C3746" s="46">
        <f>IF(DAY(D3746)=DAY($L$1+1),1,C3745+1)</f>
        <v/>
      </c>
      <c r="D3746" s="2">
        <f>D3745+1</f>
        <v/>
      </c>
      <c r="E3746" s="8">
        <f>IF(DAY(D3746)=DAY($L$1+1),TRUNC((#REF!),8),E3745)</f>
        <v/>
      </c>
      <c r="F3746" s="49">
        <f>TRUNC(((1+VLOOKUP(A3746,IPCA!$A$2:$C$140,3,0)))^(C3746/(EDATE(D3746-C3746,1)-(D3746-C3746))),8)</f>
        <v/>
      </c>
      <c r="G3746" s="4">
        <f>TRUNC((E3746*F3746),8)</f>
        <v/>
      </c>
      <c r="H3746" s="4">
        <f>ROUND(((1+$H$4)^(30/360))^(C3746/(EDATE(D3746-B3746,1)-(D3746-B3746))),9)</f>
        <v/>
      </c>
      <c r="I3746" s="49">
        <f>TRUNC((G3746*H3746-G3746),8)</f>
        <v/>
      </c>
      <c r="J3746" s="4">
        <f>G3746+I3746</f>
        <v/>
      </c>
      <c r="K3746" s="256" t="n"/>
      <c r="L3746" s="256" t="n"/>
      <c r="M3746" s="256" t="n"/>
      <c r="N3746" s="256" t="n"/>
      <c r="O3746" s="256" t="n"/>
      <c r="P3746" s="256" t="n"/>
      <c r="Q3746" s="256" t="n"/>
    </row>
    <row r="3747">
      <c r="A3747">
        <f>IF(DAY(D3747)=DAY($L$1+1),A3746+1,A3746)</f>
        <v/>
      </c>
      <c r="B3747" s="1">
        <f>IF(DAY(D3747)=DAY($L$1+1),1,B3746+1)</f>
        <v/>
      </c>
      <c r="C3747" s="1">
        <f>IF(DAY(D3747)=DAY($L$1+1),1,C3746+1)</f>
        <v/>
      </c>
      <c r="D3747" s="2">
        <f>D3746+1</f>
        <v/>
      </c>
      <c r="E3747" s="8">
        <f>IF(DAY(D3747)=DAY($L$1+1),TRUNC((#REF!),8),E3746)</f>
        <v/>
      </c>
      <c r="F3747" s="49">
        <f>TRUNC(((1+VLOOKUP(A3747,IPCA!$A$2:$C$140,3,0)))^(C3747/(EDATE(D3747-C3747,1)-(D3747-C3747))),8)</f>
        <v/>
      </c>
      <c r="G3747" s="4">
        <f>TRUNC((E3747*F3747),8)</f>
        <v/>
      </c>
      <c r="H3747" s="4">
        <f>ROUND(((1+$H$4)^(30/360))^(C3747/(EDATE(D3747-B3747,1)-(D3747-B3747))),9)</f>
        <v/>
      </c>
      <c r="I3747" s="49">
        <f>TRUNC((G3747*H3747-G3747),8)</f>
        <v/>
      </c>
      <c r="J3747" s="4">
        <f>G3747+I3747</f>
        <v/>
      </c>
      <c r="K3747" s="256" t="n"/>
      <c r="L3747" s="256" t="n"/>
      <c r="M3747" s="256" t="n"/>
      <c r="N3747" s="256" t="n"/>
      <c r="O3747" s="256" t="n"/>
      <c r="P3747" s="256" t="n"/>
      <c r="Q3747" s="256" t="n"/>
    </row>
    <row r="3748">
      <c r="A3748">
        <f>IF(DAY(D3748)=DAY($L$1+1),A3747+1,A3747)</f>
        <v/>
      </c>
      <c r="B3748" s="46">
        <f>IF(DAY(D3748)=DAY($L$1+1),1,B3747+1)</f>
        <v/>
      </c>
      <c r="C3748" s="46">
        <f>IF(DAY(D3748)=DAY($L$1+1),1,C3747+1)</f>
        <v/>
      </c>
      <c r="D3748" s="2">
        <f>D3747+1</f>
        <v/>
      </c>
      <c r="E3748" s="8">
        <f>IF(DAY(D3748)=DAY($L$1+1),TRUNC((#REF!),8),E3747)</f>
        <v/>
      </c>
      <c r="F3748" s="49">
        <f>TRUNC(((1+VLOOKUP(A3748,IPCA!$A$2:$C$140,3,0)))^(C3748/(EDATE(D3748-C3748,1)-(D3748-C3748))),8)</f>
        <v/>
      </c>
      <c r="G3748" s="4">
        <f>TRUNC((E3748*F3748),8)</f>
        <v/>
      </c>
      <c r="H3748" s="4">
        <f>ROUND(((1+$H$4)^(30/360))^(C3748/(EDATE(D3748-B3748,1)-(D3748-B3748))),9)</f>
        <v/>
      </c>
      <c r="I3748" s="49">
        <f>TRUNC((G3748*H3748-G3748),8)</f>
        <v/>
      </c>
      <c r="J3748" s="4">
        <f>G3748+I3748</f>
        <v/>
      </c>
      <c r="K3748" s="256" t="n"/>
      <c r="L3748" s="256" t="n"/>
      <c r="M3748" s="256" t="n"/>
      <c r="N3748" s="256" t="n"/>
      <c r="O3748" s="256" t="n"/>
      <c r="P3748" s="256" t="n"/>
      <c r="Q3748" s="256" t="n"/>
    </row>
    <row r="3749">
      <c r="A3749">
        <f>IF(DAY(D3749)=DAY($L$1+1),A3748+1,A3748)</f>
        <v/>
      </c>
      <c r="B3749" s="1">
        <f>IF(DAY(D3749)=DAY($L$1+1),1,B3748+1)</f>
        <v/>
      </c>
      <c r="C3749" s="1">
        <f>IF(DAY(D3749)=DAY($L$1+1),1,C3748+1)</f>
        <v/>
      </c>
      <c r="D3749" s="2">
        <f>D3748+1</f>
        <v/>
      </c>
      <c r="E3749" s="8">
        <f>IF(DAY(D3749)=DAY($L$1+1),TRUNC((N3748),8),E3748)</f>
        <v/>
      </c>
      <c r="F3749" s="49">
        <f>TRUNC(((1+VLOOKUP(A3749,IPCA!$A$2:$C$140,3,0)))^(C3749/(EDATE(D3749-C3749,1)-(D3749-C3749))),8)</f>
        <v/>
      </c>
      <c r="G3749" s="4">
        <f>TRUNC((E3749*F3749),8)</f>
        <v/>
      </c>
      <c r="H3749" s="4">
        <f>ROUND(((1+$H$4)^(30/360))^(C3749/(EDATE(D3749-B3749,1)-(D3749-B3749))),9)</f>
        <v/>
      </c>
      <c r="I3749" s="49">
        <f>TRUNC((G3749*H3749-G3749),8)</f>
        <v/>
      </c>
      <c r="J3749" s="4">
        <f>G3749+I3749</f>
        <v/>
      </c>
      <c r="K3749" s="256" t="n"/>
      <c r="L3749" s="256" t="n"/>
      <c r="M3749" s="256" t="n"/>
      <c r="N3749" s="256" t="n"/>
      <c r="O3749" s="256" t="n"/>
      <c r="P3749" s="256" t="n"/>
      <c r="Q3749" s="256" t="n"/>
    </row>
    <row r="3750">
      <c r="A3750">
        <f>IF(DAY(D3750)=DAY($L$1+1),A3749+1,A3749)</f>
        <v/>
      </c>
      <c r="B3750" s="46">
        <f>IF(DAY(D3750)=DAY($L$1+1),1,B3749+1)</f>
        <v/>
      </c>
      <c r="C3750" s="46">
        <f>IF(DAY(D3750)=DAY($L$1+1),1,C3749+1)</f>
        <v/>
      </c>
      <c r="D3750" s="2">
        <f>D3749+1</f>
        <v/>
      </c>
      <c r="E3750" s="8">
        <f>IF(DAY(D3750)=DAY($L$1+1),TRUNC((N3749),8),E3749)</f>
        <v/>
      </c>
      <c r="F3750" s="49">
        <f>TRUNC(((1+VLOOKUP(A3750,IPCA!$A$2:$C$140,3,0)))^(C3750/(EDATE(D3750-C3750,1)-(D3750-C3750))),8)</f>
        <v/>
      </c>
      <c r="G3750" s="4">
        <f>TRUNC((E3750*F3750),8)</f>
        <v/>
      </c>
      <c r="H3750" s="4">
        <f>ROUND(((1+$H$4)^(30/360))^(C3750/(EDATE(D3750-B3750,1)-(D3750-B3750))),9)</f>
        <v/>
      </c>
      <c r="I3750" s="49">
        <f>TRUNC((G3750*H3750-G3750),8)</f>
        <v/>
      </c>
      <c r="J3750" s="4">
        <f>G3750+I3750</f>
        <v/>
      </c>
      <c r="K3750" s="256" t="n"/>
      <c r="L3750" s="256" t="n"/>
      <c r="M3750" s="256" t="n"/>
      <c r="N3750" s="256" t="n"/>
      <c r="O3750" s="256" t="n"/>
      <c r="P3750" s="256" t="n"/>
      <c r="Q3750" s="256" t="n"/>
    </row>
    <row r="3751">
      <c r="A3751">
        <f>IF(DAY(D3751)=DAY($L$1+1),A3750+1,A3750)</f>
        <v/>
      </c>
      <c r="B3751" s="1">
        <f>IF(DAY(D3751)=DAY($L$1+1),1,B3750+1)</f>
        <v/>
      </c>
      <c r="C3751" s="1">
        <f>IF(DAY(D3751)=DAY($L$1+1),1,C3750+1)</f>
        <v/>
      </c>
      <c r="D3751" s="2">
        <f>D3750+1</f>
        <v/>
      </c>
      <c r="E3751" s="8">
        <f>IF(DAY(D3751)=DAY($L$1+1),TRUNC((N3750),8),E3750)</f>
        <v/>
      </c>
      <c r="F3751" s="49">
        <f>TRUNC(((1+VLOOKUP(A3751,IPCA!$A$2:$C$140,3,0)))^(C3751/(EDATE(D3751-C3751,1)-(D3751-C3751))),8)</f>
        <v/>
      </c>
      <c r="G3751" s="4">
        <f>TRUNC((E3751*F3751),8)</f>
        <v/>
      </c>
      <c r="H3751" s="4">
        <f>ROUND(((1+$H$4)^(30/360))^(C3751/(EDATE(D3751-B3751,1)-(D3751-B3751))),9)</f>
        <v/>
      </c>
      <c r="I3751" s="49">
        <f>TRUNC((G3751*H3751-G3751),8)</f>
        <v/>
      </c>
      <c r="J3751" s="4">
        <f>G3751+I3751</f>
        <v/>
      </c>
      <c r="K3751" s="256" t="n"/>
      <c r="L3751" s="256" t="n"/>
      <c r="M3751" s="256" t="n"/>
      <c r="N3751" s="256" t="n"/>
      <c r="O3751" s="256" t="n"/>
      <c r="P3751" s="256" t="n"/>
      <c r="Q3751" s="256" t="n"/>
    </row>
    <row r="3752">
      <c r="A3752">
        <f>IF(DAY(D3752)=DAY($L$1+1),A3751+1,A3751)</f>
        <v/>
      </c>
      <c r="B3752" s="46">
        <f>IF(DAY(D3752)=DAY($L$1+1),1,B3751+1)</f>
        <v/>
      </c>
      <c r="C3752" s="46">
        <f>IF(DAY(D3752)=DAY($L$1+1),1,C3751+1)</f>
        <v/>
      </c>
      <c r="D3752" s="2">
        <f>D3751+1</f>
        <v/>
      </c>
      <c r="E3752" s="8">
        <f>IF(DAY(D3752)=DAY($L$1+1),TRUNC((N3751),8),E3751)</f>
        <v/>
      </c>
      <c r="F3752" s="49">
        <f>TRUNC(((1+VLOOKUP(A3752,IPCA!$A$2:$C$140,3,0)))^(C3752/(EDATE(D3752-C3752,1)-(D3752-C3752))),8)</f>
        <v/>
      </c>
      <c r="G3752" s="4">
        <f>TRUNC((E3752*F3752),8)</f>
        <v/>
      </c>
      <c r="H3752" s="4">
        <f>ROUND(((1+$H$4)^(30/360))^(C3752/(EDATE(D3752-B3752,1)-(D3752-B3752))),9)</f>
        <v/>
      </c>
      <c r="I3752" s="49">
        <f>TRUNC((G3752*H3752-G3752),8)</f>
        <v/>
      </c>
      <c r="J3752" s="4">
        <f>G3752+I3752</f>
        <v/>
      </c>
      <c r="K3752" s="256" t="n"/>
      <c r="L3752" s="256" t="n"/>
      <c r="M3752" s="256" t="n"/>
      <c r="N3752" s="256" t="n"/>
      <c r="O3752" s="256" t="n"/>
      <c r="P3752" s="256" t="n"/>
      <c r="Q3752" s="256" t="n"/>
    </row>
    <row r="3753">
      <c r="A3753">
        <f>IF(DAY(D3753)=DAY($L$1+1),A3752+1,A3752)</f>
        <v/>
      </c>
      <c r="B3753" s="1">
        <f>IF(DAY(D3753)=DAY($L$1+1),1,B3752+1)</f>
        <v/>
      </c>
      <c r="C3753" s="1">
        <f>IF(DAY(D3753)=DAY($L$1+1),1,C3752+1)</f>
        <v/>
      </c>
      <c r="D3753" s="2">
        <f>D3752+1</f>
        <v/>
      </c>
      <c r="E3753" s="8">
        <f>IF(DAY(D3753)=DAY($L$1+1),TRUNC((N3752),8),E3752)</f>
        <v/>
      </c>
      <c r="F3753" s="49">
        <f>TRUNC(((1+VLOOKUP(A3753,IPCA!$A$2:$C$140,3,0)))^(C3753/(EDATE(D3753-C3753,1)-(D3753-C3753))),8)</f>
        <v/>
      </c>
      <c r="G3753" s="4">
        <f>TRUNC((E3753*F3753),8)</f>
        <v/>
      </c>
      <c r="H3753" s="4">
        <f>ROUND(((1+$H$4)^(30/360))^(C3753/(EDATE(D3753-B3753,1)-(D3753-B3753))),9)</f>
        <v/>
      </c>
      <c r="I3753" s="49">
        <f>TRUNC((G3753*H3753-G3753),8)</f>
        <v/>
      </c>
      <c r="J3753" s="4">
        <f>G3753+I3753</f>
        <v/>
      </c>
      <c r="K3753" s="256" t="n"/>
      <c r="L3753" s="256" t="n"/>
      <c r="M3753" s="256" t="n"/>
      <c r="N3753" s="256" t="n"/>
      <c r="O3753" s="256" t="n"/>
      <c r="P3753" s="256" t="n"/>
      <c r="Q3753" s="256" t="n"/>
    </row>
    <row r="3754">
      <c r="A3754">
        <f>IF(DAY(D3754)=DAY($L$1+1),A3753+1,A3753)</f>
        <v/>
      </c>
      <c r="B3754" s="46">
        <f>IF(DAY(D3754)=DAY($L$1+1),1,B3753+1)</f>
        <v/>
      </c>
      <c r="C3754" s="46">
        <f>IF(DAY(D3754)=DAY($L$1+1),1,C3753+1)</f>
        <v/>
      </c>
      <c r="D3754" s="2">
        <f>D3753+1</f>
        <v/>
      </c>
      <c r="E3754" s="8">
        <f>IF(DAY(D3754)=DAY($L$1+1),TRUNC((N3753),8),E3753)</f>
        <v/>
      </c>
      <c r="F3754" s="49">
        <f>TRUNC(((1+VLOOKUP(A3754,IPCA!$A$2:$C$140,3,0)))^(C3754/(EDATE(D3754-C3754,1)-(D3754-C3754))),8)</f>
        <v/>
      </c>
      <c r="G3754" s="4">
        <f>TRUNC((E3754*F3754),8)</f>
        <v/>
      </c>
      <c r="H3754" s="4">
        <f>ROUND(((1+$H$4)^(30/360))^(C3754/(EDATE(D3754-B3754,1)-(D3754-B3754))),9)</f>
        <v/>
      </c>
      <c r="I3754" s="49">
        <f>TRUNC((G3754*H3754-G3754),8)</f>
        <v/>
      </c>
      <c r="J3754" s="4">
        <f>G3754+I3754</f>
        <v/>
      </c>
      <c r="K3754" s="256" t="n"/>
      <c r="L3754" s="256" t="n"/>
      <c r="M3754" s="256" t="n"/>
      <c r="N3754" s="256" t="n"/>
      <c r="O3754" s="256" t="n"/>
      <c r="P3754" s="256" t="n"/>
      <c r="Q3754" s="256" t="n"/>
    </row>
    <row r="3755">
      <c r="A3755">
        <f>IF(DAY(D3755)=DAY($L$1+1),A3754+1,A3754)</f>
        <v/>
      </c>
      <c r="B3755" s="1">
        <f>IF(DAY(D3755)=DAY($L$1+1),1,B3754+1)</f>
        <v/>
      </c>
      <c r="C3755" s="1">
        <f>IF(DAY(D3755)=DAY($L$1+1),1,C3754+1)</f>
        <v/>
      </c>
      <c r="D3755" s="2">
        <f>D3754+1</f>
        <v/>
      </c>
      <c r="E3755" s="8">
        <f>IF(DAY(D3755)=DAY($L$1+1),TRUNC((N3754),8),E3754)</f>
        <v/>
      </c>
      <c r="F3755" s="49">
        <f>TRUNC(((1+VLOOKUP(A3755,IPCA!$A$2:$C$140,3,0)))^(C3755/(EDATE(D3755-C3755,1)-(D3755-C3755))),8)</f>
        <v/>
      </c>
      <c r="G3755" s="4">
        <f>TRUNC((E3755*F3755),8)</f>
        <v/>
      </c>
      <c r="H3755" s="4">
        <f>ROUND(((1+$H$4)^(30/360))^(C3755/(EDATE(D3755-B3755,1)-(D3755-B3755))),9)</f>
        <v/>
      </c>
      <c r="I3755" s="49">
        <f>TRUNC((G3755*H3755-G3755),8)</f>
        <v/>
      </c>
      <c r="J3755" s="4">
        <f>G3755+I3755</f>
        <v/>
      </c>
      <c r="K3755" s="256" t="n"/>
      <c r="L3755" s="256" t="n"/>
      <c r="M3755" s="256" t="n"/>
      <c r="N3755" s="256" t="n"/>
      <c r="O3755" s="256" t="n"/>
      <c r="P3755" s="256" t="n"/>
      <c r="Q3755" s="256" t="n"/>
    </row>
    <row r="3756">
      <c r="A3756">
        <f>IF(DAY(D3756)=DAY($L$1+1),A3755+1,A3755)</f>
        <v/>
      </c>
      <c r="B3756" s="46">
        <f>IF(DAY(D3756)=DAY($L$1+1),1,B3755+1)</f>
        <v/>
      </c>
      <c r="C3756" s="46">
        <f>IF(DAY(D3756)=DAY($L$1+1),1,C3755+1)</f>
        <v/>
      </c>
      <c r="D3756" s="2">
        <f>D3755+1</f>
        <v/>
      </c>
      <c r="E3756" s="8">
        <f>IF(DAY(D3756)=DAY($L$1+1),TRUNC((N3755),8),E3755)</f>
        <v/>
      </c>
      <c r="F3756" s="49">
        <f>TRUNC(((1+VLOOKUP(A3756,IPCA!$A$2:$C$140,3,0)))^(C3756/(EDATE(D3756-C3756,1)-(D3756-C3756))),8)</f>
        <v/>
      </c>
      <c r="G3756" s="4">
        <f>TRUNC((E3756*F3756),8)</f>
        <v/>
      </c>
      <c r="H3756" s="4">
        <f>ROUND(((1+$H$4)^(30/360))^(C3756/(EDATE(D3756-B3756,1)-(D3756-B3756))),9)</f>
        <v/>
      </c>
      <c r="I3756" s="49">
        <f>TRUNC((G3756*H3756-G3756),8)</f>
        <v/>
      </c>
      <c r="J3756" s="4">
        <f>G3756+I3756</f>
        <v/>
      </c>
      <c r="K3756" s="256" t="n"/>
      <c r="L3756" s="256" t="n"/>
      <c r="M3756" s="256" t="n"/>
      <c r="N3756" s="256" t="n"/>
      <c r="O3756" s="256" t="n"/>
      <c r="P3756" s="256" t="n"/>
      <c r="Q3756" s="256" t="n"/>
    </row>
    <row r="3757">
      <c r="A3757">
        <f>IF(DAY(D3757)=DAY($L$1+1),A3756+1,A3756)</f>
        <v/>
      </c>
      <c r="B3757" s="1">
        <f>IF(DAY(D3757)=DAY($L$1+1),1,B3756+1)</f>
        <v/>
      </c>
      <c r="C3757" s="1">
        <f>IF(DAY(D3757)=DAY($L$1+1),1,C3756+1)</f>
        <v/>
      </c>
      <c r="D3757" s="2">
        <f>D3756+1</f>
        <v/>
      </c>
      <c r="E3757" s="8">
        <f>IF(DAY(D3757)=DAY($L$1+1),TRUNC((N3756),8),E3756)</f>
        <v/>
      </c>
      <c r="F3757" s="49">
        <f>TRUNC(((1+VLOOKUP(A3757,IPCA!$A$2:$C$140,3,0)))^(C3757/(EDATE(D3757-C3757,1)-(D3757-C3757))),8)</f>
        <v/>
      </c>
      <c r="G3757" s="4">
        <f>TRUNC((E3757*F3757),8)</f>
        <v/>
      </c>
      <c r="H3757" s="4">
        <f>ROUND(((1+$H$4)^(30/360))^(C3757/(EDATE(D3757-B3757,1)-(D3757-B3757))),9)</f>
        <v/>
      </c>
      <c r="I3757" s="49">
        <f>TRUNC((G3757*H3757-G3757),8)</f>
        <v/>
      </c>
      <c r="J3757" s="4">
        <f>G3757+I3757</f>
        <v/>
      </c>
      <c r="K3757" s="256" t="n"/>
      <c r="L3757" s="256" t="n"/>
      <c r="M3757" s="256" t="n"/>
      <c r="N3757" s="256" t="n"/>
      <c r="O3757" s="256" t="n"/>
      <c r="P3757" s="256" t="n"/>
      <c r="Q3757" s="256" t="n"/>
    </row>
    <row r="3758">
      <c r="A3758">
        <f>IF(DAY(D3758)=DAY($L$1+1),A3757+1,A3757)</f>
        <v/>
      </c>
      <c r="B3758" s="46">
        <f>IF(DAY(D3758)=DAY($L$1+1),1,B3757+1)</f>
        <v/>
      </c>
      <c r="C3758" s="46">
        <f>IF(DAY(D3758)=DAY($L$1+1),1,C3757+1)</f>
        <v/>
      </c>
      <c r="D3758" s="2">
        <f>D3757+1</f>
        <v/>
      </c>
      <c r="E3758" s="8">
        <f>IF(DAY(D3758)=DAY($L$1+1),TRUNC((N3757),8),E3757)</f>
        <v/>
      </c>
      <c r="F3758" s="49">
        <f>TRUNC(((1+VLOOKUP(A3758,IPCA!$A$2:$C$140,3,0)))^(C3758/(EDATE(D3758-C3758,1)-(D3758-C3758))),8)</f>
        <v/>
      </c>
      <c r="G3758" s="4">
        <f>TRUNC((E3758*F3758),8)</f>
        <v/>
      </c>
      <c r="H3758" s="4">
        <f>ROUND(((1+$H$4)^(30/360))^(C3758/(EDATE(D3758-B3758,1)-(D3758-B3758))),9)</f>
        <v/>
      </c>
      <c r="I3758" s="49">
        <f>TRUNC((G3758*H3758-G3758),8)</f>
        <v/>
      </c>
      <c r="J3758" s="4">
        <f>G3758+I3758</f>
        <v/>
      </c>
      <c r="K3758" s="256" t="n"/>
      <c r="L3758" s="256" t="n"/>
      <c r="M3758" s="256" t="n"/>
      <c r="N3758" s="256" t="n"/>
      <c r="O3758" s="256" t="n"/>
      <c r="P3758" s="256" t="n"/>
      <c r="Q3758" s="256" t="n"/>
    </row>
    <row r="3759">
      <c r="A3759">
        <f>IF(DAY(D3759)=DAY($L$1+1),A3758+1,A3758)</f>
        <v/>
      </c>
      <c r="B3759" s="1">
        <f>IF(DAY(D3759)=DAY($L$1+1),1,B3758+1)</f>
        <v/>
      </c>
      <c r="C3759" s="1">
        <f>IF(DAY(D3759)=DAY($L$1+1),1,C3758+1)</f>
        <v/>
      </c>
      <c r="D3759" s="2">
        <f>D3758+1</f>
        <v/>
      </c>
      <c r="E3759" s="8">
        <f>IF(DAY(D3759)=DAY($L$1+1),TRUNC((N3758),8),E3758)</f>
        <v/>
      </c>
      <c r="F3759" s="49">
        <f>TRUNC(((1+VLOOKUP(A3759,IPCA!$A$2:$C$140,3,0)))^(C3759/(EDATE(D3759-C3759,1)-(D3759-C3759))),8)</f>
        <v/>
      </c>
      <c r="G3759" s="4">
        <f>TRUNC((E3759*F3759),8)</f>
        <v/>
      </c>
      <c r="H3759" s="4">
        <f>ROUND(((1+$H$4)^(30/360))^(C3759/(EDATE(D3759-B3759,1)-(D3759-B3759))),9)</f>
        <v/>
      </c>
      <c r="I3759" s="49">
        <f>TRUNC((G3759*H3759-G3759),8)</f>
        <v/>
      </c>
      <c r="J3759" s="4">
        <f>G3759+I3759</f>
        <v/>
      </c>
      <c r="K3759" s="256" t="n"/>
      <c r="L3759" s="256" t="n"/>
      <c r="M3759" s="256" t="n"/>
      <c r="N3759" s="256" t="n"/>
      <c r="O3759" s="256" t="n"/>
      <c r="P3759" s="256" t="n"/>
      <c r="Q3759" s="256" t="n"/>
    </row>
    <row r="3760">
      <c r="A3760">
        <f>IF(DAY(D3760)=DAY($L$1+1),A3759+1,A3759)</f>
        <v/>
      </c>
      <c r="B3760" s="46">
        <f>IF(DAY(D3760)=DAY($L$1+1),1,B3759+1)</f>
        <v/>
      </c>
      <c r="C3760" s="46">
        <f>IF(DAY(D3760)=DAY($L$1+1),1,C3759+1)</f>
        <v/>
      </c>
      <c r="D3760" s="2">
        <f>D3759+1</f>
        <v/>
      </c>
      <c r="E3760" s="8">
        <f>IF(DAY(D3760)=DAY($L$1+1),TRUNC((N3759),8),E3759)</f>
        <v/>
      </c>
      <c r="F3760" s="49">
        <f>TRUNC(((1+VLOOKUP(A3760,IPCA!$A$2:$C$140,3,0)))^(C3760/(EDATE(D3760-C3760,1)-(D3760-C3760))),8)</f>
        <v/>
      </c>
      <c r="G3760" s="4">
        <f>TRUNC((E3760*F3760),8)</f>
        <v/>
      </c>
      <c r="H3760" s="4">
        <f>ROUND(((1+$H$4)^(30/360))^(C3760/(EDATE(D3760-B3760,1)-(D3760-B3760))),9)</f>
        <v/>
      </c>
      <c r="I3760" s="49">
        <f>TRUNC((G3760*H3760-G3760),8)</f>
        <v/>
      </c>
      <c r="J3760" s="4">
        <f>G3760+I3760</f>
        <v/>
      </c>
      <c r="K3760" s="256" t="n"/>
      <c r="L3760" s="256" t="n"/>
      <c r="M3760" s="256" t="n"/>
      <c r="N3760" s="256" t="n"/>
      <c r="O3760" s="256" t="n"/>
      <c r="P3760" s="256" t="n"/>
      <c r="Q3760" s="256" t="n"/>
    </row>
    <row r="3761">
      <c r="A3761">
        <f>IF(DAY(D3761)=DAY($L$1+1),A3760+1,A3760)</f>
        <v/>
      </c>
      <c r="B3761" s="1">
        <f>IF(DAY(D3761)=DAY($L$1+1),1,B3760+1)</f>
        <v/>
      </c>
      <c r="C3761" s="1">
        <f>IF(DAY(D3761)=DAY($L$1+1),1,C3760+1)</f>
        <v/>
      </c>
      <c r="D3761" s="2">
        <f>D3760+1</f>
        <v/>
      </c>
      <c r="E3761" s="8">
        <f>IF(DAY(D3761)=DAY($L$1+1),TRUNC((N3760),8),E3760)</f>
        <v/>
      </c>
      <c r="F3761" s="49">
        <f>TRUNC(((1+VLOOKUP(A3761,IPCA!$A$2:$C$140,3,0)))^(C3761/(EDATE(D3761-C3761,1)-(D3761-C3761))),8)</f>
        <v/>
      </c>
      <c r="G3761" s="4">
        <f>TRUNC((E3761*F3761),8)</f>
        <v/>
      </c>
      <c r="H3761" s="4">
        <f>ROUND(((1+$H$4)^(30/360))^(C3761/(EDATE(D3761-B3761,1)-(D3761-B3761))),9)</f>
        <v/>
      </c>
      <c r="I3761" s="49">
        <f>TRUNC((G3761*H3761-G3761),8)</f>
        <v/>
      </c>
      <c r="J3761" s="4">
        <f>G3761+I3761</f>
        <v/>
      </c>
      <c r="K3761" s="256" t="n"/>
      <c r="L3761" s="256" t="n"/>
      <c r="M3761" s="256" t="n"/>
      <c r="N3761" s="256" t="n"/>
      <c r="O3761" s="256" t="n"/>
      <c r="P3761" s="256" t="n"/>
      <c r="Q3761" s="256" t="n"/>
    </row>
    <row r="3762">
      <c r="A3762">
        <f>IF(DAY(D3762)=DAY($L$1+1),A3761+1,A3761)</f>
        <v/>
      </c>
      <c r="B3762" s="46">
        <f>IF(DAY(D3762)=DAY($L$1+1),1,B3761+1)</f>
        <v/>
      </c>
      <c r="C3762" s="46">
        <f>IF(DAY(D3762)=DAY($L$1+1),1,C3761+1)</f>
        <v/>
      </c>
      <c r="D3762" s="2">
        <f>D3761+1</f>
        <v/>
      </c>
      <c r="E3762" s="8">
        <f>IF(DAY(D3762)=DAY($L$1+1),TRUNC((N3761),8),E3761)</f>
        <v/>
      </c>
      <c r="F3762" s="49">
        <f>TRUNC(((1+VLOOKUP(A3762,IPCA!$A$2:$C$140,3,0)))^(C3762/(EDATE(D3762-C3762,1)-(D3762-C3762))),8)</f>
        <v/>
      </c>
      <c r="G3762" s="4">
        <f>TRUNC((E3762*F3762),8)</f>
        <v/>
      </c>
      <c r="H3762" s="4">
        <f>ROUND(((1+$H$4)^(30/360))^(C3762/(EDATE(D3762-B3762,1)-(D3762-B3762))),9)</f>
        <v/>
      </c>
      <c r="I3762" s="49">
        <f>TRUNC((G3762*H3762-G3762),8)</f>
        <v/>
      </c>
      <c r="J3762" s="4">
        <f>G3762+I3762</f>
        <v/>
      </c>
      <c r="K3762" s="256" t="inlineStr">
        <is>
          <t>Cri Integralizado</t>
        </is>
      </c>
      <c r="L3762" s="270">
        <f>L3732</f>
        <v/>
      </c>
      <c r="M3762" s="256" t="n"/>
      <c r="N3762" s="256" t="n"/>
      <c r="O3762" s="256" t="n"/>
      <c r="P3762" s="256" t="n"/>
      <c r="Q3762" s="256" t="n"/>
    </row>
    <row r="3763">
      <c r="A3763">
        <f>IF(DAY(D3763)=DAY($L$1+1),A3762+1,A3762)</f>
        <v/>
      </c>
      <c r="B3763" s="46">
        <f>IF(DAY(D3763)=DAY($L$1+1),1,B3762+1)</f>
        <v/>
      </c>
      <c r="C3763" s="46">
        <f>IF(DAY(D3763)=DAY($L$1+1),1,C3762+1)</f>
        <v/>
      </c>
      <c r="D3763" s="47">
        <f>D3762+1</f>
        <v/>
      </c>
      <c r="E3763" s="8">
        <f>IF(DAY(D3763)=DAY($L$1+1),TRUNC((N3762),8),E3762)</f>
        <v/>
      </c>
      <c r="F3763" s="49">
        <f>TRUNC(((1+VLOOKUP(A3763,IPCA!$A$2:$C$140,3,0)))^(C3763/(EDATE(D3763-C3763,1)-(D3763-C3763))),8)</f>
        <v/>
      </c>
      <c r="G3763" s="4">
        <f>TRUNC((E3763*F3763),8)</f>
        <v/>
      </c>
      <c r="H3763" s="4">
        <f>ROUND(((1+$H$4)^(30/360))^(C3763/(EDATE(D3763-B3763,1)-(D3763-B3763))),9)</f>
        <v/>
      </c>
      <c r="I3763" s="49">
        <f>TRUNC((G3763*H3763-G3763),8)</f>
        <v/>
      </c>
      <c r="J3763" s="4">
        <f>G3763+I3763</f>
        <v/>
      </c>
      <c r="K3763" s="137" t="inlineStr">
        <is>
          <t>JUROS</t>
        </is>
      </c>
      <c r="L3763" s="118" t="inlineStr">
        <is>
          <t>AMORTIZAÇÃO</t>
        </is>
      </c>
      <c r="M3763" s="118" t="inlineStr">
        <is>
          <t>AMEX</t>
        </is>
      </c>
      <c r="N3763" s="118" t="inlineStr">
        <is>
          <t>RESIDUAL</t>
        </is>
      </c>
      <c r="O3763" s="256" t="n"/>
      <c r="P3763" s="256" t="n"/>
      <c r="Q3763" s="256" t="n"/>
    </row>
    <row r="3764">
      <c r="A3764">
        <f>IF(DAY(D3764)=DAY($L$1+1),A3763+1,A3763)</f>
        <v/>
      </c>
      <c r="B3764" s="111">
        <f>IF(DAY(D3764)=DAY($L$1+1),1,B3763+1)</f>
        <v/>
      </c>
      <c r="C3764" s="111">
        <f>IF(DAY(D3764)=DAY($L$1+1),1,C3763+1)</f>
        <v/>
      </c>
      <c r="D3764" s="112">
        <f>D3763+1</f>
        <v/>
      </c>
      <c r="E3764" s="113">
        <f>IF(DAY(D3764)=DAY($L$1+1),TRUNC((N3763),8),E3763)</f>
        <v/>
      </c>
      <c r="F3764" s="114">
        <f>TRUNC(((1+VLOOKUP(A3764,IPCA!$A$2:$C$140,3,0)))^(C3764/(EDATE(D3764-C3764,1)-(D3764-C3764))),8)</f>
        <v/>
      </c>
      <c r="G3764" s="114">
        <f>TRUNC((E3764*F3764),8)</f>
        <v/>
      </c>
      <c r="H3764" s="114">
        <f>ROUND(((1+$H$4)^(30/360))^(C3764/(EDATE(D3764-B3764,1)-(D3764-B3764))),9)</f>
        <v/>
      </c>
      <c r="I3764" s="114">
        <f>TRUNC((G3764*H3764-G3764),8)</f>
        <v/>
      </c>
      <c r="J3764" s="114">
        <f>G3764+I3764</f>
        <v/>
      </c>
      <c r="K3764" s="119">
        <f>I3764</f>
        <v/>
      </c>
      <c r="L3764" s="120">
        <f>TRUNC(G3764*VLOOKUP(D3764,'Amort TS'!$G$3:$H$140,2,0),8)</f>
        <v/>
      </c>
      <c r="M3764" s="120" t="n">
        <v>0</v>
      </c>
      <c r="N3764" s="120">
        <f>J3764-K3764-L3764-M3764</f>
        <v/>
      </c>
      <c r="O3764" s="256" t="n"/>
      <c r="P3764" s="256" t="n"/>
      <c r="Q3764" s="256" t="n"/>
    </row>
    <row r="3765">
      <c r="A3765">
        <f>IF(DAY(D3765)=DAY($L$1+1),A3764+1,A3764)</f>
        <v/>
      </c>
      <c r="B3765" s="46">
        <f>IF(DAY(D3765)=DAY($L$1+1),1,B3764+1)</f>
        <v/>
      </c>
      <c r="C3765" s="46">
        <f>IF(DAY(D3765)=DAY($L$1+1),1,C3764+1)</f>
        <v/>
      </c>
      <c r="D3765" s="2">
        <f>D3764+1</f>
        <v/>
      </c>
      <c r="E3765" s="8">
        <f>IF(DAY(D3765)=DAY($L$1+1),TRUNC((N3764),8),E3764)</f>
        <v/>
      </c>
      <c r="F3765" s="49">
        <f>TRUNC(((1+VLOOKUP(A3765,IPCA!$A$2:$C$140,3,0)))^(C3765/(EDATE(D3765-C3765,1)-(D3765-C3765))),8)</f>
        <v/>
      </c>
      <c r="G3765" s="4">
        <f>TRUNC((E3765*F3765),8)</f>
        <v/>
      </c>
      <c r="H3765" s="4">
        <f>ROUND(((1+$H$4)^(30/360))^(C3765/(EDATE(D3765-B3765,1)-(D3765-B3765))),9)</f>
        <v/>
      </c>
      <c r="I3765" s="49">
        <f>TRUNC((G3765*H3765-G3765),8)</f>
        <v/>
      </c>
      <c r="J3765" s="4">
        <f>G3765+I3765</f>
        <v/>
      </c>
      <c r="K3765" s="121">
        <f>K3764*L3762</f>
        <v/>
      </c>
      <c r="L3765" s="121">
        <f>L3764*L3762</f>
        <v/>
      </c>
      <c r="M3765" s="121">
        <f>M3764*L3762</f>
        <v/>
      </c>
      <c r="N3765" s="121">
        <f>N3764*L3762</f>
        <v/>
      </c>
      <c r="O3765" s="256" t="n"/>
      <c r="P3765" s="256" t="n"/>
      <c r="Q3765" s="256" t="n"/>
    </row>
    <row r="3766">
      <c r="A3766">
        <f>IF(DAY(D3766)=DAY($L$1+1),A3765+1,A3765)</f>
        <v/>
      </c>
      <c r="B3766" s="46">
        <f>IF(DAY(D3766)=DAY($L$1+1),1,B3765+1)</f>
        <v/>
      </c>
      <c r="C3766" s="46">
        <f>IF(DAY(D3766)=DAY($L$1+1),1,C3765+1)</f>
        <v/>
      </c>
      <c r="D3766" s="47">
        <f>D3765+1</f>
        <v/>
      </c>
      <c r="E3766" s="8">
        <f>IF(DAY(D3766)=DAY($L$1+1),TRUNC((N3765),8),E3765)</f>
        <v/>
      </c>
      <c r="F3766" s="49">
        <f>TRUNC(((1+VLOOKUP(A3766,IPCA!$A$2:$C$140,3,0)))^(C3766/(EDATE(D3766-C3766,1)-(D3766-C3766))),8)</f>
        <v/>
      </c>
      <c r="G3766" s="4">
        <f>TRUNC((E3766*F3766),8)</f>
        <v/>
      </c>
      <c r="H3766" s="4">
        <f>ROUND(((1+$H$4)^(30/360))^(C3766/(EDATE(D3766-B3766,1)-(D3766-B3766))),9)</f>
        <v/>
      </c>
      <c r="I3766" s="49">
        <f>TRUNC((G3766*H3766-G3766),8)</f>
        <v/>
      </c>
      <c r="J3766" s="4">
        <f>G3766+I3766</f>
        <v/>
      </c>
      <c r="K3766" s="256" t="n"/>
      <c r="L3766" s="256" t="n"/>
      <c r="M3766" s="256" t="n"/>
      <c r="N3766" s="256" t="n"/>
      <c r="O3766" s="256" t="n"/>
      <c r="P3766" s="256" t="n"/>
      <c r="Q3766" s="256" t="n"/>
    </row>
    <row r="3767">
      <c r="A3767">
        <f>IF(DAY(D3767)=DAY($L$1+1),A3766+1,A3766)</f>
        <v/>
      </c>
      <c r="B3767" s="1">
        <f>IF(DAY(D3767)=DAY($L$1+1),1,B3766+1)</f>
        <v/>
      </c>
      <c r="C3767" s="1">
        <f>IF(DAY(D3767)=DAY($L$1+1),1,C3766+1)</f>
        <v/>
      </c>
      <c r="D3767" s="2">
        <f>D3766+1</f>
        <v/>
      </c>
      <c r="E3767" s="8">
        <f>IF(DAY(D3767)=DAY($L$1+1),TRUNC((#REF!),8),E3766)</f>
        <v/>
      </c>
      <c r="F3767" s="49">
        <f>TRUNC(((1+VLOOKUP(A3767,IPCA!$A$2:$C$140,3,0)))^(C3767/(EDATE(D3767-C3767,1)-(D3767-C3767))),8)</f>
        <v/>
      </c>
      <c r="G3767" s="4">
        <f>TRUNC((E3767*F3767),8)</f>
        <v/>
      </c>
      <c r="H3767" s="4">
        <f>ROUND(((1+$H$4)^(30/360))^(C3767/(EDATE(D3767-B3767,1)-(D3767-B3767))),9)</f>
        <v/>
      </c>
      <c r="I3767" s="49">
        <f>TRUNC((G3767*H3767-G3767),8)</f>
        <v/>
      </c>
      <c r="J3767" s="4">
        <f>G3767+I3767</f>
        <v/>
      </c>
      <c r="K3767" s="256" t="n"/>
      <c r="L3767" s="256" t="n"/>
      <c r="M3767" s="256" t="n"/>
      <c r="N3767" s="256" t="n"/>
      <c r="O3767" s="256" t="n"/>
      <c r="P3767" s="256" t="n"/>
      <c r="Q3767" s="256" t="n"/>
    </row>
    <row r="3768">
      <c r="A3768">
        <f>IF(DAY(D3768)=DAY($L$1+1),A3767+1,A3767)</f>
        <v/>
      </c>
      <c r="B3768" s="46">
        <f>IF(DAY(D3768)=DAY($L$1+1),1,B3767+1)</f>
        <v/>
      </c>
      <c r="C3768" s="46">
        <f>IF(DAY(D3768)=DAY($L$1+1),1,C3767+1)</f>
        <v/>
      </c>
      <c r="D3768" s="2">
        <f>D3767+1</f>
        <v/>
      </c>
      <c r="E3768" s="8">
        <f>IF(DAY(D3768)=DAY($L$1+1),TRUNC((#REF!),8),E3767)</f>
        <v/>
      </c>
      <c r="F3768" s="49">
        <f>TRUNC(((1+VLOOKUP(A3768,IPCA!$A$2:$C$140,3,0)))^(C3768/(EDATE(D3768-C3768,1)-(D3768-C3768))),8)</f>
        <v/>
      </c>
      <c r="G3768" s="4">
        <f>TRUNC((E3768*F3768),8)</f>
        <v/>
      </c>
      <c r="H3768" s="4">
        <f>ROUND(((1+$H$4)^(30/360))^(C3768/(EDATE(D3768-B3768,1)-(D3768-B3768))),9)</f>
        <v/>
      </c>
      <c r="I3768" s="49">
        <f>TRUNC((G3768*H3768-G3768),8)</f>
        <v/>
      </c>
      <c r="J3768" s="4">
        <f>G3768+I3768</f>
        <v/>
      </c>
      <c r="K3768" s="256" t="n"/>
      <c r="L3768" s="256" t="n"/>
      <c r="M3768" s="256" t="n"/>
      <c r="N3768" s="256" t="n"/>
      <c r="O3768" s="256" t="n"/>
      <c r="P3768" s="256" t="n"/>
      <c r="Q3768" s="256" t="n"/>
    </row>
    <row r="3769">
      <c r="A3769">
        <f>IF(DAY(D3769)=DAY($L$1+1),A3768+1,A3768)</f>
        <v/>
      </c>
      <c r="B3769" s="1">
        <f>IF(DAY(D3769)=DAY($L$1+1),1,B3768+1)</f>
        <v/>
      </c>
      <c r="C3769" s="1">
        <f>IF(DAY(D3769)=DAY($L$1+1),1,C3768+1)</f>
        <v/>
      </c>
      <c r="D3769" s="2">
        <f>D3768+1</f>
        <v/>
      </c>
      <c r="E3769" s="8">
        <f>IF(DAY(D3769)=DAY($L$1+1),TRUNC((#REF!),8),E3768)</f>
        <v/>
      </c>
      <c r="F3769" s="49">
        <f>TRUNC(((1+VLOOKUP(A3769,IPCA!$A$2:$C$140,3,0)))^(C3769/(EDATE(D3769-C3769,1)-(D3769-C3769))),8)</f>
        <v/>
      </c>
      <c r="G3769" s="4">
        <f>TRUNC((E3769*F3769),8)</f>
        <v/>
      </c>
      <c r="H3769" s="4">
        <f>ROUND(((1+$H$4)^(30/360))^(C3769/(EDATE(D3769-B3769,1)-(D3769-B3769))),9)</f>
        <v/>
      </c>
      <c r="I3769" s="49">
        <f>TRUNC((G3769*H3769-G3769),8)</f>
        <v/>
      </c>
      <c r="J3769" s="4">
        <f>G3769+I3769</f>
        <v/>
      </c>
      <c r="K3769" s="256" t="n"/>
      <c r="L3769" s="256" t="n"/>
      <c r="M3769" s="256" t="n"/>
      <c r="N3769" s="256" t="n"/>
      <c r="O3769" s="256" t="n"/>
      <c r="P3769" s="256" t="n"/>
      <c r="Q3769" s="256" t="n"/>
    </row>
    <row r="3770">
      <c r="A3770">
        <f>IF(DAY(D3770)=DAY($L$1+1),A3769+1,A3769)</f>
        <v/>
      </c>
      <c r="B3770" s="46">
        <f>IF(DAY(D3770)=DAY($L$1+1),1,B3769+1)</f>
        <v/>
      </c>
      <c r="C3770" s="46">
        <f>IF(DAY(D3770)=DAY($L$1+1),1,C3769+1)</f>
        <v/>
      </c>
      <c r="D3770" s="2">
        <f>D3769+1</f>
        <v/>
      </c>
      <c r="E3770" s="8">
        <f>IF(DAY(D3770)=DAY($L$1+1),TRUNC((#REF!),8),E3769)</f>
        <v/>
      </c>
      <c r="F3770" s="49">
        <f>TRUNC(((1+VLOOKUP(A3770,IPCA!$A$2:$C$140,3,0)))^(C3770/(EDATE(D3770-C3770,1)-(D3770-C3770))),8)</f>
        <v/>
      </c>
      <c r="G3770" s="4">
        <f>TRUNC((E3770*F3770),8)</f>
        <v/>
      </c>
      <c r="H3770" s="4">
        <f>ROUND(((1+$H$4)^(30/360))^(C3770/(EDATE(D3770-B3770,1)-(D3770-B3770))),9)</f>
        <v/>
      </c>
      <c r="I3770" s="49">
        <f>TRUNC((G3770*H3770-G3770),8)</f>
        <v/>
      </c>
      <c r="J3770" s="4">
        <f>G3770+I3770</f>
        <v/>
      </c>
      <c r="K3770" s="256" t="n"/>
      <c r="L3770" s="256" t="n"/>
      <c r="M3770" s="256" t="n"/>
      <c r="N3770" s="256" t="n"/>
      <c r="O3770" s="256" t="n"/>
      <c r="P3770" s="256" t="n"/>
      <c r="Q3770" s="256" t="n"/>
    </row>
    <row r="3771">
      <c r="A3771">
        <f>IF(DAY(D3771)=DAY($L$1+1),A3770+1,A3770)</f>
        <v/>
      </c>
      <c r="B3771" s="1">
        <f>IF(DAY(D3771)=DAY($L$1+1),1,B3770+1)</f>
        <v/>
      </c>
      <c r="C3771" s="1">
        <f>IF(DAY(D3771)=DAY($L$1+1),1,C3770+1)</f>
        <v/>
      </c>
      <c r="D3771" s="2">
        <f>D3770+1</f>
        <v/>
      </c>
      <c r="E3771" s="8">
        <f>IF(DAY(D3771)=DAY($L$1+1),TRUNC((#REF!),8),E3770)</f>
        <v/>
      </c>
      <c r="F3771" s="49">
        <f>TRUNC(((1+VLOOKUP(A3771,IPCA!$A$2:$C$140,3,0)))^(C3771/(EDATE(D3771-C3771,1)-(D3771-C3771))),8)</f>
        <v/>
      </c>
      <c r="G3771" s="4">
        <f>TRUNC((E3771*F3771),8)</f>
        <v/>
      </c>
      <c r="H3771" s="4">
        <f>ROUND(((1+$H$4)^(30/360))^(C3771/(EDATE(D3771-B3771,1)-(D3771-B3771))),9)</f>
        <v/>
      </c>
      <c r="I3771" s="49">
        <f>TRUNC((G3771*H3771-G3771),8)</f>
        <v/>
      </c>
      <c r="J3771" s="4">
        <f>G3771+I3771</f>
        <v/>
      </c>
      <c r="K3771" s="256" t="n"/>
      <c r="L3771" s="256" t="n"/>
      <c r="M3771" s="256" t="n"/>
      <c r="N3771" s="256" t="n"/>
      <c r="O3771" s="256" t="n"/>
      <c r="P3771" s="256" t="n"/>
      <c r="Q3771" s="256" t="n"/>
    </row>
    <row r="3772">
      <c r="A3772">
        <f>IF(DAY(D3772)=DAY($L$1+1),A3771+1,A3771)</f>
        <v/>
      </c>
      <c r="B3772" s="46">
        <f>IF(DAY(D3772)=DAY($L$1+1),1,B3771+1)</f>
        <v/>
      </c>
      <c r="C3772" s="46">
        <f>IF(DAY(D3772)=DAY($L$1+1),1,C3771+1)</f>
        <v/>
      </c>
      <c r="D3772" s="2">
        <f>D3771+1</f>
        <v/>
      </c>
      <c r="E3772" s="8">
        <f>IF(DAY(D3772)=DAY($L$1+1),TRUNC((#REF!),8),E3771)</f>
        <v/>
      </c>
      <c r="F3772" s="49">
        <f>TRUNC(((1+VLOOKUP(A3772,IPCA!$A$2:$C$140,3,0)))^(C3772/(EDATE(D3772-C3772,1)-(D3772-C3772))),8)</f>
        <v/>
      </c>
      <c r="G3772" s="4">
        <f>TRUNC((E3772*F3772),8)</f>
        <v/>
      </c>
      <c r="H3772" s="4">
        <f>ROUND(((1+$H$4)^(30/360))^(C3772/(EDATE(D3772-B3772,1)-(D3772-B3772))),9)</f>
        <v/>
      </c>
      <c r="I3772" s="49">
        <f>TRUNC((G3772*H3772-G3772),8)</f>
        <v/>
      </c>
      <c r="J3772" s="4">
        <f>G3772+I3772</f>
        <v/>
      </c>
      <c r="K3772" s="256" t="n"/>
      <c r="L3772" s="256" t="n"/>
      <c r="M3772" s="256" t="n"/>
      <c r="N3772" s="256" t="n"/>
      <c r="O3772" s="256" t="n"/>
      <c r="P3772" s="256" t="n"/>
      <c r="Q3772" s="256" t="n"/>
    </row>
    <row r="3773">
      <c r="A3773">
        <f>IF(DAY(D3773)=DAY($L$1+1),A3772+1,A3772)</f>
        <v/>
      </c>
      <c r="B3773" s="1">
        <f>IF(DAY(D3773)=DAY($L$1+1),1,B3772+1)</f>
        <v/>
      </c>
      <c r="C3773" s="1">
        <f>IF(DAY(D3773)=DAY($L$1+1),1,C3772+1)</f>
        <v/>
      </c>
      <c r="D3773" s="2">
        <f>D3772+1</f>
        <v/>
      </c>
      <c r="E3773" s="8">
        <f>IF(DAY(D3773)=DAY($L$1+1),TRUNC((#REF!),8),E3772)</f>
        <v/>
      </c>
      <c r="F3773" s="49">
        <f>TRUNC(((1+VLOOKUP(A3773,IPCA!$A$2:$C$140,3,0)))^(C3773/(EDATE(D3773-C3773,1)-(D3773-C3773))),8)</f>
        <v/>
      </c>
      <c r="G3773" s="4">
        <f>TRUNC((E3773*F3773),8)</f>
        <v/>
      </c>
      <c r="H3773" s="4">
        <f>ROUND(((1+$H$4)^(30/360))^(C3773/(EDATE(D3773-B3773,1)-(D3773-B3773))),9)</f>
        <v/>
      </c>
      <c r="I3773" s="49">
        <f>TRUNC((G3773*H3773-G3773),8)</f>
        <v/>
      </c>
      <c r="J3773" s="4">
        <f>G3773+I3773</f>
        <v/>
      </c>
      <c r="K3773" s="256" t="n"/>
      <c r="L3773" s="256" t="n"/>
      <c r="M3773" s="256" t="n"/>
      <c r="N3773" s="256" t="n"/>
      <c r="O3773" s="256" t="n"/>
      <c r="P3773" s="256" t="n"/>
      <c r="Q3773" s="256" t="n"/>
    </row>
    <row r="3774">
      <c r="A3774">
        <f>IF(DAY(D3774)=DAY($L$1+1),A3773+1,A3773)</f>
        <v/>
      </c>
      <c r="B3774" s="46">
        <f>IF(DAY(D3774)=DAY($L$1+1),1,B3773+1)</f>
        <v/>
      </c>
      <c r="C3774" s="46">
        <f>IF(DAY(D3774)=DAY($L$1+1),1,C3773+1)</f>
        <v/>
      </c>
      <c r="D3774" s="2">
        <f>D3773+1</f>
        <v/>
      </c>
      <c r="E3774" s="8">
        <f>IF(DAY(D3774)=DAY($L$1+1),TRUNC((#REF!),8),E3773)</f>
        <v/>
      </c>
      <c r="F3774" s="49">
        <f>TRUNC(((1+VLOOKUP(A3774,IPCA!$A$2:$C$140,3,0)))^(C3774/(EDATE(D3774-C3774,1)-(D3774-C3774))),8)</f>
        <v/>
      </c>
      <c r="G3774" s="4">
        <f>TRUNC((E3774*F3774),8)</f>
        <v/>
      </c>
      <c r="H3774" s="4">
        <f>ROUND(((1+$H$4)^(30/360))^(C3774/(EDATE(D3774-B3774,1)-(D3774-B3774))),9)</f>
        <v/>
      </c>
      <c r="I3774" s="49">
        <f>TRUNC((G3774*H3774-G3774),8)</f>
        <v/>
      </c>
      <c r="J3774" s="4">
        <f>G3774+I3774</f>
        <v/>
      </c>
      <c r="K3774" s="256" t="n"/>
      <c r="L3774" s="256" t="n"/>
      <c r="M3774" s="256" t="n"/>
      <c r="N3774" s="256" t="n"/>
      <c r="O3774" s="256" t="n"/>
      <c r="P3774" s="256" t="n"/>
      <c r="Q3774" s="256" t="n"/>
    </row>
    <row r="3775">
      <c r="A3775">
        <f>IF(DAY(D3775)=DAY($L$1+1),A3774+1,A3774)</f>
        <v/>
      </c>
      <c r="B3775" s="1">
        <f>IF(DAY(D3775)=DAY($L$1+1),1,B3774+1)</f>
        <v/>
      </c>
      <c r="C3775" s="1">
        <f>IF(DAY(D3775)=DAY($L$1+1),1,C3774+1)</f>
        <v/>
      </c>
      <c r="D3775" s="2">
        <f>D3774+1</f>
        <v/>
      </c>
      <c r="E3775" s="8">
        <f>IF(DAY(D3775)=DAY($L$1+1),TRUNC((#REF!),8),E3774)</f>
        <v/>
      </c>
      <c r="F3775" s="49">
        <f>TRUNC(((1+VLOOKUP(A3775,IPCA!$A$2:$C$140,3,0)))^(C3775/(EDATE(D3775-C3775,1)-(D3775-C3775))),8)</f>
        <v/>
      </c>
      <c r="G3775" s="4">
        <f>TRUNC((E3775*F3775),8)</f>
        <v/>
      </c>
      <c r="H3775" s="4">
        <f>ROUND(((1+$H$4)^(30/360))^(C3775/(EDATE(D3775-B3775,1)-(D3775-B3775))),9)</f>
        <v/>
      </c>
      <c r="I3775" s="49">
        <f>TRUNC((G3775*H3775-G3775),8)</f>
        <v/>
      </c>
      <c r="J3775" s="4">
        <f>G3775+I3775</f>
        <v/>
      </c>
      <c r="K3775" s="256" t="n"/>
      <c r="L3775" s="256" t="n"/>
      <c r="M3775" s="256" t="n"/>
      <c r="N3775" s="256" t="n"/>
      <c r="O3775" s="256" t="n"/>
      <c r="P3775" s="256" t="n"/>
      <c r="Q3775" s="256" t="n"/>
    </row>
    <row r="3776">
      <c r="A3776">
        <f>IF(DAY(D3776)=DAY($L$1+1),A3775+1,A3775)</f>
        <v/>
      </c>
      <c r="B3776" s="46">
        <f>IF(DAY(D3776)=DAY($L$1+1),1,B3775+1)</f>
        <v/>
      </c>
      <c r="C3776" s="46">
        <f>IF(DAY(D3776)=DAY($L$1+1),1,C3775+1)</f>
        <v/>
      </c>
      <c r="D3776" s="2">
        <f>D3775+1</f>
        <v/>
      </c>
      <c r="E3776" s="8">
        <f>IF(DAY(D3776)=DAY($L$1+1),TRUNC((#REF!),8),E3775)</f>
        <v/>
      </c>
      <c r="F3776" s="49">
        <f>TRUNC(((1+VLOOKUP(A3776,IPCA!$A$2:$C$140,3,0)))^(C3776/(EDATE(D3776-C3776,1)-(D3776-C3776))),8)</f>
        <v/>
      </c>
      <c r="G3776" s="4">
        <f>TRUNC((E3776*F3776),8)</f>
        <v/>
      </c>
      <c r="H3776" s="4">
        <f>ROUND(((1+$H$4)^(30/360))^(C3776/(EDATE(D3776-B3776,1)-(D3776-B3776))),9)</f>
        <v/>
      </c>
      <c r="I3776" s="49">
        <f>TRUNC((G3776*H3776-G3776),8)</f>
        <v/>
      </c>
      <c r="J3776" s="4">
        <f>G3776+I3776</f>
        <v/>
      </c>
      <c r="K3776" s="256" t="n"/>
      <c r="L3776" s="256" t="n"/>
      <c r="M3776" s="256" t="n"/>
      <c r="N3776" s="256" t="n"/>
      <c r="O3776" s="256" t="n"/>
      <c r="P3776" s="256" t="n"/>
      <c r="Q3776" s="256" t="n"/>
    </row>
    <row r="3777">
      <c r="A3777">
        <f>IF(DAY(D3777)=DAY($L$1+1),A3776+1,A3776)</f>
        <v/>
      </c>
      <c r="B3777" s="1">
        <f>IF(DAY(D3777)=DAY($L$1+1),1,B3776+1)</f>
        <v/>
      </c>
      <c r="C3777" s="1">
        <f>IF(DAY(D3777)=DAY($L$1+1),1,C3776+1)</f>
        <v/>
      </c>
      <c r="D3777" s="2">
        <f>D3776+1</f>
        <v/>
      </c>
      <c r="E3777" s="8">
        <f>IF(DAY(D3777)=DAY($L$1+1),TRUNC((N3776),8),E3776)</f>
        <v/>
      </c>
      <c r="F3777" s="49">
        <f>TRUNC(((1+VLOOKUP(A3777,IPCA!$A$2:$C$140,3,0)))^(C3777/(EDATE(D3777-C3777,1)-(D3777-C3777))),8)</f>
        <v/>
      </c>
      <c r="G3777" s="4">
        <f>TRUNC((E3777*F3777),8)</f>
        <v/>
      </c>
      <c r="H3777" s="4">
        <f>ROUND(((1+$H$4)^(30/360))^(C3777/(EDATE(D3777-B3777,1)-(D3777-B3777))),9)</f>
        <v/>
      </c>
      <c r="I3777" s="49">
        <f>TRUNC((G3777*H3777-G3777),8)</f>
        <v/>
      </c>
      <c r="J3777" s="4">
        <f>G3777+I3777</f>
        <v/>
      </c>
      <c r="K3777" s="256" t="n"/>
      <c r="L3777" s="256" t="n"/>
      <c r="M3777" s="256" t="n"/>
      <c r="N3777" s="256" t="n"/>
      <c r="O3777" s="256" t="n"/>
      <c r="P3777" s="256" t="n"/>
      <c r="Q3777" s="256" t="n"/>
    </row>
    <row r="3778">
      <c r="A3778">
        <f>IF(DAY(D3778)=DAY($L$1+1),A3777+1,A3777)</f>
        <v/>
      </c>
      <c r="B3778" s="46">
        <f>IF(DAY(D3778)=DAY($L$1+1),1,B3777+1)</f>
        <v/>
      </c>
      <c r="C3778" s="46">
        <f>IF(DAY(D3778)=DAY($L$1+1),1,C3777+1)</f>
        <v/>
      </c>
      <c r="D3778" s="2">
        <f>D3777+1</f>
        <v/>
      </c>
      <c r="E3778" s="8">
        <f>IF(DAY(D3778)=DAY($L$1+1),TRUNC((N3777),8),E3777)</f>
        <v/>
      </c>
      <c r="F3778" s="49">
        <f>TRUNC(((1+VLOOKUP(A3778,IPCA!$A$2:$C$140,3,0)))^(C3778/(EDATE(D3778-C3778,1)-(D3778-C3778))),8)</f>
        <v/>
      </c>
      <c r="G3778" s="4">
        <f>TRUNC((E3778*F3778),8)</f>
        <v/>
      </c>
      <c r="H3778" s="4">
        <f>ROUND(((1+$H$4)^(30/360))^(C3778/(EDATE(D3778-B3778,1)-(D3778-B3778))),9)</f>
        <v/>
      </c>
      <c r="I3778" s="49">
        <f>TRUNC((G3778*H3778-G3778),8)</f>
        <v/>
      </c>
      <c r="J3778" s="4">
        <f>G3778+I3778</f>
        <v/>
      </c>
      <c r="K3778" s="256" t="n"/>
      <c r="L3778" s="256" t="n"/>
      <c r="M3778" s="256" t="n"/>
      <c r="N3778" s="256" t="n"/>
      <c r="O3778" s="256" t="n"/>
      <c r="P3778" s="256" t="n"/>
      <c r="Q3778" s="256" t="n"/>
    </row>
    <row r="3779">
      <c r="A3779">
        <f>IF(DAY(D3779)=DAY($L$1+1),A3778+1,A3778)</f>
        <v/>
      </c>
      <c r="B3779" s="1">
        <f>IF(DAY(D3779)=DAY($L$1+1),1,B3778+1)</f>
        <v/>
      </c>
      <c r="C3779" s="1">
        <f>IF(DAY(D3779)=DAY($L$1+1),1,C3778+1)</f>
        <v/>
      </c>
      <c r="D3779" s="2">
        <f>D3778+1</f>
        <v/>
      </c>
      <c r="E3779" s="8">
        <f>IF(DAY(D3779)=DAY($L$1+1),TRUNC((N3778),8),E3778)</f>
        <v/>
      </c>
      <c r="F3779" s="49">
        <f>TRUNC(((1+VLOOKUP(A3779,IPCA!$A$2:$C$140,3,0)))^(C3779/(EDATE(D3779-C3779,1)-(D3779-C3779))),8)</f>
        <v/>
      </c>
      <c r="G3779" s="4">
        <f>TRUNC((E3779*F3779),8)</f>
        <v/>
      </c>
      <c r="H3779" s="4">
        <f>ROUND(((1+$H$4)^(30/360))^(C3779/(EDATE(D3779-B3779,1)-(D3779-B3779))),9)</f>
        <v/>
      </c>
      <c r="I3779" s="49">
        <f>TRUNC((G3779*H3779-G3779),8)</f>
        <v/>
      </c>
      <c r="J3779" s="4">
        <f>G3779+I3779</f>
        <v/>
      </c>
      <c r="K3779" s="256" t="n"/>
      <c r="L3779" s="256" t="n"/>
      <c r="M3779" s="256" t="n"/>
      <c r="N3779" s="256" t="n"/>
      <c r="O3779" s="256" t="n"/>
      <c r="P3779" s="256" t="n"/>
      <c r="Q3779" s="256" t="n"/>
    </row>
    <row r="3780">
      <c r="A3780">
        <f>IF(DAY(D3780)=DAY($L$1+1),A3779+1,A3779)</f>
        <v/>
      </c>
      <c r="B3780" s="46">
        <f>IF(DAY(D3780)=DAY($L$1+1),1,B3779+1)</f>
        <v/>
      </c>
      <c r="C3780" s="46">
        <f>IF(DAY(D3780)=DAY($L$1+1),1,C3779+1)</f>
        <v/>
      </c>
      <c r="D3780" s="2">
        <f>D3779+1</f>
        <v/>
      </c>
      <c r="E3780" s="8">
        <f>IF(DAY(D3780)=DAY($L$1+1),TRUNC((N3779),8),E3779)</f>
        <v/>
      </c>
      <c r="F3780" s="49">
        <f>TRUNC(((1+VLOOKUP(A3780,IPCA!$A$2:$C$140,3,0)))^(C3780/(EDATE(D3780-C3780,1)-(D3780-C3780))),8)</f>
        <v/>
      </c>
      <c r="G3780" s="4">
        <f>TRUNC((E3780*F3780),8)</f>
        <v/>
      </c>
      <c r="H3780" s="4">
        <f>ROUND(((1+$H$4)^(30/360))^(C3780/(EDATE(D3780-B3780,1)-(D3780-B3780))),9)</f>
        <v/>
      </c>
      <c r="I3780" s="49">
        <f>TRUNC((G3780*H3780-G3780),8)</f>
        <v/>
      </c>
      <c r="J3780" s="4">
        <f>G3780+I3780</f>
        <v/>
      </c>
      <c r="K3780" s="256" t="n"/>
      <c r="L3780" s="256" t="n"/>
      <c r="M3780" s="256" t="n"/>
      <c r="N3780" s="256" t="n"/>
      <c r="O3780" s="256" t="n"/>
      <c r="P3780" s="256" t="n"/>
      <c r="Q3780" s="256" t="n"/>
    </row>
    <row r="3781">
      <c r="A3781">
        <f>IF(DAY(D3781)=DAY($L$1+1),A3780+1,A3780)</f>
        <v/>
      </c>
      <c r="B3781" s="1">
        <f>IF(DAY(D3781)=DAY($L$1+1),1,B3780+1)</f>
        <v/>
      </c>
      <c r="C3781" s="1">
        <f>IF(DAY(D3781)=DAY($L$1+1),1,C3780+1)</f>
        <v/>
      </c>
      <c r="D3781" s="2">
        <f>D3780+1</f>
        <v/>
      </c>
      <c r="E3781" s="8">
        <f>IF(DAY(D3781)=DAY($L$1+1),TRUNC((N3780),8),E3780)</f>
        <v/>
      </c>
      <c r="F3781" s="49">
        <f>TRUNC(((1+VLOOKUP(A3781,IPCA!$A$2:$C$140,3,0)))^(C3781/(EDATE(D3781-C3781,1)-(D3781-C3781))),8)</f>
        <v/>
      </c>
      <c r="G3781" s="4">
        <f>TRUNC((E3781*F3781),8)</f>
        <v/>
      </c>
      <c r="H3781" s="4">
        <f>ROUND(((1+$H$4)^(30/360))^(C3781/(EDATE(D3781-B3781,1)-(D3781-B3781))),9)</f>
        <v/>
      </c>
      <c r="I3781" s="49">
        <f>TRUNC((G3781*H3781-G3781),8)</f>
        <v/>
      </c>
      <c r="J3781" s="4">
        <f>G3781+I3781</f>
        <v/>
      </c>
      <c r="K3781" s="256" t="n"/>
      <c r="L3781" s="256" t="n"/>
      <c r="M3781" s="256" t="n"/>
      <c r="N3781" s="256" t="n"/>
      <c r="O3781" s="256" t="n"/>
      <c r="P3781" s="256" t="n"/>
      <c r="Q3781" s="256" t="n"/>
    </row>
    <row r="3782">
      <c r="A3782">
        <f>IF(DAY(D3782)=DAY($L$1+1),A3781+1,A3781)</f>
        <v/>
      </c>
      <c r="B3782" s="46">
        <f>IF(DAY(D3782)=DAY($L$1+1),1,B3781+1)</f>
        <v/>
      </c>
      <c r="C3782" s="46">
        <f>IF(DAY(D3782)=DAY($L$1+1),1,C3781+1)</f>
        <v/>
      </c>
      <c r="D3782" s="2">
        <f>D3781+1</f>
        <v/>
      </c>
      <c r="E3782" s="8">
        <f>IF(DAY(D3782)=DAY($L$1+1),TRUNC((N3781),8),E3781)</f>
        <v/>
      </c>
      <c r="F3782" s="49">
        <f>TRUNC(((1+VLOOKUP(A3782,IPCA!$A$2:$C$140,3,0)))^(C3782/(EDATE(D3782-C3782,1)-(D3782-C3782))),8)</f>
        <v/>
      </c>
      <c r="G3782" s="4">
        <f>TRUNC((E3782*F3782),8)</f>
        <v/>
      </c>
      <c r="H3782" s="4">
        <f>ROUND(((1+$H$4)^(30/360))^(C3782/(EDATE(D3782-B3782,1)-(D3782-B3782))),9)</f>
        <v/>
      </c>
      <c r="I3782" s="49">
        <f>TRUNC((G3782*H3782-G3782),8)</f>
        <v/>
      </c>
      <c r="J3782" s="4">
        <f>G3782+I3782</f>
        <v/>
      </c>
      <c r="K3782" s="256" t="n"/>
      <c r="L3782" s="256" t="n"/>
      <c r="M3782" s="256" t="n"/>
      <c r="N3782" s="256" t="n"/>
      <c r="O3782" s="256" t="n"/>
      <c r="P3782" s="256" t="n"/>
      <c r="Q3782" s="256" t="n"/>
    </row>
    <row r="3783">
      <c r="A3783">
        <f>IF(DAY(D3783)=DAY($L$1+1),A3782+1,A3782)</f>
        <v/>
      </c>
      <c r="B3783" s="1">
        <f>IF(DAY(D3783)=DAY($L$1+1),1,B3782+1)</f>
        <v/>
      </c>
      <c r="C3783" s="1">
        <f>IF(DAY(D3783)=DAY($L$1+1),1,C3782+1)</f>
        <v/>
      </c>
      <c r="D3783" s="2">
        <f>D3782+1</f>
        <v/>
      </c>
      <c r="E3783" s="8">
        <f>IF(DAY(D3783)=DAY($L$1+1),TRUNC((N3782),8),E3782)</f>
        <v/>
      </c>
      <c r="F3783" s="49">
        <f>TRUNC(((1+VLOOKUP(A3783,IPCA!$A$2:$C$140,3,0)))^(C3783/(EDATE(D3783-C3783,1)-(D3783-C3783))),8)</f>
        <v/>
      </c>
      <c r="G3783" s="4">
        <f>TRUNC((E3783*F3783),8)</f>
        <v/>
      </c>
      <c r="H3783" s="4">
        <f>ROUND(((1+$H$4)^(30/360))^(C3783/(EDATE(D3783-B3783,1)-(D3783-B3783))),9)</f>
        <v/>
      </c>
      <c r="I3783" s="49">
        <f>TRUNC((G3783*H3783-G3783),8)</f>
        <v/>
      </c>
      <c r="J3783" s="4">
        <f>G3783+I3783</f>
        <v/>
      </c>
      <c r="K3783" s="256" t="n"/>
      <c r="L3783" s="256" t="n"/>
      <c r="M3783" s="256" t="n"/>
      <c r="N3783" s="256" t="n"/>
      <c r="O3783" s="256" t="n"/>
      <c r="P3783" s="256" t="n"/>
      <c r="Q3783" s="256" t="n"/>
    </row>
    <row r="3784">
      <c r="A3784">
        <f>IF(DAY(D3784)=DAY($L$1+1),A3783+1,A3783)</f>
        <v/>
      </c>
      <c r="B3784" s="46">
        <f>IF(DAY(D3784)=DAY($L$1+1),1,B3783+1)</f>
        <v/>
      </c>
      <c r="C3784" s="46">
        <f>IF(DAY(D3784)=DAY($L$1+1),1,C3783+1)</f>
        <v/>
      </c>
      <c r="D3784" s="2">
        <f>D3783+1</f>
        <v/>
      </c>
      <c r="E3784" s="8">
        <f>IF(DAY(D3784)=DAY($L$1+1),TRUNC((N3783),8),E3783)</f>
        <v/>
      </c>
      <c r="F3784" s="49">
        <f>TRUNC(((1+VLOOKUP(A3784,IPCA!$A$2:$C$140,3,0)))^(C3784/(EDATE(D3784-C3784,1)-(D3784-C3784))),8)</f>
        <v/>
      </c>
      <c r="G3784" s="4">
        <f>TRUNC((E3784*F3784),8)</f>
        <v/>
      </c>
      <c r="H3784" s="4">
        <f>ROUND(((1+$H$4)^(30/360))^(C3784/(EDATE(D3784-B3784,1)-(D3784-B3784))),9)</f>
        <v/>
      </c>
      <c r="I3784" s="49">
        <f>TRUNC((G3784*H3784-G3784),8)</f>
        <v/>
      </c>
      <c r="J3784" s="4">
        <f>G3784+I3784</f>
        <v/>
      </c>
      <c r="K3784" s="256" t="n"/>
      <c r="L3784" s="256" t="n"/>
      <c r="M3784" s="256" t="n"/>
      <c r="N3784" s="256" t="n"/>
      <c r="O3784" s="256" t="n"/>
      <c r="P3784" s="256" t="n"/>
      <c r="Q3784" s="256" t="n"/>
    </row>
    <row r="3785">
      <c r="A3785">
        <f>IF(DAY(D3785)=DAY($L$1+1),A3784+1,A3784)</f>
        <v/>
      </c>
      <c r="B3785" s="1">
        <f>IF(DAY(D3785)=DAY($L$1+1),1,B3784+1)</f>
        <v/>
      </c>
      <c r="C3785" s="1">
        <f>IF(DAY(D3785)=DAY($L$1+1),1,C3784+1)</f>
        <v/>
      </c>
      <c r="D3785" s="2">
        <f>D3784+1</f>
        <v/>
      </c>
      <c r="E3785" s="8">
        <f>IF(DAY(D3785)=DAY($L$1+1),TRUNC((N3784),8),E3784)</f>
        <v/>
      </c>
      <c r="F3785" s="49">
        <f>TRUNC(((1+VLOOKUP(A3785,IPCA!$A$2:$C$140,3,0)))^(C3785/(EDATE(D3785-C3785,1)-(D3785-C3785))),8)</f>
        <v/>
      </c>
      <c r="G3785" s="4">
        <f>TRUNC((E3785*F3785),8)</f>
        <v/>
      </c>
      <c r="H3785" s="4">
        <f>ROUND(((1+$H$4)^(30/360))^(C3785/(EDATE(D3785-B3785,1)-(D3785-B3785))),9)</f>
        <v/>
      </c>
      <c r="I3785" s="49">
        <f>TRUNC((G3785*H3785-G3785),8)</f>
        <v/>
      </c>
      <c r="J3785" s="4">
        <f>G3785+I3785</f>
        <v/>
      </c>
      <c r="K3785" s="256" t="n"/>
      <c r="L3785" s="256" t="n"/>
      <c r="M3785" s="256" t="n"/>
      <c r="N3785" s="256" t="n"/>
      <c r="O3785" s="256" t="n"/>
      <c r="P3785" s="256" t="n"/>
      <c r="Q3785" s="256" t="n"/>
    </row>
    <row r="3786">
      <c r="A3786">
        <f>IF(DAY(D3786)=DAY($L$1+1),A3785+1,A3785)</f>
        <v/>
      </c>
      <c r="B3786" s="46">
        <f>IF(DAY(D3786)=DAY($L$1+1),1,B3785+1)</f>
        <v/>
      </c>
      <c r="C3786" s="46">
        <f>IF(DAY(D3786)=DAY($L$1+1),1,C3785+1)</f>
        <v/>
      </c>
      <c r="D3786" s="2">
        <f>D3785+1</f>
        <v/>
      </c>
      <c r="E3786" s="8">
        <f>IF(DAY(D3786)=DAY($L$1+1),TRUNC((N3785),8),E3785)</f>
        <v/>
      </c>
      <c r="F3786" s="49">
        <f>TRUNC(((1+VLOOKUP(A3786,IPCA!$A$2:$C$140,3,0)))^(C3786/(EDATE(D3786-C3786,1)-(D3786-C3786))),8)</f>
        <v/>
      </c>
      <c r="G3786" s="4">
        <f>TRUNC((E3786*F3786),8)</f>
        <v/>
      </c>
      <c r="H3786" s="4">
        <f>ROUND(((1+$H$4)^(30/360))^(C3786/(EDATE(D3786-B3786,1)-(D3786-B3786))),9)</f>
        <v/>
      </c>
      <c r="I3786" s="49">
        <f>TRUNC((G3786*H3786-G3786),8)</f>
        <v/>
      </c>
      <c r="J3786" s="4">
        <f>G3786+I3786</f>
        <v/>
      </c>
      <c r="K3786" s="256" t="n"/>
      <c r="L3786" s="256" t="n"/>
      <c r="M3786" s="256" t="n"/>
      <c r="N3786" s="256" t="n"/>
      <c r="O3786" s="256" t="n"/>
      <c r="P3786" s="256" t="n"/>
      <c r="Q3786" s="256" t="n"/>
    </row>
    <row r="3787">
      <c r="A3787">
        <f>IF(DAY(D3787)=DAY($L$1+1),A3786+1,A3786)</f>
        <v/>
      </c>
      <c r="B3787" s="1">
        <f>IF(DAY(D3787)=DAY($L$1+1),1,B3786+1)</f>
        <v/>
      </c>
      <c r="C3787" s="1">
        <f>IF(DAY(D3787)=DAY($L$1+1),1,C3786+1)</f>
        <v/>
      </c>
      <c r="D3787" s="2">
        <f>D3786+1</f>
        <v/>
      </c>
      <c r="E3787" s="8">
        <f>IF(DAY(D3787)=DAY($L$1+1),TRUNC((N3786),8),E3786)</f>
        <v/>
      </c>
      <c r="F3787" s="49">
        <f>TRUNC(((1+VLOOKUP(A3787,IPCA!$A$2:$C$140,3,0)))^(C3787/(EDATE(D3787-C3787,1)-(D3787-C3787))),8)</f>
        <v/>
      </c>
      <c r="G3787" s="4">
        <f>TRUNC((E3787*F3787),8)</f>
        <v/>
      </c>
      <c r="H3787" s="4">
        <f>ROUND(((1+$H$4)^(30/360))^(C3787/(EDATE(D3787-B3787,1)-(D3787-B3787))),9)</f>
        <v/>
      </c>
      <c r="I3787" s="49">
        <f>TRUNC((G3787*H3787-G3787),8)</f>
        <v/>
      </c>
      <c r="J3787" s="4">
        <f>G3787+I3787</f>
        <v/>
      </c>
      <c r="K3787" s="256" t="n"/>
      <c r="L3787" s="256" t="n"/>
      <c r="M3787" s="256" t="n"/>
      <c r="N3787" s="256" t="n"/>
      <c r="O3787" s="256" t="n"/>
      <c r="P3787" s="256" t="n"/>
      <c r="Q3787" s="256" t="n"/>
    </row>
    <row r="3788">
      <c r="A3788">
        <f>IF(DAY(D3788)=DAY($L$1+1),A3787+1,A3787)</f>
        <v/>
      </c>
      <c r="B3788" s="46">
        <f>IF(DAY(D3788)=DAY($L$1+1),1,B3787+1)</f>
        <v/>
      </c>
      <c r="C3788" s="46">
        <f>IF(DAY(D3788)=DAY($L$1+1),1,C3787+1)</f>
        <v/>
      </c>
      <c r="D3788" s="2">
        <f>D3787+1</f>
        <v/>
      </c>
      <c r="E3788" s="8">
        <f>IF(DAY(D3788)=DAY($L$1+1),TRUNC((N3787),8),E3787)</f>
        <v/>
      </c>
      <c r="F3788" s="49">
        <f>TRUNC(((1+VLOOKUP(A3788,IPCA!$A$2:$C$140,3,0)))^(C3788/(EDATE(D3788-C3788,1)-(D3788-C3788))),8)</f>
        <v/>
      </c>
      <c r="G3788" s="4">
        <f>TRUNC((E3788*F3788),8)</f>
        <v/>
      </c>
      <c r="H3788" s="4">
        <f>ROUND(((1+$H$4)^(30/360))^(C3788/(EDATE(D3788-B3788,1)-(D3788-B3788))),9)</f>
        <v/>
      </c>
      <c r="I3788" s="49">
        <f>TRUNC((G3788*H3788-G3788),8)</f>
        <v/>
      </c>
      <c r="J3788" s="4">
        <f>G3788+I3788</f>
        <v/>
      </c>
      <c r="K3788" s="256" t="n"/>
      <c r="L3788" s="256" t="n"/>
      <c r="M3788" s="256" t="n"/>
      <c r="N3788" s="256" t="n"/>
      <c r="O3788" s="256" t="n"/>
      <c r="P3788" s="256" t="n"/>
      <c r="Q3788" s="256" t="n"/>
    </row>
    <row r="3789">
      <c r="A3789">
        <f>IF(DAY(D3789)=DAY($L$1+1),A3788+1,A3788)</f>
        <v/>
      </c>
      <c r="B3789" s="1">
        <f>IF(DAY(D3789)=DAY($L$1+1),1,B3788+1)</f>
        <v/>
      </c>
      <c r="C3789" s="1">
        <f>IF(DAY(D3789)=DAY($L$1+1),1,C3788+1)</f>
        <v/>
      </c>
      <c r="D3789" s="2">
        <f>D3788+1</f>
        <v/>
      </c>
      <c r="E3789" s="8">
        <f>IF(DAY(D3789)=DAY($L$1+1),TRUNC((N3788),8),E3788)</f>
        <v/>
      </c>
      <c r="F3789" s="49">
        <f>TRUNC(((1+VLOOKUP(A3789,IPCA!$A$2:$C$140,3,0)))^(C3789/(EDATE(D3789-C3789,1)-(D3789-C3789))),8)</f>
        <v/>
      </c>
      <c r="G3789" s="4">
        <f>TRUNC((E3789*F3789),8)</f>
        <v/>
      </c>
      <c r="H3789" s="4">
        <f>ROUND(((1+$H$4)^(30/360))^(C3789/(EDATE(D3789-B3789,1)-(D3789-B3789))),9)</f>
        <v/>
      </c>
      <c r="I3789" s="49">
        <f>TRUNC((G3789*H3789-G3789),8)</f>
        <v/>
      </c>
      <c r="J3789" s="4">
        <f>G3789+I3789</f>
        <v/>
      </c>
      <c r="K3789" s="256" t="n"/>
      <c r="L3789" s="256" t="n"/>
      <c r="M3789" s="256" t="n"/>
      <c r="N3789" s="256" t="n"/>
      <c r="O3789" s="256" t="n"/>
      <c r="P3789" s="256" t="n"/>
      <c r="Q3789" s="256" t="n"/>
    </row>
    <row r="3790">
      <c r="A3790">
        <f>IF(DAY(D3790)=DAY($L$1+1),A3789+1,A3789)</f>
        <v/>
      </c>
      <c r="B3790" s="46">
        <f>IF(DAY(D3790)=DAY($L$1+1),1,B3789+1)</f>
        <v/>
      </c>
      <c r="C3790" s="46">
        <f>IF(DAY(D3790)=DAY($L$1+1),1,C3789+1)</f>
        <v/>
      </c>
      <c r="D3790" s="2">
        <f>D3789+1</f>
        <v/>
      </c>
      <c r="E3790" s="8">
        <f>IF(DAY(D3790)=DAY($L$1+1),TRUNC((N3789),8),E3789)</f>
        <v/>
      </c>
      <c r="F3790" s="49">
        <f>TRUNC(((1+VLOOKUP(A3790,IPCA!$A$2:$C$140,3,0)))^(C3790/(EDATE(D3790-C3790,1)-(D3790-C3790))),8)</f>
        <v/>
      </c>
      <c r="G3790" s="4">
        <f>TRUNC((E3790*F3790),8)</f>
        <v/>
      </c>
      <c r="H3790" s="4">
        <f>ROUND(((1+$H$4)^(30/360))^(C3790/(EDATE(D3790-B3790,1)-(D3790-B3790))),9)</f>
        <v/>
      </c>
      <c r="I3790" s="49">
        <f>TRUNC((G3790*H3790-G3790),8)</f>
        <v/>
      </c>
      <c r="J3790" s="4">
        <f>G3790+I3790</f>
        <v/>
      </c>
      <c r="K3790" s="256" t="n"/>
      <c r="L3790" s="256" t="n"/>
      <c r="M3790" s="256" t="n"/>
      <c r="N3790" s="256" t="n"/>
      <c r="O3790" s="256" t="n"/>
      <c r="P3790" s="256" t="n"/>
      <c r="Q3790" s="256" t="n"/>
    </row>
    <row r="3791">
      <c r="A3791">
        <f>IF(DAY(D3791)=DAY($L$1+1),A3790+1,A3790)</f>
        <v/>
      </c>
      <c r="B3791" s="1">
        <f>IF(DAY(D3791)=DAY($L$1+1),1,B3790+1)</f>
        <v/>
      </c>
      <c r="C3791" s="1">
        <f>IF(DAY(D3791)=DAY($L$1+1),1,C3790+1)</f>
        <v/>
      </c>
      <c r="D3791" s="2">
        <f>D3790+1</f>
        <v/>
      </c>
      <c r="E3791" s="8">
        <f>IF(DAY(D3791)=DAY($L$1+1),TRUNC((N3790),8),E3790)</f>
        <v/>
      </c>
      <c r="F3791" s="49">
        <f>TRUNC(((1+VLOOKUP(A3791,IPCA!$A$2:$C$140,3,0)))^(C3791/(EDATE(D3791-C3791,1)-(D3791-C3791))),8)</f>
        <v/>
      </c>
      <c r="G3791" s="4">
        <f>TRUNC((E3791*F3791),8)</f>
        <v/>
      </c>
      <c r="H3791" s="4">
        <f>ROUND(((1+$H$4)^(30/360))^(C3791/(EDATE(D3791-B3791,1)-(D3791-B3791))),9)</f>
        <v/>
      </c>
      <c r="I3791" s="49">
        <f>TRUNC((G3791*H3791-G3791),8)</f>
        <v/>
      </c>
      <c r="J3791" s="4">
        <f>G3791+I3791</f>
        <v/>
      </c>
      <c r="K3791" s="256" t="n"/>
      <c r="L3791" s="256" t="n"/>
      <c r="M3791" s="256" t="n"/>
      <c r="N3791" s="256" t="n"/>
      <c r="O3791" s="256" t="n"/>
      <c r="P3791" s="256" t="n"/>
      <c r="Q3791" s="256" t="n"/>
    </row>
    <row r="3792">
      <c r="A3792">
        <f>IF(DAY(D3792)=DAY($L$1+1),A3791+1,A3791)</f>
        <v/>
      </c>
      <c r="B3792" s="46">
        <f>IF(DAY(D3792)=DAY($L$1+1),1,B3791+1)</f>
        <v/>
      </c>
      <c r="C3792" s="46">
        <f>IF(DAY(D3792)=DAY($L$1+1),1,C3791+1)</f>
        <v/>
      </c>
      <c r="D3792" s="2">
        <f>D3791+1</f>
        <v/>
      </c>
      <c r="E3792" s="8">
        <f>IF(DAY(D3792)=DAY($L$1+1),TRUNC((N3791),8),E3791)</f>
        <v/>
      </c>
      <c r="F3792" s="49">
        <f>TRUNC(((1+VLOOKUP(A3792,IPCA!$A$2:$C$140,3,0)))^(C3792/(EDATE(D3792-C3792,1)-(D3792-C3792))),8)</f>
        <v/>
      </c>
      <c r="G3792" s="4">
        <f>TRUNC((E3792*F3792),8)</f>
        <v/>
      </c>
      <c r="H3792" s="4">
        <f>ROUND(((1+$H$4)^(30/360))^(C3792/(EDATE(D3792-B3792,1)-(D3792-B3792))),9)</f>
        <v/>
      </c>
      <c r="I3792" s="49">
        <f>TRUNC((G3792*H3792-G3792),8)</f>
        <v/>
      </c>
      <c r="J3792" s="4">
        <f>G3792+I3792</f>
        <v/>
      </c>
      <c r="K3792" s="256" t="n"/>
      <c r="L3792" s="256" t="n"/>
      <c r="M3792" s="256" t="n"/>
      <c r="N3792" s="256" t="n"/>
      <c r="O3792" s="256" t="n"/>
      <c r="P3792" s="256" t="n"/>
      <c r="Q3792" s="256" t="n"/>
    </row>
    <row r="3793">
      <c r="A3793">
        <f>IF(DAY(D3793)=DAY($L$1+1),A3792+1,A3792)</f>
        <v/>
      </c>
      <c r="B3793" s="46">
        <f>IF(DAY(D3793)=DAY($L$1+1),1,B3792+1)</f>
        <v/>
      </c>
      <c r="C3793" s="46">
        <f>IF(DAY(D3793)=DAY($L$1+1),1,C3792+1)</f>
        <v/>
      </c>
      <c r="D3793" s="2">
        <f>D3792+1</f>
        <v/>
      </c>
      <c r="E3793" s="8">
        <f>IF(DAY(D3793)=DAY($L$1+1),TRUNC((N3792),8),E3792)</f>
        <v/>
      </c>
      <c r="F3793" s="49">
        <f>TRUNC(((1+VLOOKUP(A3793,IPCA!$A$2:$C$140,3,0)))^(C3793/(EDATE(D3793-C3793,1)-(D3793-C3793))),8)</f>
        <v/>
      </c>
      <c r="G3793" s="4">
        <f>TRUNC((E3793*F3793),8)</f>
        <v/>
      </c>
      <c r="H3793" s="4">
        <f>ROUND(((1+$H$4)^(30/360))^(C3793/(EDATE(D3793-B3793,1)-(D3793-B3793))),9)</f>
        <v/>
      </c>
      <c r="I3793" s="49">
        <f>TRUNC((G3793*H3793-G3793),8)</f>
        <v/>
      </c>
      <c r="J3793" s="4">
        <f>G3793+I3793</f>
        <v/>
      </c>
      <c r="K3793" s="256" t="inlineStr">
        <is>
          <t>Cri Integralizado</t>
        </is>
      </c>
      <c r="L3793" s="270">
        <f>L3762</f>
        <v/>
      </c>
      <c r="M3793" s="256" t="n"/>
      <c r="N3793" s="256" t="n"/>
      <c r="O3793" s="256" t="n"/>
      <c r="P3793" s="256" t="n"/>
      <c r="Q3793" s="256" t="n"/>
    </row>
    <row r="3794">
      <c r="A3794">
        <f>IF(DAY(D3794)=DAY($L$1+1),A3793+1,A3793)</f>
        <v/>
      </c>
      <c r="B3794" s="46">
        <f>IF(DAY(D3794)=DAY($L$1+1),1,B3793+1)</f>
        <v/>
      </c>
      <c r="C3794" s="46">
        <f>IF(DAY(D3794)=DAY($L$1+1),1,C3793+1)</f>
        <v/>
      </c>
      <c r="D3794" s="47">
        <f>D3793+1</f>
        <v/>
      </c>
      <c r="E3794" s="8">
        <f>IF(DAY(D3794)=DAY($L$1+1),TRUNC((N3793),8),E3793)</f>
        <v/>
      </c>
      <c r="F3794" s="49">
        <f>TRUNC(((1+VLOOKUP(A3794,IPCA!$A$2:$C$140,3,0)))^(C3794/(EDATE(D3794-C3794,1)-(D3794-C3794))),8)</f>
        <v/>
      </c>
      <c r="G3794" s="4">
        <f>TRUNC((E3794*F3794),8)</f>
        <v/>
      </c>
      <c r="H3794" s="4">
        <f>ROUND(((1+$H$4)^(30/360))^(C3794/(EDATE(D3794-B3794,1)-(D3794-B3794))),9)</f>
        <v/>
      </c>
      <c r="I3794" s="49">
        <f>TRUNC((G3794*H3794-G3794),8)</f>
        <v/>
      </c>
      <c r="J3794" s="4">
        <f>G3794+I3794</f>
        <v/>
      </c>
      <c r="K3794" s="137" t="inlineStr">
        <is>
          <t>JUROS</t>
        </is>
      </c>
      <c r="L3794" s="118" t="inlineStr">
        <is>
          <t>AMORTIZAÇÃO</t>
        </is>
      </c>
      <c r="M3794" s="118" t="inlineStr">
        <is>
          <t>AMEX</t>
        </is>
      </c>
      <c r="N3794" s="118" t="inlineStr">
        <is>
          <t>RESIDUAL</t>
        </is>
      </c>
      <c r="O3794" s="256" t="n"/>
      <c r="P3794" s="256" t="n"/>
      <c r="Q3794" s="256" t="n"/>
    </row>
    <row r="3795">
      <c r="A3795">
        <f>IF(DAY(D3795)=DAY($L$1+1),A3794+1,A3794)</f>
        <v/>
      </c>
      <c r="B3795" s="111">
        <f>IF(DAY(D3795)=DAY($L$1+1),1,B3794+1)</f>
        <v/>
      </c>
      <c r="C3795" s="111">
        <f>IF(DAY(D3795)=DAY($L$1+1),1,C3794+1)</f>
        <v/>
      </c>
      <c r="D3795" s="112">
        <f>D3794+1</f>
        <v/>
      </c>
      <c r="E3795" s="113">
        <f>IF(DAY(D3795)=DAY($L$1+1),TRUNC((N3794),8),E3794)</f>
        <v/>
      </c>
      <c r="F3795" s="114">
        <f>TRUNC(((1+VLOOKUP(A3795,IPCA!$A$2:$C$140,3,0)))^(C3795/(EDATE(D3795-C3795,1)-(D3795-C3795))),8)</f>
        <v/>
      </c>
      <c r="G3795" s="114">
        <f>TRUNC((E3795*F3795),8)</f>
        <v/>
      </c>
      <c r="H3795" s="114">
        <f>ROUND(((1+$H$4)^(30/360))^(C3795/(EDATE(D3795-B3795,1)-(D3795-B3795))),9)</f>
        <v/>
      </c>
      <c r="I3795" s="114">
        <f>TRUNC((G3795*H3795-G3795),8)</f>
        <v/>
      </c>
      <c r="J3795" s="114">
        <f>G3795+I3795</f>
        <v/>
      </c>
      <c r="K3795" s="119">
        <f>I3795</f>
        <v/>
      </c>
      <c r="L3795" s="120">
        <f>TRUNC(G3795*VLOOKUP(D3795,'Amort TS'!$G$3:$H$140,2,0),8)</f>
        <v/>
      </c>
      <c r="M3795" s="120" t="n">
        <v>0</v>
      </c>
      <c r="N3795" s="120">
        <f>J3795-K3795-L3795-M3795</f>
        <v/>
      </c>
      <c r="O3795" s="256" t="n"/>
      <c r="P3795" s="256" t="n"/>
      <c r="Q3795" s="256" t="n"/>
    </row>
    <row r="3796">
      <c r="A3796">
        <f>IF(DAY(D3796)=DAY($L$1+1),A3795+1,A3795)</f>
        <v/>
      </c>
      <c r="B3796" s="46">
        <f>IF(DAY(D3796)=DAY($L$1+1),1,B3795+1)</f>
        <v/>
      </c>
      <c r="C3796" s="46">
        <f>IF(DAY(D3796)=DAY($L$1+1),1,C3795+1)</f>
        <v/>
      </c>
      <c r="D3796" s="2">
        <f>D3795+1</f>
        <v/>
      </c>
      <c r="E3796" s="8">
        <f>IF(DAY(D3796)=DAY($L$1+1),TRUNC((N3795),8),E3795)</f>
        <v/>
      </c>
      <c r="F3796" s="49">
        <f>TRUNC(((1+VLOOKUP(A3796,IPCA!$A$2:$C$140,3,0)))^(C3796/(EDATE(D3796-C3796,1)-(D3796-C3796))),8)</f>
        <v/>
      </c>
      <c r="G3796" s="4">
        <f>TRUNC((E3796*F3796),8)</f>
        <v/>
      </c>
      <c r="H3796" s="4">
        <f>ROUND(((1+$H$4)^(30/360))^(C3796/(EDATE(D3796-B3796,1)-(D3796-B3796))),9)</f>
        <v/>
      </c>
      <c r="I3796" s="49">
        <f>TRUNC((G3796*H3796-G3796),8)</f>
        <v/>
      </c>
      <c r="J3796" s="4">
        <f>G3796+I3796</f>
        <v/>
      </c>
      <c r="K3796" s="121">
        <f>K3795*L3793</f>
        <v/>
      </c>
      <c r="L3796" s="121">
        <f>L3795*L3793</f>
        <v/>
      </c>
      <c r="M3796" s="121">
        <f>M3795*L3793</f>
        <v/>
      </c>
      <c r="N3796" s="121">
        <f>N3795*L3793</f>
        <v/>
      </c>
      <c r="O3796" s="256" t="n"/>
      <c r="P3796" s="256" t="n"/>
      <c r="Q3796" s="256" t="n"/>
    </row>
    <row r="3797">
      <c r="A3797">
        <f>IF(DAY(D3797)=DAY($L$1+1),A3796+1,A3796)</f>
        <v/>
      </c>
      <c r="B3797" s="46">
        <f>IF(DAY(D3797)=DAY($L$1+1),1,B3796+1)</f>
        <v/>
      </c>
      <c r="C3797" s="46">
        <f>IF(DAY(D3797)=DAY($L$1+1),1,C3796+1)</f>
        <v/>
      </c>
      <c r="D3797" s="47">
        <f>D3796+1</f>
        <v/>
      </c>
      <c r="E3797" s="8">
        <f>IF(DAY(D3797)=DAY($L$1+1),TRUNC((N3796),8),E3796)</f>
        <v/>
      </c>
      <c r="F3797" s="49">
        <f>TRUNC(((1+VLOOKUP(A3797,IPCA!$A$2:$C$140,3,0)))^(C3797/(EDATE(D3797-C3797,1)-(D3797-C3797))),8)</f>
        <v/>
      </c>
      <c r="G3797" s="4">
        <f>TRUNC((E3797*F3797),8)</f>
        <v/>
      </c>
      <c r="H3797" s="4">
        <f>ROUND(((1+$H$4)^(30/360))^(C3797/(EDATE(D3797-B3797,1)-(D3797-B3797))),9)</f>
        <v/>
      </c>
      <c r="I3797" s="49">
        <f>TRUNC((G3797*H3797-G3797),8)</f>
        <v/>
      </c>
      <c r="J3797" s="4">
        <f>G3797+I3797</f>
        <v/>
      </c>
      <c r="K3797" s="256" t="n"/>
      <c r="L3797" s="256" t="n"/>
      <c r="M3797" s="256" t="n"/>
      <c r="N3797" s="256" t="n"/>
      <c r="O3797" s="256" t="n"/>
      <c r="P3797" s="256" t="n"/>
      <c r="Q3797" s="256" t="n"/>
    </row>
    <row r="3798">
      <c r="A3798">
        <f>IF(DAY(D3798)=DAY($L$1+1),A3797+1,A3797)</f>
        <v/>
      </c>
      <c r="B3798" s="46">
        <f>IF(DAY(D3798)=DAY($L$1+1),1,B3797+1)</f>
        <v/>
      </c>
      <c r="C3798" s="46">
        <f>IF(DAY(D3798)=DAY($L$1+1),1,C3797+1)</f>
        <v/>
      </c>
      <c r="D3798" s="2">
        <f>D3797+1</f>
        <v/>
      </c>
      <c r="E3798" s="8">
        <f>IF(DAY(D3798)=DAY($L$1+1),TRUNC((#REF!),8),E3797)</f>
        <v/>
      </c>
      <c r="F3798" s="49">
        <f>TRUNC(((1+VLOOKUP(A3798,IPCA!$A$2:$C$140,3,0)))^(C3798/(EDATE(D3798-C3798,1)-(D3798-C3798))),8)</f>
        <v/>
      </c>
      <c r="G3798" s="4">
        <f>TRUNC((E3798*F3798),8)</f>
        <v/>
      </c>
      <c r="H3798" s="4">
        <f>ROUND(((1+$H$4)^(30/360))^(C3798/(EDATE(D3798-B3798,1)-(D3798-B3798))),9)</f>
        <v/>
      </c>
      <c r="I3798" s="49">
        <f>TRUNC((G3798*H3798-G3798),8)</f>
        <v/>
      </c>
      <c r="J3798" s="4">
        <f>G3798+I3798</f>
        <v/>
      </c>
      <c r="K3798" s="256" t="n"/>
      <c r="L3798" s="256" t="n"/>
      <c r="M3798" s="256" t="n"/>
      <c r="N3798" s="256" t="n"/>
      <c r="O3798" s="256" t="n"/>
      <c r="P3798" s="256" t="n"/>
      <c r="Q3798" s="256" t="n"/>
    </row>
    <row r="3799">
      <c r="A3799">
        <f>IF(DAY(D3799)=DAY($L$1+1),A3798+1,A3798)</f>
        <v/>
      </c>
      <c r="B3799" s="1">
        <f>IF(DAY(D3799)=DAY($L$1+1),1,B3798+1)</f>
        <v/>
      </c>
      <c r="C3799" s="1">
        <f>IF(DAY(D3799)=DAY($L$1+1),1,C3798+1)</f>
        <v/>
      </c>
      <c r="D3799" s="2">
        <f>D3798+1</f>
        <v/>
      </c>
      <c r="E3799" s="8">
        <f>IF(DAY(D3799)=DAY($L$1+1),TRUNC((#REF!),8),E3798)</f>
        <v/>
      </c>
      <c r="F3799" s="49">
        <f>TRUNC(((1+VLOOKUP(A3799,IPCA!$A$2:$C$140,3,0)))^(C3799/(EDATE(D3799-C3799,1)-(D3799-C3799))),8)</f>
        <v/>
      </c>
      <c r="G3799" s="4">
        <f>TRUNC((E3799*F3799),8)</f>
        <v/>
      </c>
      <c r="H3799" s="4">
        <f>ROUND(((1+$H$4)^(30/360))^(C3799/(EDATE(D3799-B3799,1)-(D3799-B3799))),9)</f>
        <v/>
      </c>
      <c r="I3799" s="49">
        <f>TRUNC((G3799*H3799-G3799),8)</f>
        <v/>
      </c>
      <c r="J3799" s="4">
        <f>G3799+I3799</f>
        <v/>
      </c>
      <c r="K3799" s="256" t="n"/>
      <c r="L3799" s="256" t="n"/>
      <c r="M3799" s="256" t="n"/>
      <c r="N3799" s="256" t="n"/>
      <c r="O3799" s="256" t="n"/>
      <c r="P3799" s="256" t="n"/>
      <c r="Q3799" s="256" t="n"/>
    </row>
    <row r="3800">
      <c r="A3800">
        <f>IF(DAY(D3800)=DAY($L$1+1),A3799+1,A3799)</f>
        <v/>
      </c>
      <c r="B3800" s="46">
        <f>IF(DAY(D3800)=DAY($L$1+1),1,B3799+1)</f>
        <v/>
      </c>
      <c r="C3800" s="46">
        <f>IF(DAY(D3800)=DAY($L$1+1),1,C3799+1)</f>
        <v/>
      </c>
      <c r="D3800" s="2">
        <f>D3799+1</f>
        <v/>
      </c>
      <c r="E3800" s="8">
        <f>IF(DAY(D3800)=DAY($L$1+1),TRUNC((#REF!),8),E3799)</f>
        <v/>
      </c>
      <c r="F3800" s="49">
        <f>TRUNC(((1+VLOOKUP(A3800,IPCA!$A$2:$C$140,3,0)))^(C3800/(EDATE(D3800-C3800,1)-(D3800-C3800))),8)</f>
        <v/>
      </c>
      <c r="G3800" s="4">
        <f>TRUNC((E3800*F3800),8)</f>
        <v/>
      </c>
      <c r="H3800" s="4">
        <f>ROUND(((1+$H$4)^(30/360))^(C3800/(EDATE(D3800-B3800,1)-(D3800-B3800))),9)</f>
        <v/>
      </c>
      <c r="I3800" s="49">
        <f>TRUNC((G3800*H3800-G3800),8)</f>
        <v/>
      </c>
      <c r="J3800" s="4">
        <f>G3800+I3800</f>
        <v/>
      </c>
      <c r="K3800" s="256" t="n"/>
      <c r="L3800" s="256" t="n"/>
      <c r="M3800" s="256" t="n"/>
      <c r="N3800" s="256" t="n"/>
      <c r="O3800" s="256" t="n"/>
      <c r="P3800" s="256" t="n"/>
      <c r="Q3800" s="256" t="n"/>
    </row>
    <row r="3801">
      <c r="A3801">
        <f>IF(DAY(D3801)=DAY($L$1+1),A3800+1,A3800)</f>
        <v/>
      </c>
      <c r="B3801" s="1">
        <f>IF(DAY(D3801)=DAY($L$1+1),1,B3800+1)</f>
        <v/>
      </c>
      <c r="C3801" s="1">
        <f>IF(DAY(D3801)=DAY($L$1+1),1,C3800+1)</f>
        <v/>
      </c>
      <c r="D3801" s="2">
        <f>D3800+1</f>
        <v/>
      </c>
      <c r="E3801" s="8">
        <f>IF(DAY(D3801)=DAY($L$1+1),TRUNC((#REF!),8),E3800)</f>
        <v/>
      </c>
      <c r="F3801" s="49">
        <f>TRUNC(((1+VLOOKUP(A3801,IPCA!$A$2:$C$140,3,0)))^(C3801/(EDATE(D3801-C3801,1)-(D3801-C3801))),8)</f>
        <v/>
      </c>
      <c r="G3801" s="4">
        <f>TRUNC((E3801*F3801),8)</f>
        <v/>
      </c>
      <c r="H3801" s="4">
        <f>ROUND(((1+$H$4)^(30/360))^(C3801/(EDATE(D3801-B3801,1)-(D3801-B3801))),9)</f>
        <v/>
      </c>
      <c r="I3801" s="49">
        <f>TRUNC((G3801*H3801-G3801),8)</f>
        <v/>
      </c>
      <c r="J3801" s="4">
        <f>G3801+I3801</f>
        <v/>
      </c>
      <c r="K3801" s="256" t="n"/>
      <c r="L3801" s="256" t="n"/>
      <c r="M3801" s="256" t="n"/>
      <c r="N3801" s="256" t="n"/>
      <c r="O3801" s="256" t="n"/>
      <c r="P3801" s="256" t="n"/>
      <c r="Q3801" s="256" t="n"/>
    </row>
    <row r="3802">
      <c r="A3802">
        <f>IF(DAY(D3802)=DAY($L$1+1),A3801+1,A3801)</f>
        <v/>
      </c>
      <c r="B3802" s="46">
        <f>IF(DAY(D3802)=DAY($L$1+1),1,B3801+1)</f>
        <v/>
      </c>
      <c r="C3802" s="46">
        <f>IF(DAY(D3802)=DAY($L$1+1),1,C3801+1)</f>
        <v/>
      </c>
      <c r="D3802" s="2">
        <f>D3801+1</f>
        <v/>
      </c>
      <c r="E3802" s="8">
        <f>IF(DAY(D3802)=DAY($L$1+1),TRUNC((#REF!),8),E3801)</f>
        <v/>
      </c>
      <c r="F3802" s="49">
        <f>TRUNC(((1+VLOOKUP(A3802,IPCA!$A$2:$C$140,3,0)))^(C3802/(EDATE(D3802-C3802,1)-(D3802-C3802))),8)</f>
        <v/>
      </c>
      <c r="G3802" s="4">
        <f>TRUNC((E3802*F3802),8)</f>
        <v/>
      </c>
      <c r="H3802" s="4">
        <f>ROUND(((1+$H$4)^(30/360))^(C3802/(EDATE(D3802-B3802,1)-(D3802-B3802))),9)</f>
        <v/>
      </c>
      <c r="I3802" s="49">
        <f>TRUNC((G3802*H3802-G3802),8)</f>
        <v/>
      </c>
      <c r="J3802" s="4">
        <f>G3802+I3802</f>
        <v/>
      </c>
      <c r="K3802" s="256" t="n"/>
      <c r="L3802" s="256" t="n"/>
      <c r="M3802" s="256" t="n"/>
      <c r="N3802" s="256" t="n"/>
      <c r="O3802" s="256" t="n"/>
      <c r="P3802" s="256" t="n"/>
      <c r="Q3802" s="256" t="n"/>
    </row>
    <row r="3803">
      <c r="A3803">
        <f>IF(DAY(D3803)=DAY($L$1+1),A3802+1,A3802)</f>
        <v/>
      </c>
      <c r="B3803" s="1">
        <f>IF(DAY(D3803)=DAY($L$1+1),1,B3802+1)</f>
        <v/>
      </c>
      <c r="C3803" s="1">
        <f>IF(DAY(D3803)=DAY($L$1+1),1,C3802+1)</f>
        <v/>
      </c>
      <c r="D3803" s="2">
        <f>D3802+1</f>
        <v/>
      </c>
      <c r="E3803" s="8">
        <f>IF(DAY(D3803)=DAY($L$1+1),TRUNC((#REF!),8),E3802)</f>
        <v/>
      </c>
      <c r="F3803" s="49">
        <f>TRUNC(((1+VLOOKUP(A3803,IPCA!$A$2:$C$140,3,0)))^(C3803/(EDATE(D3803-C3803,1)-(D3803-C3803))),8)</f>
        <v/>
      </c>
      <c r="G3803" s="4">
        <f>TRUNC((E3803*F3803),8)</f>
        <v/>
      </c>
      <c r="H3803" s="4">
        <f>ROUND(((1+$H$4)^(30/360))^(C3803/(EDATE(D3803-B3803,1)-(D3803-B3803))),9)</f>
        <v/>
      </c>
      <c r="I3803" s="49">
        <f>TRUNC((G3803*H3803-G3803),8)</f>
        <v/>
      </c>
      <c r="J3803" s="4">
        <f>G3803+I3803</f>
        <v/>
      </c>
      <c r="K3803" s="256" t="n"/>
      <c r="L3803" s="256" t="n"/>
      <c r="M3803" s="256" t="n"/>
      <c r="N3803" s="256" t="n"/>
      <c r="O3803" s="256" t="n"/>
      <c r="P3803" s="256" t="n"/>
      <c r="Q3803" s="256" t="n"/>
    </row>
    <row r="3804">
      <c r="A3804">
        <f>IF(DAY(D3804)=DAY($L$1+1),A3803+1,A3803)</f>
        <v/>
      </c>
      <c r="B3804" s="46">
        <f>IF(DAY(D3804)=DAY($L$1+1),1,B3803+1)</f>
        <v/>
      </c>
      <c r="C3804" s="46">
        <f>IF(DAY(D3804)=DAY($L$1+1),1,C3803+1)</f>
        <v/>
      </c>
      <c r="D3804" s="2">
        <f>D3803+1</f>
        <v/>
      </c>
      <c r="E3804" s="8">
        <f>IF(DAY(D3804)=DAY($L$1+1),TRUNC((#REF!),8),E3803)</f>
        <v/>
      </c>
      <c r="F3804" s="49">
        <f>TRUNC(((1+VLOOKUP(A3804,IPCA!$A$2:$C$140,3,0)))^(C3804/(EDATE(D3804-C3804,1)-(D3804-C3804))),8)</f>
        <v/>
      </c>
      <c r="G3804" s="4">
        <f>TRUNC((E3804*F3804),8)</f>
        <v/>
      </c>
      <c r="H3804" s="4">
        <f>ROUND(((1+$H$4)^(30/360))^(C3804/(EDATE(D3804-B3804,1)-(D3804-B3804))),9)</f>
        <v/>
      </c>
      <c r="I3804" s="49">
        <f>TRUNC((G3804*H3804-G3804),8)</f>
        <v/>
      </c>
      <c r="J3804" s="4">
        <f>G3804+I3804</f>
        <v/>
      </c>
      <c r="K3804" s="256" t="n"/>
      <c r="L3804" s="256" t="n"/>
      <c r="M3804" s="256" t="n"/>
      <c r="N3804" s="256" t="n"/>
      <c r="O3804" s="256" t="n"/>
      <c r="P3804" s="256" t="n"/>
      <c r="Q3804" s="256" t="n"/>
    </row>
    <row r="3805">
      <c r="A3805">
        <f>IF(DAY(D3805)=DAY($L$1+1),A3804+1,A3804)</f>
        <v/>
      </c>
      <c r="B3805" s="1">
        <f>IF(DAY(D3805)=DAY($L$1+1),1,B3804+1)</f>
        <v/>
      </c>
      <c r="C3805" s="1">
        <f>IF(DAY(D3805)=DAY($L$1+1),1,C3804+1)</f>
        <v/>
      </c>
      <c r="D3805" s="2">
        <f>D3804+1</f>
        <v/>
      </c>
      <c r="E3805" s="8">
        <f>IF(DAY(D3805)=DAY($L$1+1),TRUNC((#REF!),8),E3804)</f>
        <v/>
      </c>
      <c r="F3805" s="49">
        <f>TRUNC(((1+VLOOKUP(A3805,IPCA!$A$2:$C$140,3,0)))^(C3805/(EDATE(D3805-C3805,1)-(D3805-C3805))),8)</f>
        <v/>
      </c>
      <c r="G3805" s="4">
        <f>TRUNC((E3805*F3805),8)</f>
        <v/>
      </c>
      <c r="H3805" s="4">
        <f>ROUND(((1+$H$4)^(30/360))^(C3805/(EDATE(D3805-B3805,1)-(D3805-B3805))),9)</f>
        <v/>
      </c>
      <c r="I3805" s="49">
        <f>TRUNC((G3805*H3805-G3805),8)</f>
        <v/>
      </c>
      <c r="J3805" s="4">
        <f>G3805+I3805</f>
        <v/>
      </c>
      <c r="K3805" s="256" t="n"/>
      <c r="L3805" s="256" t="n"/>
      <c r="M3805" s="256" t="n"/>
      <c r="N3805" s="256" t="n"/>
      <c r="O3805" s="256" t="n"/>
      <c r="P3805" s="256" t="n"/>
      <c r="Q3805" s="256" t="n"/>
    </row>
    <row r="3806">
      <c r="A3806">
        <f>IF(DAY(D3806)=DAY($L$1+1),A3805+1,A3805)</f>
        <v/>
      </c>
      <c r="B3806" s="46">
        <f>IF(DAY(D3806)=DAY($L$1+1),1,B3805+1)</f>
        <v/>
      </c>
      <c r="C3806" s="46">
        <f>IF(DAY(D3806)=DAY($L$1+1),1,C3805+1)</f>
        <v/>
      </c>
      <c r="D3806" s="2">
        <f>D3805+1</f>
        <v/>
      </c>
      <c r="E3806" s="8">
        <f>IF(DAY(D3806)=DAY($L$1+1),TRUNC((#REF!),8),E3805)</f>
        <v/>
      </c>
      <c r="F3806" s="49">
        <f>TRUNC(((1+VLOOKUP(A3806,IPCA!$A$2:$C$140,3,0)))^(C3806/(EDATE(D3806-C3806,1)-(D3806-C3806))),8)</f>
        <v/>
      </c>
      <c r="G3806" s="4">
        <f>TRUNC((E3806*F3806),8)</f>
        <v/>
      </c>
      <c r="H3806" s="4">
        <f>ROUND(((1+$H$4)^(30/360))^(C3806/(EDATE(D3806-B3806,1)-(D3806-B3806))),9)</f>
        <v/>
      </c>
      <c r="I3806" s="49">
        <f>TRUNC((G3806*H3806-G3806),8)</f>
        <v/>
      </c>
      <c r="J3806" s="4">
        <f>G3806+I3806</f>
        <v/>
      </c>
      <c r="K3806" s="256" t="n"/>
      <c r="L3806" s="256" t="n"/>
      <c r="M3806" s="256" t="n"/>
      <c r="N3806" s="256" t="n"/>
      <c r="O3806" s="256" t="n"/>
      <c r="P3806" s="256" t="n"/>
      <c r="Q3806" s="256" t="n"/>
    </row>
    <row r="3807">
      <c r="A3807">
        <f>IF(DAY(D3807)=DAY($L$1+1),A3806+1,A3806)</f>
        <v/>
      </c>
      <c r="B3807" s="1">
        <f>IF(DAY(D3807)=DAY($L$1+1),1,B3806+1)</f>
        <v/>
      </c>
      <c r="C3807" s="1">
        <f>IF(DAY(D3807)=DAY($L$1+1),1,C3806+1)</f>
        <v/>
      </c>
      <c r="D3807" s="2">
        <f>D3806+1</f>
        <v/>
      </c>
      <c r="E3807" s="8">
        <f>IF(DAY(D3807)=DAY($L$1+1),TRUNC((#REF!),8),E3806)</f>
        <v/>
      </c>
      <c r="F3807" s="49">
        <f>TRUNC(((1+VLOOKUP(A3807,IPCA!$A$2:$C$140,3,0)))^(C3807/(EDATE(D3807-C3807,1)-(D3807-C3807))),8)</f>
        <v/>
      </c>
      <c r="G3807" s="4">
        <f>TRUNC((E3807*F3807),8)</f>
        <v/>
      </c>
      <c r="H3807" s="4">
        <f>ROUND(((1+$H$4)^(30/360))^(C3807/(EDATE(D3807-B3807,1)-(D3807-B3807))),9)</f>
        <v/>
      </c>
      <c r="I3807" s="49">
        <f>TRUNC((G3807*H3807-G3807),8)</f>
        <v/>
      </c>
      <c r="J3807" s="4">
        <f>G3807+I3807</f>
        <v/>
      </c>
      <c r="K3807" s="256" t="n"/>
      <c r="L3807" s="256" t="n"/>
      <c r="M3807" s="256" t="n"/>
      <c r="N3807" s="256" t="n"/>
      <c r="O3807" s="256" t="n"/>
      <c r="P3807" s="256" t="n"/>
      <c r="Q3807" s="256" t="n"/>
    </row>
    <row r="3808">
      <c r="A3808">
        <f>IF(DAY(D3808)=DAY($L$1+1),A3807+1,A3807)</f>
        <v/>
      </c>
      <c r="B3808" s="46">
        <f>IF(DAY(D3808)=DAY($L$1+1),1,B3807+1)</f>
        <v/>
      </c>
      <c r="C3808" s="46">
        <f>IF(DAY(D3808)=DAY($L$1+1),1,C3807+1)</f>
        <v/>
      </c>
      <c r="D3808" s="2">
        <f>D3807+1</f>
        <v/>
      </c>
      <c r="E3808" s="8">
        <f>IF(DAY(D3808)=DAY($L$1+1),TRUNC((N3807),8),E3807)</f>
        <v/>
      </c>
      <c r="F3808" s="49">
        <f>TRUNC(((1+VLOOKUP(A3808,IPCA!$A$2:$C$140,3,0)))^(C3808/(EDATE(D3808-C3808,1)-(D3808-C3808))),8)</f>
        <v/>
      </c>
      <c r="G3808" s="4">
        <f>TRUNC((E3808*F3808),8)</f>
        <v/>
      </c>
      <c r="H3808" s="4">
        <f>ROUND(((1+$H$4)^(30/360))^(C3808/(EDATE(D3808-B3808,1)-(D3808-B3808))),9)</f>
        <v/>
      </c>
      <c r="I3808" s="49">
        <f>TRUNC((G3808*H3808-G3808),8)</f>
        <v/>
      </c>
      <c r="J3808" s="4">
        <f>G3808+I3808</f>
        <v/>
      </c>
      <c r="K3808" s="256" t="n"/>
      <c r="L3808" s="256" t="n"/>
      <c r="M3808" s="256" t="n"/>
      <c r="N3808" s="256" t="n"/>
      <c r="O3808" s="256" t="n"/>
      <c r="P3808" s="256" t="n"/>
      <c r="Q3808" s="256" t="n"/>
    </row>
    <row r="3809">
      <c r="A3809">
        <f>IF(DAY(D3809)=DAY($L$1+1),A3808+1,A3808)</f>
        <v/>
      </c>
      <c r="B3809" s="1">
        <f>IF(DAY(D3809)=DAY($L$1+1),1,B3808+1)</f>
        <v/>
      </c>
      <c r="C3809" s="1">
        <f>IF(DAY(D3809)=DAY($L$1+1),1,C3808+1)</f>
        <v/>
      </c>
      <c r="D3809" s="2">
        <f>D3808+1</f>
        <v/>
      </c>
      <c r="E3809" s="8">
        <f>IF(DAY(D3809)=DAY($L$1+1),TRUNC((N3808),8),E3808)</f>
        <v/>
      </c>
      <c r="F3809" s="49">
        <f>TRUNC(((1+VLOOKUP(A3809,IPCA!$A$2:$C$140,3,0)))^(C3809/(EDATE(D3809-C3809,1)-(D3809-C3809))),8)</f>
        <v/>
      </c>
      <c r="G3809" s="4">
        <f>TRUNC((E3809*F3809),8)</f>
        <v/>
      </c>
      <c r="H3809" s="4">
        <f>ROUND(((1+$H$4)^(30/360))^(C3809/(EDATE(D3809-B3809,1)-(D3809-B3809))),9)</f>
        <v/>
      </c>
      <c r="I3809" s="49">
        <f>TRUNC((G3809*H3809-G3809),8)</f>
        <v/>
      </c>
      <c r="J3809" s="4">
        <f>G3809+I3809</f>
        <v/>
      </c>
      <c r="K3809" s="256" t="n"/>
      <c r="L3809" s="256" t="n"/>
      <c r="M3809" s="256" t="n"/>
      <c r="N3809" s="256" t="n"/>
      <c r="O3809" s="256" t="n"/>
      <c r="P3809" s="256" t="n"/>
      <c r="Q3809" s="256" t="n"/>
    </row>
    <row r="3810">
      <c r="A3810">
        <f>IF(DAY(D3810)=DAY($L$1+1),A3809+1,A3809)</f>
        <v/>
      </c>
      <c r="B3810" s="46">
        <f>IF(DAY(D3810)=DAY($L$1+1),1,B3809+1)</f>
        <v/>
      </c>
      <c r="C3810" s="46">
        <f>IF(DAY(D3810)=DAY($L$1+1),1,C3809+1)</f>
        <v/>
      </c>
      <c r="D3810" s="2">
        <f>D3809+1</f>
        <v/>
      </c>
      <c r="E3810" s="8">
        <f>IF(DAY(D3810)=DAY($L$1+1),TRUNC((N3809),8),E3809)</f>
        <v/>
      </c>
      <c r="F3810" s="49">
        <f>TRUNC(((1+VLOOKUP(A3810,IPCA!$A$2:$C$140,3,0)))^(C3810/(EDATE(D3810-C3810,1)-(D3810-C3810))),8)</f>
        <v/>
      </c>
      <c r="G3810" s="4">
        <f>TRUNC((E3810*F3810),8)</f>
        <v/>
      </c>
      <c r="H3810" s="4">
        <f>ROUND(((1+$H$4)^(30/360))^(C3810/(EDATE(D3810-B3810,1)-(D3810-B3810))),9)</f>
        <v/>
      </c>
      <c r="I3810" s="49">
        <f>TRUNC((G3810*H3810-G3810),8)</f>
        <v/>
      </c>
      <c r="J3810" s="4">
        <f>G3810+I3810</f>
        <v/>
      </c>
      <c r="K3810" s="256" t="n"/>
      <c r="L3810" s="256" t="n"/>
      <c r="M3810" s="256" t="n"/>
      <c r="N3810" s="256" t="n"/>
      <c r="O3810" s="256" t="n"/>
      <c r="P3810" s="256" t="n"/>
      <c r="Q3810" s="256" t="n"/>
    </row>
    <row r="3811">
      <c r="A3811">
        <f>IF(DAY(D3811)=DAY($L$1+1),A3810+1,A3810)</f>
        <v/>
      </c>
      <c r="B3811" s="1">
        <f>IF(DAY(D3811)=DAY($L$1+1),1,B3810+1)</f>
        <v/>
      </c>
      <c r="C3811" s="1">
        <f>IF(DAY(D3811)=DAY($L$1+1),1,C3810+1)</f>
        <v/>
      </c>
      <c r="D3811" s="2">
        <f>D3810+1</f>
        <v/>
      </c>
      <c r="E3811" s="8">
        <f>IF(DAY(D3811)=DAY($L$1+1),TRUNC((N3810),8),E3810)</f>
        <v/>
      </c>
      <c r="F3811" s="49">
        <f>TRUNC(((1+VLOOKUP(A3811,IPCA!$A$2:$C$140,3,0)))^(C3811/(EDATE(D3811-C3811,1)-(D3811-C3811))),8)</f>
        <v/>
      </c>
      <c r="G3811" s="4">
        <f>TRUNC((E3811*F3811),8)</f>
        <v/>
      </c>
      <c r="H3811" s="4">
        <f>ROUND(((1+$H$4)^(30/360))^(C3811/(EDATE(D3811-B3811,1)-(D3811-B3811))),9)</f>
        <v/>
      </c>
      <c r="I3811" s="49">
        <f>TRUNC((G3811*H3811-G3811),8)</f>
        <v/>
      </c>
      <c r="J3811" s="4">
        <f>G3811+I3811</f>
        <v/>
      </c>
      <c r="K3811" s="256" t="n"/>
      <c r="L3811" s="256" t="n"/>
      <c r="M3811" s="256" t="n"/>
      <c r="N3811" s="256" t="n"/>
      <c r="O3811" s="256" t="n"/>
      <c r="P3811" s="256" t="n"/>
      <c r="Q3811" s="256" t="n"/>
    </row>
    <row r="3812">
      <c r="A3812">
        <f>IF(DAY(D3812)=DAY($L$1+1),A3811+1,A3811)</f>
        <v/>
      </c>
      <c r="B3812" s="46">
        <f>IF(DAY(D3812)=DAY($L$1+1),1,B3811+1)</f>
        <v/>
      </c>
      <c r="C3812" s="46">
        <f>IF(DAY(D3812)=DAY($L$1+1),1,C3811+1)</f>
        <v/>
      </c>
      <c r="D3812" s="2">
        <f>D3811+1</f>
        <v/>
      </c>
      <c r="E3812" s="8">
        <f>IF(DAY(D3812)=DAY($L$1+1),TRUNC((N3811),8),E3811)</f>
        <v/>
      </c>
      <c r="F3812" s="49">
        <f>TRUNC(((1+VLOOKUP(A3812,IPCA!$A$2:$C$140,3,0)))^(C3812/(EDATE(D3812-C3812,1)-(D3812-C3812))),8)</f>
        <v/>
      </c>
      <c r="G3812" s="4">
        <f>TRUNC((E3812*F3812),8)</f>
        <v/>
      </c>
      <c r="H3812" s="4">
        <f>ROUND(((1+$H$4)^(30/360))^(C3812/(EDATE(D3812-B3812,1)-(D3812-B3812))),9)</f>
        <v/>
      </c>
      <c r="I3812" s="49">
        <f>TRUNC((G3812*H3812-G3812),8)</f>
        <v/>
      </c>
      <c r="J3812" s="4">
        <f>G3812+I3812</f>
        <v/>
      </c>
      <c r="K3812" s="256" t="n"/>
      <c r="L3812" s="256" t="n"/>
      <c r="M3812" s="256" t="n"/>
      <c r="N3812" s="256" t="n"/>
      <c r="O3812" s="256" t="n"/>
      <c r="P3812" s="256" t="n"/>
      <c r="Q3812" s="256" t="n"/>
    </row>
    <row r="3813">
      <c r="A3813">
        <f>IF(DAY(D3813)=DAY($L$1+1),A3812+1,A3812)</f>
        <v/>
      </c>
      <c r="B3813" s="1">
        <f>IF(DAY(D3813)=DAY($L$1+1),1,B3812+1)</f>
        <v/>
      </c>
      <c r="C3813" s="1">
        <f>IF(DAY(D3813)=DAY($L$1+1),1,C3812+1)</f>
        <v/>
      </c>
      <c r="D3813" s="2">
        <f>D3812+1</f>
        <v/>
      </c>
      <c r="E3813" s="8">
        <f>IF(DAY(D3813)=DAY($L$1+1),TRUNC((N3812),8),E3812)</f>
        <v/>
      </c>
      <c r="F3813" s="49">
        <f>TRUNC(((1+VLOOKUP(A3813,IPCA!$A$2:$C$140,3,0)))^(C3813/(EDATE(D3813-C3813,1)-(D3813-C3813))),8)</f>
        <v/>
      </c>
      <c r="G3813" s="4">
        <f>TRUNC((E3813*F3813),8)</f>
        <v/>
      </c>
      <c r="H3813" s="4">
        <f>ROUND(((1+$H$4)^(30/360))^(C3813/(EDATE(D3813-B3813,1)-(D3813-B3813))),9)</f>
        <v/>
      </c>
      <c r="I3813" s="49">
        <f>TRUNC((G3813*H3813-G3813),8)</f>
        <v/>
      </c>
      <c r="J3813" s="4">
        <f>G3813+I3813</f>
        <v/>
      </c>
      <c r="K3813" s="256" t="n"/>
      <c r="L3813" s="256" t="n"/>
      <c r="M3813" s="256" t="n"/>
      <c r="N3813" s="256" t="n"/>
      <c r="O3813" s="256" t="n"/>
      <c r="P3813" s="256" t="n"/>
      <c r="Q3813" s="256" t="n"/>
    </row>
    <row r="3814">
      <c r="A3814">
        <f>IF(DAY(D3814)=DAY($L$1+1),A3813+1,A3813)</f>
        <v/>
      </c>
      <c r="B3814" s="46">
        <f>IF(DAY(D3814)=DAY($L$1+1),1,B3813+1)</f>
        <v/>
      </c>
      <c r="C3814" s="46">
        <f>IF(DAY(D3814)=DAY($L$1+1),1,C3813+1)</f>
        <v/>
      </c>
      <c r="D3814" s="2">
        <f>D3813+1</f>
        <v/>
      </c>
      <c r="E3814" s="8">
        <f>IF(DAY(D3814)=DAY($L$1+1),TRUNC((N3813),8),E3813)</f>
        <v/>
      </c>
      <c r="F3814" s="49">
        <f>TRUNC(((1+VLOOKUP(A3814,IPCA!$A$2:$C$140,3,0)))^(C3814/(EDATE(D3814-C3814,1)-(D3814-C3814))),8)</f>
        <v/>
      </c>
      <c r="G3814" s="4">
        <f>TRUNC((E3814*F3814),8)</f>
        <v/>
      </c>
      <c r="H3814" s="4">
        <f>ROUND(((1+$H$4)^(30/360))^(C3814/(EDATE(D3814-B3814,1)-(D3814-B3814))),9)</f>
        <v/>
      </c>
      <c r="I3814" s="49">
        <f>TRUNC((G3814*H3814-G3814),8)</f>
        <v/>
      </c>
      <c r="J3814" s="4">
        <f>G3814+I3814</f>
        <v/>
      </c>
      <c r="K3814" s="256" t="n"/>
      <c r="L3814" s="256" t="n"/>
      <c r="M3814" s="256" t="n"/>
      <c r="N3814" s="256" t="n"/>
      <c r="O3814" s="256" t="n"/>
      <c r="P3814" s="256" t="n"/>
      <c r="Q3814" s="256" t="n"/>
    </row>
    <row r="3815">
      <c r="A3815">
        <f>IF(DAY(D3815)=DAY($L$1+1),A3814+1,A3814)</f>
        <v/>
      </c>
      <c r="B3815" s="1">
        <f>IF(DAY(D3815)=DAY($L$1+1),1,B3814+1)</f>
        <v/>
      </c>
      <c r="C3815" s="1">
        <f>IF(DAY(D3815)=DAY($L$1+1),1,C3814+1)</f>
        <v/>
      </c>
      <c r="D3815" s="2">
        <f>D3814+1</f>
        <v/>
      </c>
      <c r="E3815" s="8">
        <f>IF(DAY(D3815)=DAY($L$1+1),TRUNC((N3814),8),E3814)</f>
        <v/>
      </c>
      <c r="F3815" s="49">
        <f>TRUNC(((1+VLOOKUP(A3815,IPCA!$A$2:$C$140,3,0)))^(C3815/(EDATE(D3815-C3815,1)-(D3815-C3815))),8)</f>
        <v/>
      </c>
      <c r="G3815" s="4">
        <f>TRUNC((E3815*F3815),8)</f>
        <v/>
      </c>
      <c r="H3815" s="4">
        <f>ROUND(((1+$H$4)^(30/360))^(C3815/(EDATE(D3815-B3815,1)-(D3815-B3815))),9)</f>
        <v/>
      </c>
      <c r="I3815" s="49">
        <f>TRUNC((G3815*H3815-G3815),8)</f>
        <v/>
      </c>
      <c r="J3815" s="4">
        <f>G3815+I3815</f>
        <v/>
      </c>
      <c r="K3815" s="256" t="n"/>
      <c r="L3815" s="256" t="n"/>
      <c r="M3815" s="256" t="n"/>
      <c r="N3815" s="256" t="n"/>
      <c r="O3815" s="256" t="n"/>
      <c r="P3815" s="256" t="n"/>
      <c r="Q3815" s="256" t="n"/>
    </row>
    <row r="3816">
      <c r="A3816">
        <f>IF(DAY(D3816)=DAY($L$1+1),A3815+1,A3815)</f>
        <v/>
      </c>
      <c r="B3816" s="46">
        <f>IF(DAY(D3816)=DAY($L$1+1),1,B3815+1)</f>
        <v/>
      </c>
      <c r="C3816" s="46">
        <f>IF(DAY(D3816)=DAY($L$1+1),1,C3815+1)</f>
        <v/>
      </c>
      <c r="D3816" s="2">
        <f>D3815+1</f>
        <v/>
      </c>
      <c r="E3816" s="8">
        <f>IF(DAY(D3816)=DAY($L$1+1),TRUNC((N3815),8),E3815)</f>
        <v/>
      </c>
      <c r="F3816" s="49">
        <f>TRUNC(((1+VLOOKUP(A3816,IPCA!$A$2:$C$140,3,0)))^(C3816/(EDATE(D3816-C3816,1)-(D3816-C3816))),8)</f>
        <v/>
      </c>
      <c r="G3816" s="4">
        <f>TRUNC((E3816*F3816),8)</f>
        <v/>
      </c>
      <c r="H3816" s="4">
        <f>ROUND(((1+$H$4)^(30/360))^(C3816/(EDATE(D3816-B3816,1)-(D3816-B3816))),9)</f>
        <v/>
      </c>
      <c r="I3816" s="49">
        <f>TRUNC((G3816*H3816-G3816),8)</f>
        <v/>
      </c>
      <c r="J3816" s="4">
        <f>G3816+I3816</f>
        <v/>
      </c>
      <c r="K3816" s="256" t="n"/>
      <c r="L3816" s="256" t="n"/>
      <c r="M3816" s="256" t="n"/>
      <c r="N3816" s="256" t="n"/>
      <c r="O3816" s="256" t="n"/>
      <c r="P3816" s="256" t="n"/>
      <c r="Q3816" s="256" t="n"/>
    </row>
    <row r="3817">
      <c r="A3817">
        <f>IF(DAY(D3817)=DAY($L$1+1),A3816+1,A3816)</f>
        <v/>
      </c>
      <c r="B3817" s="1">
        <f>IF(DAY(D3817)=DAY($L$1+1),1,B3816+1)</f>
        <v/>
      </c>
      <c r="C3817" s="1">
        <f>IF(DAY(D3817)=DAY($L$1+1),1,C3816+1)</f>
        <v/>
      </c>
      <c r="D3817" s="2">
        <f>D3816+1</f>
        <v/>
      </c>
      <c r="E3817" s="8">
        <f>IF(DAY(D3817)=DAY($L$1+1),TRUNC((N3816),8),E3816)</f>
        <v/>
      </c>
      <c r="F3817" s="49">
        <f>TRUNC(((1+VLOOKUP(A3817,IPCA!$A$2:$C$140,3,0)))^(C3817/(EDATE(D3817-C3817,1)-(D3817-C3817))),8)</f>
        <v/>
      </c>
      <c r="G3817" s="4">
        <f>TRUNC((E3817*F3817),8)</f>
        <v/>
      </c>
      <c r="H3817" s="4">
        <f>ROUND(((1+$H$4)^(30/360))^(C3817/(EDATE(D3817-B3817,1)-(D3817-B3817))),9)</f>
        <v/>
      </c>
      <c r="I3817" s="49">
        <f>TRUNC((G3817*H3817-G3817),8)</f>
        <v/>
      </c>
      <c r="J3817" s="4">
        <f>G3817+I3817</f>
        <v/>
      </c>
      <c r="K3817" s="256" t="n"/>
      <c r="L3817" s="256" t="n"/>
      <c r="M3817" s="256" t="n"/>
      <c r="N3817" s="256" t="n"/>
      <c r="O3817" s="256" t="n"/>
      <c r="P3817" s="256" t="n"/>
      <c r="Q3817" s="256" t="n"/>
    </row>
    <row r="3818">
      <c r="A3818">
        <f>IF(DAY(D3818)=DAY($L$1+1),A3817+1,A3817)</f>
        <v/>
      </c>
      <c r="B3818" s="46">
        <f>IF(DAY(D3818)=DAY($L$1+1),1,B3817+1)</f>
        <v/>
      </c>
      <c r="C3818" s="46">
        <f>IF(DAY(D3818)=DAY($L$1+1),1,C3817+1)</f>
        <v/>
      </c>
      <c r="D3818" s="2">
        <f>D3817+1</f>
        <v/>
      </c>
      <c r="E3818" s="8">
        <f>IF(DAY(D3818)=DAY($L$1+1),TRUNC((N3817),8),E3817)</f>
        <v/>
      </c>
      <c r="F3818" s="49">
        <f>TRUNC(((1+VLOOKUP(A3818,IPCA!$A$2:$C$140,3,0)))^(C3818/(EDATE(D3818-C3818,1)-(D3818-C3818))),8)</f>
        <v/>
      </c>
      <c r="G3818" s="4">
        <f>TRUNC((E3818*F3818),8)</f>
        <v/>
      </c>
      <c r="H3818" s="4">
        <f>ROUND(((1+$H$4)^(30/360))^(C3818/(EDATE(D3818-B3818,1)-(D3818-B3818))),9)</f>
        <v/>
      </c>
      <c r="I3818" s="49">
        <f>TRUNC((G3818*H3818-G3818),8)</f>
        <v/>
      </c>
      <c r="J3818" s="4">
        <f>G3818+I3818</f>
        <v/>
      </c>
      <c r="K3818" s="256" t="n"/>
      <c r="L3818" s="256" t="n"/>
      <c r="M3818" s="256" t="n"/>
      <c r="N3818" s="256" t="n"/>
      <c r="O3818" s="256" t="n"/>
      <c r="P3818" s="256" t="n"/>
      <c r="Q3818" s="256" t="n"/>
    </row>
    <row r="3819">
      <c r="A3819">
        <f>IF(DAY(D3819)=DAY($L$1+1),A3818+1,A3818)</f>
        <v/>
      </c>
      <c r="B3819" s="1">
        <f>IF(DAY(D3819)=DAY($L$1+1),1,B3818+1)</f>
        <v/>
      </c>
      <c r="C3819" s="1">
        <f>IF(DAY(D3819)=DAY($L$1+1),1,C3818+1)</f>
        <v/>
      </c>
      <c r="D3819" s="2">
        <f>D3818+1</f>
        <v/>
      </c>
      <c r="E3819" s="8">
        <f>IF(DAY(D3819)=DAY($L$1+1),TRUNC((N3818),8),E3818)</f>
        <v/>
      </c>
      <c r="F3819" s="49">
        <f>TRUNC(((1+VLOOKUP(A3819,IPCA!$A$2:$C$140,3,0)))^(C3819/(EDATE(D3819-C3819,1)-(D3819-C3819))),8)</f>
        <v/>
      </c>
      <c r="G3819" s="4">
        <f>TRUNC((E3819*F3819),8)</f>
        <v/>
      </c>
      <c r="H3819" s="4">
        <f>ROUND(((1+$H$4)^(30/360))^(C3819/(EDATE(D3819-B3819,1)-(D3819-B3819))),9)</f>
        <v/>
      </c>
      <c r="I3819" s="49">
        <f>TRUNC((G3819*H3819-G3819),8)</f>
        <v/>
      </c>
      <c r="J3819" s="4">
        <f>G3819+I3819</f>
        <v/>
      </c>
      <c r="K3819" s="256" t="n"/>
      <c r="L3819" s="256" t="n"/>
      <c r="M3819" s="256" t="n"/>
      <c r="N3819" s="256" t="n"/>
      <c r="O3819" s="256" t="n"/>
      <c r="P3819" s="256" t="n"/>
      <c r="Q3819" s="256" t="n"/>
    </row>
    <row r="3820">
      <c r="A3820">
        <f>IF(DAY(D3820)=DAY($L$1+1),A3819+1,A3819)</f>
        <v/>
      </c>
      <c r="B3820" s="46">
        <f>IF(DAY(D3820)=DAY($L$1+1),1,B3819+1)</f>
        <v/>
      </c>
      <c r="C3820" s="46">
        <f>IF(DAY(D3820)=DAY($L$1+1),1,C3819+1)</f>
        <v/>
      </c>
      <c r="D3820" s="2">
        <f>D3819+1</f>
        <v/>
      </c>
      <c r="E3820" s="8">
        <f>IF(DAY(D3820)=DAY($L$1+1),TRUNC((N3819),8),E3819)</f>
        <v/>
      </c>
      <c r="F3820" s="49">
        <f>TRUNC(((1+VLOOKUP(A3820,IPCA!$A$2:$C$140,3,0)))^(C3820/(EDATE(D3820-C3820,1)-(D3820-C3820))),8)</f>
        <v/>
      </c>
      <c r="G3820" s="4">
        <f>TRUNC((E3820*F3820),8)</f>
        <v/>
      </c>
      <c r="H3820" s="4">
        <f>ROUND(((1+$H$4)^(30/360))^(C3820/(EDATE(D3820-B3820,1)-(D3820-B3820))),9)</f>
        <v/>
      </c>
      <c r="I3820" s="49">
        <f>TRUNC((G3820*H3820-G3820),8)</f>
        <v/>
      </c>
      <c r="J3820" s="4">
        <f>G3820+I3820</f>
        <v/>
      </c>
      <c r="K3820" s="256" t="n"/>
      <c r="L3820" s="256" t="n"/>
      <c r="M3820" s="256" t="n"/>
      <c r="N3820" s="256" t="n"/>
      <c r="O3820" s="256" t="n"/>
      <c r="P3820" s="256" t="n"/>
      <c r="Q3820" s="256" t="n"/>
    </row>
    <row r="3821">
      <c r="A3821">
        <f>IF(DAY(D3821)=DAY($L$1+1),A3820+1,A3820)</f>
        <v/>
      </c>
      <c r="B3821" s="1">
        <f>IF(DAY(D3821)=DAY($L$1+1),1,B3820+1)</f>
        <v/>
      </c>
      <c r="C3821" s="1">
        <f>IF(DAY(D3821)=DAY($L$1+1),1,C3820+1)</f>
        <v/>
      </c>
      <c r="D3821" s="2">
        <f>D3820+1</f>
        <v/>
      </c>
      <c r="E3821" s="8">
        <f>IF(DAY(D3821)=DAY($L$1+1),TRUNC((N3820),8),E3820)</f>
        <v/>
      </c>
      <c r="F3821" s="49">
        <f>TRUNC(((1+VLOOKUP(A3821,IPCA!$A$2:$C$140,3,0)))^(C3821/(EDATE(D3821-C3821,1)-(D3821-C3821))),8)</f>
        <v/>
      </c>
      <c r="G3821" s="4">
        <f>TRUNC((E3821*F3821),8)</f>
        <v/>
      </c>
      <c r="H3821" s="4">
        <f>ROUND(((1+$H$4)^(30/360))^(C3821/(EDATE(D3821-B3821,1)-(D3821-B3821))),9)</f>
        <v/>
      </c>
      <c r="I3821" s="49">
        <f>TRUNC((G3821*H3821-G3821),8)</f>
        <v/>
      </c>
      <c r="J3821" s="4">
        <f>G3821+I3821</f>
        <v/>
      </c>
      <c r="K3821" s="256" t="n"/>
      <c r="L3821" s="256" t="n"/>
      <c r="M3821" s="256" t="n"/>
      <c r="N3821" s="256" t="n"/>
      <c r="O3821" s="256" t="n"/>
      <c r="P3821" s="256" t="n"/>
      <c r="Q3821" s="256" t="n"/>
    </row>
    <row r="3822">
      <c r="A3822">
        <f>IF(DAY(D3822)=DAY($L$1+1),A3821+1,A3821)</f>
        <v/>
      </c>
      <c r="B3822" s="46">
        <f>IF(DAY(D3822)=DAY($L$1+1),1,B3821+1)</f>
        <v/>
      </c>
      <c r="C3822" s="46">
        <f>IF(DAY(D3822)=DAY($L$1+1),1,C3821+1)</f>
        <v/>
      </c>
      <c r="D3822" s="2">
        <f>D3821+1</f>
        <v/>
      </c>
      <c r="E3822" s="8">
        <f>IF(DAY(D3822)=DAY($L$1+1),TRUNC((N3821),8),E3821)</f>
        <v/>
      </c>
      <c r="F3822" s="49">
        <f>TRUNC(((1+VLOOKUP(A3822,IPCA!$A$2:$C$140,3,0)))^(C3822/(EDATE(D3822-C3822,1)-(D3822-C3822))),8)</f>
        <v/>
      </c>
      <c r="G3822" s="4">
        <f>TRUNC((E3822*F3822),8)</f>
        <v/>
      </c>
      <c r="H3822" s="4">
        <f>ROUND(((1+$H$4)^(30/360))^(C3822/(EDATE(D3822-B3822,1)-(D3822-B3822))),9)</f>
        <v/>
      </c>
      <c r="I3822" s="49">
        <f>TRUNC((G3822*H3822-G3822),8)</f>
        <v/>
      </c>
      <c r="J3822" s="4">
        <f>G3822+I3822</f>
        <v/>
      </c>
      <c r="K3822" s="256" t="n"/>
      <c r="L3822" s="256" t="n"/>
      <c r="M3822" s="256" t="n"/>
      <c r="N3822" s="256" t="n"/>
      <c r="O3822" s="256" t="n"/>
      <c r="P3822" s="256" t="n"/>
      <c r="Q3822" s="256" t="n"/>
    </row>
    <row r="3823">
      <c r="A3823">
        <f>IF(DAY(D3823)=DAY($L$1+1),A3822+1,A3822)</f>
        <v/>
      </c>
      <c r="B3823" s="46">
        <f>IF(DAY(D3823)=DAY($L$1+1),1,B3822+1)</f>
        <v/>
      </c>
      <c r="C3823" s="46">
        <f>IF(DAY(D3823)=DAY($L$1+1),1,C3822+1)</f>
        <v/>
      </c>
      <c r="D3823" s="2">
        <f>D3822+1</f>
        <v/>
      </c>
      <c r="E3823" s="8">
        <f>IF(DAY(D3823)=DAY($L$1+1),TRUNC((N3822),8),E3822)</f>
        <v/>
      </c>
      <c r="F3823" s="49">
        <f>TRUNC(((1+VLOOKUP(A3823,IPCA!$A$2:$C$140,3,0)))^(C3823/(EDATE(D3823-C3823,1)-(D3823-C3823))),8)</f>
        <v/>
      </c>
      <c r="G3823" s="4">
        <f>TRUNC((E3823*F3823),8)</f>
        <v/>
      </c>
      <c r="H3823" s="4">
        <f>ROUND(((1+$H$4)^(30/360))^(C3823/(EDATE(D3823-B3823,1)-(D3823-B3823))),9)</f>
        <v/>
      </c>
      <c r="I3823" s="49">
        <f>TRUNC((G3823*H3823-G3823),8)</f>
        <v/>
      </c>
      <c r="J3823" s="4">
        <f>G3823+I3823</f>
        <v/>
      </c>
      <c r="K3823" s="256" t="inlineStr">
        <is>
          <t>Cri Integralizado</t>
        </is>
      </c>
      <c r="L3823" s="270">
        <f>L3793</f>
        <v/>
      </c>
      <c r="M3823" s="256" t="n"/>
      <c r="N3823" s="256" t="n"/>
      <c r="O3823" s="256" t="n"/>
      <c r="P3823" s="256" t="n"/>
      <c r="Q3823" s="256" t="n"/>
    </row>
    <row r="3824">
      <c r="A3824">
        <f>IF(DAY(D3824)=DAY($L$1+1),A3823+1,A3823)</f>
        <v/>
      </c>
      <c r="B3824" s="46">
        <f>IF(DAY(D3824)=DAY($L$1+1),1,B3823+1)</f>
        <v/>
      </c>
      <c r="C3824" s="46">
        <f>IF(DAY(D3824)=DAY($L$1+1),1,C3823+1)</f>
        <v/>
      </c>
      <c r="D3824" s="47">
        <f>D3823+1</f>
        <v/>
      </c>
      <c r="E3824" s="8">
        <f>IF(DAY(D3824)=DAY($L$1+1),TRUNC((N3823),8),E3823)</f>
        <v/>
      </c>
      <c r="F3824" s="49">
        <f>TRUNC(((1+VLOOKUP(A3824,IPCA!$A$2:$C$140,3,0)))^(C3824/(EDATE(D3824-C3824,1)-(D3824-C3824))),8)</f>
        <v/>
      </c>
      <c r="G3824" s="4">
        <f>TRUNC((E3824*F3824),8)</f>
        <v/>
      </c>
      <c r="H3824" s="4">
        <f>ROUND(((1+$H$4)^(30/360))^(C3824/(EDATE(D3824-B3824,1)-(D3824-B3824))),9)</f>
        <v/>
      </c>
      <c r="I3824" s="49">
        <f>TRUNC((G3824*H3824-G3824),8)</f>
        <v/>
      </c>
      <c r="J3824" s="4">
        <f>G3824+I3824</f>
        <v/>
      </c>
      <c r="K3824" s="137" t="inlineStr">
        <is>
          <t>JUROS</t>
        </is>
      </c>
      <c r="L3824" s="118" t="inlineStr">
        <is>
          <t>AMORTIZAÇÃO</t>
        </is>
      </c>
      <c r="M3824" s="118" t="inlineStr">
        <is>
          <t>AMEX</t>
        </is>
      </c>
      <c r="N3824" s="118" t="inlineStr">
        <is>
          <t>RESIDUAL</t>
        </is>
      </c>
      <c r="O3824" s="256" t="n"/>
      <c r="P3824" s="256" t="n"/>
      <c r="Q3824" s="256" t="n"/>
    </row>
    <row r="3825">
      <c r="A3825">
        <f>IF(DAY(D3825)=DAY($L$1+1),A3824+1,A3824)</f>
        <v/>
      </c>
      <c r="B3825" s="111">
        <f>IF(DAY(D3825)=DAY($L$1+1),1,B3824+1)</f>
        <v/>
      </c>
      <c r="C3825" s="111">
        <f>IF(DAY(D3825)=DAY($L$1+1),1,C3824+1)</f>
        <v/>
      </c>
      <c r="D3825" s="112">
        <f>D3824+1</f>
        <v/>
      </c>
      <c r="E3825" s="113">
        <f>IF(DAY(D3825)=DAY($L$1+1),TRUNC((N3824),8),E3824)</f>
        <v/>
      </c>
      <c r="F3825" s="114">
        <f>TRUNC(((1+VLOOKUP(A3825,IPCA!$A$2:$C$140,3,0)))^(C3825/(EDATE(D3825-C3825,1)-(D3825-C3825))),8)</f>
        <v/>
      </c>
      <c r="G3825" s="114">
        <f>TRUNC((E3825*F3825),8)</f>
        <v/>
      </c>
      <c r="H3825" s="114">
        <f>ROUND(((1+$H$4)^(30/360))^(C3825/(EDATE(D3825-B3825,1)-(D3825-B3825))),9)</f>
        <v/>
      </c>
      <c r="I3825" s="114">
        <f>TRUNC((G3825*H3825-G3825),8)</f>
        <v/>
      </c>
      <c r="J3825" s="114">
        <f>G3825+I3825</f>
        <v/>
      </c>
      <c r="K3825" s="119">
        <f>I3825</f>
        <v/>
      </c>
      <c r="L3825" s="120">
        <f>TRUNC(G3825*VLOOKUP(D3825,'Amort TS'!$G$3:$H$140,2,0),8)</f>
        <v/>
      </c>
      <c r="M3825" s="120" t="n">
        <v>0</v>
      </c>
      <c r="N3825" s="120">
        <f>J3825-K3825-L3825-M3825</f>
        <v/>
      </c>
      <c r="O3825" s="256" t="n"/>
      <c r="P3825" s="256" t="n"/>
      <c r="Q3825" s="256" t="n"/>
    </row>
    <row r="3826">
      <c r="A3826">
        <f>IF(DAY(D3826)=DAY($L$1+1),A3825+1,A3825)</f>
        <v/>
      </c>
      <c r="B3826" s="46">
        <f>IF(DAY(D3826)=DAY($L$1+1),1,B3825+1)</f>
        <v/>
      </c>
      <c r="C3826" s="46">
        <f>IF(DAY(D3826)=DAY($L$1+1),1,C3825+1)</f>
        <v/>
      </c>
      <c r="D3826" s="2">
        <f>D3825+1</f>
        <v/>
      </c>
      <c r="E3826" s="8">
        <f>IF(DAY(D3826)=DAY($L$1+1),TRUNC((N3825),8),E3825)</f>
        <v/>
      </c>
      <c r="F3826" s="49">
        <f>TRUNC(((1+VLOOKUP(A3826,IPCA!$A$2:$C$140,3,0)))^(C3826/(EDATE(D3826-C3826,1)-(D3826-C3826))),8)</f>
        <v/>
      </c>
      <c r="G3826" s="4">
        <f>TRUNC((E3826*F3826),8)</f>
        <v/>
      </c>
      <c r="H3826" s="4">
        <f>ROUND(((1+$H$4)^(30/360))^(C3826/(EDATE(D3826-B3826,1)-(D3826-B3826))),9)</f>
        <v/>
      </c>
      <c r="I3826" s="49">
        <f>TRUNC((G3826*H3826-G3826),8)</f>
        <v/>
      </c>
      <c r="J3826" s="4">
        <f>G3826+I3826</f>
        <v/>
      </c>
      <c r="K3826" s="121">
        <f>K3825*L3823</f>
        <v/>
      </c>
      <c r="L3826" s="121">
        <f>L3825*L3823</f>
        <v/>
      </c>
      <c r="M3826" s="121">
        <f>M3825*L3823</f>
        <v/>
      </c>
      <c r="N3826" s="121">
        <f>N3825*L3823</f>
        <v/>
      </c>
      <c r="O3826" s="256" t="n"/>
      <c r="P3826" s="256" t="n"/>
      <c r="Q3826" s="256" t="n"/>
    </row>
    <row r="3827">
      <c r="A3827">
        <f>IF(DAY(D3827)=DAY($L$1+1),A3826+1,A3826)</f>
        <v/>
      </c>
      <c r="B3827" s="46">
        <f>IF(DAY(D3827)=DAY($L$1+1),1,B3826+1)</f>
        <v/>
      </c>
      <c r="C3827" s="46">
        <f>IF(DAY(D3827)=DAY($L$1+1),1,C3826+1)</f>
        <v/>
      </c>
      <c r="D3827" s="47">
        <f>D3826+1</f>
        <v/>
      </c>
      <c r="E3827" s="8">
        <f>IF(DAY(D3827)=DAY($L$1+1),TRUNC((N3826),8),E3826)</f>
        <v/>
      </c>
      <c r="F3827" s="49">
        <f>TRUNC(((1+VLOOKUP(A3827,IPCA!$A$2:$C$140,3,0)))^(C3827/(EDATE(D3827-C3827,1)-(D3827-C3827))),8)</f>
        <v/>
      </c>
      <c r="G3827" s="4">
        <f>TRUNC((E3827*F3827),8)</f>
        <v/>
      </c>
      <c r="H3827" s="4">
        <f>ROUND(((1+$H$4)^(30/360))^(C3827/(EDATE(D3827-B3827,1)-(D3827-B3827))),9)</f>
        <v/>
      </c>
      <c r="I3827" s="49">
        <f>TRUNC((G3827*H3827-G3827),8)</f>
        <v/>
      </c>
      <c r="J3827" s="4">
        <f>G3827+I3827</f>
        <v/>
      </c>
      <c r="K3827" s="256" t="n"/>
      <c r="L3827" s="256" t="n"/>
      <c r="M3827" s="256" t="n"/>
      <c r="N3827" s="256" t="n"/>
      <c r="O3827" s="256" t="n"/>
      <c r="P3827" s="256" t="n"/>
      <c r="Q3827" s="256" t="n"/>
    </row>
    <row r="3828">
      <c r="A3828">
        <f>IF(DAY(D3828)=DAY($L$1+1),A3827+1,A3827)</f>
        <v/>
      </c>
      <c r="B3828" s="46">
        <f>IF(DAY(D3828)=DAY($L$1+1),1,B3827+1)</f>
        <v/>
      </c>
      <c r="C3828" s="46">
        <f>IF(DAY(D3828)=DAY($L$1+1),1,C3827+1)</f>
        <v/>
      </c>
      <c r="D3828" s="2">
        <f>D3827+1</f>
        <v/>
      </c>
      <c r="E3828" s="8">
        <f>IF(DAY(D3828)=DAY($L$1+1),TRUNC((#REF!),8),E3827)</f>
        <v/>
      </c>
      <c r="F3828" s="49">
        <f>TRUNC(((1+VLOOKUP(A3828,IPCA!$A$2:$C$140,3,0)))^(C3828/(EDATE(D3828-C3828,1)-(D3828-C3828))),8)</f>
        <v/>
      </c>
      <c r="G3828" s="4">
        <f>TRUNC((E3828*F3828),8)</f>
        <v/>
      </c>
      <c r="H3828" s="4">
        <f>ROUND(((1+$H$4)^(30/360))^(C3828/(EDATE(D3828-B3828,1)-(D3828-B3828))),9)</f>
        <v/>
      </c>
      <c r="I3828" s="49">
        <f>TRUNC((G3828*H3828-G3828),8)</f>
        <v/>
      </c>
      <c r="J3828" s="4">
        <f>G3828+I3828</f>
        <v/>
      </c>
      <c r="K3828" s="256" t="n"/>
      <c r="L3828" s="256" t="n"/>
      <c r="M3828" s="256" t="n"/>
      <c r="N3828" s="256" t="n"/>
      <c r="O3828" s="256" t="n"/>
      <c r="P3828" s="256" t="n"/>
      <c r="Q3828" s="256" t="n"/>
    </row>
    <row r="3829">
      <c r="A3829">
        <f>IF(DAY(D3829)=DAY($L$1+1),A3828+1,A3828)</f>
        <v/>
      </c>
      <c r="B3829" s="1">
        <f>IF(DAY(D3829)=DAY($L$1+1),1,B3828+1)</f>
        <v/>
      </c>
      <c r="C3829" s="1">
        <f>IF(DAY(D3829)=DAY($L$1+1),1,C3828+1)</f>
        <v/>
      </c>
      <c r="D3829" s="2">
        <f>D3828+1</f>
        <v/>
      </c>
      <c r="E3829" s="8">
        <f>IF(DAY(D3829)=DAY($L$1+1),TRUNC((#REF!),8),E3828)</f>
        <v/>
      </c>
      <c r="F3829" s="49">
        <f>TRUNC(((1+VLOOKUP(A3829,IPCA!$A$2:$C$140,3,0)))^(C3829/(EDATE(D3829-C3829,1)-(D3829-C3829))),8)</f>
        <v/>
      </c>
      <c r="G3829" s="4">
        <f>TRUNC((E3829*F3829),8)</f>
        <v/>
      </c>
      <c r="H3829" s="4">
        <f>ROUND(((1+$H$4)^(30/360))^(C3829/(EDATE(D3829-B3829,1)-(D3829-B3829))),9)</f>
        <v/>
      </c>
      <c r="I3829" s="49">
        <f>TRUNC((G3829*H3829-G3829),8)</f>
        <v/>
      </c>
      <c r="J3829" s="4">
        <f>G3829+I3829</f>
        <v/>
      </c>
      <c r="K3829" s="256" t="n"/>
      <c r="L3829" s="256" t="n"/>
      <c r="M3829" s="256" t="n"/>
      <c r="N3829" s="256" t="n"/>
      <c r="O3829" s="256" t="n"/>
      <c r="P3829" s="256" t="n"/>
      <c r="Q3829" s="256" t="n"/>
    </row>
    <row r="3830">
      <c r="A3830">
        <f>IF(DAY(D3830)=DAY($L$1+1),A3829+1,A3829)</f>
        <v/>
      </c>
      <c r="B3830" s="46">
        <f>IF(DAY(D3830)=DAY($L$1+1),1,B3829+1)</f>
        <v/>
      </c>
      <c r="C3830" s="46">
        <f>IF(DAY(D3830)=DAY($L$1+1),1,C3829+1)</f>
        <v/>
      </c>
      <c r="D3830" s="2">
        <f>D3829+1</f>
        <v/>
      </c>
      <c r="E3830" s="8">
        <f>IF(DAY(D3830)=DAY($L$1+1),TRUNC((#REF!),8),E3829)</f>
        <v/>
      </c>
      <c r="F3830" s="49">
        <f>TRUNC(((1+VLOOKUP(A3830,IPCA!$A$2:$C$140,3,0)))^(C3830/(EDATE(D3830-C3830,1)-(D3830-C3830))),8)</f>
        <v/>
      </c>
      <c r="G3830" s="4">
        <f>TRUNC((E3830*F3830),8)</f>
        <v/>
      </c>
      <c r="H3830" s="4">
        <f>ROUND(((1+$H$4)^(30/360))^(C3830/(EDATE(D3830-B3830,1)-(D3830-B3830))),9)</f>
        <v/>
      </c>
      <c r="I3830" s="49">
        <f>TRUNC((G3830*H3830-G3830),8)</f>
        <v/>
      </c>
      <c r="J3830" s="4">
        <f>G3830+I3830</f>
        <v/>
      </c>
      <c r="K3830" s="256" t="n"/>
      <c r="L3830" s="256" t="n"/>
      <c r="M3830" s="256" t="n"/>
      <c r="N3830" s="256" t="n"/>
      <c r="O3830" s="256" t="n"/>
      <c r="P3830" s="256" t="n"/>
      <c r="Q3830" s="256" t="n"/>
    </row>
    <row r="3831">
      <c r="A3831">
        <f>IF(DAY(D3831)=DAY($L$1+1),A3830+1,A3830)</f>
        <v/>
      </c>
      <c r="B3831" s="1">
        <f>IF(DAY(D3831)=DAY($L$1+1),1,B3830+1)</f>
        <v/>
      </c>
      <c r="C3831" s="1">
        <f>IF(DAY(D3831)=DAY($L$1+1),1,C3830+1)</f>
        <v/>
      </c>
      <c r="D3831" s="2">
        <f>D3830+1</f>
        <v/>
      </c>
      <c r="E3831" s="8">
        <f>IF(DAY(D3831)=DAY($L$1+1),TRUNC((#REF!),8),E3830)</f>
        <v/>
      </c>
      <c r="F3831" s="49">
        <f>TRUNC(((1+VLOOKUP(A3831,IPCA!$A$2:$C$140,3,0)))^(C3831/(EDATE(D3831-C3831,1)-(D3831-C3831))),8)</f>
        <v/>
      </c>
      <c r="G3831" s="4">
        <f>TRUNC((E3831*F3831),8)</f>
        <v/>
      </c>
      <c r="H3831" s="4">
        <f>ROUND(((1+$H$4)^(30/360))^(C3831/(EDATE(D3831-B3831,1)-(D3831-B3831))),9)</f>
        <v/>
      </c>
      <c r="I3831" s="49">
        <f>TRUNC((G3831*H3831-G3831),8)</f>
        <v/>
      </c>
      <c r="J3831" s="4">
        <f>G3831+I3831</f>
        <v/>
      </c>
      <c r="K3831" s="256" t="n"/>
      <c r="L3831" s="256" t="n"/>
      <c r="M3831" s="256" t="n"/>
      <c r="N3831" s="256" t="n"/>
      <c r="O3831" s="256" t="n"/>
      <c r="P3831" s="256" t="n"/>
      <c r="Q3831" s="256" t="n"/>
    </row>
    <row r="3832">
      <c r="A3832">
        <f>IF(DAY(D3832)=DAY($L$1+1),A3831+1,A3831)</f>
        <v/>
      </c>
      <c r="B3832" s="46">
        <f>IF(DAY(D3832)=DAY($L$1+1),1,B3831+1)</f>
        <v/>
      </c>
      <c r="C3832" s="46">
        <f>IF(DAY(D3832)=DAY($L$1+1),1,C3831+1)</f>
        <v/>
      </c>
      <c r="D3832" s="2">
        <f>D3831+1</f>
        <v/>
      </c>
      <c r="E3832" s="8">
        <f>IF(DAY(D3832)=DAY($L$1+1),TRUNC((#REF!),8),E3831)</f>
        <v/>
      </c>
      <c r="F3832" s="49">
        <f>TRUNC(((1+VLOOKUP(A3832,IPCA!$A$2:$C$140,3,0)))^(C3832/(EDATE(D3832-C3832,1)-(D3832-C3832))),8)</f>
        <v/>
      </c>
      <c r="G3832" s="4">
        <f>TRUNC((E3832*F3832),8)</f>
        <v/>
      </c>
      <c r="H3832" s="4">
        <f>ROUND(((1+$H$4)^(30/360))^(C3832/(EDATE(D3832-B3832,1)-(D3832-B3832))),9)</f>
        <v/>
      </c>
      <c r="I3832" s="49">
        <f>TRUNC((G3832*H3832-G3832),8)</f>
        <v/>
      </c>
      <c r="J3832" s="4">
        <f>G3832+I3832</f>
        <v/>
      </c>
      <c r="K3832" s="256" t="n"/>
      <c r="L3832" s="256" t="n"/>
      <c r="M3832" s="256" t="n"/>
      <c r="N3832" s="256" t="n"/>
      <c r="O3832" s="256" t="n"/>
      <c r="P3832" s="256" t="n"/>
      <c r="Q3832" s="256" t="n"/>
    </row>
    <row r="3833">
      <c r="A3833">
        <f>IF(DAY(D3833)=DAY($L$1+1),A3832+1,A3832)</f>
        <v/>
      </c>
      <c r="B3833" s="1">
        <f>IF(DAY(D3833)=DAY($L$1+1),1,B3832+1)</f>
        <v/>
      </c>
      <c r="C3833" s="1">
        <f>IF(DAY(D3833)=DAY($L$1+1),1,C3832+1)</f>
        <v/>
      </c>
      <c r="D3833" s="2">
        <f>D3832+1</f>
        <v/>
      </c>
      <c r="E3833" s="8">
        <f>IF(DAY(D3833)=DAY($L$1+1),TRUNC((#REF!),8),E3832)</f>
        <v/>
      </c>
      <c r="F3833" s="49">
        <f>TRUNC(((1+VLOOKUP(A3833,IPCA!$A$2:$C$140,3,0)))^(C3833/(EDATE(D3833-C3833,1)-(D3833-C3833))),8)</f>
        <v/>
      </c>
      <c r="G3833" s="4">
        <f>TRUNC((E3833*F3833),8)</f>
        <v/>
      </c>
      <c r="H3833" s="4">
        <f>ROUND(((1+$H$4)^(30/360))^(C3833/(EDATE(D3833-B3833,1)-(D3833-B3833))),9)</f>
        <v/>
      </c>
      <c r="I3833" s="49">
        <f>TRUNC((G3833*H3833-G3833),8)</f>
        <v/>
      </c>
      <c r="J3833" s="4">
        <f>G3833+I3833</f>
        <v/>
      </c>
      <c r="K3833" s="256" t="n"/>
      <c r="L3833" s="256" t="n"/>
      <c r="M3833" s="256" t="n"/>
      <c r="N3833" s="256" t="n"/>
      <c r="O3833" s="256" t="n"/>
      <c r="P3833" s="256" t="n"/>
      <c r="Q3833" s="256" t="n"/>
    </row>
    <row r="3834">
      <c r="A3834">
        <f>IF(DAY(D3834)=DAY($L$1+1),A3833+1,A3833)</f>
        <v/>
      </c>
      <c r="B3834" s="46">
        <f>IF(DAY(D3834)=DAY($L$1+1),1,B3833+1)</f>
        <v/>
      </c>
      <c r="C3834" s="46">
        <f>IF(DAY(D3834)=DAY($L$1+1),1,C3833+1)</f>
        <v/>
      </c>
      <c r="D3834" s="2">
        <f>D3833+1</f>
        <v/>
      </c>
      <c r="E3834" s="8">
        <f>IF(DAY(D3834)=DAY($L$1+1),TRUNC((#REF!),8),E3833)</f>
        <v/>
      </c>
      <c r="F3834" s="49">
        <f>TRUNC(((1+VLOOKUP(A3834,IPCA!$A$2:$C$140,3,0)))^(C3834/(EDATE(D3834-C3834,1)-(D3834-C3834))),8)</f>
        <v/>
      </c>
      <c r="G3834" s="4">
        <f>TRUNC((E3834*F3834),8)</f>
        <v/>
      </c>
      <c r="H3834" s="4">
        <f>ROUND(((1+$H$4)^(30/360))^(C3834/(EDATE(D3834-B3834,1)-(D3834-B3834))),9)</f>
        <v/>
      </c>
      <c r="I3834" s="49">
        <f>TRUNC((G3834*H3834-G3834),8)</f>
        <v/>
      </c>
      <c r="J3834" s="4">
        <f>G3834+I3834</f>
        <v/>
      </c>
      <c r="K3834" s="256" t="n"/>
      <c r="L3834" s="256" t="n"/>
      <c r="M3834" s="256" t="n"/>
      <c r="N3834" s="256" t="n"/>
      <c r="O3834" s="256" t="n"/>
      <c r="P3834" s="256" t="n"/>
      <c r="Q3834" s="256" t="n"/>
    </row>
    <row r="3835">
      <c r="A3835">
        <f>IF(DAY(D3835)=DAY($L$1+1),A3834+1,A3834)</f>
        <v/>
      </c>
      <c r="B3835" s="1">
        <f>IF(DAY(D3835)=DAY($L$1+1),1,B3834+1)</f>
        <v/>
      </c>
      <c r="C3835" s="1">
        <f>IF(DAY(D3835)=DAY($L$1+1),1,C3834+1)</f>
        <v/>
      </c>
      <c r="D3835" s="2">
        <f>D3834+1</f>
        <v/>
      </c>
      <c r="E3835" s="8">
        <f>IF(DAY(D3835)=DAY($L$1+1),TRUNC((#REF!),8),E3834)</f>
        <v/>
      </c>
      <c r="F3835" s="49">
        <f>TRUNC(((1+VLOOKUP(A3835,IPCA!$A$2:$C$140,3,0)))^(C3835/(EDATE(D3835-C3835,1)-(D3835-C3835))),8)</f>
        <v/>
      </c>
      <c r="G3835" s="4">
        <f>TRUNC((E3835*F3835),8)</f>
        <v/>
      </c>
      <c r="H3835" s="4">
        <f>ROUND(((1+$H$4)^(30/360))^(C3835/(EDATE(D3835-B3835,1)-(D3835-B3835))),9)</f>
        <v/>
      </c>
      <c r="I3835" s="49">
        <f>TRUNC((G3835*H3835-G3835),8)</f>
        <v/>
      </c>
      <c r="J3835" s="4">
        <f>G3835+I3835</f>
        <v/>
      </c>
      <c r="K3835" s="256" t="n"/>
      <c r="L3835" s="256" t="n"/>
      <c r="M3835" s="256" t="n"/>
      <c r="N3835" s="256" t="n"/>
      <c r="O3835" s="256" t="n"/>
      <c r="P3835" s="256" t="n"/>
      <c r="Q3835" s="256" t="n"/>
    </row>
    <row r="3836">
      <c r="A3836">
        <f>IF(DAY(D3836)=DAY($L$1+1),A3835+1,A3835)</f>
        <v/>
      </c>
      <c r="B3836" s="46">
        <f>IF(DAY(D3836)=DAY($L$1+1),1,B3835+1)</f>
        <v/>
      </c>
      <c r="C3836" s="46">
        <f>IF(DAY(D3836)=DAY($L$1+1),1,C3835+1)</f>
        <v/>
      </c>
      <c r="D3836" s="2">
        <f>D3835+1</f>
        <v/>
      </c>
      <c r="E3836" s="8">
        <f>IF(DAY(D3836)=DAY($L$1+1),TRUNC((N3835),8),E3835)</f>
        <v/>
      </c>
      <c r="F3836" s="49">
        <f>TRUNC(((1+VLOOKUP(A3836,IPCA!$A$2:$C$140,3,0)))^(C3836/(EDATE(D3836-C3836,1)-(D3836-C3836))),8)</f>
        <v/>
      </c>
      <c r="G3836" s="4">
        <f>TRUNC((E3836*F3836),8)</f>
        <v/>
      </c>
      <c r="H3836" s="4">
        <f>ROUND(((1+$H$4)^(30/360))^(C3836/(EDATE(D3836-B3836,1)-(D3836-B3836))),9)</f>
        <v/>
      </c>
      <c r="I3836" s="49">
        <f>TRUNC((G3836*H3836-G3836),8)</f>
        <v/>
      </c>
      <c r="J3836" s="4">
        <f>G3836+I3836</f>
        <v/>
      </c>
      <c r="K3836" s="256" t="n"/>
      <c r="L3836" s="256" t="n"/>
      <c r="M3836" s="256" t="n"/>
      <c r="N3836" s="256" t="n"/>
      <c r="O3836" s="256" t="n"/>
      <c r="P3836" s="256" t="n"/>
      <c r="Q3836" s="256" t="n"/>
    </row>
    <row r="3837">
      <c r="A3837">
        <f>IF(DAY(D3837)=DAY($L$1+1),A3836+1,A3836)</f>
        <v/>
      </c>
      <c r="B3837" s="1">
        <f>IF(DAY(D3837)=DAY($L$1+1),1,B3836+1)</f>
        <v/>
      </c>
      <c r="C3837" s="1">
        <f>IF(DAY(D3837)=DAY($L$1+1),1,C3836+1)</f>
        <v/>
      </c>
      <c r="D3837" s="2">
        <f>D3836+1</f>
        <v/>
      </c>
      <c r="E3837" s="8">
        <f>IF(DAY(D3837)=DAY($L$1+1),TRUNC((N3836),8),E3836)</f>
        <v/>
      </c>
      <c r="F3837" s="49">
        <f>TRUNC(((1+VLOOKUP(A3837,IPCA!$A$2:$C$140,3,0)))^(C3837/(EDATE(D3837-C3837,1)-(D3837-C3837))),8)</f>
        <v/>
      </c>
      <c r="G3837" s="4">
        <f>TRUNC((E3837*F3837),8)</f>
        <v/>
      </c>
      <c r="H3837" s="4">
        <f>ROUND(((1+$H$4)^(30/360))^(C3837/(EDATE(D3837-B3837,1)-(D3837-B3837))),9)</f>
        <v/>
      </c>
      <c r="I3837" s="49">
        <f>TRUNC((G3837*H3837-G3837),8)</f>
        <v/>
      </c>
      <c r="J3837" s="4">
        <f>G3837+I3837</f>
        <v/>
      </c>
      <c r="K3837" s="256" t="n"/>
      <c r="L3837" s="256" t="n"/>
      <c r="M3837" s="256" t="n"/>
      <c r="N3837" s="256" t="n"/>
      <c r="O3837" s="256" t="n"/>
      <c r="P3837" s="256" t="n"/>
      <c r="Q3837" s="256" t="n"/>
    </row>
    <row r="3838">
      <c r="A3838">
        <f>IF(DAY(D3838)=DAY($L$1+1),A3837+1,A3837)</f>
        <v/>
      </c>
      <c r="B3838" s="46">
        <f>IF(DAY(D3838)=DAY($L$1+1),1,B3837+1)</f>
        <v/>
      </c>
      <c r="C3838" s="46">
        <f>IF(DAY(D3838)=DAY($L$1+1),1,C3837+1)</f>
        <v/>
      </c>
      <c r="D3838" s="2">
        <f>D3837+1</f>
        <v/>
      </c>
      <c r="E3838" s="8">
        <f>IF(DAY(D3838)=DAY($L$1+1),TRUNC((N3837),8),E3837)</f>
        <v/>
      </c>
      <c r="F3838" s="49">
        <f>TRUNC(((1+VLOOKUP(A3838,IPCA!$A$2:$C$140,3,0)))^(C3838/(EDATE(D3838-C3838,1)-(D3838-C3838))),8)</f>
        <v/>
      </c>
      <c r="G3838" s="4">
        <f>TRUNC((E3838*F3838),8)</f>
        <v/>
      </c>
      <c r="H3838" s="4">
        <f>ROUND(((1+$H$4)^(30/360))^(C3838/(EDATE(D3838-B3838,1)-(D3838-B3838))),9)</f>
        <v/>
      </c>
      <c r="I3838" s="49">
        <f>TRUNC((G3838*H3838-G3838),8)</f>
        <v/>
      </c>
      <c r="J3838" s="4">
        <f>G3838+I3838</f>
        <v/>
      </c>
      <c r="K3838" s="256" t="n"/>
      <c r="L3838" s="256" t="n"/>
      <c r="M3838" s="256" t="n"/>
      <c r="N3838" s="256" t="n"/>
      <c r="O3838" s="256" t="n"/>
      <c r="P3838" s="256" t="n"/>
      <c r="Q3838" s="256" t="n"/>
    </row>
    <row r="3839">
      <c r="A3839">
        <f>IF(DAY(D3839)=DAY($L$1+1),A3838+1,A3838)</f>
        <v/>
      </c>
      <c r="B3839" s="1">
        <f>IF(DAY(D3839)=DAY($L$1+1),1,B3838+1)</f>
        <v/>
      </c>
      <c r="C3839" s="1">
        <f>IF(DAY(D3839)=DAY($L$1+1),1,C3838+1)</f>
        <v/>
      </c>
      <c r="D3839" s="2">
        <f>D3838+1</f>
        <v/>
      </c>
      <c r="E3839" s="8">
        <f>IF(DAY(D3839)=DAY($L$1+1),TRUNC((N3838),8),E3838)</f>
        <v/>
      </c>
      <c r="F3839" s="49">
        <f>TRUNC(((1+VLOOKUP(A3839,IPCA!$A$2:$C$140,3,0)))^(C3839/(EDATE(D3839-C3839,1)-(D3839-C3839))),8)</f>
        <v/>
      </c>
      <c r="G3839" s="4">
        <f>TRUNC((E3839*F3839),8)</f>
        <v/>
      </c>
      <c r="H3839" s="4">
        <f>ROUND(((1+$H$4)^(30/360))^(C3839/(EDATE(D3839-B3839,1)-(D3839-B3839))),9)</f>
        <v/>
      </c>
      <c r="I3839" s="49">
        <f>TRUNC((G3839*H3839-G3839),8)</f>
        <v/>
      </c>
      <c r="J3839" s="4">
        <f>G3839+I3839</f>
        <v/>
      </c>
      <c r="K3839" s="256" t="n"/>
      <c r="L3839" s="256" t="n"/>
      <c r="M3839" s="256" t="n"/>
      <c r="N3839" s="256" t="n"/>
      <c r="O3839" s="256" t="n"/>
      <c r="P3839" s="256" t="n"/>
      <c r="Q3839" s="256" t="n"/>
    </row>
    <row r="3840">
      <c r="A3840">
        <f>IF(DAY(D3840)=DAY($L$1+1),A3839+1,A3839)</f>
        <v/>
      </c>
      <c r="B3840" s="46">
        <f>IF(DAY(D3840)=DAY($L$1+1),1,B3839+1)</f>
        <v/>
      </c>
      <c r="C3840" s="46">
        <f>IF(DAY(D3840)=DAY($L$1+1),1,C3839+1)</f>
        <v/>
      </c>
      <c r="D3840" s="2">
        <f>D3839+1</f>
        <v/>
      </c>
      <c r="E3840" s="8">
        <f>IF(DAY(D3840)=DAY($L$1+1),TRUNC((N3839),8),E3839)</f>
        <v/>
      </c>
      <c r="F3840" s="49">
        <f>TRUNC(((1+VLOOKUP(A3840,IPCA!$A$2:$C$140,3,0)))^(C3840/(EDATE(D3840-C3840,1)-(D3840-C3840))),8)</f>
        <v/>
      </c>
      <c r="G3840" s="4">
        <f>TRUNC((E3840*F3840),8)</f>
        <v/>
      </c>
      <c r="H3840" s="4">
        <f>ROUND(((1+$H$4)^(30/360))^(C3840/(EDATE(D3840-B3840,1)-(D3840-B3840))),9)</f>
        <v/>
      </c>
      <c r="I3840" s="49">
        <f>TRUNC((G3840*H3840-G3840),8)</f>
        <v/>
      </c>
      <c r="J3840" s="4">
        <f>G3840+I3840</f>
        <v/>
      </c>
      <c r="K3840" s="256" t="n"/>
      <c r="L3840" s="256" t="n"/>
      <c r="M3840" s="256" t="n"/>
      <c r="N3840" s="256" t="n"/>
      <c r="O3840" s="256" t="n"/>
      <c r="P3840" s="256" t="n"/>
      <c r="Q3840" s="256" t="n"/>
    </row>
    <row r="3841">
      <c r="A3841">
        <f>IF(DAY(D3841)=DAY($L$1+1),A3840+1,A3840)</f>
        <v/>
      </c>
      <c r="B3841" s="1">
        <f>IF(DAY(D3841)=DAY($L$1+1),1,B3840+1)</f>
        <v/>
      </c>
      <c r="C3841" s="1">
        <f>IF(DAY(D3841)=DAY($L$1+1),1,C3840+1)</f>
        <v/>
      </c>
      <c r="D3841" s="2">
        <f>D3840+1</f>
        <v/>
      </c>
      <c r="E3841" s="8">
        <f>IF(DAY(D3841)=DAY($L$1+1),TRUNC((N3840),8),E3840)</f>
        <v/>
      </c>
      <c r="F3841" s="49">
        <f>TRUNC(((1+VLOOKUP(A3841,IPCA!$A$2:$C$140,3,0)))^(C3841/(EDATE(D3841-C3841,1)-(D3841-C3841))),8)</f>
        <v/>
      </c>
      <c r="G3841" s="4">
        <f>TRUNC((E3841*F3841),8)</f>
        <v/>
      </c>
      <c r="H3841" s="4">
        <f>ROUND(((1+$H$4)^(30/360))^(C3841/(EDATE(D3841-B3841,1)-(D3841-B3841))),9)</f>
        <v/>
      </c>
      <c r="I3841" s="49">
        <f>TRUNC((G3841*H3841-G3841),8)</f>
        <v/>
      </c>
      <c r="J3841" s="4">
        <f>G3841+I3841</f>
        <v/>
      </c>
      <c r="K3841" s="256" t="n"/>
      <c r="L3841" s="256" t="n"/>
      <c r="M3841" s="256" t="n"/>
      <c r="N3841" s="256" t="n"/>
      <c r="O3841" s="256" t="n"/>
      <c r="P3841" s="256" t="n"/>
      <c r="Q3841" s="256" t="n"/>
    </row>
    <row r="3842">
      <c r="A3842">
        <f>IF(DAY(D3842)=DAY($L$1+1),A3841+1,A3841)</f>
        <v/>
      </c>
      <c r="B3842" s="46">
        <f>IF(DAY(D3842)=DAY($L$1+1),1,B3841+1)</f>
        <v/>
      </c>
      <c r="C3842" s="46">
        <f>IF(DAY(D3842)=DAY($L$1+1),1,C3841+1)</f>
        <v/>
      </c>
      <c r="D3842" s="2">
        <f>D3841+1</f>
        <v/>
      </c>
      <c r="E3842" s="8">
        <f>IF(DAY(D3842)=DAY($L$1+1),TRUNC((N3841),8),E3841)</f>
        <v/>
      </c>
      <c r="F3842" s="49">
        <f>TRUNC(((1+VLOOKUP(A3842,IPCA!$A$2:$C$140,3,0)))^(C3842/(EDATE(D3842-C3842,1)-(D3842-C3842))),8)</f>
        <v/>
      </c>
      <c r="G3842" s="4">
        <f>TRUNC((E3842*F3842),8)</f>
        <v/>
      </c>
      <c r="H3842" s="4">
        <f>ROUND(((1+$H$4)^(30/360))^(C3842/(EDATE(D3842-B3842,1)-(D3842-B3842))),9)</f>
        <v/>
      </c>
      <c r="I3842" s="49">
        <f>TRUNC((G3842*H3842-G3842),8)</f>
        <v/>
      </c>
      <c r="J3842" s="4">
        <f>G3842+I3842</f>
        <v/>
      </c>
      <c r="K3842" s="256" t="n"/>
      <c r="L3842" s="256" t="n"/>
      <c r="M3842" s="256" t="n"/>
      <c r="N3842" s="256" t="n"/>
      <c r="O3842" s="256" t="n"/>
      <c r="P3842" s="256" t="n"/>
      <c r="Q3842" s="256" t="n"/>
    </row>
    <row r="3843">
      <c r="A3843">
        <f>IF(DAY(D3843)=DAY($L$1+1),A3842+1,A3842)</f>
        <v/>
      </c>
      <c r="B3843" s="1">
        <f>IF(DAY(D3843)=DAY($L$1+1),1,B3842+1)</f>
        <v/>
      </c>
      <c r="C3843" s="1">
        <f>IF(DAY(D3843)=DAY($L$1+1),1,C3842+1)</f>
        <v/>
      </c>
      <c r="D3843" s="2">
        <f>D3842+1</f>
        <v/>
      </c>
      <c r="E3843" s="8">
        <f>IF(DAY(D3843)=DAY($L$1+1),TRUNC((N3842),8),E3842)</f>
        <v/>
      </c>
      <c r="F3843" s="49">
        <f>TRUNC(((1+VLOOKUP(A3843,IPCA!$A$2:$C$140,3,0)))^(C3843/(EDATE(D3843-C3843,1)-(D3843-C3843))),8)</f>
        <v/>
      </c>
      <c r="G3843" s="4">
        <f>TRUNC((E3843*F3843),8)</f>
        <v/>
      </c>
      <c r="H3843" s="4">
        <f>ROUND(((1+$H$4)^(30/360))^(C3843/(EDATE(D3843-B3843,1)-(D3843-B3843))),9)</f>
        <v/>
      </c>
      <c r="I3843" s="49">
        <f>TRUNC((G3843*H3843-G3843),8)</f>
        <v/>
      </c>
      <c r="J3843" s="4">
        <f>G3843+I3843</f>
        <v/>
      </c>
      <c r="K3843" s="256" t="n"/>
      <c r="L3843" s="256" t="n"/>
      <c r="M3843" s="256" t="n"/>
      <c r="N3843" s="256" t="n"/>
      <c r="O3843" s="256" t="n"/>
      <c r="P3843" s="256" t="n"/>
      <c r="Q3843" s="256" t="n"/>
    </row>
    <row r="3844">
      <c r="A3844">
        <f>IF(DAY(D3844)=DAY($L$1+1),A3843+1,A3843)</f>
        <v/>
      </c>
      <c r="B3844" s="46">
        <f>IF(DAY(D3844)=DAY($L$1+1),1,B3843+1)</f>
        <v/>
      </c>
      <c r="C3844" s="46">
        <f>IF(DAY(D3844)=DAY($L$1+1),1,C3843+1)</f>
        <v/>
      </c>
      <c r="D3844" s="2">
        <f>D3843+1</f>
        <v/>
      </c>
      <c r="E3844" s="8">
        <f>IF(DAY(D3844)=DAY($L$1+1),TRUNC((N3843),8),E3843)</f>
        <v/>
      </c>
      <c r="F3844" s="49">
        <f>TRUNC(((1+VLOOKUP(A3844,IPCA!$A$2:$C$140,3,0)))^(C3844/(EDATE(D3844-C3844,1)-(D3844-C3844))),8)</f>
        <v/>
      </c>
      <c r="G3844" s="4">
        <f>TRUNC((E3844*F3844),8)</f>
        <v/>
      </c>
      <c r="H3844" s="4">
        <f>ROUND(((1+$H$4)^(30/360))^(C3844/(EDATE(D3844-B3844,1)-(D3844-B3844))),9)</f>
        <v/>
      </c>
      <c r="I3844" s="49">
        <f>TRUNC((G3844*H3844-G3844),8)</f>
        <v/>
      </c>
      <c r="J3844" s="4">
        <f>G3844+I3844</f>
        <v/>
      </c>
      <c r="K3844" s="256" t="n"/>
      <c r="L3844" s="256" t="n"/>
      <c r="M3844" s="256" t="n"/>
      <c r="N3844" s="256" t="n"/>
      <c r="O3844" s="256" t="n"/>
      <c r="P3844" s="256" t="n"/>
      <c r="Q3844" s="256" t="n"/>
    </row>
    <row r="3845">
      <c r="A3845">
        <f>IF(DAY(D3845)=DAY($L$1+1),A3844+1,A3844)</f>
        <v/>
      </c>
      <c r="B3845" s="1">
        <f>IF(DAY(D3845)=DAY($L$1+1),1,B3844+1)</f>
        <v/>
      </c>
      <c r="C3845" s="1">
        <f>IF(DAY(D3845)=DAY($L$1+1),1,C3844+1)</f>
        <v/>
      </c>
      <c r="D3845" s="2">
        <f>D3844+1</f>
        <v/>
      </c>
      <c r="E3845" s="8">
        <f>IF(DAY(D3845)=DAY($L$1+1),TRUNC((N3844),8),E3844)</f>
        <v/>
      </c>
      <c r="F3845" s="49">
        <f>TRUNC(((1+VLOOKUP(A3845,IPCA!$A$2:$C$140,3,0)))^(C3845/(EDATE(D3845-C3845,1)-(D3845-C3845))),8)</f>
        <v/>
      </c>
      <c r="G3845" s="4">
        <f>TRUNC((E3845*F3845),8)</f>
        <v/>
      </c>
      <c r="H3845" s="4">
        <f>ROUND(((1+$H$4)^(30/360))^(C3845/(EDATE(D3845-B3845,1)-(D3845-B3845))),9)</f>
        <v/>
      </c>
      <c r="I3845" s="49">
        <f>TRUNC((G3845*H3845-G3845),8)</f>
        <v/>
      </c>
      <c r="J3845" s="4">
        <f>G3845+I3845</f>
        <v/>
      </c>
      <c r="K3845" s="256" t="n"/>
      <c r="L3845" s="256" t="n"/>
      <c r="M3845" s="256" t="n"/>
      <c r="N3845" s="256" t="n"/>
      <c r="O3845" s="256" t="n"/>
      <c r="P3845" s="256" t="n"/>
      <c r="Q3845" s="256" t="n"/>
    </row>
    <row r="3846">
      <c r="A3846">
        <f>IF(DAY(D3846)=DAY($L$1+1),A3845+1,A3845)</f>
        <v/>
      </c>
      <c r="B3846" s="46">
        <f>IF(DAY(D3846)=DAY($L$1+1),1,B3845+1)</f>
        <v/>
      </c>
      <c r="C3846" s="46">
        <f>IF(DAY(D3846)=DAY($L$1+1),1,C3845+1)</f>
        <v/>
      </c>
      <c r="D3846" s="2">
        <f>D3845+1</f>
        <v/>
      </c>
      <c r="E3846" s="8">
        <f>IF(DAY(D3846)=DAY($L$1+1),TRUNC((N3845),8),E3845)</f>
        <v/>
      </c>
      <c r="F3846" s="49">
        <f>TRUNC(((1+VLOOKUP(A3846,IPCA!$A$2:$C$140,3,0)))^(C3846/(EDATE(D3846-C3846,1)-(D3846-C3846))),8)</f>
        <v/>
      </c>
      <c r="G3846" s="4">
        <f>TRUNC((E3846*F3846),8)</f>
        <v/>
      </c>
      <c r="H3846" s="4">
        <f>ROUND(((1+$H$4)^(30/360))^(C3846/(EDATE(D3846-B3846,1)-(D3846-B3846))),9)</f>
        <v/>
      </c>
      <c r="I3846" s="49">
        <f>TRUNC((G3846*H3846-G3846),8)</f>
        <v/>
      </c>
      <c r="J3846" s="4">
        <f>G3846+I3846</f>
        <v/>
      </c>
      <c r="K3846" s="256" t="n"/>
      <c r="L3846" s="256" t="n"/>
      <c r="M3846" s="256" t="n"/>
      <c r="N3846" s="256" t="n"/>
      <c r="O3846" s="256" t="n"/>
      <c r="P3846" s="256" t="n"/>
      <c r="Q3846" s="256" t="n"/>
    </row>
    <row r="3847">
      <c r="A3847">
        <f>IF(DAY(D3847)=DAY($L$1+1),A3846+1,A3846)</f>
        <v/>
      </c>
      <c r="B3847" s="1">
        <f>IF(DAY(D3847)=DAY($L$1+1),1,B3846+1)</f>
        <v/>
      </c>
      <c r="C3847" s="1">
        <f>IF(DAY(D3847)=DAY($L$1+1),1,C3846+1)</f>
        <v/>
      </c>
      <c r="D3847" s="2">
        <f>D3846+1</f>
        <v/>
      </c>
      <c r="E3847" s="8">
        <f>IF(DAY(D3847)=DAY($L$1+1),TRUNC((N3846),8),E3846)</f>
        <v/>
      </c>
      <c r="F3847" s="49">
        <f>TRUNC(((1+VLOOKUP(A3847,IPCA!$A$2:$C$140,3,0)))^(C3847/(EDATE(D3847-C3847,1)-(D3847-C3847))),8)</f>
        <v/>
      </c>
      <c r="G3847" s="4">
        <f>TRUNC((E3847*F3847),8)</f>
        <v/>
      </c>
      <c r="H3847" s="4">
        <f>ROUND(((1+$H$4)^(30/360))^(C3847/(EDATE(D3847-B3847,1)-(D3847-B3847))),9)</f>
        <v/>
      </c>
      <c r="I3847" s="49">
        <f>TRUNC((G3847*H3847-G3847),8)</f>
        <v/>
      </c>
      <c r="J3847" s="4">
        <f>G3847+I3847</f>
        <v/>
      </c>
      <c r="K3847" s="256" t="n"/>
      <c r="L3847" s="256" t="n"/>
      <c r="M3847" s="256" t="n"/>
      <c r="N3847" s="256" t="n"/>
      <c r="O3847" s="256" t="n"/>
      <c r="P3847" s="256" t="n"/>
      <c r="Q3847" s="256" t="n"/>
    </row>
    <row r="3848">
      <c r="A3848">
        <f>IF(DAY(D3848)=DAY($L$1+1),A3847+1,A3847)</f>
        <v/>
      </c>
      <c r="B3848" s="46">
        <f>IF(DAY(D3848)=DAY($L$1+1),1,B3847+1)</f>
        <v/>
      </c>
      <c r="C3848" s="46">
        <f>IF(DAY(D3848)=DAY($L$1+1),1,C3847+1)</f>
        <v/>
      </c>
      <c r="D3848" s="2">
        <f>D3847+1</f>
        <v/>
      </c>
      <c r="E3848" s="8">
        <f>IF(DAY(D3848)=DAY($L$1+1),TRUNC((N3847),8),E3847)</f>
        <v/>
      </c>
      <c r="F3848" s="49">
        <f>TRUNC(((1+VLOOKUP(A3848,IPCA!$A$2:$C$140,3,0)))^(C3848/(EDATE(D3848-C3848,1)-(D3848-C3848))),8)</f>
        <v/>
      </c>
      <c r="G3848" s="4">
        <f>TRUNC((E3848*F3848),8)</f>
        <v/>
      </c>
      <c r="H3848" s="4">
        <f>ROUND(((1+$H$4)^(30/360))^(C3848/(EDATE(D3848-B3848,1)-(D3848-B3848))),9)</f>
        <v/>
      </c>
      <c r="I3848" s="49">
        <f>TRUNC((G3848*H3848-G3848),8)</f>
        <v/>
      </c>
      <c r="J3848" s="4">
        <f>G3848+I3848</f>
        <v/>
      </c>
      <c r="K3848" s="256" t="n"/>
      <c r="L3848" s="256" t="n"/>
      <c r="M3848" s="256" t="n"/>
      <c r="N3848" s="256" t="n"/>
      <c r="O3848" s="256" t="n"/>
      <c r="P3848" s="256" t="n"/>
      <c r="Q3848" s="256" t="n"/>
    </row>
    <row r="3849">
      <c r="A3849">
        <f>IF(DAY(D3849)=DAY($L$1+1),A3848+1,A3848)</f>
        <v/>
      </c>
      <c r="B3849" s="1">
        <f>IF(DAY(D3849)=DAY($L$1+1),1,B3848+1)</f>
        <v/>
      </c>
      <c r="C3849" s="1">
        <f>IF(DAY(D3849)=DAY($L$1+1),1,C3848+1)</f>
        <v/>
      </c>
      <c r="D3849" s="2">
        <f>D3848+1</f>
        <v/>
      </c>
      <c r="E3849" s="8">
        <f>IF(DAY(D3849)=DAY($L$1+1),TRUNC((N3848),8),E3848)</f>
        <v/>
      </c>
      <c r="F3849" s="49">
        <f>TRUNC(((1+VLOOKUP(A3849,IPCA!$A$2:$C$140,3,0)))^(C3849/(EDATE(D3849-C3849,1)-(D3849-C3849))),8)</f>
        <v/>
      </c>
      <c r="G3849" s="4">
        <f>TRUNC((E3849*F3849),8)</f>
        <v/>
      </c>
      <c r="H3849" s="4">
        <f>ROUND(((1+$H$4)^(30/360))^(C3849/(EDATE(D3849-B3849,1)-(D3849-B3849))),9)</f>
        <v/>
      </c>
      <c r="I3849" s="49">
        <f>TRUNC((G3849*H3849-G3849),8)</f>
        <v/>
      </c>
      <c r="J3849" s="4">
        <f>G3849+I3849</f>
        <v/>
      </c>
      <c r="K3849" s="256" t="n"/>
      <c r="L3849" s="256" t="n"/>
      <c r="M3849" s="256" t="n"/>
      <c r="N3849" s="256" t="n"/>
      <c r="O3849" s="256" t="n"/>
      <c r="P3849" s="256" t="n"/>
      <c r="Q3849" s="256" t="n"/>
    </row>
    <row r="3850">
      <c r="A3850">
        <f>IF(DAY(D3850)=DAY($L$1+1),A3849+1,A3849)</f>
        <v/>
      </c>
      <c r="B3850" s="46">
        <f>IF(DAY(D3850)=DAY($L$1+1),1,B3849+1)</f>
        <v/>
      </c>
      <c r="C3850" s="46">
        <f>IF(DAY(D3850)=DAY($L$1+1),1,C3849+1)</f>
        <v/>
      </c>
      <c r="D3850" s="2">
        <f>D3849+1</f>
        <v/>
      </c>
      <c r="E3850" s="8">
        <f>IF(DAY(D3850)=DAY($L$1+1),TRUNC((N3849),8),E3849)</f>
        <v/>
      </c>
      <c r="F3850" s="49">
        <f>TRUNC(((1+VLOOKUP(A3850,IPCA!$A$2:$C$140,3,0)))^(C3850/(EDATE(D3850-C3850,1)-(D3850-C3850))),8)</f>
        <v/>
      </c>
      <c r="G3850" s="4">
        <f>TRUNC((E3850*F3850),8)</f>
        <v/>
      </c>
      <c r="H3850" s="4">
        <f>ROUND(((1+$H$4)^(30/360))^(C3850/(EDATE(D3850-B3850,1)-(D3850-B3850))),9)</f>
        <v/>
      </c>
      <c r="I3850" s="49">
        <f>TRUNC((G3850*H3850-G3850),8)</f>
        <v/>
      </c>
      <c r="J3850" s="4">
        <f>G3850+I3850</f>
        <v/>
      </c>
      <c r="K3850" s="256" t="n"/>
      <c r="L3850" s="256" t="n"/>
      <c r="M3850" s="256" t="n"/>
      <c r="N3850" s="256" t="n"/>
      <c r="O3850" s="256" t="n"/>
      <c r="P3850" s="256" t="n"/>
      <c r="Q3850" s="256" t="n"/>
    </row>
    <row r="3851">
      <c r="A3851">
        <f>IF(DAY(D3851)=DAY($L$1+1),A3850+1,A3850)</f>
        <v/>
      </c>
      <c r="B3851" s="1">
        <f>IF(DAY(D3851)=DAY($L$1+1),1,B3850+1)</f>
        <v/>
      </c>
      <c r="C3851" s="1">
        <f>IF(DAY(D3851)=DAY($L$1+1),1,C3850+1)</f>
        <v/>
      </c>
      <c r="D3851" s="2">
        <f>D3850+1</f>
        <v/>
      </c>
      <c r="E3851" s="8">
        <f>IF(DAY(D3851)=DAY($L$1+1),TRUNC((N3850),8),E3850)</f>
        <v/>
      </c>
      <c r="F3851" s="49">
        <f>TRUNC(((1+VLOOKUP(A3851,IPCA!$A$2:$C$140,3,0)))^(C3851/(EDATE(D3851-C3851,1)-(D3851-C3851))),8)</f>
        <v/>
      </c>
      <c r="G3851" s="4">
        <f>TRUNC((E3851*F3851),8)</f>
        <v/>
      </c>
      <c r="H3851" s="4">
        <f>ROUND(((1+$H$4)^(30/360))^(C3851/(EDATE(D3851-B3851,1)-(D3851-B3851))),9)</f>
        <v/>
      </c>
      <c r="I3851" s="49">
        <f>TRUNC((G3851*H3851-G3851),8)</f>
        <v/>
      </c>
      <c r="J3851" s="4">
        <f>G3851+I3851</f>
        <v/>
      </c>
      <c r="K3851" s="256" t="n"/>
      <c r="L3851" s="256" t="n"/>
      <c r="M3851" s="256" t="n"/>
      <c r="N3851" s="256" t="n"/>
      <c r="O3851" s="256" t="n"/>
      <c r="P3851" s="256" t="n"/>
      <c r="Q3851" s="256" t="n"/>
    </row>
    <row r="3852">
      <c r="A3852">
        <f>IF(DAY(D3852)=DAY($L$1+1),A3851+1,A3851)</f>
        <v/>
      </c>
      <c r="B3852" s="46">
        <f>IF(DAY(D3852)=DAY($L$1+1),1,B3851+1)</f>
        <v/>
      </c>
      <c r="C3852" s="46">
        <f>IF(DAY(D3852)=DAY($L$1+1),1,C3851+1)</f>
        <v/>
      </c>
      <c r="D3852" s="2">
        <f>D3851+1</f>
        <v/>
      </c>
      <c r="E3852" s="8">
        <f>IF(DAY(D3852)=DAY($L$1+1),TRUNC((N3851),8),E3851)</f>
        <v/>
      </c>
      <c r="F3852" s="49">
        <f>TRUNC(((1+VLOOKUP(A3852,IPCA!$A$2:$C$140,3,0)))^(C3852/(EDATE(D3852-C3852,1)-(D3852-C3852))),8)</f>
        <v/>
      </c>
      <c r="G3852" s="4">
        <f>TRUNC((E3852*F3852),8)</f>
        <v/>
      </c>
      <c r="H3852" s="4">
        <f>ROUND(((1+$H$4)^(30/360))^(C3852/(EDATE(D3852-B3852,1)-(D3852-B3852))),9)</f>
        <v/>
      </c>
      <c r="I3852" s="49">
        <f>TRUNC((G3852*H3852-G3852),8)</f>
        <v/>
      </c>
      <c r="J3852" s="4">
        <f>G3852+I3852</f>
        <v/>
      </c>
      <c r="K3852" s="256" t="n"/>
      <c r="L3852" s="256" t="n"/>
      <c r="M3852" s="256" t="n"/>
      <c r="N3852" s="256" t="n"/>
      <c r="O3852" s="256" t="n"/>
      <c r="P3852" s="256" t="n"/>
      <c r="Q3852" s="256" t="n"/>
    </row>
    <row r="3853">
      <c r="A3853">
        <f>IF(DAY(D3853)=DAY($L$1+1),A3852+1,A3852)</f>
        <v/>
      </c>
      <c r="B3853" s="1">
        <f>IF(DAY(D3853)=DAY($L$1+1),1,B3852+1)</f>
        <v/>
      </c>
      <c r="C3853" s="1">
        <f>IF(DAY(D3853)=DAY($L$1+1),1,C3852+1)</f>
        <v/>
      </c>
      <c r="D3853" s="2">
        <f>D3852+1</f>
        <v/>
      </c>
      <c r="E3853" s="8">
        <f>IF(DAY(D3853)=DAY($L$1+1),TRUNC((N3852),8),E3852)</f>
        <v/>
      </c>
      <c r="F3853" s="49">
        <f>TRUNC(((1+VLOOKUP(A3853,IPCA!$A$2:$C$140,3,0)))^(C3853/(EDATE(D3853-C3853,1)-(D3853-C3853))),8)</f>
        <v/>
      </c>
      <c r="G3853" s="4">
        <f>TRUNC((E3853*F3853),8)</f>
        <v/>
      </c>
      <c r="H3853" s="4">
        <f>ROUND(((1+$H$4)^(30/360))^(C3853/(EDATE(D3853-B3853,1)-(D3853-B3853))),9)</f>
        <v/>
      </c>
      <c r="I3853" s="49">
        <f>TRUNC((G3853*H3853-G3853),8)</f>
        <v/>
      </c>
      <c r="J3853" s="4">
        <f>G3853+I3853</f>
        <v/>
      </c>
      <c r="K3853" s="256" t="n"/>
      <c r="L3853" s="256" t="n"/>
      <c r="M3853" s="256" t="n"/>
      <c r="N3853" s="256" t="n"/>
      <c r="O3853" s="256" t="n"/>
      <c r="P3853" s="256" t="n"/>
      <c r="Q3853" s="256" t="n"/>
    </row>
    <row r="3854">
      <c r="A3854">
        <f>IF(DAY(D3854)=DAY($L$1+1),A3853+1,A3853)</f>
        <v/>
      </c>
      <c r="B3854" s="46">
        <f>IF(DAY(D3854)=DAY($L$1+1),1,B3853+1)</f>
        <v/>
      </c>
      <c r="C3854" s="46">
        <f>IF(DAY(D3854)=DAY($L$1+1),1,C3853+1)</f>
        <v/>
      </c>
      <c r="D3854" s="2">
        <f>D3853+1</f>
        <v/>
      </c>
      <c r="E3854" s="8">
        <f>IF(DAY(D3854)=DAY($L$1+1),TRUNC((N3853),8),E3853)</f>
        <v/>
      </c>
      <c r="F3854" s="49">
        <f>TRUNC(((1+VLOOKUP(A3854,IPCA!$A$2:$C$140,3,0)))^(C3854/(EDATE(D3854-C3854,1)-(D3854-C3854))),8)</f>
        <v/>
      </c>
      <c r="G3854" s="4">
        <f>TRUNC((E3854*F3854),8)</f>
        <v/>
      </c>
      <c r="H3854" s="4">
        <f>ROUND(((1+$H$4)^(30/360))^(C3854/(EDATE(D3854-B3854,1)-(D3854-B3854))),9)</f>
        <v/>
      </c>
      <c r="I3854" s="49">
        <f>TRUNC((G3854*H3854-G3854),8)</f>
        <v/>
      </c>
      <c r="J3854" s="4">
        <f>G3854+I3854</f>
        <v/>
      </c>
      <c r="K3854" s="256" t="inlineStr">
        <is>
          <t>Cri Integralizado</t>
        </is>
      </c>
      <c r="L3854" s="270">
        <f>L3823</f>
        <v/>
      </c>
      <c r="M3854" s="256" t="n"/>
      <c r="N3854" s="256" t="n"/>
      <c r="O3854" s="256" t="n"/>
      <c r="P3854" s="256" t="n"/>
      <c r="Q3854" s="256" t="n"/>
    </row>
    <row r="3855">
      <c r="A3855">
        <f>IF(DAY(D3855)=DAY($L$1+1),A3854+1,A3854)</f>
        <v/>
      </c>
      <c r="B3855" s="46">
        <f>IF(DAY(D3855)=DAY($L$1+1),1,B3854+1)</f>
        <v/>
      </c>
      <c r="C3855" s="46">
        <f>IF(DAY(D3855)=DAY($L$1+1),1,C3854+1)</f>
        <v/>
      </c>
      <c r="D3855" s="47">
        <f>D3854+1</f>
        <v/>
      </c>
      <c r="E3855" s="8">
        <f>IF(DAY(D3855)=DAY($L$1+1),TRUNC((N3854),8),E3854)</f>
        <v/>
      </c>
      <c r="F3855" s="49">
        <f>TRUNC(((1+VLOOKUP(A3855,IPCA!$A$2:$C$140,3,0)))^(C3855/(EDATE(D3855-C3855,1)-(D3855-C3855))),8)</f>
        <v/>
      </c>
      <c r="G3855" s="4">
        <f>TRUNC((E3855*F3855),8)</f>
        <v/>
      </c>
      <c r="H3855" s="4">
        <f>ROUND(((1+$H$4)^(30/360))^(C3855/(EDATE(D3855-B3855,1)-(D3855-B3855))),9)</f>
        <v/>
      </c>
      <c r="I3855" s="49">
        <f>TRUNC((G3855*H3855-G3855),8)</f>
        <v/>
      </c>
      <c r="J3855" s="4">
        <f>G3855+I3855</f>
        <v/>
      </c>
      <c r="K3855" s="137" t="inlineStr">
        <is>
          <t>JUROS</t>
        </is>
      </c>
      <c r="L3855" s="118" t="inlineStr">
        <is>
          <t>AMORTIZAÇÃO</t>
        </is>
      </c>
      <c r="M3855" s="118" t="inlineStr">
        <is>
          <t>AMEX</t>
        </is>
      </c>
      <c r="N3855" s="118" t="inlineStr">
        <is>
          <t>RESIDUAL</t>
        </is>
      </c>
      <c r="O3855" s="256" t="n"/>
      <c r="P3855" s="256" t="n"/>
      <c r="Q3855" s="256" t="n"/>
    </row>
    <row r="3856">
      <c r="A3856">
        <f>IF(DAY(D3856)=DAY($L$1+1),A3855+1,A3855)</f>
        <v/>
      </c>
      <c r="B3856" s="111">
        <f>IF(DAY(D3856)=DAY($L$1+1),1,B3855+1)</f>
        <v/>
      </c>
      <c r="C3856" s="111">
        <f>IF(DAY(D3856)=DAY($L$1+1),1,C3855+1)</f>
        <v/>
      </c>
      <c r="D3856" s="112">
        <f>D3855+1</f>
        <v/>
      </c>
      <c r="E3856" s="113">
        <f>IF(DAY(D3856)=DAY($L$1+1),TRUNC((N3855),8),E3855)</f>
        <v/>
      </c>
      <c r="F3856" s="114">
        <f>TRUNC(((1+VLOOKUP(A3856,IPCA!$A$2:$C$140,3,0)))^(C3856/(EDATE(D3856-C3856,1)-(D3856-C3856))),8)</f>
        <v/>
      </c>
      <c r="G3856" s="114">
        <f>TRUNC((E3856*F3856),8)</f>
        <v/>
      </c>
      <c r="H3856" s="114">
        <f>ROUND(((1+$H$4)^(30/360))^(C3856/(EDATE(D3856-B3856,1)-(D3856-B3856))),9)</f>
        <v/>
      </c>
      <c r="I3856" s="114">
        <f>TRUNC((G3856*H3856-G3856),8)</f>
        <v/>
      </c>
      <c r="J3856" s="114">
        <f>G3856+I3856</f>
        <v/>
      </c>
      <c r="K3856" s="119">
        <f>I3856</f>
        <v/>
      </c>
      <c r="L3856" s="120">
        <f>TRUNC(G3856*VLOOKUP(D3856,'Amort TS'!$G$3:$H$140,2,0),8)</f>
        <v/>
      </c>
      <c r="M3856" s="120" t="n">
        <v>0</v>
      </c>
      <c r="N3856" s="120">
        <f>J3856-K3856-L3856-M3856</f>
        <v/>
      </c>
      <c r="O3856" s="256" t="n"/>
      <c r="P3856" s="256" t="n"/>
      <c r="Q3856" s="256" t="n"/>
    </row>
    <row r="3857">
      <c r="A3857">
        <f>IF(DAY(D3857)=DAY($L$1+1),A3856+1,A3856)</f>
        <v/>
      </c>
      <c r="B3857" s="46">
        <f>IF(DAY(D3857)=DAY($L$1+1),1,B3856+1)</f>
        <v/>
      </c>
      <c r="C3857" s="46">
        <f>IF(DAY(D3857)=DAY($L$1+1),1,C3856+1)</f>
        <v/>
      </c>
      <c r="D3857" s="2">
        <f>D3856+1</f>
        <v/>
      </c>
      <c r="E3857" s="8">
        <f>IF(DAY(D3857)=DAY($L$1+1),TRUNC((N3856),8),E3856)</f>
        <v/>
      </c>
      <c r="F3857" s="49">
        <f>TRUNC(((1+VLOOKUP(A3857,IPCA!$A$2:$C$140,3,0)))^(C3857/(EDATE(D3857-C3857,1)-(D3857-C3857))),8)</f>
        <v/>
      </c>
      <c r="G3857" s="4">
        <f>TRUNC((E3857*F3857),8)</f>
        <v/>
      </c>
      <c r="H3857" s="4">
        <f>ROUND(((1+$H$4)^(30/360))^(C3857/(EDATE(D3857-B3857,1)-(D3857-B3857))),9)</f>
        <v/>
      </c>
      <c r="I3857" s="49">
        <f>TRUNC((G3857*H3857-G3857),8)</f>
        <v/>
      </c>
      <c r="J3857" s="4">
        <f>G3857+I3857</f>
        <v/>
      </c>
      <c r="K3857" s="121">
        <f>K3856*L3854</f>
        <v/>
      </c>
      <c r="L3857" s="121">
        <f>L3856*L3854</f>
        <v/>
      </c>
      <c r="M3857" s="121">
        <f>M3856*L3854</f>
        <v/>
      </c>
      <c r="N3857" s="121">
        <f>N3856*L3854</f>
        <v/>
      </c>
      <c r="O3857" s="256" t="n"/>
      <c r="P3857" s="256" t="n"/>
      <c r="Q3857" s="256" t="n"/>
    </row>
    <row r="3858">
      <c r="A3858">
        <f>IF(DAY(D3858)=DAY($L$1+1),A3857+1,A3857)</f>
        <v/>
      </c>
      <c r="B3858" s="46">
        <f>IF(DAY(D3858)=DAY($L$1+1),1,B3857+1)</f>
        <v/>
      </c>
      <c r="C3858" s="46">
        <f>IF(DAY(D3858)=DAY($L$1+1),1,C3857+1)</f>
        <v/>
      </c>
      <c r="D3858" s="47">
        <f>D3857+1</f>
        <v/>
      </c>
      <c r="E3858" s="8">
        <f>IF(DAY(D3858)=DAY($L$1+1),TRUNC((N3857),8),E3857)</f>
        <v/>
      </c>
      <c r="F3858" s="49">
        <f>TRUNC(((1+VLOOKUP(A3858,IPCA!$A$2:$C$140,3,0)))^(C3858/(EDATE(D3858-C3858,1)-(D3858-C3858))),8)</f>
        <v/>
      </c>
      <c r="G3858" s="4">
        <f>TRUNC((E3858*F3858),8)</f>
        <v/>
      </c>
      <c r="H3858" s="4">
        <f>ROUND(((1+$H$4)^(30/360))^(C3858/(EDATE(D3858-B3858,1)-(D3858-B3858))),9)</f>
        <v/>
      </c>
      <c r="I3858" s="49">
        <f>TRUNC((G3858*H3858-G3858),8)</f>
        <v/>
      </c>
      <c r="J3858" s="4">
        <f>G3858+I3858</f>
        <v/>
      </c>
      <c r="K3858" s="256" t="n"/>
      <c r="L3858" s="256" t="n"/>
      <c r="M3858" s="256" t="n"/>
      <c r="N3858" s="256" t="n"/>
      <c r="O3858" s="256" t="n"/>
      <c r="P3858" s="256" t="n"/>
      <c r="Q3858" s="256" t="n"/>
    </row>
    <row r="3859">
      <c r="A3859">
        <f>IF(DAY(D3859)=DAY($L$1+1),A3858+1,A3858)</f>
        <v/>
      </c>
      <c r="B3859" s="1">
        <f>IF(DAY(D3859)=DAY($L$1+1),1,B3858+1)</f>
        <v/>
      </c>
      <c r="C3859" s="1">
        <f>IF(DAY(D3859)=DAY($L$1+1),1,C3858+1)</f>
        <v/>
      </c>
      <c r="D3859" s="2">
        <f>D3858+1</f>
        <v/>
      </c>
      <c r="E3859" s="8">
        <f>IF(DAY(D3859)=DAY($L$1+1),TRUNC((#REF!),8),E3858)</f>
        <v/>
      </c>
      <c r="F3859" s="49">
        <f>TRUNC(((1+VLOOKUP(A3859,IPCA!$A$2:$C$140,3,0)))^(C3859/(EDATE(D3859-C3859,1)-(D3859-C3859))),8)</f>
        <v/>
      </c>
      <c r="G3859" s="4">
        <f>TRUNC((E3859*F3859),8)</f>
        <v/>
      </c>
      <c r="H3859" s="4">
        <f>ROUND(((1+$H$4)^(30/360))^(C3859/(EDATE(D3859-B3859,1)-(D3859-B3859))),9)</f>
        <v/>
      </c>
      <c r="I3859" s="49">
        <f>TRUNC((G3859*H3859-G3859),8)</f>
        <v/>
      </c>
      <c r="J3859" s="4">
        <f>G3859+I3859</f>
        <v/>
      </c>
      <c r="K3859" s="256" t="n"/>
      <c r="L3859" s="256" t="n"/>
      <c r="M3859" s="256" t="n"/>
      <c r="N3859" s="256" t="n"/>
      <c r="O3859" s="256" t="n"/>
      <c r="P3859" s="256" t="n"/>
      <c r="Q3859" s="256" t="n"/>
    </row>
    <row r="3860">
      <c r="A3860">
        <f>IF(DAY(D3860)=DAY($L$1+1),A3859+1,A3859)</f>
        <v/>
      </c>
      <c r="B3860" s="46">
        <f>IF(DAY(D3860)=DAY($L$1+1),1,B3859+1)</f>
        <v/>
      </c>
      <c r="C3860" s="46">
        <f>IF(DAY(D3860)=DAY($L$1+1),1,C3859+1)</f>
        <v/>
      </c>
      <c r="D3860" s="2">
        <f>D3859+1</f>
        <v/>
      </c>
      <c r="E3860" s="8">
        <f>IF(DAY(D3860)=DAY($L$1+1),TRUNC((#REF!),8),E3859)</f>
        <v/>
      </c>
      <c r="F3860" s="49">
        <f>TRUNC(((1+VLOOKUP(A3860,IPCA!$A$2:$C$140,3,0)))^(C3860/(EDATE(D3860-C3860,1)-(D3860-C3860))),8)</f>
        <v/>
      </c>
      <c r="G3860" s="4">
        <f>TRUNC((E3860*F3860),8)</f>
        <v/>
      </c>
      <c r="H3860" s="4">
        <f>ROUND(((1+$H$4)^(30/360))^(C3860/(EDATE(D3860-B3860,1)-(D3860-B3860))),9)</f>
        <v/>
      </c>
      <c r="I3860" s="49">
        <f>TRUNC((G3860*H3860-G3860),8)</f>
        <v/>
      </c>
      <c r="J3860" s="4">
        <f>G3860+I3860</f>
        <v/>
      </c>
      <c r="K3860" s="256" t="n"/>
      <c r="L3860" s="256" t="n"/>
      <c r="M3860" s="256" t="n"/>
      <c r="N3860" s="256" t="n"/>
      <c r="O3860" s="256" t="n"/>
      <c r="P3860" s="256" t="n"/>
      <c r="Q3860" s="256" t="n"/>
    </row>
    <row r="3861">
      <c r="A3861">
        <f>IF(DAY(D3861)=DAY($L$1+1),A3860+1,A3860)</f>
        <v/>
      </c>
      <c r="B3861" s="1">
        <f>IF(DAY(D3861)=DAY($L$1+1),1,B3860+1)</f>
        <v/>
      </c>
      <c r="C3861" s="1">
        <f>IF(DAY(D3861)=DAY($L$1+1),1,C3860+1)</f>
        <v/>
      </c>
      <c r="D3861" s="2">
        <f>D3860+1</f>
        <v/>
      </c>
      <c r="E3861" s="8">
        <f>IF(DAY(D3861)=DAY($L$1+1),TRUNC((#REF!),8),E3860)</f>
        <v/>
      </c>
      <c r="F3861" s="49">
        <f>TRUNC(((1+VLOOKUP(A3861,IPCA!$A$2:$C$140,3,0)))^(C3861/(EDATE(D3861-C3861,1)-(D3861-C3861))),8)</f>
        <v/>
      </c>
      <c r="G3861" s="4">
        <f>TRUNC((E3861*F3861),8)</f>
        <v/>
      </c>
      <c r="H3861" s="4">
        <f>ROUND(((1+$H$4)^(30/360))^(C3861/(EDATE(D3861-B3861,1)-(D3861-B3861))),9)</f>
        <v/>
      </c>
      <c r="I3861" s="49">
        <f>TRUNC((G3861*H3861-G3861),8)</f>
        <v/>
      </c>
      <c r="J3861" s="4">
        <f>G3861+I3861</f>
        <v/>
      </c>
      <c r="K3861" s="256" t="n"/>
      <c r="L3861" s="256" t="n"/>
      <c r="M3861" s="256" t="n"/>
      <c r="N3861" s="256" t="n"/>
      <c r="O3861" s="256" t="n"/>
      <c r="P3861" s="256" t="n"/>
      <c r="Q3861" s="256" t="n"/>
    </row>
    <row r="3862">
      <c r="A3862">
        <f>IF(DAY(D3862)=DAY($L$1+1),A3861+1,A3861)</f>
        <v/>
      </c>
      <c r="B3862" s="46">
        <f>IF(DAY(D3862)=DAY($L$1+1),1,B3861+1)</f>
        <v/>
      </c>
      <c r="C3862" s="46">
        <f>IF(DAY(D3862)=DAY($L$1+1),1,C3861+1)</f>
        <v/>
      </c>
      <c r="D3862" s="2">
        <f>D3861+1</f>
        <v/>
      </c>
      <c r="E3862" s="8">
        <f>IF(DAY(D3862)=DAY($L$1+1),TRUNC((#REF!),8),E3861)</f>
        <v/>
      </c>
      <c r="F3862" s="49">
        <f>TRUNC(((1+VLOOKUP(A3862,IPCA!$A$2:$C$140,3,0)))^(C3862/(EDATE(D3862-C3862,1)-(D3862-C3862))),8)</f>
        <v/>
      </c>
      <c r="G3862" s="4">
        <f>TRUNC((E3862*F3862),8)</f>
        <v/>
      </c>
      <c r="H3862" s="4">
        <f>ROUND(((1+$H$4)^(30/360))^(C3862/(EDATE(D3862-B3862,1)-(D3862-B3862))),9)</f>
        <v/>
      </c>
      <c r="I3862" s="49">
        <f>TRUNC((G3862*H3862-G3862),8)</f>
        <v/>
      </c>
      <c r="J3862" s="4">
        <f>G3862+I3862</f>
        <v/>
      </c>
      <c r="K3862" s="256" t="n"/>
      <c r="L3862" s="256" t="n"/>
      <c r="M3862" s="256" t="n"/>
      <c r="N3862" s="256" t="n"/>
      <c r="O3862" s="256" t="n"/>
      <c r="P3862" s="256" t="n"/>
      <c r="Q3862" s="256" t="n"/>
    </row>
    <row r="3863">
      <c r="A3863">
        <f>IF(DAY(D3863)=DAY($L$1+1),A3862+1,A3862)</f>
        <v/>
      </c>
      <c r="B3863" s="1">
        <f>IF(DAY(D3863)=DAY($L$1+1),1,B3862+1)</f>
        <v/>
      </c>
      <c r="C3863" s="1">
        <f>IF(DAY(D3863)=DAY($L$1+1),1,C3862+1)</f>
        <v/>
      </c>
      <c r="D3863" s="2">
        <f>D3862+1</f>
        <v/>
      </c>
      <c r="E3863" s="8">
        <f>IF(DAY(D3863)=DAY($L$1+1),TRUNC((#REF!),8),E3862)</f>
        <v/>
      </c>
      <c r="F3863" s="49">
        <f>TRUNC(((1+VLOOKUP(A3863,IPCA!$A$2:$C$140,3,0)))^(C3863/(EDATE(D3863-C3863,1)-(D3863-C3863))),8)</f>
        <v/>
      </c>
      <c r="G3863" s="4">
        <f>TRUNC((E3863*F3863),8)</f>
        <v/>
      </c>
      <c r="H3863" s="4">
        <f>ROUND(((1+$H$4)^(30/360))^(C3863/(EDATE(D3863-B3863,1)-(D3863-B3863))),9)</f>
        <v/>
      </c>
      <c r="I3863" s="49">
        <f>TRUNC((G3863*H3863-G3863),8)</f>
        <v/>
      </c>
      <c r="J3863" s="4">
        <f>G3863+I3863</f>
        <v/>
      </c>
      <c r="K3863" s="256" t="n"/>
      <c r="L3863" s="256" t="n"/>
      <c r="M3863" s="256" t="n"/>
      <c r="N3863" s="256" t="n"/>
      <c r="O3863" s="256" t="n"/>
      <c r="P3863" s="256" t="n"/>
      <c r="Q3863" s="256" t="n"/>
    </row>
    <row r="3864">
      <c r="A3864">
        <f>IF(DAY(D3864)=DAY($L$1+1),A3863+1,A3863)</f>
        <v/>
      </c>
      <c r="B3864" s="46">
        <f>IF(DAY(D3864)=DAY($L$1+1),1,B3863+1)</f>
        <v/>
      </c>
      <c r="C3864" s="46">
        <f>IF(DAY(D3864)=DAY($L$1+1),1,C3863+1)</f>
        <v/>
      </c>
      <c r="D3864" s="2">
        <f>D3863+1</f>
        <v/>
      </c>
      <c r="E3864" s="8">
        <f>IF(DAY(D3864)=DAY($L$1+1),TRUNC((#REF!),8),E3863)</f>
        <v/>
      </c>
      <c r="F3864" s="49">
        <f>TRUNC(((1+VLOOKUP(A3864,IPCA!$A$2:$C$140,3,0)))^(C3864/(EDATE(D3864-C3864,1)-(D3864-C3864))),8)</f>
        <v/>
      </c>
      <c r="G3864" s="4">
        <f>TRUNC((E3864*F3864),8)</f>
        <v/>
      </c>
      <c r="H3864" s="4">
        <f>ROUND(((1+$H$4)^(30/360))^(C3864/(EDATE(D3864-B3864,1)-(D3864-B3864))),9)</f>
        <v/>
      </c>
      <c r="I3864" s="49">
        <f>TRUNC((G3864*H3864-G3864),8)</f>
        <v/>
      </c>
      <c r="J3864" s="4">
        <f>G3864+I3864</f>
        <v/>
      </c>
      <c r="K3864" s="256" t="n"/>
      <c r="L3864" s="256" t="n"/>
      <c r="M3864" s="256" t="n"/>
      <c r="N3864" s="256" t="n"/>
      <c r="O3864" s="256" t="n"/>
      <c r="P3864" s="256" t="n"/>
      <c r="Q3864" s="256" t="n"/>
    </row>
    <row r="3865">
      <c r="A3865">
        <f>IF(DAY(D3865)=DAY($L$1+1),A3864+1,A3864)</f>
        <v/>
      </c>
      <c r="B3865" s="1">
        <f>IF(DAY(D3865)=DAY($L$1+1),1,B3864+1)</f>
        <v/>
      </c>
      <c r="C3865" s="1">
        <f>IF(DAY(D3865)=DAY($L$1+1),1,C3864+1)</f>
        <v/>
      </c>
      <c r="D3865" s="2">
        <f>D3864+1</f>
        <v/>
      </c>
      <c r="E3865" s="8">
        <f>IF(DAY(D3865)=DAY($L$1+1),TRUNC((#REF!),8),E3864)</f>
        <v/>
      </c>
      <c r="F3865" s="49">
        <f>TRUNC(((1+VLOOKUP(A3865,IPCA!$A$2:$C$140,3,0)))^(C3865/(EDATE(D3865-C3865,1)-(D3865-C3865))),8)</f>
        <v/>
      </c>
      <c r="G3865" s="4">
        <f>TRUNC((E3865*F3865),8)</f>
        <v/>
      </c>
      <c r="H3865" s="4">
        <f>ROUND(((1+$H$4)^(30/360))^(C3865/(EDATE(D3865-B3865,1)-(D3865-B3865))),9)</f>
        <v/>
      </c>
      <c r="I3865" s="49">
        <f>TRUNC((G3865*H3865-G3865),8)</f>
        <v/>
      </c>
      <c r="J3865" s="4">
        <f>G3865+I3865</f>
        <v/>
      </c>
      <c r="K3865" s="256" t="n"/>
      <c r="L3865" s="256" t="n"/>
      <c r="M3865" s="256" t="n"/>
      <c r="N3865" s="256" t="n"/>
      <c r="O3865" s="256" t="n"/>
      <c r="P3865" s="256" t="n"/>
      <c r="Q3865" s="256" t="n"/>
    </row>
    <row r="3866">
      <c r="A3866">
        <f>IF(DAY(D3866)=DAY($L$1+1),A3865+1,A3865)</f>
        <v/>
      </c>
      <c r="B3866" s="46">
        <f>IF(DAY(D3866)=DAY($L$1+1),1,B3865+1)</f>
        <v/>
      </c>
      <c r="C3866" s="46">
        <f>IF(DAY(D3866)=DAY($L$1+1),1,C3865+1)</f>
        <v/>
      </c>
      <c r="D3866" s="2">
        <f>D3865+1</f>
        <v/>
      </c>
      <c r="E3866" s="8">
        <f>IF(DAY(D3866)=DAY($L$1+1),TRUNC((#REF!),8),E3865)</f>
        <v/>
      </c>
      <c r="F3866" s="49">
        <f>TRUNC(((1+VLOOKUP(A3866,IPCA!$A$2:$C$140,3,0)))^(C3866/(EDATE(D3866-C3866,1)-(D3866-C3866))),8)</f>
        <v/>
      </c>
      <c r="G3866" s="4">
        <f>TRUNC((E3866*F3866),8)</f>
        <v/>
      </c>
      <c r="H3866" s="4">
        <f>ROUND(((1+$H$4)^(30/360))^(C3866/(EDATE(D3866-B3866,1)-(D3866-B3866))),9)</f>
        <v/>
      </c>
      <c r="I3866" s="49">
        <f>TRUNC((G3866*H3866-G3866),8)</f>
        <v/>
      </c>
      <c r="J3866" s="4">
        <f>G3866+I3866</f>
        <v/>
      </c>
      <c r="K3866" s="256" t="n"/>
      <c r="L3866" s="256" t="n"/>
      <c r="M3866" s="256" t="n"/>
      <c r="N3866" s="256" t="n"/>
      <c r="O3866" s="256" t="n"/>
      <c r="P3866" s="256" t="n"/>
      <c r="Q3866" s="256" t="n"/>
    </row>
    <row r="3867">
      <c r="A3867">
        <f>IF(DAY(D3867)=DAY($L$1+1),A3866+1,A3866)</f>
        <v/>
      </c>
      <c r="B3867" s="1">
        <f>IF(DAY(D3867)=DAY($L$1+1),1,B3866+1)</f>
        <v/>
      </c>
      <c r="C3867" s="1">
        <f>IF(DAY(D3867)=DAY($L$1+1),1,C3866+1)</f>
        <v/>
      </c>
      <c r="D3867" s="2">
        <f>D3866+1</f>
        <v/>
      </c>
      <c r="E3867" s="8">
        <f>IF(DAY(D3867)=DAY($L$1+1),TRUNC((#REF!),8),E3866)</f>
        <v/>
      </c>
      <c r="F3867" s="49">
        <f>TRUNC(((1+VLOOKUP(A3867,IPCA!$A$2:$C$140,3,0)))^(C3867/(EDATE(D3867-C3867,1)-(D3867-C3867))),8)</f>
        <v/>
      </c>
      <c r="G3867" s="4">
        <f>TRUNC((E3867*F3867),8)</f>
        <v/>
      </c>
      <c r="H3867" s="4">
        <f>ROUND(((1+$H$4)^(30/360))^(C3867/(EDATE(D3867-B3867,1)-(D3867-B3867))),9)</f>
        <v/>
      </c>
      <c r="I3867" s="49">
        <f>TRUNC((G3867*H3867-G3867),8)</f>
        <v/>
      </c>
      <c r="J3867" s="4">
        <f>G3867+I3867</f>
        <v/>
      </c>
      <c r="K3867" s="256" t="n"/>
      <c r="L3867" s="256" t="n"/>
      <c r="M3867" s="256" t="n"/>
      <c r="N3867" s="256" t="n"/>
      <c r="O3867" s="256" t="n"/>
      <c r="P3867" s="256" t="n"/>
      <c r="Q3867" s="256" t="n"/>
    </row>
    <row r="3868">
      <c r="A3868">
        <f>IF(DAY(D3868)=DAY($L$1+1),A3867+1,A3867)</f>
        <v/>
      </c>
      <c r="B3868" s="46">
        <f>IF(DAY(D3868)=DAY($L$1+1),1,B3867+1)</f>
        <v/>
      </c>
      <c r="C3868" s="46">
        <f>IF(DAY(D3868)=DAY($L$1+1),1,C3867+1)</f>
        <v/>
      </c>
      <c r="D3868" s="2">
        <f>D3867+1</f>
        <v/>
      </c>
      <c r="E3868" s="8">
        <f>IF(DAY(D3868)=DAY($L$1+1),TRUNC((#REF!),8),E3867)</f>
        <v/>
      </c>
      <c r="F3868" s="49">
        <f>TRUNC(((1+VLOOKUP(A3868,IPCA!$A$2:$C$140,3,0)))^(C3868/(EDATE(D3868-C3868,1)-(D3868-C3868))),8)</f>
        <v/>
      </c>
      <c r="G3868" s="4">
        <f>TRUNC((E3868*F3868),8)</f>
        <v/>
      </c>
      <c r="H3868" s="4">
        <f>ROUND(((1+$H$4)^(30/360))^(C3868/(EDATE(D3868-B3868,1)-(D3868-B3868))),9)</f>
        <v/>
      </c>
      <c r="I3868" s="49">
        <f>TRUNC((G3868*H3868-G3868),8)</f>
        <v/>
      </c>
      <c r="J3868" s="4">
        <f>G3868+I3868</f>
        <v/>
      </c>
      <c r="K3868" s="256" t="n"/>
      <c r="L3868" s="256" t="n"/>
      <c r="M3868" s="256" t="n"/>
      <c r="N3868" s="256" t="n"/>
      <c r="O3868" s="256" t="n"/>
      <c r="P3868" s="256" t="n"/>
      <c r="Q3868" s="256" t="n"/>
    </row>
    <row r="3869">
      <c r="A3869">
        <f>IF(DAY(D3869)=DAY($L$1+1),A3868+1,A3868)</f>
        <v/>
      </c>
      <c r="B3869" s="1">
        <f>IF(DAY(D3869)=DAY($L$1+1),1,B3868+1)</f>
        <v/>
      </c>
      <c r="C3869" s="1">
        <f>IF(DAY(D3869)=DAY($L$1+1),1,C3868+1)</f>
        <v/>
      </c>
      <c r="D3869" s="2">
        <f>D3868+1</f>
        <v/>
      </c>
      <c r="E3869" s="8">
        <f>IF(DAY(D3869)=DAY($L$1+1),TRUNC((N3868),8),E3868)</f>
        <v/>
      </c>
      <c r="F3869" s="49">
        <f>TRUNC(((1+VLOOKUP(A3869,IPCA!$A$2:$C$140,3,0)))^(C3869/(EDATE(D3869-C3869,1)-(D3869-C3869))),8)</f>
        <v/>
      </c>
      <c r="G3869" s="4">
        <f>TRUNC((E3869*F3869),8)</f>
        <v/>
      </c>
      <c r="H3869" s="4">
        <f>ROUND(((1+$H$4)^(30/360))^(C3869/(EDATE(D3869-B3869,1)-(D3869-B3869))),9)</f>
        <v/>
      </c>
      <c r="I3869" s="49">
        <f>TRUNC((G3869*H3869-G3869),8)</f>
        <v/>
      </c>
      <c r="J3869" s="4">
        <f>G3869+I3869</f>
        <v/>
      </c>
      <c r="K3869" s="256" t="n"/>
      <c r="L3869" s="256" t="n"/>
      <c r="M3869" s="256" t="n"/>
      <c r="N3869" s="256" t="n"/>
      <c r="O3869" s="256" t="n"/>
      <c r="P3869" s="256" t="n"/>
      <c r="Q3869" s="256" t="n"/>
    </row>
    <row r="3870">
      <c r="A3870">
        <f>IF(DAY(D3870)=DAY($L$1+1),A3869+1,A3869)</f>
        <v/>
      </c>
      <c r="B3870" s="46">
        <f>IF(DAY(D3870)=DAY($L$1+1),1,B3869+1)</f>
        <v/>
      </c>
      <c r="C3870" s="46">
        <f>IF(DAY(D3870)=DAY($L$1+1),1,C3869+1)</f>
        <v/>
      </c>
      <c r="D3870" s="2">
        <f>D3869+1</f>
        <v/>
      </c>
      <c r="E3870" s="8">
        <f>IF(DAY(D3870)=DAY($L$1+1),TRUNC((N3869),8),E3869)</f>
        <v/>
      </c>
      <c r="F3870" s="49">
        <f>TRUNC(((1+VLOOKUP(A3870,IPCA!$A$2:$C$140,3,0)))^(C3870/(EDATE(D3870-C3870,1)-(D3870-C3870))),8)</f>
        <v/>
      </c>
      <c r="G3870" s="4">
        <f>TRUNC((E3870*F3870),8)</f>
        <v/>
      </c>
      <c r="H3870" s="4">
        <f>ROUND(((1+$H$4)^(30/360))^(C3870/(EDATE(D3870-B3870,1)-(D3870-B3870))),9)</f>
        <v/>
      </c>
      <c r="I3870" s="49">
        <f>TRUNC((G3870*H3870-G3870),8)</f>
        <v/>
      </c>
      <c r="J3870" s="4">
        <f>G3870+I3870</f>
        <v/>
      </c>
      <c r="K3870" s="256" t="n"/>
      <c r="L3870" s="256" t="n"/>
      <c r="M3870" s="256" t="n"/>
      <c r="N3870" s="256" t="n"/>
      <c r="O3870" s="256" t="n"/>
      <c r="P3870" s="256" t="n"/>
      <c r="Q3870" s="256" t="n"/>
    </row>
    <row r="3871">
      <c r="A3871">
        <f>IF(DAY(D3871)=DAY($L$1+1),A3870+1,A3870)</f>
        <v/>
      </c>
      <c r="B3871" s="1">
        <f>IF(DAY(D3871)=DAY($L$1+1),1,B3870+1)</f>
        <v/>
      </c>
      <c r="C3871" s="1">
        <f>IF(DAY(D3871)=DAY($L$1+1),1,C3870+1)</f>
        <v/>
      </c>
      <c r="D3871" s="2">
        <f>D3870+1</f>
        <v/>
      </c>
      <c r="E3871" s="8">
        <f>IF(DAY(D3871)=DAY($L$1+1),TRUNC((N3870),8),E3870)</f>
        <v/>
      </c>
      <c r="F3871" s="49">
        <f>TRUNC(((1+VLOOKUP(A3871,IPCA!$A$2:$C$140,3,0)))^(C3871/(EDATE(D3871-C3871,1)-(D3871-C3871))),8)</f>
        <v/>
      </c>
      <c r="G3871" s="4">
        <f>TRUNC((E3871*F3871),8)</f>
        <v/>
      </c>
      <c r="H3871" s="4">
        <f>ROUND(((1+$H$4)^(30/360))^(C3871/(EDATE(D3871-B3871,1)-(D3871-B3871))),9)</f>
        <v/>
      </c>
      <c r="I3871" s="49">
        <f>TRUNC((G3871*H3871-G3871),8)</f>
        <v/>
      </c>
      <c r="J3871" s="4">
        <f>G3871+I3871</f>
        <v/>
      </c>
      <c r="K3871" s="256" t="n"/>
      <c r="L3871" s="256" t="n"/>
      <c r="M3871" s="256" t="n"/>
      <c r="N3871" s="256" t="n"/>
      <c r="O3871" s="256" t="n"/>
      <c r="P3871" s="256" t="n"/>
      <c r="Q3871" s="256" t="n"/>
    </row>
    <row r="3872">
      <c r="A3872">
        <f>IF(DAY(D3872)=DAY($L$1+1),A3871+1,A3871)</f>
        <v/>
      </c>
      <c r="B3872" s="46">
        <f>IF(DAY(D3872)=DAY($L$1+1),1,B3871+1)</f>
        <v/>
      </c>
      <c r="C3872" s="46">
        <f>IF(DAY(D3872)=DAY($L$1+1),1,C3871+1)</f>
        <v/>
      </c>
      <c r="D3872" s="2">
        <f>D3871+1</f>
        <v/>
      </c>
      <c r="E3872" s="8">
        <f>IF(DAY(D3872)=DAY($L$1+1),TRUNC((N3871),8),E3871)</f>
        <v/>
      </c>
      <c r="F3872" s="49">
        <f>TRUNC(((1+VLOOKUP(A3872,IPCA!$A$2:$C$140,3,0)))^(C3872/(EDATE(D3872-C3872,1)-(D3872-C3872))),8)</f>
        <v/>
      </c>
      <c r="G3872" s="4">
        <f>TRUNC((E3872*F3872),8)</f>
        <v/>
      </c>
      <c r="H3872" s="4">
        <f>ROUND(((1+$H$4)^(30/360))^(C3872/(EDATE(D3872-B3872,1)-(D3872-B3872))),9)</f>
        <v/>
      </c>
      <c r="I3872" s="49">
        <f>TRUNC((G3872*H3872-G3872),8)</f>
        <v/>
      </c>
      <c r="J3872" s="4">
        <f>G3872+I3872</f>
        <v/>
      </c>
      <c r="K3872" s="256" t="n"/>
      <c r="L3872" s="256" t="n"/>
      <c r="M3872" s="256" t="n"/>
      <c r="N3872" s="256" t="n"/>
      <c r="O3872" s="256" t="n"/>
      <c r="P3872" s="256" t="n"/>
      <c r="Q3872" s="256" t="n"/>
    </row>
    <row r="3873">
      <c r="A3873">
        <f>IF(DAY(D3873)=DAY($L$1+1),A3872+1,A3872)</f>
        <v/>
      </c>
      <c r="B3873" s="1">
        <f>IF(DAY(D3873)=DAY($L$1+1),1,B3872+1)</f>
        <v/>
      </c>
      <c r="C3873" s="1">
        <f>IF(DAY(D3873)=DAY($L$1+1),1,C3872+1)</f>
        <v/>
      </c>
      <c r="D3873" s="2">
        <f>D3872+1</f>
        <v/>
      </c>
      <c r="E3873" s="8">
        <f>IF(DAY(D3873)=DAY($L$1+1),TRUNC((N3872),8),E3872)</f>
        <v/>
      </c>
      <c r="F3873" s="49">
        <f>TRUNC(((1+VLOOKUP(A3873,IPCA!$A$2:$C$140,3,0)))^(C3873/(EDATE(D3873-C3873,1)-(D3873-C3873))),8)</f>
        <v/>
      </c>
      <c r="G3873" s="4">
        <f>TRUNC((E3873*F3873),8)</f>
        <v/>
      </c>
      <c r="H3873" s="4">
        <f>ROUND(((1+$H$4)^(30/360))^(C3873/(EDATE(D3873-B3873,1)-(D3873-B3873))),9)</f>
        <v/>
      </c>
      <c r="I3873" s="49">
        <f>TRUNC((G3873*H3873-G3873),8)</f>
        <v/>
      </c>
      <c r="J3873" s="4">
        <f>G3873+I3873</f>
        <v/>
      </c>
      <c r="K3873" s="256" t="n"/>
      <c r="L3873" s="256" t="n"/>
      <c r="M3873" s="256" t="n"/>
      <c r="N3873" s="256" t="n"/>
      <c r="O3873" s="256" t="n"/>
      <c r="P3873" s="256" t="n"/>
      <c r="Q3873" s="256" t="n"/>
    </row>
    <row r="3874">
      <c r="A3874">
        <f>IF(DAY(D3874)=DAY($L$1+1),A3873+1,A3873)</f>
        <v/>
      </c>
      <c r="B3874" s="46">
        <f>IF(DAY(D3874)=DAY($L$1+1),1,B3873+1)</f>
        <v/>
      </c>
      <c r="C3874" s="46">
        <f>IF(DAY(D3874)=DAY($L$1+1),1,C3873+1)</f>
        <v/>
      </c>
      <c r="D3874" s="2">
        <f>D3873+1</f>
        <v/>
      </c>
      <c r="E3874" s="8">
        <f>IF(DAY(D3874)=DAY($L$1+1),TRUNC((N3873),8),E3873)</f>
        <v/>
      </c>
      <c r="F3874" s="49">
        <f>TRUNC(((1+VLOOKUP(A3874,IPCA!$A$2:$C$140,3,0)))^(C3874/(EDATE(D3874-C3874,1)-(D3874-C3874))),8)</f>
        <v/>
      </c>
      <c r="G3874" s="4">
        <f>TRUNC((E3874*F3874),8)</f>
        <v/>
      </c>
      <c r="H3874" s="4">
        <f>ROUND(((1+$H$4)^(30/360))^(C3874/(EDATE(D3874-B3874,1)-(D3874-B3874))),9)</f>
        <v/>
      </c>
      <c r="I3874" s="49">
        <f>TRUNC((G3874*H3874-G3874),8)</f>
        <v/>
      </c>
      <c r="J3874" s="4">
        <f>G3874+I3874</f>
        <v/>
      </c>
      <c r="K3874" s="256" t="n"/>
      <c r="L3874" s="256" t="n"/>
      <c r="M3874" s="256" t="n"/>
      <c r="N3874" s="256" t="n"/>
      <c r="O3874" s="256" t="n"/>
      <c r="P3874" s="256" t="n"/>
      <c r="Q3874" s="256" t="n"/>
    </row>
    <row r="3875">
      <c r="A3875">
        <f>IF(DAY(D3875)=DAY($L$1+1),A3874+1,A3874)</f>
        <v/>
      </c>
      <c r="B3875" s="1">
        <f>IF(DAY(D3875)=DAY($L$1+1),1,B3874+1)</f>
        <v/>
      </c>
      <c r="C3875" s="1">
        <f>IF(DAY(D3875)=DAY($L$1+1),1,C3874+1)</f>
        <v/>
      </c>
      <c r="D3875" s="2">
        <f>D3874+1</f>
        <v/>
      </c>
      <c r="E3875" s="8">
        <f>IF(DAY(D3875)=DAY($L$1+1),TRUNC((N3874),8),E3874)</f>
        <v/>
      </c>
      <c r="F3875" s="49">
        <f>TRUNC(((1+VLOOKUP(A3875,IPCA!$A$2:$C$140,3,0)))^(C3875/(EDATE(D3875-C3875,1)-(D3875-C3875))),8)</f>
        <v/>
      </c>
      <c r="G3875" s="4">
        <f>TRUNC((E3875*F3875),8)</f>
        <v/>
      </c>
      <c r="H3875" s="4">
        <f>ROUND(((1+$H$4)^(30/360))^(C3875/(EDATE(D3875-B3875,1)-(D3875-B3875))),9)</f>
        <v/>
      </c>
      <c r="I3875" s="49">
        <f>TRUNC((G3875*H3875-G3875),8)</f>
        <v/>
      </c>
      <c r="J3875" s="4">
        <f>G3875+I3875</f>
        <v/>
      </c>
      <c r="K3875" s="256" t="n"/>
      <c r="L3875" s="256" t="n"/>
      <c r="M3875" s="256" t="n"/>
      <c r="N3875" s="256" t="n"/>
      <c r="O3875" s="256" t="n"/>
      <c r="P3875" s="256" t="n"/>
      <c r="Q3875" s="256" t="n"/>
    </row>
    <row r="3876">
      <c r="A3876">
        <f>IF(DAY(D3876)=DAY($L$1+1),A3875+1,A3875)</f>
        <v/>
      </c>
      <c r="B3876" s="46">
        <f>IF(DAY(D3876)=DAY($L$1+1),1,B3875+1)</f>
        <v/>
      </c>
      <c r="C3876" s="46">
        <f>IF(DAY(D3876)=DAY($L$1+1),1,C3875+1)</f>
        <v/>
      </c>
      <c r="D3876" s="2">
        <f>D3875+1</f>
        <v/>
      </c>
      <c r="E3876" s="8">
        <f>IF(DAY(D3876)=DAY($L$1+1),TRUNC((N3875),8),E3875)</f>
        <v/>
      </c>
      <c r="F3876" s="49">
        <f>TRUNC(((1+VLOOKUP(A3876,IPCA!$A$2:$C$140,3,0)))^(C3876/(EDATE(D3876-C3876,1)-(D3876-C3876))),8)</f>
        <v/>
      </c>
      <c r="G3876" s="4">
        <f>TRUNC((E3876*F3876),8)</f>
        <v/>
      </c>
      <c r="H3876" s="4">
        <f>ROUND(((1+$H$4)^(30/360))^(C3876/(EDATE(D3876-B3876,1)-(D3876-B3876))),9)</f>
        <v/>
      </c>
      <c r="I3876" s="49">
        <f>TRUNC((G3876*H3876-G3876),8)</f>
        <v/>
      </c>
      <c r="J3876" s="4">
        <f>G3876+I3876</f>
        <v/>
      </c>
      <c r="K3876" s="256" t="n"/>
      <c r="L3876" s="256" t="n"/>
      <c r="M3876" s="256" t="n"/>
      <c r="N3876" s="256" t="n"/>
      <c r="O3876" s="256" t="n"/>
      <c r="P3876" s="256" t="n"/>
      <c r="Q3876" s="256" t="n"/>
    </row>
    <row r="3877">
      <c r="A3877">
        <f>IF(DAY(D3877)=DAY($L$1+1),A3876+1,A3876)</f>
        <v/>
      </c>
      <c r="B3877" s="1">
        <f>IF(DAY(D3877)=DAY($L$1+1),1,B3876+1)</f>
        <v/>
      </c>
      <c r="C3877" s="1">
        <f>IF(DAY(D3877)=DAY($L$1+1),1,C3876+1)</f>
        <v/>
      </c>
      <c r="D3877" s="2">
        <f>D3876+1</f>
        <v/>
      </c>
      <c r="E3877" s="8">
        <f>IF(DAY(D3877)=DAY($L$1+1),TRUNC((N3876),8),E3876)</f>
        <v/>
      </c>
      <c r="F3877" s="49">
        <f>TRUNC(((1+VLOOKUP(A3877,IPCA!$A$2:$C$140,3,0)))^(C3877/(EDATE(D3877-C3877,1)-(D3877-C3877))),8)</f>
        <v/>
      </c>
      <c r="G3877" s="4">
        <f>TRUNC((E3877*F3877),8)</f>
        <v/>
      </c>
      <c r="H3877" s="4">
        <f>ROUND(((1+$H$4)^(30/360))^(C3877/(EDATE(D3877-B3877,1)-(D3877-B3877))),9)</f>
        <v/>
      </c>
      <c r="I3877" s="49">
        <f>TRUNC((G3877*H3877-G3877),8)</f>
        <v/>
      </c>
      <c r="J3877" s="4">
        <f>G3877+I3877</f>
        <v/>
      </c>
      <c r="K3877" s="256" t="n"/>
      <c r="L3877" s="256" t="n"/>
      <c r="M3877" s="256" t="n"/>
      <c r="N3877" s="256" t="n"/>
      <c r="O3877" s="256" t="n"/>
      <c r="P3877" s="256" t="n"/>
      <c r="Q3877" s="256" t="n"/>
    </row>
    <row r="3878">
      <c r="A3878">
        <f>IF(DAY(D3878)=DAY($L$1+1),A3877+1,A3877)</f>
        <v/>
      </c>
      <c r="B3878" s="46">
        <f>IF(DAY(D3878)=DAY($L$1+1),1,B3877+1)</f>
        <v/>
      </c>
      <c r="C3878" s="46">
        <f>IF(DAY(D3878)=DAY($L$1+1),1,C3877+1)</f>
        <v/>
      </c>
      <c r="D3878" s="2">
        <f>D3877+1</f>
        <v/>
      </c>
      <c r="E3878" s="8">
        <f>IF(DAY(D3878)=DAY($L$1+1),TRUNC((N3877),8),E3877)</f>
        <v/>
      </c>
      <c r="F3878" s="49">
        <f>TRUNC(((1+VLOOKUP(A3878,IPCA!$A$2:$C$140,3,0)))^(C3878/(EDATE(D3878-C3878,1)-(D3878-C3878))),8)</f>
        <v/>
      </c>
      <c r="G3878" s="4">
        <f>TRUNC((E3878*F3878),8)</f>
        <v/>
      </c>
      <c r="H3878" s="4">
        <f>ROUND(((1+$H$4)^(30/360))^(C3878/(EDATE(D3878-B3878,1)-(D3878-B3878))),9)</f>
        <v/>
      </c>
      <c r="I3878" s="49">
        <f>TRUNC((G3878*H3878-G3878),8)</f>
        <v/>
      </c>
      <c r="J3878" s="4">
        <f>G3878+I3878</f>
        <v/>
      </c>
      <c r="K3878" s="256" t="n"/>
      <c r="L3878" s="256" t="n"/>
      <c r="M3878" s="256" t="n"/>
      <c r="N3878" s="256" t="n"/>
      <c r="O3878" s="256" t="n"/>
      <c r="P3878" s="256" t="n"/>
      <c r="Q3878" s="256" t="n"/>
    </row>
    <row r="3879">
      <c r="A3879">
        <f>IF(DAY(D3879)=DAY($L$1+1),A3878+1,A3878)</f>
        <v/>
      </c>
      <c r="B3879" s="1">
        <f>IF(DAY(D3879)=DAY($L$1+1),1,B3878+1)</f>
        <v/>
      </c>
      <c r="C3879" s="1">
        <f>IF(DAY(D3879)=DAY($L$1+1),1,C3878+1)</f>
        <v/>
      </c>
      <c r="D3879" s="2">
        <f>D3878+1</f>
        <v/>
      </c>
      <c r="E3879" s="8">
        <f>IF(DAY(D3879)=DAY($L$1+1),TRUNC((N3878),8),E3878)</f>
        <v/>
      </c>
      <c r="F3879" s="49">
        <f>TRUNC(((1+VLOOKUP(A3879,IPCA!$A$2:$C$140,3,0)))^(C3879/(EDATE(D3879-C3879,1)-(D3879-C3879))),8)</f>
        <v/>
      </c>
      <c r="G3879" s="4">
        <f>TRUNC((E3879*F3879),8)</f>
        <v/>
      </c>
      <c r="H3879" s="4">
        <f>ROUND(((1+$H$4)^(30/360))^(C3879/(EDATE(D3879-B3879,1)-(D3879-B3879))),9)</f>
        <v/>
      </c>
      <c r="I3879" s="49">
        <f>TRUNC((G3879*H3879-G3879),8)</f>
        <v/>
      </c>
      <c r="J3879" s="4">
        <f>G3879+I3879</f>
        <v/>
      </c>
      <c r="K3879" s="256" t="n"/>
      <c r="L3879" s="256" t="n"/>
      <c r="M3879" s="256" t="n"/>
      <c r="N3879" s="256" t="n"/>
      <c r="O3879" s="256" t="n"/>
      <c r="P3879" s="256" t="n"/>
      <c r="Q3879" s="256" t="n"/>
    </row>
    <row r="3880">
      <c r="A3880">
        <f>IF(DAY(D3880)=DAY($L$1+1),A3879+1,A3879)</f>
        <v/>
      </c>
      <c r="B3880" s="46">
        <f>IF(DAY(D3880)=DAY($L$1+1),1,B3879+1)</f>
        <v/>
      </c>
      <c r="C3880" s="46">
        <f>IF(DAY(D3880)=DAY($L$1+1),1,C3879+1)</f>
        <v/>
      </c>
      <c r="D3880" s="2">
        <f>D3879+1</f>
        <v/>
      </c>
      <c r="E3880" s="8">
        <f>IF(DAY(D3880)=DAY($L$1+1),TRUNC((N3879),8),E3879)</f>
        <v/>
      </c>
      <c r="F3880" s="49">
        <f>TRUNC(((1+VLOOKUP(A3880,IPCA!$A$2:$C$140,3,0)))^(C3880/(EDATE(D3880-C3880,1)-(D3880-C3880))),8)</f>
        <v/>
      </c>
      <c r="G3880" s="4">
        <f>TRUNC((E3880*F3880),8)</f>
        <v/>
      </c>
      <c r="H3880" s="4">
        <f>ROUND(((1+$H$4)^(30/360))^(C3880/(EDATE(D3880-B3880,1)-(D3880-B3880))),9)</f>
        <v/>
      </c>
      <c r="I3880" s="49">
        <f>TRUNC((G3880*H3880-G3880),8)</f>
        <v/>
      </c>
      <c r="J3880" s="4">
        <f>G3880+I3880</f>
        <v/>
      </c>
      <c r="K3880" s="256" t="n"/>
      <c r="L3880" s="256" t="n"/>
      <c r="M3880" s="256" t="n"/>
      <c r="N3880" s="256" t="n"/>
      <c r="O3880" s="256" t="n"/>
      <c r="P3880" s="256" t="n"/>
      <c r="Q3880" s="256" t="n"/>
    </row>
    <row r="3881">
      <c r="A3881">
        <f>IF(DAY(D3881)=DAY($L$1+1),A3880+1,A3880)</f>
        <v/>
      </c>
      <c r="B3881" s="1">
        <f>IF(DAY(D3881)=DAY($L$1+1),1,B3880+1)</f>
        <v/>
      </c>
      <c r="C3881" s="1">
        <f>IF(DAY(D3881)=DAY($L$1+1),1,C3880+1)</f>
        <v/>
      </c>
      <c r="D3881" s="2">
        <f>D3880+1</f>
        <v/>
      </c>
      <c r="E3881" s="8">
        <f>IF(DAY(D3881)=DAY($L$1+1),TRUNC((N3880),8),E3880)</f>
        <v/>
      </c>
      <c r="F3881" s="49">
        <f>TRUNC(((1+VLOOKUP(A3881,IPCA!$A$2:$C$140,3,0)))^(C3881/(EDATE(D3881-C3881,1)-(D3881-C3881))),8)</f>
        <v/>
      </c>
      <c r="G3881" s="4">
        <f>TRUNC((E3881*F3881),8)</f>
        <v/>
      </c>
      <c r="H3881" s="4">
        <f>ROUND(((1+$H$4)^(30/360))^(C3881/(EDATE(D3881-B3881,1)-(D3881-B3881))),9)</f>
        <v/>
      </c>
      <c r="I3881" s="49">
        <f>TRUNC((G3881*H3881-G3881),8)</f>
        <v/>
      </c>
      <c r="J3881" s="4">
        <f>G3881+I3881</f>
        <v/>
      </c>
      <c r="K3881" s="256" t="n"/>
      <c r="L3881" s="256" t="n"/>
      <c r="M3881" s="256" t="n"/>
      <c r="N3881" s="256" t="n"/>
      <c r="O3881" s="256" t="n"/>
      <c r="P3881" s="256" t="n"/>
      <c r="Q3881" s="256" t="n"/>
    </row>
    <row r="3882">
      <c r="A3882">
        <f>IF(DAY(D3882)=DAY($L$1+1),A3881+1,A3881)</f>
        <v/>
      </c>
      <c r="B3882" s="46">
        <f>IF(DAY(D3882)=DAY($L$1+1),1,B3881+1)</f>
        <v/>
      </c>
      <c r="C3882" s="46">
        <f>IF(DAY(D3882)=DAY($L$1+1),1,C3881+1)</f>
        <v/>
      </c>
      <c r="D3882" s="2">
        <f>D3881+1</f>
        <v/>
      </c>
      <c r="E3882" s="8">
        <f>IF(DAY(D3882)=DAY($L$1+1),TRUNC((N3881),8),E3881)</f>
        <v/>
      </c>
      <c r="F3882" s="49">
        <f>TRUNC(((1+VLOOKUP(A3882,IPCA!$A$2:$C$140,3,0)))^(C3882/(EDATE(D3882-C3882,1)-(D3882-C3882))),8)</f>
        <v/>
      </c>
      <c r="G3882" s="4">
        <f>TRUNC((E3882*F3882),8)</f>
        <v/>
      </c>
      <c r="H3882" s="4">
        <f>ROUND(((1+$H$4)^(30/360))^(C3882/(EDATE(D3882-B3882,1)-(D3882-B3882))),9)</f>
        <v/>
      </c>
      <c r="I3882" s="49">
        <f>TRUNC((G3882*H3882-G3882),8)</f>
        <v/>
      </c>
      <c r="J3882" s="4">
        <f>G3882+I3882</f>
        <v/>
      </c>
      <c r="K3882" s="256" t="n"/>
      <c r="L3882" s="256" t="n"/>
      <c r="M3882" s="256" t="n"/>
      <c r="N3882" s="256" t="n"/>
      <c r="O3882" s="256" t="n"/>
      <c r="P3882" s="256" t="n"/>
      <c r="Q3882" s="256" t="n"/>
    </row>
    <row r="3883">
      <c r="A3883">
        <f>IF(DAY(D3883)=DAY($L$1+1),A3882+1,A3882)</f>
        <v/>
      </c>
      <c r="B3883" s="1">
        <f>IF(DAY(D3883)=DAY($L$1+1),1,B3882+1)</f>
        <v/>
      </c>
      <c r="C3883" s="1">
        <f>IF(DAY(D3883)=DAY($L$1+1),1,C3882+1)</f>
        <v/>
      </c>
      <c r="D3883" s="2">
        <f>D3882+1</f>
        <v/>
      </c>
      <c r="E3883" s="8">
        <f>IF(DAY(D3883)=DAY($L$1+1),TRUNC((N3882),8),E3882)</f>
        <v/>
      </c>
      <c r="F3883" s="49">
        <f>TRUNC(((1+VLOOKUP(A3883,IPCA!$A$2:$C$140,3,0)))^(C3883/(EDATE(D3883-C3883,1)-(D3883-C3883))),8)</f>
        <v/>
      </c>
      <c r="G3883" s="4">
        <f>TRUNC((E3883*F3883),8)</f>
        <v/>
      </c>
      <c r="H3883" s="4">
        <f>ROUND(((1+$H$4)^(30/360))^(C3883/(EDATE(D3883-B3883,1)-(D3883-B3883))),9)</f>
        <v/>
      </c>
      <c r="I3883" s="49">
        <f>TRUNC((G3883*H3883-G3883),8)</f>
        <v/>
      </c>
      <c r="J3883" s="4">
        <f>G3883+I3883</f>
        <v/>
      </c>
      <c r="K3883" s="256" t="n"/>
      <c r="L3883" s="256" t="n"/>
      <c r="M3883" s="256" t="n"/>
      <c r="N3883" s="256" t="n"/>
      <c r="O3883" s="256" t="n"/>
      <c r="P3883" s="256" t="n"/>
      <c r="Q3883" s="256" t="n"/>
    </row>
    <row r="3884">
      <c r="A3884">
        <f>IF(DAY(D3884)=DAY($L$1+1),A3883+1,A3883)</f>
        <v/>
      </c>
      <c r="B3884" s="46">
        <f>IF(DAY(D3884)=DAY($L$1+1),1,B3883+1)</f>
        <v/>
      </c>
      <c r="C3884" s="46">
        <f>IF(DAY(D3884)=DAY($L$1+1),1,C3883+1)</f>
        <v/>
      </c>
      <c r="D3884" s="2">
        <f>D3883+1</f>
        <v/>
      </c>
      <c r="E3884" s="8">
        <f>IF(DAY(D3884)=DAY($L$1+1),TRUNC((N3883),8),E3883)</f>
        <v/>
      </c>
      <c r="F3884" s="49">
        <f>TRUNC(((1+VLOOKUP(A3884,IPCA!$A$2:$C$140,3,0)))^(C3884/(EDATE(D3884-C3884,1)-(D3884-C3884))),8)</f>
        <v/>
      </c>
      <c r="G3884" s="4">
        <f>TRUNC((E3884*F3884),8)</f>
        <v/>
      </c>
      <c r="H3884" s="4">
        <f>ROUND(((1+$H$4)^(30/360))^(C3884/(EDATE(D3884-B3884,1)-(D3884-B3884))),9)</f>
        <v/>
      </c>
      <c r="I3884" s="49">
        <f>TRUNC((G3884*H3884-G3884),8)</f>
        <v/>
      </c>
      <c r="J3884" s="4">
        <f>G3884+I3884</f>
        <v/>
      </c>
      <c r="K3884" s="256" t="n"/>
      <c r="L3884" s="256" t="n"/>
      <c r="M3884" s="256" t="n"/>
      <c r="N3884" s="256" t="n"/>
      <c r="O3884" s="256" t="n"/>
      <c r="P3884" s="256" t="n"/>
      <c r="Q3884" s="256" t="n"/>
    </row>
    <row r="3885">
      <c r="A3885">
        <f>IF(DAY(D3885)=DAY($L$1+1),A3884+1,A3884)</f>
        <v/>
      </c>
      <c r="B3885" s="46">
        <f>IF(DAY(D3885)=DAY($L$1+1),1,B3884+1)</f>
        <v/>
      </c>
      <c r="C3885" s="46">
        <f>IF(DAY(D3885)=DAY($L$1+1),1,C3884+1)</f>
        <v/>
      </c>
      <c r="D3885" s="47">
        <f>D3884+1</f>
        <v/>
      </c>
      <c r="E3885" s="8">
        <f>IF(DAY(D3885)=DAY($L$1+1),TRUNC((N3884),8),E3884)</f>
        <v/>
      </c>
      <c r="F3885" s="49">
        <f>TRUNC(((1+VLOOKUP(A3885,IPCA!$A$2:$C$140,3,0)))^(C3885/(EDATE(D3885-C3885,1)-(D3885-C3885))),8)</f>
        <v/>
      </c>
      <c r="G3885" s="4">
        <f>TRUNC((E3885*F3885),8)</f>
        <v/>
      </c>
      <c r="H3885" s="4">
        <f>ROUND(((1+$H$4)^(30/360))^(C3885/(EDATE(D3885-B3885,1)-(D3885-B3885))),9)</f>
        <v/>
      </c>
      <c r="I3885" s="49">
        <f>TRUNC((G3885*H3885-G3885),8)</f>
        <v/>
      </c>
      <c r="J3885" s="4">
        <f>G3885+I3885</f>
        <v/>
      </c>
      <c r="K3885" s="256" t="inlineStr">
        <is>
          <t>Cri Integralizado</t>
        </is>
      </c>
      <c r="L3885" s="270">
        <f>L3854</f>
        <v/>
      </c>
      <c r="M3885" s="256" t="n"/>
      <c r="N3885" s="256" t="n"/>
      <c r="O3885" s="256" t="n"/>
      <c r="P3885" s="256" t="n"/>
      <c r="Q3885" s="256" t="n"/>
    </row>
    <row r="3886">
      <c r="A3886">
        <f>IF(DAY(D3886)=DAY($L$1+1),A3885+1,A3885)</f>
        <v/>
      </c>
      <c r="B3886" s="1">
        <f>IF(DAY(D3886)=DAY($L$1+1),1,B3885+1)</f>
        <v/>
      </c>
      <c r="C3886" s="46">
        <f>IF(DAY(D3886)=DAY($L$1+1),1,C3885+1)</f>
        <v/>
      </c>
      <c r="D3886" s="2">
        <f>D3885+1</f>
        <v/>
      </c>
      <c r="E3886" s="8">
        <f>IF(DAY(D3886)=DAY($L$1+1),TRUNC((N3885),8),E3885)</f>
        <v/>
      </c>
      <c r="F3886" s="49">
        <f>TRUNC(((1+VLOOKUP(A3886,IPCA!$A$2:$C$140,3,0)))^(C3886/(EDATE(D3886-C3886,1)-(D3886-C3886))),8)</f>
        <v/>
      </c>
      <c r="G3886" s="4">
        <f>TRUNC((E3886*F3886),8)</f>
        <v/>
      </c>
      <c r="H3886" s="4">
        <f>ROUND(((1+$H$4)^(30/360))^(C3886/(EDATE(D3886-B3886,1)-(D3886-B3886))),9)</f>
        <v/>
      </c>
      <c r="I3886" s="49">
        <f>TRUNC((G3886*H3886-G3886),8)</f>
        <v/>
      </c>
      <c r="J3886" s="4">
        <f>G3886+I3886</f>
        <v/>
      </c>
      <c r="K3886" s="137" t="inlineStr">
        <is>
          <t>JUROS</t>
        </is>
      </c>
      <c r="L3886" s="118" t="inlineStr">
        <is>
          <t>AMORTIZAÇÃO</t>
        </is>
      </c>
      <c r="M3886" s="118" t="inlineStr">
        <is>
          <t>AMEX</t>
        </is>
      </c>
      <c r="N3886" s="118" t="inlineStr">
        <is>
          <t>RESIDUAL</t>
        </is>
      </c>
      <c r="O3886" s="256" t="n"/>
      <c r="P3886" s="256" t="n"/>
      <c r="Q3886" s="256" t="n"/>
    </row>
    <row r="3887">
      <c r="A3887">
        <f>IF(DAY(D3887)=DAY($L$1+1),A3886+1,A3886)</f>
        <v/>
      </c>
      <c r="B3887" s="111">
        <f>IF(DAY(D3887)=DAY($L$1+1),1,B3886+1)</f>
        <v/>
      </c>
      <c r="C3887" s="111">
        <f>IF(DAY(D3887)=DAY($L$1+1),1,C3886+1)</f>
        <v/>
      </c>
      <c r="D3887" s="112">
        <f>D3886+1</f>
        <v/>
      </c>
      <c r="E3887" s="113">
        <f>IF(DAY(D3887)=DAY($L$1+1),TRUNC((N3886),8),E3886)</f>
        <v/>
      </c>
      <c r="F3887" s="114">
        <f>TRUNC(((1+VLOOKUP(A3887,IPCA!$A$2:$C$140,3,0)))^(C3887/(EDATE(D3887-C3887,1)-(D3887-C3887))),8)</f>
        <v/>
      </c>
      <c r="G3887" s="114">
        <f>TRUNC((E3887*F3887),8)</f>
        <v/>
      </c>
      <c r="H3887" s="114">
        <f>ROUND(((1+$H$4)^(30/360))^(C3887/(EDATE(D3887-B3887,1)-(D3887-B3887))),9)</f>
        <v/>
      </c>
      <c r="I3887" s="114">
        <f>TRUNC((G3887*H3887-G3887),8)</f>
        <v/>
      </c>
      <c r="J3887" s="114">
        <f>G3887+I3887</f>
        <v/>
      </c>
      <c r="K3887" s="119">
        <f>I3887</f>
        <v/>
      </c>
      <c r="L3887" s="120">
        <f>TRUNC(G3887*VLOOKUP(D3887,'Amort TS'!$G$3:$H$140,2,0),8)</f>
        <v/>
      </c>
      <c r="M3887" s="120" t="n">
        <v>0</v>
      </c>
      <c r="N3887" s="120">
        <f>J3887-K3887-L3887-M3887</f>
        <v/>
      </c>
      <c r="O3887" s="256" t="n"/>
      <c r="P3887" s="256" t="n"/>
      <c r="Q3887" s="256" t="n"/>
    </row>
    <row r="3888">
      <c r="A3888">
        <f>IF(DAY(D3888)=DAY($L$1+1),A3887+1,A3887)</f>
        <v/>
      </c>
      <c r="B3888" s="46">
        <f>IF(DAY(D3888)=DAY($L$1+1),1,B3887+1)</f>
        <v/>
      </c>
      <c r="C3888" s="46">
        <f>IF(DAY(D3888)=DAY($L$1+1),1,C3887+1)</f>
        <v/>
      </c>
      <c r="D3888" s="47">
        <f>D3887+1</f>
        <v/>
      </c>
      <c r="E3888" s="8">
        <f>IF(DAY(D3888)=DAY($L$1+1),TRUNC((N3887),8),E3887)</f>
        <v/>
      </c>
      <c r="F3888" s="49">
        <f>TRUNC(((1+VLOOKUP(A3888,IPCA!$A$2:$C$140,3,0)))^(C3888/(EDATE(D3888-C3888,1)-(D3888-C3888))),8)</f>
        <v/>
      </c>
      <c r="G3888" s="4">
        <f>TRUNC((E3888*F3888),8)</f>
        <v/>
      </c>
      <c r="H3888" s="4">
        <f>ROUND(((1+$H$4)^(30/360))^(C3888/(EDATE(D3888-B3888,1)-(D3888-B3888))),9)</f>
        <v/>
      </c>
      <c r="I3888" s="49">
        <f>TRUNC((G3888*H3888-G3888),8)</f>
        <v/>
      </c>
      <c r="J3888" s="4">
        <f>G3888+I3888</f>
        <v/>
      </c>
      <c r="K3888" s="121">
        <f>K3887*L3885</f>
        <v/>
      </c>
      <c r="L3888" s="121">
        <f>L3887*L3885</f>
        <v/>
      </c>
      <c r="M3888" s="121">
        <f>M3887*L3885</f>
        <v/>
      </c>
      <c r="N3888" s="121">
        <f>N3887*L3885</f>
        <v/>
      </c>
      <c r="O3888" s="256" t="n"/>
      <c r="P3888" s="256" t="n"/>
      <c r="Q3888" s="256" t="n"/>
    </row>
    <row r="3889">
      <c r="A3889">
        <f>IF(DAY(D3889)=DAY($L$1+1),A3888+1,A3888)</f>
        <v/>
      </c>
      <c r="B3889" s="1">
        <f>IF(DAY(D3889)=DAY($L$1+1),1,B3888+1)</f>
        <v/>
      </c>
      <c r="C3889" s="1">
        <f>IF(DAY(D3889)=DAY($L$1+1),1,C3888+1)</f>
        <v/>
      </c>
      <c r="D3889" s="2">
        <f>D3888+1</f>
        <v/>
      </c>
      <c r="E3889" s="8">
        <f>IF(DAY(D3889)=DAY($L$1+1),TRUNC((N3888),8),E3888)</f>
        <v/>
      </c>
      <c r="F3889" s="49">
        <f>TRUNC(((1+VLOOKUP(A3889,IPCA!$A$2:$C$140,3,0)))^(C3889/(EDATE(D3889-C3889,1)-(D3889-C3889))),8)</f>
        <v/>
      </c>
      <c r="G3889" s="4">
        <f>TRUNC((E3889*F3889),8)</f>
        <v/>
      </c>
      <c r="H3889" s="4">
        <f>ROUND(((1+$H$4)^(30/360))^(C3889/(EDATE(D3889-B3889,1)-(D3889-B3889))),9)</f>
        <v/>
      </c>
      <c r="I3889" s="49">
        <f>TRUNC((G3889*H3889-G3889),8)</f>
        <v/>
      </c>
      <c r="J3889" s="4">
        <f>G3889+I3889</f>
        <v/>
      </c>
      <c r="K3889" s="256" t="n"/>
      <c r="L3889" s="256" t="n"/>
      <c r="M3889" s="256" t="n"/>
      <c r="N3889" s="256" t="n"/>
      <c r="O3889" s="256" t="n"/>
      <c r="P3889" s="256" t="n"/>
      <c r="Q3889" s="256" t="n"/>
    </row>
    <row r="3890">
      <c r="A3890">
        <f>IF(DAY(D3890)=DAY($L$1+1),A3889+1,A3889)</f>
        <v/>
      </c>
      <c r="B3890" s="46">
        <f>IF(DAY(D3890)=DAY($L$1+1),1,B3889+1)</f>
        <v/>
      </c>
      <c r="C3890" s="46">
        <f>IF(DAY(D3890)=DAY($L$1+1),1,C3889+1)</f>
        <v/>
      </c>
      <c r="D3890" s="2">
        <f>D3889+1</f>
        <v/>
      </c>
      <c r="E3890" s="8">
        <f>IF(DAY(D3890)=DAY($L$1+1),TRUNC((#REF!),8),E3889)</f>
        <v/>
      </c>
      <c r="F3890" s="49">
        <f>TRUNC(((1+VLOOKUP(A3890,IPCA!$A$2:$C$140,3,0)))^(C3890/(EDATE(D3890-C3890,1)-(D3890-C3890))),8)</f>
        <v/>
      </c>
      <c r="G3890" s="4">
        <f>TRUNC((E3890*F3890),8)</f>
        <v/>
      </c>
      <c r="H3890" s="4">
        <f>ROUND(((1+$H$4)^(30/360))^(C3890/(EDATE(D3890-B3890,1)-(D3890-B3890))),9)</f>
        <v/>
      </c>
      <c r="I3890" s="49">
        <f>TRUNC((G3890*H3890-G3890),8)</f>
        <v/>
      </c>
      <c r="J3890" s="4">
        <f>G3890+I3890</f>
        <v/>
      </c>
      <c r="K3890" s="256" t="n"/>
      <c r="L3890" s="256" t="n"/>
      <c r="M3890" s="256" t="n"/>
      <c r="N3890" s="256" t="n"/>
      <c r="O3890" s="256" t="n"/>
      <c r="P3890" s="256" t="n"/>
      <c r="Q3890" s="256" t="n"/>
    </row>
    <row r="3891">
      <c r="A3891">
        <f>IF(DAY(D3891)=DAY($L$1+1),A3890+1,A3890)</f>
        <v/>
      </c>
      <c r="B3891" s="1">
        <f>IF(DAY(D3891)=DAY($L$1+1),1,B3890+1)</f>
        <v/>
      </c>
      <c r="C3891" s="1">
        <f>IF(DAY(D3891)=DAY($L$1+1),1,C3890+1)</f>
        <v/>
      </c>
      <c r="D3891" s="2">
        <f>D3890+1</f>
        <v/>
      </c>
      <c r="E3891" s="8">
        <f>IF(DAY(D3891)=DAY($L$1+1),TRUNC((#REF!),8),E3890)</f>
        <v/>
      </c>
      <c r="F3891" s="49">
        <f>TRUNC(((1+VLOOKUP(A3891,IPCA!$A$2:$C$140,3,0)))^(C3891/(EDATE(D3891-C3891,1)-(D3891-C3891))),8)</f>
        <v/>
      </c>
      <c r="G3891" s="4">
        <f>TRUNC((E3891*F3891),8)</f>
        <v/>
      </c>
      <c r="H3891" s="4">
        <f>ROUND(((1+$H$4)^(30/360))^(C3891/(EDATE(D3891-B3891,1)-(D3891-B3891))),9)</f>
        <v/>
      </c>
      <c r="I3891" s="49">
        <f>TRUNC((G3891*H3891-G3891),8)</f>
        <v/>
      </c>
      <c r="J3891" s="4">
        <f>G3891+I3891</f>
        <v/>
      </c>
      <c r="K3891" s="256" t="n"/>
      <c r="L3891" s="256" t="n"/>
      <c r="M3891" s="256" t="n"/>
      <c r="N3891" s="256" t="n"/>
      <c r="O3891" s="256" t="n"/>
      <c r="P3891" s="256" t="n"/>
      <c r="Q3891" s="256" t="n"/>
    </row>
    <row r="3892">
      <c r="A3892">
        <f>IF(DAY(D3892)=DAY($L$1+1),A3891+1,A3891)</f>
        <v/>
      </c>
      <c r="B3892" s="46">
        <f>IF(DAY(D3892)=DAY($L$1+1),1,B3891+1)</f>
        <v/>
      </c>
      <c r="C3892" s="46">
        <f>IF(DAY(D3892)=DAY($L$1+1),1,C3891+1)</f>
        <v/>
      </c>
      <c r="D3892" s="2">
        <f>D3891+1</f>
        <v/>
      </c>
      <c r="E3892" s="8">
        <f>IF(DAY(D3892)=DAY($L$1+1),TRUNC((#REF!),8),E3891)</f>
        <v/>
      </c>
      <c r="F3892" s="49">
        <f>TRUNC(((1+VLOOKUP(A3892,IPCA!$A$2:$C$140,3,0)))^(C3892/(EDATE(D3892-C3892,1)-(D3892-C3892))),8)</f>
        <v/>
      </c>
      <c r="G3892" s="4">
        <f>TRUNC((E3892*F3892),8)</f>
        <v/>
      </c>
      <c r="H3892" s="4">
        <f>ROUND(((1+$H$4)^(30/360))^(C3892/(EDATE(D3892-B3892,1)-(D3892-B3892))),9)</f>
        <v/>
      </c>
      <c r="I3892" s="49">
        <f>TRUNC((G3892*H3892-G3892),8)</f>
        <v/>
      </c>
      <c r="J3892" s="4">
        <f>G3892+I3892</f>
        <v/>
      </c>
      <c r="K3892" s="256" t="n"/>
      <c r="L3892" s="256" t="n"/>
      <c r="M3892" s="256" t="n"/>
      <c r="N3892" s="256" t="n"/>
      <c r="O3892" s="256" t="n"/>
      <c r="P3892" s="256" t="n"/>
      <c r="Q3892" s="256" t="n"/>
    </row>
    <row r="3893">
      <c r="A3893">
        <f>IF(DAY(D3893)=DAY($L$1+1),A3892+1,A3892)</f>
        <v/>
      </c>
      <c r="B3893" s="1">
        <f>IF(DAY(D3893)=DAY($L$1+1),1,B3892+1)</f>
        <v/>
      </c>
      <c r="C3893" s="1">
        <f>IF(DAY(D3893)=DAY($L$1+1),1,C3892+1)</f>
        <v/>
      </c>
      <c r="D3893" s="2">
        <f>D3892+1</f>
        <v/>
      </c>
      <c r="E3893" s="8">
        <f>IF(DAY(D3893)=DAY($L$1+1),TRUNC((#REF!),8),E3892)</f>
        <v/>
      </c>
      <c r="F3893" s="49">
        <f>TRUNC(((1+VLOOKUP(A3893,IPCA!$A$2:$C$140,3,0)))^(C3893/(EDATE(D3893-C3893,1)-(D3893-C3893))),8)</f>
        <v/>
      </c>
      <c r="G3893" s="4">
        <f>TRUNC((E3893*F3893),8)</f>
        <v/>
      </c>
      <c r="H3893" s="4">
        <f>ROUND(((1+$H$4)^(30/360))^(C3893/(EDATE(D3893-B3893,1)-(D3893-B3893))),9)</f>
        <v/>
      </c>
      <c r="I3893" s="49">
        <f>TRUNC((G3893*H3893-G3893),8)</f>
        <v/>
      </c>
      <c r="J3893" s="4">
        <f>G3893+I3893</f>
        <v/>
      </c>
      <c r="K3893" s="256" t="n"/>
      <c r="L3893" s="256" t="n"/>
      <c r="M3893" s="256" t="n"/>
      <c r="N3893" s="256" t="n"/>
      <c r="O3893" s="256" t="n"/>
      <c r="P3893" s="256" t="n"/>
      <c r="Q3893" s="256" t="n"/>
    </row>
    <row r="3894">
      <c r="A3894">
        <f>IF(DAY(D3894)=DAY($L$1+1),A3893+1,A3893)</f>
        <v/>
      </c>
      <c r="B3894" s="46">
        <f>IF(DAY(D3894)=DAY($L$1+1),1,B3893+1)</f>
        <v/>
      </c>
      <c r="C3894" s="46">
        <f>IF(DAY(D3894)=DAY($L$1+1),1,C3893+1)</f>
        <v/>
      </c>
      <c r="D3894" s="2">
        <f>D3893+1</f>
        <v/>
      </c>
      <c r="E3894" s="8">
        <f>IF(DAY(D3894)=DAY($L$1+1),TRUNC((#REF!),8),E3893)</f>
        <v/>
      </c>
      <c r="F3894" s="49">
        <f>TRUNC(((1+VLOOKUP(A3894,IPCA!$A$2:$C$140,3,0)))^(C3894/(EDATE(D3894-C3894,1)-(D3894-C3894))),8)</f>
        <v/>
      </c>
      <c r="G3894" s="4">
        <f>TRUNC((E3894*F3894),8)</f>
        <v/>
      </c>
      <c r="H3894" s="4">
        <f>ROUND(((1+$H$4)^(30/360))^(C3894/(EDATE(D3894-B3894,1)-(D3894-B3894))),9)</f>
        <v/>
      </c>
      <c r="I3894" s="49">
        <f>TRUNC((G3894*H3894-G3894),8)</f>
        <v/>
      </c>
      <c r="J3894" s="4">
        <f>G3894+I3894</f>
        <v/>
      </c>
      <c r="K3894" s="256" t="n"/>
      <c r="L3894" s="256" t="n"/>
      <c r="M3894" s="256" t="n"/>
      <c r="N3894" s="256" t="n"/>
      <c r="O3894" s="256" t="n"/>
      <c r="P3894" s="256" t="n"/>
      <c r="Q3894" s="256" t="n"/>
    </row>
    <row r="3895">
      <c r="A3895">
        <f>IF(DAY(D3895)=DAY($L$1+1),A3894+1,A3894)</f>
        <v/>
      </c>
      <c r="B3895" s="1">
        <f>IF(DAY(D3895)=DAY($L$1+1),1,B3894+1)</f>
        <v/>
      </c>
      <c r="C3895" s="1">
        <f>IF(DAY(D3895)=DAY($L$1+1),1,C3894+1)</f>
        <v/>
      </c>
      <c r="D3895" s="2">
        <f>D3894+1</f>
        <v/>
      </c>
      <c r="E3895" s="8">
        <f>IF(DAY(D3895)=DAY($L$1+1),TRUNC((#REF!),8),E3894)</f>
        <v/>
      </c>
      <c r="F3895" s="49">
        <f>TRUNC(((1+VLOOKUP(A3895,IPCA!$A$2:$C$140,3,0)))^(C3895/(EDATE(D3895-C3895,1)-(D3895-C3895))),8)</f>
        <v/>
      </c>
      <c r="G3895" s="4">
        <f>TRUNC((E3895*F3895),8)</f>
        <v/>
      </c>
      <c r="H3895" s="4">
        <f>ROUND(((1+$H$4)^(30/360))^(C3895/(EDATE(D3895-B3895,1)-(D3895-B3895))),9)</f>
        <v/>
      </c>
      <c r="I3895" s="49">
        <f>TRUNC((G3895*H3895-G3895),8)</f>
        <v/>
      </c>
      <c r="J3895" s="4">
        <f>G3895+I3895</f>
        <v/>
      </c>
      <c r="K3895" s="256" t="n"/>
      <c r="L3895" s="256" t="n"/>
      <c r="M3895" s="256" t="n"/>
      <c r="N3895" s="256" t="n"/>
      <c r="O3895" s="256" t="n"/>
      <c r="P3895" s="256" t="n"/>
      <c r="Q3895" s="256" t="n"/>
    </row>
    <row r="3896">
      <c r="A3896">
        <f>IF(DAY(D3896)=DAY($L$1+1),A3895+1,A3895)</f>
        <v/>
      </c>
      <c r="B3896" s="46">
        <f>IF(DAY(D3896)=DAY($L$1+1),1,B3895+1)</f>
        <v/>
      </c>
      <c r="C3896" s="46">
        <f>IF(DAY(D3896)=DAY($L$1+1),1,C3895+1)</f>
        <v/>
      </c>
      <c r="D3896" s="2">
        <f>D3895+1</f>
        <v/>
      </c>
      <c r="E3896" s="8">
        <f>IF(DAY(D3896)=DAY($L$1+1),TRUNC((#REF!),8),E3895)</f>
        <v/>
      </c>
      <c r="F3896" s="49">
        <f>TRUNC(((1+VLOOKUP(A3896,IPCA!$A$2:$C$140,3,0)))^(C3896/(EDATE(D3896-C3896,1)-(D3896-C3896))),8)</f>
        <v/>
      </c>
      <c r="G3896" s="4">
        <f>TRUNC((E3896*F3896),8)</f>
        <v/>
      </c>
      <c r="H3896" s="4">
        <f>ROUND(((1+$H$4)^(30/360))^(C3896/(EDATE(D3896-B3896,1)-(D3896-B3896))),9)</f>
        <v/>
      </c>
      <c r="I3896" s="49">
        <f>TRUNC((G3896*H3896-G3896),8)</f>
        <v/>
      </c>
      <c r="J3896" s="4">
        <f>G3896+I3896</f>
        <v/>
      </c>
      <c r="K3896" s="256" t="n"/>
      <c r="L3896" s="256" t="n"/>
      <c r="M3896" s="256" t="n"/>
      <c r="N3896" s="256" t="n"/>
      <c r="O3896" s="256" t="n"/>
      <c r="P3896" s="256" t="n"/>
      <c r="Q3896" s="256" t="n"/>
    </row>
    <row r="3897">
      <c r="A3897">
        <f>IF(DAY(D3897)=DAY($L$1+1),A3896+1,A3896)</f>
        <v/>
      </c>
      <c r="B3897" s="1">
        <f>IF(DAY(D3897)=DAY($L$1+1),1,B3896+1)</f>
        <v/>
      </c>
      <c r="C3897" s="1">
        <f>IF(DAY(D3897)=DAY($L$1+1),1,C3896+1)</f>
        <v/>
      </c>
      <c r="D3897" s="2">
        <f>D3896+1</f>
        <v/>
      </c>
      <c r="E3897" s="8">
        <f>IF(DAY(D3897)=DAY($L$1+1),TRUNC((#REF!),8),E3896)</f>
        <v/>
      </c>
      <c r="F3897" s="49">
        <f>TRUNC(((1+VLOOKUP(A3897,IPCA!$A$2:$C$140,3,0)))^(C3897/(EDATE(D3897-C3897,1)-(D3897-C3897))),8)</f>
        <v/>
      </c>
      <c r="G3897" s="4">
        <f>TRUNC((E3897*F3897),8)</f>
        <v/>
      </c>
      <c r="H3897" s="4">
        <f>ROUND(((1+$H$4)^(30/360))^(C3897/(EDATE(D3897-B3897,1)-(D3897-B3897))),9)</f>
        <v/>
      </c>
      <c r="I3897" s="49">
        <f>TRUNC((G3897*H3897-G3897),8)</f>
        <v/>
      </c>
      <c r="J3897" s="4">
        <f>G3897+I3897</f>
        <v/>
      </c>
      <c r="K3897" s="256" t="n"/>
      <c r="L3897" s="256" t="n"/>
      <c r="M3897" s="256" t="n"/>
      <c r="N3897" s="256" t="n"/>
      <c r="O3897" s="256" t="n"/>
      <c r="P3897" s="256" t="n"/>
      <c r="Q3897" s="256" t="n"/>
    </row>
    <row r="3898">
      <c r="A3898">
        <f>IF(DAY(D3898)=DAY($L$1+1),A3897+1,A3897)</f>
        <v/>
      </c>
      <c r="B3898" s="46">
        <f>IF(DAY(D3898)=DAY($L$1+1),1,B3897+1)</f>
        <v/>
      </c>
      <c r="C3898" s="46">
        <f>IF(DAY(D3898)=DAY($L$1+1),1,C3897+1)</f>
        <v/>
      </c>
      <c r="D3898" s="2">
        <f>D3897+1</f>
        <v/>
      </c>
      <c r="E3898" s="8">
        <f>IF(DAY(D3898)=DAY($L$1+1),TRUNC((#REF!),8),E3897)</f>
        <v/>
      </c>
      <c r="F3898" s="49">
        <f>TRUNC(((1+VLOOKUP(A3898,IPCA!$A$2:$C$140,3,0)))^(C3898/(EDATE(D3898-C3898,1)-(D3898-C3898))),8)</f>
        <v/>
      </c>
      <c r="G3898" s="4">
        <f>TRUNC((E3898*F3898),8)</f>
        <v/>
      </c>
      <c r="H3898" s="4">
        <f>ROUND(((1+$H$4)^(30/360))^(C3898/(EDATE(D3898-B3898,1)-(D3898-B3898))),9)</f>
        <v/>
      </c>
      <c r="I3898" s="49">
        <f>TRUNC((G3898*H3898-G3898),8)</f>
        <v/>
      </c>
      <c r="J3898" s="4">
        <f>G3898+I3898</f>
        <v/>
      </c>
      <c r="K3898" s="256" t="n"/>
      <c r="L3898" s="256" t="n"/>
      <c r="M3898" s="256" t="n"/>
      <c r="N3898" s="256" t="n"/>
      <c r="O3898" s="256" t="n"/>
      <c r="P3898" s="256" t="n"/>
      <c r="Q3898" s="256" t="n"/>
    </row>
    <row r="3899">
      <c r="A3899">
        <f>IF(DAY(D3899)=DAY($L$1+1),A3898+1,A3898)</f>
        <v/>
      </c>
      <c r="B3899" s="1">
        <f>IF(DAY(D3899)=DAY($L$1+1),1,B3898+1)</f>
        <v/>
      </c>
      <c r="C3899" s="1">
        <f>IF(DAY(D3899)=DAY($L$1+1),1,C3898+1)</f>
        <v/>
      </c>
      <c r="D3899" s="2">
        <f>D3898+1</f>
        <v/>
      </c>
      <c r="E3899" s="8">
        <f>IF(DAY(D3899)=DAY($L$1+1),TRUNC((N3898),8),E3898)</f>
        <v/>
      </c>
      <c r="F3899" s="49">
        <f>TRUNC(((1+VLOOKUP(A3899,IPCA!$A$2:$C$140,3,0)))^(C3899/(EDATE(D3899-C3899,1)-(D3899-C3899))),8)</f>
        <v/>
      </c>
      <c r="G3899" s="4">
        <f>TRUNC((E3899*F3899),8)</f>
        <v/>
      </c>
      <c r="H3899" s="4">
        <f>ROUND(((1+$H$4)^(30/360))^(C3899/(EDATE(D3899-B3899,1)-(D3899-B3899))),9)</f>
        <v/>
      </c>
      <c r="I3899" s="49">
        <f>TRUNC((G3899*H3899-G3899),8)</f>
        <v/>
      </c>
      <c r="J3899" s="4">
        <f>G3899+I3899</f>
        <v/>
      </c>
      <c r="K3899" s="256" t="n"/>
      <c r="L3899" s="256" t="n"/>
      <c r="M3899" s="256" t="n"/>
      <c r="N3899" s="256" t="n"/>
      <c r="O3899" s="256" t="n"/>
      <c r="P3899" s="256" t="n"/>
      <c r="Q3899" s="256" t="n"/>
    </row>
    <row r="3900">
      <c r="A3900">
        <f>IF(DAY(D3900)=DAY($L$1+1),A3899+1,A3899)</f>
        <v/>
      </c>
      <c r="B3900" s="46">
        <f>IF(DAY(D3900)=DAY($L$1+1),1,B3899+1)</f>
        <v/>
      </c>
      <c r="C3900" s="46">
        <f>IF(DAY(D3900)=DAY($L$1+1),1,C3899+1)</f>
        <v/>
      </c>
      <c r="D3900" s="2">
        <f>D3899+1</f>
        <v/>
      </c>
      <c r="E3900" s="8">
        <f>IF(DAY(D3900)=DAY($L$1+1),TRUNC((N3899),8),E3899)</f>
        <v/>
      </c>
      <c r="F3900" s="49">
        <f>TRUNC(((1+VLOOKUP(A3900,IPCA!$A$2:$C$140,3,0)))^(C3900/(EDATE(D3900-C3900,1)-(D3900-C3900))),8)</f>
        <v/>
      </c>
      <c r="G3900" s="4">
        <f>TRUNC((E3900*F3900),8)</f>
        <v/>
      </c>
      <c r="H3900" s="4">
        <f>ROUND(((1+$H$4)^(30/360))^(C3900/(EDATE(D3900-B3900,1)-(D3900-B3900))),9)</f>
        <v/>
      </c>
      <c r="I3900" s="49">
        <f>TRUNC((G3900*H3900-G3900),8)</f>
        <v/>
      </c>
      <c r="J3900" s="4">
        <f>G3900+I3900</f>
        <v/>
      </c>
      <c r="K3900" s="256" t="n"/>
      <c r="L3900" s="256" t="n"/>
      <c r="M3900" s="256" t="n"/>
      <c r="N3900" s="256" t="n"/>
      <c r="O3900" s="256" t="n"/>
      <c r="P3900" s="256" t="n"/>
      <c r="Q3900" s="256" t="n"/>
    </row>
    <row r="3901">
      <c r="A3901">
        <f>IF(DAY(D3901)=DAY($L$1+1),A3900+1,A3900)</f>
        <v/>
      </c>
      <c r="B3901" s="1">
        <f>IF(DAY(D3901)=DAY($L$1+1),1,B3900+1)</f>
        <v/>
      </c>
      <c r="C3901" s="1">
        <f>IF(DAY(D3901)=DAY($L$1+1),1,C3900+1)</f>
        <v/>
      </c>
      <c r="D3901" s="2">
        <f>D3900+1</f>
        <v/>
      </c>
      <c r="E3901" s="8">
        <f>IF(DAY(D3901)=DAY($L$1+1),TRUNC((N3900),8),E3900)</f>
        <v/>
      </c>
      <c r="F3901" s="49">
        <f>TRUNC(((1+VLOOKUP(A3901,IPCA!$A$2:$C$140,3,0)))^(C3901/(EDATE(D3901-C3901,1)-(D3901-C3901))),8)</f>
        <v/>
      </c>
      <c r="G3901" s="4">
        <f>TRUNC((E3901*F3901),8)</f>
        <v/>
      </c>
      <c r="H3901" s="4">
        <f>ROUND(((1+$H$4)^(30/360))^(C3901/(EDATE(D3901-B3901,1)-(D3901-B3901))),9)</f>
        <v/>
      </c>
      <c r="I3901" s="49">
        <f>TRUNC((G3901*H3901-G3901),8)</f>
        <v/>
      </c>
      <c r="J3901" s="4">
        <f>G3901+I3901</f>
        <v/>
      </c>
      <c r="K3901" s="256" t="n"/>
      <c r="L3901" s="256" t="n"/>
      <c r="M3901" s="256" t="n"/>
      <c r="N3901" s="256" t="n"/>
      <c r="O3901" s="256" t="n"/>
      <c r="P3901" s="256" t="n"/>
      <c r="Q3901" s="256" t="n"/>
    </row>
    <row r="3902">
      <c r="A3902">
        <f>IF(DAY(D3902)=DAY($L$1+1),A3901+1,A3901)</f>
        <v/>
      </c>
      <c r="B3902" s="46">
        <f>IF(DAY(D3902)=DAY($L$1+1),1,B3901+1)</f>
        <v/>
      </c>
      <c r="C3902" s="46">
        <f>IF(DAY(D3902)=DAY($L$1+1),1,C3901+1)</f>
        <v/>
      </c>
      <c r="D3902" s="2">
        <f>D3901+1</f>
        <v/>
      </c>
      <c r="E3902" s="8">
        <f>IF(DAY(D3902)=DAY($L$1+1),TRUNC((N3901),8),E3901)</f>
        <v/>
      </c>
      <c r="F3902" s="49">
        <f>TRUNC(((1+VLOOKUP(A3902,IPCA!$A$2:$C$140,3,0)))^(C3902/(EDATE(D3902-C3902,1)-(D3902-C3902))),8)</f>
        <v/>
      </c>
      <c r="G3902" s="4">
        <f>TRUNC((E3902*F3902),8)</f>
        <v/>
      </c>
      <c r="H3902" s="4">
        <f>ROUND(((1+$H$4)^(30/360))^(C3902/(EDATE(D3902-B3902,1)-(D3902-B3902))),9)</f>
        <v/>
      </c>
      <c r="I3902" s="49">
        <f>TRUNC((G3902*H3902-G3902),8)</f>
        <v/>
      </c>
      <c r="J3902" s="4">
        <f>G3902+I3902</f>
        <v/>
      </c>
      <c r="K3902" s="256" t="n"/>
      <c r="L3902" s="256" t="n"/>
      <c r="M3902" s="256" t="n"/>
      <c r="N3902" s="256" t="n"/>
      <c r="O3902" s="256" t="n"/>
      <c r="P3902" s="256" t="n"/>
      <c r="Q3902" s="256" t="n"/>
    </row>
    <row r="3903">
      <c r="A3903">
        <f>IF(DAY(D3903)=DAY($L$1+1),A3902+1,A3902)</f>
        <v/>
      </c>
      <c r="B3903" s="1">
        <f>IF(DAY(D3903)=DAY($L$1+1),1,B3902+1)</f>
        <v/>
      </c>
      <c r="C3903" s="1">
        <f>IF(DAY(D3903)=DAY($L$1+1),1,C3902+1)</f>
        <v/>
      </c>
      <c r="D3903" s="2">
        <f>D3902+1</f>
        <v/>
      </c>
      <c r="E3903" s="8">
        <f>IF(DAY(D3903)=DAY($L$1+1),TRUNC((N3902),8),E3902)</f>
        <v/>
      </c>
      <c r="F3903" s="49">
        <f>TRUNC(((1+VLOOKUP(A3903,IPCA!$A$2:$C$140,3,0)))^(C3903/(EDATE(D3903-C3903,1)-(D3903-C3903))),8)</f>
        <v/>
      </c>
      <c r="G3903" s="4">
        <f>TRUNC((E3903*F3903),8)</f>
        <v/>
      </c>
      <c r="H3903" s="4">
        <f>ROUND(((1+$H$4)^(30/360))^(C3903/(EDATE(D3903-B3903,1)-(D3903-B3903))),9)</f>
        <v/>
      </c>
      <c r="I3903" s="49">
        <f>TRUNC((G3903*H3903-G3903),8)</f>
        <v/>
      </c>
      <c r="J3903" s="4">
        <f>G3903+I3903</f>
        <v/>
      </c>
      <c r="K3903" s="256" t="n"/>
      <c r="L3903" s="256" t="n"/>
      <c r="M3903" s="256" t="n"/>
      <c r="N3903" s="256" t="n"/>
      <c r="O3903" s="256" t="n"/>
      <c r="P3903" s="256" t="n"/>
      <c r="Q3903" s="256" t="n"/>
    </row>
    <row r="3904">
      <c r="A3904">
        <f>IF(DAY(D3904)=DAY($L$1+1),A3903+1,A3903)</f>
        <v/>
      </c>
      <c r="B3904" s="46">
        <f>IF(DAY(D3904)=DAY($L$1+1),1,B3903+1)</f>
        <v/>
      </c>
      <c r="C3904" s="46">
        <f>IF(DAY(D3904)=DAY($L$1+1),1,C3903+1)</f>
        <v/>
      </c>
      <c r="D3904" s="2">
        <f>D3903+1</f>
        <v/>
      </c>
      <c r="E3904" s="8">
        <f>IF(DAY(D3904)=DAY($L$1+1),TRUNC((N3903),8),E3903)</f>
        <v/>
      </c>
      <c r="F3904" s="49">
        <f>TRUNC(((1+VLOOKUP(A3904,IPCA!$A$2:$C$140,3,0)))^(C3904/(EDATE(D3904-C3904,1)-(D3904-C3904))),8)</f>
        <v/>
      </c>
      <c r="G3904" s="4">
        <f>TRUNC((E3904*F3904),8)</f>
        <v/>
      </c>
      <c r="H3904" s="4">
        <f>ROUND(((1+$H$4)^(30/360))^(C3904/(EDATE(D3904-B3904,1)-(D3904-B3904))),9)</f>
        <v/>
      </c>
      <c r="I3904" s="49">
        <f>TRUNC((G3904*H3904-G3904),8)</f>
        <v/>
      </c>
      <c r="J3904" s="4">
        <f>G3904+I3904</f>
        <v/>
      </c>
      <c r="K3904" s="256" t="n"/>
      <c r="L3904" s="256" t="n"/>
      <c r="M3904" s="256" t="n"/>
      <c r="N3904" s="256" t="n"/>
      <c r="O3904" s="256" t="n"/>
      <c r="P3904" s="256" t="n"/>
      <c r="Q3904" s="256" t="n"/>
    </row>
    <row r="3905">
      <c r="A3905">
        <f>IF(DAY(D3905)=DAY($L$1+1),A3904+1,A3904)</f>
        <v/>
      </c>
      <c r="B3905" s="1">
        <f>IF(DAY(D3905)=DAY($L$1+1),1,B3904+1)</f>
        <v/>
      </c>
      <c r="C3905" s="1">
        <f>IF(DAY(D3905)=DAY($L$1+1),1,C3904+1)</f>
        <v/>
      </c>
      <c r="D3905" s="2">
        <f>D3904+1</f>
        <v/>
      </c>
      <c r="E3905" s="8">
        <f>IF(DAY(D3905)=DAY($L$1+1),TRUNC((N3904),8),E3904)</f>
        <v/>
      </c>
      <c r="F3905" s="49">
        <f>TRUNC(((1+VLOOKUP(A3905,IPCA!$A$2:$C$140,3,0)))^(C3905/(EDATE(D3905-C3905,1)-(D3905-C3905))),8)</f>
        <v/>
      </c>
      <c r="G3905" s="4">
        <f>TRUNC((E3905*F3905),8)</f>
        <v/>
      </c>
      <c r="H3905" s="4">
        <f>ROUND(((1+$H$4)^(30/360))^(C3905/(EDATE(D3905-B3905,1)-(D3905-B3905))),9)</f>
        <v/>
      </c>
      <c r="I3905" s="49">
        <f>TRUNC((G3905*H3905-G3905),8)</f>
        <v/>
      </c>
      <c r="J3905" s="4">
        <f>G3905+I3905</f>
        <v/>
      </c>
      <c r="K3905" s="256" t="n"/>
      <c r="L3905" s="256" t="n"/>
      <c r="M3905" s="256" t="n"/>
      <c r="N3905" s="256" t="n"/>
      <c r="O3905" s="256" t="n"/>
      <c r="P3905" s="256" t="n"/>
      <c r="Q3905" s="256" t="n"/>
    </row>
    <row r="3906">
      <c r="A3906">
        <f>IF(DAY(D3906)=DAY($L$1+1),A3905+1,A3905)</f>
        <v/>
      </c>
      <c r="B3906" s="46">
        <f>IF(DAY(D3906)=DAY($L$1+1),1,B3905+1)</f>
        <v/>
      </c>
      <c r="C3906" s="46">
        <f>IF(DAY(D3906)=DAY($L$1+1),1,C3905+1)</f>
        <v/>
      </c>
      <c r="D3906" s="2">
        <f>D3905+1</f>
        <v/>
      </c>
      <c r="E3906" s="8">
        <f>IF(DAY(D3906)=DAY($L$1+1),TRUNC((N3905),8),E3905)</f>
        <v/>
      </c>
      <c r="F3906" s="49">
        <f>TRUNC(((1+VLOOKUP(A3906,IPCA!$A$2:$C$140,3,0)))^(C3906/(EDATE(D3906-C3906,1)-(D3906-C3906))),8)</f>
        <v/>
      </c>
      <c r="G3906" s="4">
        <f>TRUNC((E3906*F3906),8)</f>
        <v/>
      </c>
      <c r="H3906" s="4">
        <f>ROUND(((1+$H$4)^(30/360))^(C3906/(EDATE(D3906-B3906,1)-(D3906-B3906))),9)</f>
        <v/>
      </c>
      <c r="I3906" s="49">
        <f>TRUNC((G3906*H3906-G3906),8)</f>
        <v/>
      </c>
      <c r="J3906" s="4">
        <f>G3906+I3906</f>
        <v/>
      </c>
      <c r="K3906" s="256" t="n"/>
      <c r="L3906" s="256" t="n"/>
      <c r="M3906" s="256" t="n"/>
      <c r="N3906" s="256" t="n"/>
      <c r="O3906" s="256" t="n"/>
      <c r="P3906" s="256" t="n"/>
      <c r="Q3906" s="256" t="n"/>
    </row>
    <row r="3907">
      <c r="A3907">
        <f>IF(DAY(D3907)=DAY($L$1+1),A3906+1,A3906)</f>
        <v/>
      </c>
      <c r="B3907" s="1">
        <f>IF(DAY(D3907)=DAY($L$1+1),1,B3906+1)</f>
        <v/>
      </c>
      <c r="C3907" s="1">
        <f>IF(DAY(D3907)=DAY($L$1+1),1,C3906+1)</f>
        <v/>
      </c>
      <c r="D3907" s="2">
        <f>D3906+1</f>
        <v/>
      </c>
      <c r="E3907" s="8">
        <f>IF(DAY(D3907)=DAY($L$1+1),TRUNC((N3906),8),E3906)</f>
        <v/>
      </c>
      <c r="F3907" s="49">
        <f>TRUNC(((1+VLOOKUP(A3907,IPCA!$A$2:$C$140,3,0)))^(C3907/(EDATE(D3907-C3907,1)-(D3907-C3907))),8)</f>
        <v/>
      </c>
      <c r="G3907" s="4">
        <f>TRUNC((E3907*F3907),8)</f>
        <v/>
      </c>
      <c r="H3907" s="4">
        <f>ROUND(((1+$H$4)^(30/360))^(C3907/(EDATE(D3907-B3907,1)-(D3907-B3907))),9)</f>
        <v/>
      </c>
      <c r="I3907" s="49">
        <f>TRUNC((G3907*H3907-G3907),8)</f>
        <v/>
      </c>
      <c r="J3907" s="4">
        <f>G3907+I3907</f>
        <v/>
      </c>
      <c r="K3907" s="256" t="n"/>
      <c r="L3907" s="256" t="n"/>
      <c r="M3907" s="256" t="n"/>
      <c r="N3907" s="256" t="n"/>
      <c r="O3907" s="256" t="n"/>
      <c r="P3907" s="256" t="n"/>
      <c r="Q3907" s="256" t="n"/>
    </row>
    <row r="3908">
      <c r="A3908">
        <f>IF(DAY(D3908)=DAY($L$1+1),A3907+1,A3907)</f>
        <v/>
      </c>
      <c r="B3908" s="46">
        <f>IF(DAY(D3908)=DAY($L$1+1),1,B3907+1)</f>
        <v/>
      </c>
      <c r="C3908" s="46">
        <f>IF(DAY(D3908)=DAY($L$1+1),1,C3907+1)</f>
        <v/>
      </c>
      <c r="D3908" s="2">
        <f>D3907+1</f>
        <v/>
      </c>
      <c r="E3908" s="8">
        <f>IF(DAY(D3908)=DAY($L$1+1),TRUNC((N3907),8),E3907)</f>
        <v/>
      </c>
      <c r="F3908" s="49">
        <f>TRUNC(((1+VLOOKUP(A3908,IPCA!$A$2:$C$140,3,0)))^(C3908/(EDATE(D3908-C3908,1)-(D3908-C3908))),8)</f>
        <v/>
      </c>
      <c r="G3908" s="4">
        <f>TRUNC((E3908*F3908),8)</f>
        <v/>
      </c>
      <c r="H3908" s="4">
        <f>ROUND(((1+$H$4)^(30/360))^(C3908/(EDATE(D3908-B3908,1)-(D3908-B3908))),9)</f>
        <v/>
      </c>
      <c r="I3908" s="49">
        <f>TRUNC((G3908*H3908-G3908),8)</f>
        <v/>
      </c>
      <c r="J3908" s="4">
        <f>G3908+I3908</f>
        <v/>
      </c>
      <c r="K3908" s="256" t="n"/>
      <c r="L3908" s="256" t="n"/>
      <c r="M3908" s="256" t="n"/>
      <c r="N3908" s="256" t="n"/>
      <c r="O3908" s="256" t="n"/>
      <c r="P3908" s="256" t="n"/>
      <c r="Q3908" s="256" t="n"/>
    </row>
    <row r="3909">
      <c r="A3909">
        <f>IF(DAY(D3909)=DAY($L$1+1),A3908+1,A3908)</f>
        <v/>
      </c>
      <c r="B3909" s="1">
        <f>IF(DAY(D3909)=DAY($L$1+1),1,B3908+1)</f>
        <v/>
      </c>
      <c r="C3909" s="1">
        <f>IF(DAY(D3909)=DAY($L$1+1),1,C3908+1)</f>
        <v/>
      </c>
      <c r="D3909" s="2">
        <f>D3908+1</f>
        <v/>
      </c>
      <c r="E3909" s="8">
        <f>IF(DAY(D3909)=DAY($L$1+1),TRUNC((N3908),8),E3908)</f>
        <v/>
      </c>
      <c r="F3909" s="49">
        <f>TRUNC(((1+VLOOKUP(A3909,IPCA!$A$2:$C$140,3,0)))^(C3909/(EDATE(D3909-C3909,1)-(D3909-C3909))),8)</f>
        <v/>
      </c>
      <c r="G3909" s="4">
        <f>TRUNC((E3909*F3909),8)</f>
        <v/>
      </c>
      <c r="H3909" s="4">
        <f>ROUND(((1+$H$4)^(30/360))^(C3909/(EDATE(D3909-B3909,1)-(D3909-B3909))),9)</f>
        <v/>
      </c>
      <c r="I3909" s="49">
        <f>TRUNC((G3909*H3909-G3909),8)</f>
        <v/>
      </c>
      <c r="J3909" s="4">
        <f>G3909+I3909</f>
        <v/>
      </c>
      <c r="K3909" s="256" t="n"/>
      <c r="L3909" s="256" t="n"/>
      <c r="M3909" s="256" t="n"/>
      <c r="N3909" s="256" t="n"/>
      <c r="O3909" s="256" t="n"/>
      <c r="P3909" s="256" t="n"/>
      <c r="Q3909" s="256" t="n"/>
    </row>
    <row r="3910">
      <c r="A3910">
        <f>IF(DAY(D3910)=DAY($L$1+1),A3909+1,A3909)</f>
        <v/>
      </c>
      <c r="B3910" s="46">
        <f>IF(DAY(D3910)=DAY($L$1+1),1,B3909+1)</f>
        <v/>
      </c>
      <c r="C3910" s="46">
        <f>IF(DAY(D3910)=DAY($L$1+1),1,C3909+1)</f>
        <v/>
      </c>
      <c r="D3910" s="2">
        <f>D3909+1</f>
        <v/>
      </c>
      <c r="E3910" s="8">
        <f>IF(DAY(D3910)=DAY($L$1+1),TRUNC((N3909),8),E3909)</f>
        <v/>
      </c>
      <c r="F3910" s="49">
        <f>TRUNC(((1+VLOOKUP(A3910,IPCA!$A$2:$C$140,3,0)))^(C3910/(EDATE(D3910-C3910,1)-(D3910-C3910))),8)</f>
        <v/>
      </c>
      <c r="G3910" s="4">
        <f>TRUNC((E3910*F3910),8)</f>
        <v/>
      </c>
      <c r="H3910" s="4">
        <f>ROUND(((1+$H$4)^(30/360))^(C3910/(EDATE(D3910-B3910,1)-(D3910-B3910))),9)</f>
        <v/>
      </c>
      <c r="I3910" s="49">
        <f>TRUNC((G3910*H3910-G3910),8)</f>
        <v/>
      </c>
      <c r="J3910" s="4">
        <f>G3910+I3910</f>
        <v/>
      </c>
      <c r="K3910" s="256" t="n"/>
      <c r="L3910" s="256" t="n"/>
      <c r="M3910" s="256" t="n"/>
      <c r="N3910" s="256" t="n"/>
      <c r="O3910" s="256" t="n"/>
      <c r="P3910" s="256" t="n"/>
      <c r="Q3910" s="256" t="n"/>
    </row>
    <row r="3911">
      <c r="A3911">
        <f>IF(DAY(D3911)=DAY($L$1+1),A3910+1,A3910)</f>
        <v/>
      </c>
      <c r="B3911" s="1">
        <f>IF(DAY(D3911)=DAY($L$1+1),1,B3910+1)</f>
        <v/>
      </c>
      <c r="C3911" s="1">
        <f>IF(DAY(D3911)=DAY($L$1+1),1,C3910+1)</f>
        <v/>
      </c>
      <c r="D3911" s="2">
        <f>D3910+1</f>
        <v/>
      </c>
      <c r="E3911" s="8">
        <f>IF(DAY(D3911)=DAY($L$1+1),TRUNC((N3910),8),E3910)</f>
        <v/>
      </c>
      <c r="F3911" s="49">
        <f>TRUNC(((1+VLOOKUP(A3911,IPCA!$A$2:$C$140,3,0)))^(C3911/(EDATE(D3911-C3911,1)-(D3911-C3911))),8)</f>
        <v/>
      </c>
      <c r="G3911" s="4">
        <f>TRUNC((E3911*F3911),8)</f>
        <v/>
      </c>
      <c r="H3911" s="4">
        <f>ROUND(((1+$H$4)^(30/360))^(C3911/(EDATE(D3911-B3911,1)-(D3911-B3911))),9)</f>
        <v/>
      </c>
      <c r="I3911" s="49">
        <f>TRUNC((G3911*H3911-G3911),8)</f>
        <v/>
      </c>
      <c r="J3911" s="4">
        <f>G3911+I3911</f>
        <v/>
      </c>
      <c r="K3911" s="256" t="n"/>
      <c r="L3911" s="256" t="n"/>
      <c r="M3911" s="256" t="n"/>
      <c r="N3911" s="256" t="n"/>
      <c r="O3911" s="256" t="n"/>
      <c r="P3911" s="256" t="n"/>
      <c r="Q3911" s="256" t="n"/>
    </row>
    <row r="3912">
      <c r="A3912">
        <f>IF(DAY(D3912)=DAY($L$1+1),A3911+1,A3911)</f>
        <v/>
      </c>
      <c r="B3912" s="46">
        <f>IF(DAY(D3912)=DAY($L$1+1),1,B3911+1)</f>
        <v/>
      </c>
      <c r="C3912" s="46">
        <f>IF(DAY(D3912)=DAY($L$1+1),1,C3911+1)</f>
        <v/>
      </c>
      <c r="D3912" s="2">
        <f>D3911+1</f>
        <v/>
      </c>
      <c r="E3912" s="8">
        <f>IF(DAY(D3912)=DAY($L$1+1),TRUNC((N3911),8),E3911)</f>
        <v/>
      </c>
      <c r="F3912" s="49">
        <f>TRUNC(((1+VLOOKUP(A3912,IPCA!$A$2:$C$140,3,0)))^(C3912/(EDATE(D3912-C3912,1)-(D3912-C3912))),8)</f>
        <v/>
      </c>
      <c r="G3912" s="4">
        <f>TRUNC((E3912*F3912),8)</f>
        <v/>
      </c>
      <c r="H3912" s="4">
        <f>ROUND(((1+$H$4)^(30/360))^(C3912/(EDATE(D3912-B3912,1)-(D3912-B3912))),9)</f>
        <v/>
      </c>
      <c r="I3912" s="49">
        <f>TRUNC((G3912*H3912-G3912),8)</f>
        <v/>
      </c>
      <c r="J3912" s="4">
        <f>G3912+I3912</f>
        <v/>
      </c>
      <c r="K3912" s="256" t="n"/>
      <c r="L3912" s="256" t="n"/>
      <c r="M3912" s="256" t="n"/>
      <c r="N3912" s="256" t="n"/>
      <c r="O3912" s="256" t="n"/>
      <c r="P3912" s="256" t="n"/>
      <c r="Q3912" s="256" t="n"/>
    </row>
    <row r="3913">
      <c r="A3913">
        <f>IF(DAY(D3913)=DAY($L$1+1),A3912+1,A3912)</f>
        <v/>
      </c>
      <c r="B3913" s="1">
        <f>IF(DAY(D3913)=DAY($L$1+1),1,B3912+1)</f>
        <v/>
      </c>
      <c r="C3913" s="1">
        <f>IF(DAY(D3913)=DAY($L$1+1),1,C3912+1)</f>
        <v/>
      </c>
      <c r="D3913" s="2">
        <f>D3912+1</f>
        <v/>
      </c>
      <c r="E3913" s="8">
        <f>IF(DAY(D3913)=DAY($L$1+1),TRUNC((N3912),8),E3912)</f>
        <v/>
      </c>
      <c r="F3913" s="49">
        <f>TRUNC(((1+VLOOKUP(A3913,IPCA!$A$2:$C$140,3,0)))^(C3913/(EDATE(D3913-C3913,1)-(D3913-C3913))),8)</f>
        <v/>
      </c>
      <c r="G3913" s="4">
        <f>TRUNC((E3913*F3913),8)</f>
        <v/>
      </c>
      <c r="H3913" s="4">
        <f>ROUND(((1+$H$4)^(30/360))^(C3913/(EDATE(D3913-B3913,1)-(D3913-B3913))),9)</f>
        <v/>
      </c>
      <c r="I3913" s="49">
        <f>TRUNC((G3913*H3913-G3913),8)</f>
        <v/>
      </c>
      <c r="J3913" s="4">
        <f>G3913+I3913</f>
        <v/>
      </c>
      <c r="K3913" s="256" t="inlineStr">
        <is>
          <t>Cri Integralizado</t>
        </is>
      </c>
      <c r="L3913" s="270">
        <f>L3885</f>
        <v/>
      </c>
      <c r="M3913" s="256" t="n"/>
      <c r="N3913" s="256" t="n"/>
      <c r="O3913" s="256" t="n"/>
      <c r="P3913" s="256" t="n"/>
      <c r="Q3913" s="256" t="n"/>
    </row>
    <row r="3914">
      <c r="A3914">
        <f>IF(DAY(D3914)=DAY($L$1+1),A3913+1,A3913)</f>
        <v/>
      </c>
      <c r="B3914" s="46">
        <f>IF(DAY(D3914)=DAY($L$1+1),1,B3913+1)</f>
        <v/>
      </c>
      <c r="C3914" s="46">
        <f>IF(DAY(D3914)=DAY($L$1+1),1,C3913+1)</f>
        <v/>
      </c>
      <c r="D3914" s="2">
        <f>D3913+1</f>
        <v/>
      </c>
      <c r="E3914" s="8">
        <f>IF(DAY(D3914)=DAY($L$1+1),TRUNC((N3913),8),E3913)</f>
        <v/>
      </c>
      <c r="F3914" s="49">
        <f>TRUNC(((1+VLOOKUP(A3914,IPCA!$A$2:$C$140,3,0)))^(C3914/(EDATE(D3914-C3914,1)-(D3914-C3914))),8)</f>
        <v/>
      </c>
      <c r="G3914" s="4">
        <f>TRUNC((E3914*F3914),8)</f>
        <v/>
      </c>
      <c r="H3914" s="4">
        <f>ROUND(((1+$H$4)^(30/360))^(C3914/(EDATE(D3914-B3914,1)-(D3914-B3914))),9)</f>
        <v/>
      </c>
      <c r="I3914" s="49">
        <f>TRUNC((G3914*H3914-G3914),8)</f>
        <v/>
      </c>
      <c r="J3914" s="4">
        <f>G3914+I3914</f>
        <v/>
      </c>
      <c r="K3914" s="137" t="inlineStr">
        <is>
          <t>JUROS</t>
        </is>
      </c>
      <c r="L3914" s="118" t="inlineStr">
        <is>
          <t>AMORTIZAÇÃO</t>
        </is>
      </c>
      <c r="M3914" s="118" t="inlineStr">
        <is>
          <t>AMEX</t>
        </is>
      </c>
      <c r="N3914" s="118" t="inlineStr">
        <is>
          <t>RESIDUAL</t>
        </is>
      </c>
      <c r="O3914" s="256" t="n"/>
      <c r="P3914" s="256" t="n"/>
      <c r="Q3914" s="256" t="n"/>
    </row>
    <row r="3915">
      <c r="A3915">
        <f>IF(DAY(D3915)=DAY($L$1+1),A3914+1,A3914)</f>
        <v/>
      </c>
      <c r="B3915" s="111">
        <f>IF(DAY(D3915)=DAY($L$1+1),1,B3914+1)</f>
        <v/>
      </c>
      <c r="C3915" s="111">
        <f>IF(DAY(D3915)=DAY($L$1+1),1,C3914+1)</f>
        <v/>
      </c>
      <c r="D3915" s="112">
        <f>D3914+1</f>
        <v/>
      </c>
      <c r="E3915" s="113">
        <f>IF(DAY(D3915)=DAY($L$1+1),TRUNC((N3914),8),E3914)</f>
        <v/>
      </c>
      <c r="F3915" s="114">
        <f>TRUNC(((1+VLOOKUP(A3915,IPCA!$A$2:$C$140,3,0)))^(C3915/(EDATE(D3915-C3915,1)-(D3915-C3915))),8)</f>
        <v/>
      </c>
      <c r="G3915" s="114">
        <f>TRUNC((E3915*F3915),8)</f>
        <v/>
      </c>
      <c r="H3915" s="114">
        <f>ROUND(((1+$H$4)^(30/360))^(C3915/(EDATE(D3915-B3915,1)-(D3915-B3915))),9)</f>
        <v/>
      </c>
      <c r="I3915" s="114">
        <f>TRUNC((G3915*H3915-G3915),8)</f>
        <v/>
      </c>
      <c r="J3915" s="114">
        <f>G3915+I3915</f>
        <v/>
      </c>
      <c r="K3915" s="119">
        <f>I3915</f>
        <v/>
      </c>
      <c r="L3915" s="120">
        <f>TRUNC(G3915*VLOOKUP(D3915,'Amort TS'!$G$3:$H$140,2,0),8)</f>
        <v/>
      </c>
      <c r="M3915" s="120" t="n">
        <v>0</v>
      </c>
      <c r="N3915" s="120">
        <f>J3915-K3915-L3915-M3915</f>
        <v/>
      </c>
      <c r="O3915" s="256" t="n"/>
      <c r="P3915" s="256" t="n"/>
      <c r="Q3915" s="256" t="n"/>
    </row>
    <row r="3916">
      <c r="A3916">
        <f>IF(DAY(D3916)=DAY($L$1+1),A3915+1,A3915)</f>
        <v/>
      </c>
      <c r="B3916" s="46">
        <f>IF(DAY(D3916)=DAY($L$1+1),1,B3915+1)</f>
        <v/>
      </c>
      <c r="C3916" s="46">
        <f>IF(DAY(D3916)=DAY($L$1+1),1,C3915+1)</f>
        <v/>
      </c>
      <c r="D3916" s="47">
        <f>D3915+1</f>
        <v/>
      </c>
      <c r="E3916" s="8">
        <f>IF(DAY(D3916)=DAY($L$1+1),TRUNC((N3915),8),E3915)</f>
        <v/>
      </c>
      <c r="F3916" s="49">
        <f>TRUNC(((1+VLOOKUP(A3916,IPCA!$A$2:$C$140,3,0)))^(C3916/(EDATE(D3916-C3916,1)-(D3916-C3916))),8)</f>
        <v/>
      </c>
      <c r="G3916" s="4">
        <f>TRUNC((E3916*F3916),8)</f>
        <v/>
      </c>
      <c r="H3916" s="4">
        <f>ROUND(((1+$H$4)^(30/360))^(C3916/(EDATE(D3916-B3916,1)-(D3916-B3916))),9)</f>
        <v/>
      </c>
      <c r="I3916" s="49">
        <f>TRUNC((G3916*H3916-G3916),8)</f>
        <v/>
      </c>
      <c r="J3916" s="4">
        <f>G3916+I3916</f>
        <v/>
      </c>
      <c r="K3916" s="121">
        <f>K3915*L3913</f>
        <v/>
      </c>
      <c r="L3916" s="121">
        <f>L3915*L3913</f>
        <v/>
      </c>
      <c r="M3916" s="121">
        <f>M3915*L3913</f>
        <v/>
      </c>
      <c r="N3916" s="121">
        <f>N3915*L3913</f>
        <v/>
      </c>
      <c r="O3916" s="256" t="n"/>
      <c r="P3916" s="256" t="n"/>
      <c r="Q3916" s="256" t="n"/>
    </row>
    <row r="3917">
      <c r="A3917">
        <f>IF(DAY(D3917)=DAY($L$1+1),A3916+1,A3916)</f>
        <v/>
      </c>
      <c r="B3917" s="1">
        <f>IF(DAY(D3917)=DAY($L$1+1),1,B3916+1)</f>
        <v/>
      </c>
      <c r="C3917" s="46">
        <f>IF(DAY(D3917)=DAY($L$1+1),1,C3916+1)</f>
        <v/>
      </c>
      <c r="D3917" s="2">
        <f>D3916+1</f>
        <v/>
      </c>
      <c r="E3917" s="8">
        <f>IF(DAY(D3917)=DAY($L$1+1),TRUNC((N3916),8),E3916)</f>
        <v/>
      </c>
      <c r="F3917" s="49">
        <f>TRUNC(((1+VLOOKUP(A3917,IPCA!$A$2:$C$140,3,0)))^(C3917/(EDATE(D3917-C3917,1)-(D3917-C3917))),8)</f>
        <v/>
      </c>
      <c r="G3917" s="4">
        <f>TRUNC((E3917*F3917),8)</f>
        <v/>
      </c>
      <c r="H3917" s="4">
        <f>ROUND(((1+$H$4)^(30/360))^(C3917/(EDATE(D3917-B3917,1)-(D3917-B3917))),9)</f>
        <v/>
      </c>
      <c r="I3917" s="49">
        <f>TRUNC((G3917*H3917-G3917),8)</f>
        <v/>
      </c>
      <c r="J3917" s="4">
        <f>G3917+I3917</f>
        <v/>
      </c>
      <c r="K3917" s="256" t="n"/>
      <c r="L3917" s="256" t="n"/>
      <c r="M3917" s="256" t="n"/>
      <c r="N3917" s="256" t="n"/>
      <c r="O3917" s="256" t="n"/>
      <c r="P3917" s="256" t="n"/>
      <c r="Q3917" s="256" t="n"/>
    </row>
    <row r="3918">
      <c r="A3918">
        <f>IF(DAY(D3918)=DAY($L$1+1),A3917+1,A3917)</f>
        <v/>
      </c>
      <c r="B3918" s="46">
        <f>IF(DAY(D3918)=DAY($L$1+1),1,B3917+1)</f>
        <v/>
      </c>
      <c r="C3918" s="46">
        <f>IF(DAY(D3918)=DAY($L$1+1),1,C3917+1)</f>
        <v/>
      </c>
      <c r="D3918" s="2">
        <f>D3917+1</f>
        <v/>
      </c>
      <c r="E3918" s="8">
        <f>IF(DAY(D3918)=DAY($L$1+1),TRUNC((#REF!),8),E3917)</f>
        <v/>
      </c>
      <c r="F3918" s="49">
        <f>TRUNC(((1+VLOOKUP(A3918,IPCA!$A$2:$C$140,3,0)))^(C3918/(EDATE(D3918-C3918,1)-(D3918-C3918))),8)</f>
        <v/>
      </c>
      <c r="G3918" s="4">
        <f>TRUNC((E3918*F3918),8)</f>
        <v/>
      </c>
      <c r="H3918" s="4">
        <f>ROUND(((1+$H$4)^(30/360))^(C3918/(EDATE(D3918-B3918,1)-(D3918-B3918))),9)</f>
        <v/>
      </c>
      <c r="I3918" s="49">
        <f>TRUNC((G3918*H3918-G3918),8)</f>
        <v/>
      </c>
      <c r="J3918" s="4">
        <f>G3918+I3918</f>
        <v/>
      </c>
      <c r="K3918" s="256" t="n"/>
      <c r="L3918" s="256" t="n"/>
      <c r="M3918" s="256" t="n"/>
      <c r="N3918" s="256" t="n"/>
      <c r="O3918" s="256" t="n"/>
      <c r="P3918" s="256" t="n"/>
      <c r="Q3918" s="256" t="n"/>
    </row>
    <row r="3919">
      <c r="A3919">
        <f>IF(DAY(D3919)=DAY($L$1+1),A3918+1,A3918)</f>
        <v/>
      </c>
      <c r="B3919" s="46">
        <f>IF(DAY(D3919)=DAY($L$1+1),1,B3918+1)</f>
        <v/>
      </c>
      <c r="C3919" s="46">
        <f>IF(DAY(D3919)=DAY($L$1+1),1,C3918+1)</f>
        <v/>
      </c>
      <c r="D3919" s="47">
        <f>D3918+1</f>
        <v/>
      </c>
      <c r="E3919" s="8">
        <f>IF(DAY(D3919)=DAY($L$1+1),TRUNC((#REF!),8),E3918)</f>
        <v/>
      </c>
      <c r="F3919" s="49">
        <f>TRUNC(((1+VLOOKUP(A3919,IPCA!$A$2:$C$140,3,0)))^(C3919/(EDATE(D3919-C3919,1)-(D3919-C3919))),8)</f>
        <v/>
      </c>
      <c r="G3919" s="4">
        <f>TRUNC((E3919*F3919),8)</f>
        <v/>
      </c>
      <c r="H3919" s="4">
        <f>ROUND(((1+$H$4)^(30/360))^(C3919/(EDATE(D3919-B3919,1)-(D3919-B3919))),9)</f>
        <v/>
      </c>
      <c r="I3919" s="49">
        <f>TRUNC((G3919*H3919-G3919),8)</f>
        <v/>
      </c>
      <c r="J3919" s="4">
        <f>G3919+I3919</f>
        <v/>
      </c>
      <c r="K3919" s="256" t="n"/>
      <c r="L3919" s="256" t="n"/>
      <c r="M3919" s="256" t="n"/>
      <c r="N3919" s="256" t="n"/>
      <c r="O3919" s="256" t="n"/>
      <c r="P3919" s="256" t="n"/>
      <c r="Q3919" s="256" t="n"/>
    </row>
    <row r="3920">
      <c r="A3920">
        <f>IF(DAY(D3920)=DAY($L$1+1),A3919+1,A3919)</f>
        <v/>
      </c>
      <c r="B3920" s="46">
        <f>IF(DAY(D3920)=DAY($L$1+1),1,B3919+1)</f>
        <v/>
      </c>
      <c r="C3920" s="46">
        <f>IF(DAY(D3920)=DAY($L$1+1),1,C3919+1)</f>
        <v/>
      </c>
      <c r="D3920" s="2">
        <f>D3919+1</f>
        <v/>
      </c>
      <c r="E3920" s="8">
        <f>IF(DAY(D3920)=DAY($L$1+1),TRUNC((#REF!),8),E3919)</f>
        <v/>
      </c>
      <c r="F3920" s="49">
        <f>TRUNC(((1+VLOOKUP(A3920,IPCA!$A$2:$C$140,3,0)))^(C3920/(EDATE(D3920-C3920,1)-(D3920-C3920))),8)</f>
        <v/>
      </c>
      <c r="G3920" s="4">
        <f>TRUNC((E3920*F3920),8)</f>
        <v/>
      </c>
      <c r="H3920" s="4">
        <f>ROUND(((1+$H$4)^(30/360))^(C3920/(EDATE(D3920-B3920,1)-(D3920-B3920))),9)</f>
        <v/>
      </c>
      <c r="I3920" s="49">
        <f>TRUNC((G3920*H3920-G3920),8)</f>
        <v/>
      </c>
      <c r="J3920" s="4">
        <f>G3920+I3920</f>
        <v/>
      </c>
      <c r="K3920" s="256" t="n"/>
      <c r="L3920" s="256" t="n"/>
      <c r="M3920" s="256" t="n"/>
      <c r="N3920" s="256" t="n"/>
      <c r="O3920" s="256" t="n"/>
      <c r="P3920" s="256" t="n"/>
      <c r="Q3920" s="256" t="n"/>
    </row>
    <row r="3921">
      <c r="A3921">
        <f>IF(DAY(D3921)=DAY($L$1+1),A3920+1,A3920)</f>
        <v/>
      </c>
      <c r="B3921" s="1">
        <f>IF(DAY(D3921)=DAY($L$1+1),1,B3920+1)</f>
        <v/>
      </c>
      <c r="C3921" s="1">
        <f>IF(DAY(D3921)=DAY($L$1+1),1,C3920+1)</f>
        <v/>
      </c>
      <c r="D3921" s="2">
        <f>D3920+1</f>
        <v/>
      </c>
      <c r="E3921" s="8">
        <f>IF(DAY(D3921)=DAY($L$1+1),TRUNC((#REF!),8),E3920)</f>
        <v/>
      </c>
      <c r="F3921" s="49">
        <f>TRUNC(((1+VLOOKUP(A3921,IPCA!$A$2:$C$140,3,0)))^(C3921/(EDATE(D3921-C3921,1)-(D3921-C3921))),8)</f>
        <v/>
      </c>
      <c r="G3921" s="4">
        <f>TRUNC((E3921*F3921),8)</f>
        <v/>
      </c>
      <c r="H3921" s="4">
        <f>ROUND(((1+$H$4)^(30/360))^(C3921/(EDATE(D3921-B3921,1)-(D3921-B3921))),9)</f>
        <v/>
      </c>
      <c r="I3921" s="49">
        <f>TRUNC((G3921*H3921-G3921),8)</f>
        <v/>
      </c>
      <c r="J3921" s="4">
        <f>G3921+I3921</f>
        <v/>
      </c>
      <c r="K3921" s="256" t="n"/>
      <c r="L3921" s="256" t="n"/>
      <c r="M3921" s="256" t="n"/>
      <c r="N3921" s="256" t="n"/>
      <c r="O3921" s="256" t="n"/>
      <c r="P3921" s="256" t="n"/>
      <c r="Q3921" s="256" t="n"/>
    </row>
    <row r="3922">
      <c r="A3922">
        <f>IF(DAY(D3922)=DAY($L$1+1),A3921+1,A3921)</f>
        <v/>
      </c>
      <c r="B3922" s="46">
        <f>IF(DAY(D3922)=DAY($L$1+1),1,B3921+1)</f>
        <v/>
      </c>
      <c r="C3922" s="46">
        <f>IF(DAY(D3922)=DAY($L$1+1),1,C3921+1)</f>
        <v/>
      </c>
      <c r="D3922" s="2">
        <f>D3921+1</f>
        <v/>
      </c>
      <c r="E3922" s="8">
        <f>IF(DAY(D3922)=DAY($L$1+1),TRUNC((#REF!),8),E3921)</f>
        <v/>
      </c>
      <c r="F3922" s="49">
        <f>TRUNC(((1+VLOOKUP(A3922,IPCA!$A$2:$C$140,3,0)))^(C3922/(EDATE(D3922-C3922,1)-(D3922-C3922))),8)</f>
        <v/>
      </c>
      <c r="G3922" s="4">
        <f>TRUNC((E3922*F3922),8)</f>
        <v/>
      </c>
      <c r="H3922" s="4">
        <f>ROUND(((1+$H$4)^(30/360))^(C3922/(EDATE(D3922-B3922,1)-(D3922-B3922))),9)</f>
        <v/>
      </c>
      <c r="I3922" s="49">
        <f>TRUNC((G3922*H3922-G3922),8)</f>
        <v/>
      </c>
      <c r="J3922" s="4">
        <f>G3922+I3922</f>
        <v/>
      </c>
      <c r="K3922" s="256" t="n"/>
      <c r="L3922" s="256" t="n"/>
      <c r="M3922" s="256" t="n"/>
      <c r="N3922" s="256" t="n"/>
      <c r="O3922" s="256" t="n"/>
      <c r="P3922" s="256" t="n"/>
      <c r="Q3922" s="256" t="n"/>
    </row>
    <row r="3923">
      <c r="A3923">
        <f>IF(DAY(D3923)=DAY($L$1+1),A3922+1,A3922)</f>
        <v/>
      </c>
      <c r="B3923" s="1">
        <f>IF(DAY(D3923)=DAY($L$1+1),1,B3922+1)</f>
        <v/>
      </c>
      <c r="C3923" s="1">
        <f>IF(DAY(D3923)=DAY($L$1+1),1,C3922+1)</f>
        <v/>
      </c>
      <c r="D3923" s="2">
        <f>D3922+1</f>
        <v/>
      </c>
      <c r="E3923" s="8">
        <f>IF(DAY(D3923)=DAY($L$1+1),TRUNC((#REF!),8),E3922)</f>
        <v/>
      </c>
      <c r="F3923" s="49">
        <f>TRUNC(((1+VLOOKUP(A3923,IPCA!$A$2:$C$140,3,0)))^(C3923/(EDATE(D3923-C3923,1)-(D3923-C3923))),8)</f>
        <v/>
      </c>
      <c r="G3923" s="4">
        <f>TRUNC((E3923*F3923),8)</f>
        <v/>
      </c>
      <c r="H3923" s="4">
        <f>ROUND(((1+$H$4)^(30/360))^(C3923/(EDATE(D3923-B3923,1)-(D3923-B3923))),9)</f>
        <v/>
      </c>
      <c r="I3923" s="49">
        <f>TRUNC((G3923*H3923-G3923),8)</f>
        <v/>
      </c>
      <c r="J3923" s="4">
        <f>G3923+I3923</f>
        <v/>
      </c>
      <c r="K3923" s="256" t="n"/>
      <c r="L3923" s="256" t="n"/>
      <c r="M3923" s="256" t="n"/>
      <c r="N3923" s="256" t="n"/>
      <c r="O3923" s="256" t="n"/>
      <c r="P3923" s="256" t="n"/>
      <c r="Q3923" s="256" t="n"/>
    </row>
    <row r="3924">
      <c r="A3924">
        <f>IF(DAY(D3924)=DAY($L$1+1),A3923+1,A3923)</f>
        <v/>
      </c>
      <c r="B3924" s="46">
        <f>IF(DAY(D3924)=DAY($L$1+1),1,B3923+1)</f>
        <v/>
      </c>
      <c r="C3924" s="46">
        <f>IF(DAY(D3924)=DAY($L$1+1),1,C3923+1)</f>
        <v/>
      </c>
      <c r="D3924" s="2">
        <f>D3923+1</f>
        <v/>
      </c>
      <c r="E3924" s="8">
        <f>IF(DAY(D3924)=DAY($L$1+1),TRUNC((#REF!),8),E3923)</f>
        <v/>
      </c>
      <c r="F3924" s="49">
        <f>TRUNC(((1+VLOOKUP(A3924,IPCA!$A$2:$C$140,3,0)))^(C3924/(EDATE(D3924-C3924,1)-(D3924-C3924))),8)</f>
        <v/>
      </c>
      <c r="G3924" s="4">
        <f>TRUNC((E3924*F3924),8)</f>
        <v/>
      </c>
      <c r="H3924" s="4">
        <f>ROUND(((1+$H$4)^(30/360))^(C3924/(EDATE(D3924-B3924,1)-(D3924-B3924))),9)</f>
        <v/>
      </c>
      <c r="I3924" s="49">
        <f>TRUNC((G3924*H3924-G3924),8)</f>
        <v/>
      </c>
      <c r="J3924" s="4">
        <f>G3924+I3924</f>
        <v/>
      </c>
      <c r="K3924" s="256" t="n"/>
      <c r="L3924" s="256" t="n"/>
      <c r="M3924" s="256" t="n"/>
      <c r="N3924" s="256" t="n"/>
      <c r="O3924" s="256" t="n"/>
      <c r="P3924" s="256" t="n"/>
      <c r="Q3924" s="256" t="n"/>
    </row>
    <row r="3925">
      <c r="A3925">
        <f>IF(DAY(D3925)=DAY($L$1+1),A3924+1,A3924)</f>
        <v/>
      </c>
      <c r="B3925" s="1">
        <f>IF(DAY(D3925)=DAY($L$1+1),1,B3924+1)</f>
        <v/>
      </c>
      <c r="C3925" s="1">
        <f>IF(DAY(D3925)=DAY($L$1+1),1,C3924+1)</f>
        <v/>
      </c>
      <c r="D3925" s="2">
        <f>D3924+1</f>
        <v/>
      </c>
      <c r="E3925" s="8">
        <f>IF(DAY(D3925)=DAY($L$1+1),TRUNC((#REF!),8),E3924)</f>
        <v/>
      </c>
      <c r="F3925" s="49">
        <f>TRUNC(((1+VLOOKUP(A3925,IPCA!$A$2:$C$140,3,0)))^(C3925/(EDATE(D3925-C3925,1)-(D3925-C3925))),8)</f>
        <v/>
      </c>
      <c r="G3925" s="4">
        <f>TRUNC((E3925*F3925),8)</f>
        <v/>
      </c>
      <c r="H3925" s="4">
        <f>ROUND(((1+$H$4)^(30/360))^(C3925/(EDATE(D3925-B3925,1)-(D3925-B3925))),9)</f>
        <v/>
      </c>
      <c r="I3925" s="49">
        <f>TRUNC((G3925*H3925-G3925),8)</f>
        <v/>
      </c>
      <c r="J3925" s="4">
        <f>G3925+I3925</f>
        <v/>
      </c>
      <c r="K3925" s="256" t="n"/>
      <c r="L3925" s="256" t="n"/>
      <c r="M3925" s="256" t="n"/>
      <c r="N3925" s="256" t="n"/>
      <c r="O3925" s="256" t="n"/>
      <c r="P3925" s="256" t="n"/>
      <c r="Q3925" s="256" t="n"/>
    </row>
    <row r="3926">
      <c r="A3926">
        <f>IF(DAY(D3926)=DAY($L$1+1),A3925+1,A3925)</f>
        <v/>
      </c>
      <c r="B3926" s="46">
        <f>IF(DAY(D3926)=DAY($L$1+1),1,B3925+1)</f>
        <v/>
      </c>
      <c r="C3926" s="46">
        <f>IF(DAY(D3926)=DAY($L$1+1),1,C3925+1)</f>
        <v/>
      </c>
      <c r="D3926" s="2">
        <f>D3925+1</f>
        <v/>
      </c>
      <c r="E3926" s="8">
        <f>IF(DAY(D3926)=DAY($L$1+1),TRUNC((#REF!),8),E3925)</f>
        <v/>
      </c>
      <c r="F3926" s="49">
        <f>TRUNC(((1+VLOOKUP(A3926,IPCA!$A$2:$C$140,3,0)))^(C3926/(EDATE(D3926-C3926,1)-(D3926-C3926))),8)</f>
        <v/>
      </c>
      <c r="G3926" s="4">
        <f>TRUNC((E3926*F3926),8)</f>
        <v/>
      </c>
      <c r="H3926" s="4">
        <f>ROUND(((1+$H$4)^(30/360))^(C3926/(EDATE(D3926-B3926,1)-(D3926-B3926))),9)</f>
        <v/>
      </c>
      <c r="I3926" s="49">
        <f>TRUNC((G3926*H3926-G3926),8)</f>
        <v/>
      </c>
      <c r="J3926" s="4">
        <f>G3926+I3926</f>
        <v/>
      </c>
      <c r="K3926" s="256" t="n"/>
      <c r="L3926" s="256" t="n"/>
      <c r="M3926" s="256" t="n"/>
      <c r="N3926" s="256" t="n"/>
      <c r="O3926" s="256" t="n"/>
      <c r="P3926" s="256" t="n"/>
      <c r="Q3926" s="256" t="n"/>
    </row>
    <row r="3927">
      <c r="A3927">
        <f>IF(DAY(D3927)=DAY($L$1+1),A3926+1,A3926)</f>
        <v/>
      </c>
      <c r="B3927" s="1">
        <f>IF(DAY(D3927)=DAY($L$1+1),1,B3926+1)</f>
        <v/>
      </c>
      <c r="C3927" s="1">
        <f>IF(DAY(D3927)=DAY($L$1+1),1,C3926+1)</f>
        <v/>
      </c>
      <c r="D3927" s="2">
        <f>D3926+1</f>
        <v/>
      </c>
      <c r="E3927" s="8">
        <f>IF(DAY(D3927)=DAY($L$1+1),TRUNC((#REF!),8),E3926)</f>
        <v/>
      </c>
      <c r="F3927" s="49">
        <f>TRUNC(((1+VLOOKUP(A3927,IPCA!$A$2:$C$140,3,0)))^(C3927/(EDATE(D3927-C3927,1)-(D3927-C3927))),8)</f>
        <v/>
      </c>
      <c r="G3927" s="4">
        <f>TRUNC((E3927*F3927),8)</f>
        <v/>
      </c>
      <c r="H3927" s="4">
        <f>ROUND(((1+$H$4)^(30/360))^(C3927/(EDATE(D3927-B3927,1)-(D3927-B3927))),9)</f>
        <v/>
      </c>
      <c r="I3927" s="49">
        <f>TRUNC((G3927*H3927-G3927),8)</f>
        <v/>
      </c>
      <c r="J3927" s="4">
        <f>G3927+I3927</f>
        <v/>
      </c>
      <c r="K3927" s="256" t="n"/>
      <c r="L3927" s="256" t="n"/>
      <c r="M3927" s="256" t="n"/>
      <c r="N3927" s="256" t="n"/>
      <c r="O3927" s="256" t="n"/>
      <c r="P3927" s="256" t="n"/>
      <c r="Q3927" s="256" t="n"/>
    </row>
    <row r="3928">
      <c r="A3928">
        <f>IF(DAY(D3928)=DAY($L$1+1),A3927+1,A3927)</f>
        <v/>
      </c>
      <c r="B3928" s="46">
        <f>IF(DAY(D3928)=DAY($L$1+1),1,B3927+1)</f>
        <v/>
      </c>
      <c r="C3928" s="46">
        <f>IF(DAY(D3928)=DAY($L$1+1),1,C3927+1)</f>
        <v/>
      </c>
      <c r="D3928" s="2">
        <f>D3927+1</f>
        <v/>
      </c>
      <c r="E3928" s="8">
        <f>IF(DAY(D3928)=DAY($L$1+1),TRUNC((N3927),8),E3927)</f>
        <v/>
      </c>
      <c r="F3928" s="49">
        <f>TRUNC(((1+VLOOKUP(A3928,IPCA!$A$2:$C$140,3,0)))^(C3928/(EDATE(D3928-C3928,1)-(D3928-C3928))),8)</f>
        <v/>
      </c>
      <c r="G3928" s="4">
        <f>TRUNC((E3928*F3928),8)</f>
        <v/>
      </c>
      <c r="H3928" s="4">
        <f>ROUND(((1+$H$4)^(30/360))^(C3928/(EDATE(D3928-B3928,1)-(D3928-B3928))),9)</f>
        <v/>
      </c>
      <c r="I3928" s="49">
        <f>TRUNC((G3928*H3928-G3928),8)</f>
        <v/>
      </c>
      <c r="J3928" s="4">
        <f>G3928+I3928</f>
        <v/>
      </c>
      <c r="K3928" s="256" t="n"/>
      <c r="L3928" s="256" t="n"/>
      <c r="M3928" s="256" t="n"/>
      <c r="N3928" s="256" t="n"/>
      <c r="O3928" s="256" t="n"/>
      <c r="P3928" s="256" t="n"/>
      <c r="Q3928" s="256" t="n"/>
    </row>
    <row r="3929">
      <c r="A3929">
        <f>IF(DAY(D3929)=DAY($L$1+1),A3928+1,A3928)</f>
        <v/>
      </c>
      <c r="B3929" s="1">
        <f>IF(DAY(D3929)=DAY($L$1+1),1,B3928+1)</f>
        <v/>
      </c>
      <c r="C3929" s="1">
        <f>IF(DAY(D3929)=DAY($L$1+1),1,C3928+1)</f>
        <v/>
      </c>
      <c r="D3929" s="2">
        <f>D3928+1</f>
        <v/>
      </c>
      <c r="E3929" s="8">
        <f>IF(DAY(D3929)=DAY($L$1+1),TRUNC((N3928),8),E3928)</f>
        <v/>
      </c>
      <c r="F3929" s="49">
        <f>TRUNC(((1+VLOOKUP(A3929,IPCA!$A$2:$C$140,3,0)))^(C3929/(EDATE(D3929-C3929,1)-(D3929-C3929))),8)</f>
        <v/>
      </c>
      <c r="G3929" s="4">
        <f>TRUNC((E3929*F3929),8)</f>
        <v/>
      </c>
      <c r="H3929" s="4">
        <f>ROUND(((1+$H$4)^(30/360))^(C3929/(EDATE(D3929-B3929,1)-(D3929-B3929))),9)</f>
        <v/>
      </c>
      <c r="I3929" s="49">
        <f>TRUNC((G3929*H3929-G3929),8)</f>
        <v/>
      </c>
      <c r="J3929" s="4">
        <f>G3929+I3929</f>
        <v/>
      </c>
      <c r="K3929" s="256" t="n"/>
      <c r="L3929" s="256" t="n"/>
      <c r="M3929" s="256" t="n"/>
      <c r="N3929" s="256" t="n"/>
      <c r="O3929" s="256" t="n"/>
      <c r="P3929" s="256" t="n"/>
      <c r="Q3929" s="256" t="n"/>
    </row>
    <row r="3930">
      <c r="A3930">
        <f>IF(DAY(D3930)=DAY($L$1+1),A3929+1,A3929)</f>
        <v/>
      </c>
      <c r="B3930" s="46">
        <f>IF(DAY(D3930)=DAY($L$1+1),1,B3929+1)</f>
        <v/>
      </c>
      <c r="C3930" s="46">
        <f>IF(DAY(D3930)=DAY($L$1+1),1,C3929+1)</f>
        <v/>
      </c>
      <c r="D3930" s="2">
        <f>D3929+1</f>
        <v/>
      </c>
      <c r="E3930" s="8">
        <f>IF(DAY(D3930)=DAY($L$1+1),TRUNC((N3929),8),E3929)</f>
        <v/>
      </c>
      <c r="F3930" s="49">
        <f>TRUNC(((1+VLOOKUP(A3930,IPCA!$A$2:$C$140,3,0)))^(C3930/(EDATE(D3930-C3930,1)-(D3930-C3930))),8)</f>
        <v/>
      </c>
      <c r="G3930" s="4">
        <f>TRUNC((E3930*F3930),8)</f>
        <v/>
      </c>
      <c r="H3930" s="4">
        <f>ROUND(((1+$H$4)^(30/360))^(C3930/(EDATE(D3930-B3930,1)-(D3930-B3930))),9)</f>
        <v/>
      </c>
      <c r="I3930" s="49">
        <f>TRUNC((G3930*H3930-G3930),8)</f>
        <v/>
      </c>
      <c r="J3930" s="4">
        <f>G3930+I3930</f>
        <v/>
      </c>
      <c r="K3930" s="256" t="n"/>
      <c r="L3930" s="256" t="n"/>
      <c r="M3930" s="256" t="n"/>
      <c r="N3930" s="256" t="n"/>
      <c r="O3930" s="256" t="n"/>
      <c r="P3930" s="256" t="n"/>
      <c r="Q3930" s="256" t="n"/>
    </row>
    <row r="3931">
      <c r="A3931">
        <f>IF(DAY(D3931)=DAY($L$1+1),A3930+1,A3930)</f>
        <v/>
      </c>
      <c r="B3931" s="1">
        <f>IF(DAY(D3931)=DAY($L$1+1),1,B3930+1)</f>
        <v/>
      </c>
      <c r="C3931" s="1">
        <f>IF(DAY(D3931)=DAY($L$1+1),1,C3930+1)</f>
        <v/>
      </c>
      <c r="D3931" s="2">
        <f>D3930+1</f>
        <v/>
      </c>
      <c r="E3931" s="8">
        <f>IF(DAY(D3931)=DAY($L$1+1),TRUNC((N3930),8),E3930)</f>
        <v/>
      </c>
      <c r="F3931" s="49">
        <f>TRUNC(((1+VLOOKUP(A3931,IPCA!$A$2:$C$140,3,0)))^(C3931/(EDATE(D3931-C3931,1)-(D3931-C3931))),8)</f>
        <v/>
      </c>
      <c r="G3931" s="4">
        <f>TRUNC((E3931*F3931),8)</f>
        <v/>
      </c>
      <c r="H3931" s="4">
        <f>ROUND(((1+$H$4)^(30/360))^(C3931/(EDATE(D3931-B3931,1)-(D3931-B3931))),9)</f>
        <v/>
      </c>
      <c r="I3931" s="49">
        <f>TRUNC((G3931*H3931-G3931),8)</f>
        <v/>
      </c>
      <c r="J3931" s="4">
        <f>G3931+I3931</f>
        <v/>
      </c>
      <c r="K3931" s="256" t="n"/>
      <c r="L3931" s="256" t="n"/>
      <c r="M3931" s="256" t="n"/>
      <c r="N3931" s="256" t="n"/>
      <c r="O3931" s="256" t="n"/>
      <c r="P3931" s="256" t="n"/>
      <c r="Q3931" s="256" t="n"/>
    </row>
    <row r="3932">
      <c r="A3932">
        <f>IF(DAY(D3932)=DAY($L$1+1),A3931+1,A3931)</f>
        <v/>
      </c>
      <c r="B3932" s="46">
        <f>IF(DAY(D3932)=DAY($L$1+1),1,B3931+1)</f>
        <v/>
      </c>
      <c r="C3932" s="46">
        <f>IF(DAY(D3932)=DAY($L$1+1),1,C3931+1)</f>
        <v/>
      </c>
      <c r="D3932" s="2">
        <f>D3931+1</f>
        <v/>
      </c>
      <c r="E3932" s="8">
        <f>IF(DAY(D3932)=DAY($L$1+1),TRUNC((N3931),8),E3931)</f>
        <v/>
      </c>
      <c r="F3932" s="49">
        <f>TRUNC(((1+VLOOKUP(A3932,IPCA!$A$2:$C$140,3,0)))^(C3932/(EDATE(D3932-C3932,1)-(D3932-C3932))),8)</f>
        <v/>
      </c>
      <c r="G3932" s="4">
        <f>TRUNC((E3932*F3932),8)</f>
        <v/>
      </c>
      <c r="H3932" s="4">
        <f>ROUND(((1+$H$4)^(30/360))^(C3932/(EDATE(D3932-B3932,1)-(D3932-B3932))),9)</f>
        <v/>
      </c>
      <c r="I3932" s="49">
        <f>TRUNC((G3932*H3932-G3932),8)</f>
        <v/>
      </c>
      <c r="J3932" s="4">
        <f>G3932+I3932</f>
        <v/>
      </c>
      <c r="K3932" s="256" t="n"/>
      <c r="L3932" s="256" t="n"/>
      <c r="M3932" s="256" t="n"/>
      <c r="N3932" s="256" t="n"/>
      <c r="O3932" s="256" t="n"/>
      <c r="P3932" s="256" t="n"/>
      <c r="Q3932" s="256" t="n"/>
    </row>
    <row r="3933">
      <c r="A3933">
        <f>IF(DAY(D3933)=DAY($L$1+1),A3932+1,A3932)</f>
        <v/>
      </c>
      <c r="B3933" s="1">
        <f>IF(DAY(D3933)=DAY($L$1+1),1,B3932+1)</f>
        <v/>
      </c>
      <c r="C3933" s="1">
        <f>IF(DAY(D3933)=DAY($L$1+1),1,C3932+1)</f>
        <v/>
      </c>
      <c r="D3933" s="2">
        <f>D3932+1</f>
        <v/>
      </c>
      <c r="E3933" s="8">
        <f>IF(DAY(D3933)=DAY($L$1+1),TRUNC((N3932),8),E3932)</f>
        <v/>
      </c>
      <c r="F3933" s="49">
        <f>TRUNC(((1+VLOOKUP(A3933,IPCA!$A$2:$C$140,3,0)))^(C3933/(EDATE(D3933-C3933,1)-(D3933-C3933))),8)</f>
        <v/>
      </c>
      <c r="G3933" s="4">
        <f>TRUNC((E3933*F3933),8)</f>
        <v/>
      </c>
      <c r="H3933" s="4">
        <f>ROUND(((1+$H$4)^(30/360))^(C3933/(EDATE(D3933-B3933,1)-(D3933-B3933))),9)</f>
        <v/>
      </c>
      <c r="I3933" s="49">
        <f>TRUNC((G3933*H3933-G3933),8)</f>
        <v/>
      </c>
      <c r="J3933" s="4">
        <f>G3933+I3933</f>
        <v/>
      </c>
      <c r="K3933" s="256" t="n"/>
      <c r="L3933" s="256" t="n"/>
      <c r="M3933" s="256" t="n"/>
      <c r="N3933" s="256" t="n"/>
      <c r="O3933" s="256" t="n"/>
      <c r="P3933" s="256" t="n"/>
      <c r="Q3933" s="256" t="n"/>
    </row>
    <row r="3934">
      <c r="A3934">
        <f>IF(DAY(D3934)=DAY($L$1+1),A3933+1,A3933)</f>
        <v/>
      </c>
      <c r="B3934" s="46">
        <f>IF(DAY(D3934)=DAY($L$1+1),1,B3933+1)</f>
        <v/>
      </c>
      <c r="C3934" s="46">
        <f>IF(DAY(D3934)=DAY($L$1+1),1,C3933+1)</f>
        <v/>
      </c>
      <c r="D3934" s="2">
        <f>D3933+1</f>
        <v/>
      </c>
      <c r="E3934" s="8">
        <f>IF(DAY(D3934)=DAY($L$1+1),TRUNC((N3933),8),E3933)</f>
        <v/>
      </c>
      <c r="F3934" s="49">
        <f>TRUNC(((1+VLOOKUP(A3934,IPCA!$A$2:$C$140,3,0)))^(C3934/(EDATE(D3934-C3934,1)-(D3934-C3934))),8)</f>
        <v/>
      </c>
      <c r="G3934" s="4">
        <f>TRUNC((E3934*F3934),8)</f>
        <v/>
      </c>
      <c r="H3934" s="4">
        <f>ROUND(((1+$H$4)^(30/360))^(C3934/(EDATE(D3934-B3934,1)-(D3934-B3934))),9)</f>
        <v/>
      </c>
      <c r="I3934" s="49">
        <f>TRUNC((G3934*H3934-G3934),8)</f>
        <v/>
      </c>
      <c r="J3934" s="4">
        <f>G3934+I3934</f>
        <v/>
      </c>
      <c r="K3934" s="256" t="n"/>
      <c r="L3934" s="256" t="n"/>
      <c r="M3934" s="256" t="n"/>
      <c r="N3934" s="256" t="n"/>
      <c r="O3934" s="256" t="n"/>
      <c r="P3934" s="256" t="n"/>
      <c r="Q3934" s="256" t="n"/>
    </row>
    <row r="3935">
      <c r="A3935">
        <f>IF(DAY(D3935)=DAY($L$1+1),A3934+1,A3934)</f>
        <v/>
      </c>
      <c r="B3935" s="1">
        <f>IF(DAY(D3935)=DAY($L$1+1),1,B3934+1)</f>
        <v/>
      </c>
      <c r="C3935" s="1">
        <f>IF(DAY(D3935)=DAY($L$1+1),1,C3934+1)</f>
        <v/>
      </c>
      <c r="D3935" s="2">
        <f>D3934+1</f>
        <v/>
      </c>
      <c r="E3935" s="8">
        <f>IF(DAY(D3935)=DAY($L$1+1),TRUNC((N3934),8),E3934)</f>
        <v/>
      </c>
      <c r="F3935" s="49">
        <f>TRUNC(((1+VLOOKUP(A3935,IPCA!$A$2:$C$140,3,0)))^(C3935/(EDATE(D3935-C3935,1)-(D3935-C3935))),8)</f>
        <v/>
      </c>
      <c r="G3935" s="4">
        <f>TRUNC((E3935*F3935),8)</f>
        <v/>
      </c>
      <c r="H3935" s="4">
        <f>ROUND(((1+$H$4)^(30/360))^(C3935/(EDATE(D3935-B3935,1)-(D3935-B3935))),9)</f>
        <v/>
      </c>
      <c r="I3935" s="49">
        <f>TRUNC((G3935*H3935-G3935),8)</f>
        <v/>
      </c>
      <c r="J3935" s="4">
        <f>G3935+I3935</f>
        <v/>
      </c>
      <c r="K3935" s="256" t="n"/>
      <c r="L3935" s="256" t="n"/>
      <c r="M3935" s="256" t="n"/>
      <c r="N3935" s="256" t="n"/>
      <c r="O3935" s="256" t="n"/>
      <c r="P3935" s="256" t="n"/>
      <c r="Q3935" s="256" t="n"/>
    </row>
    <row r="3936">
      <c r="A3936">
        <f>IF(DAY(D3936)=DAY($L$1+1),A3935+1,A3935)</f>
        <v/>
      </c>
      <c r="B3936" s="46">
        <f>IF(DAY(D3936)=DAY($L$1+1),1,B3935+1)</f>
        <v/>
      </c>
      <c r="C3936" s="46">
        <f>IF(DAY(D3936)=DAY($L$1+1),1,C3935+1)</f>
        <v/>
      </c>
      <c r="D3936" s="2">
        <f>D3935+1</f>
        <v/>
      </c>
      <c r="E3936" s="8">
        <f>IF(DAY(D3936)=DAY($L$1+1),TRUNC((N3935),8),E3935)</f>
        <v/>
      </c>
      <c r="F3936" s="49">
        <f>TRUNC(((1+VLOOKUP(A3936,IPCA!$A$2:$C$140,3,0)))^(C3936/(EDATE(D3936-C3936,1)-(D3936-C3936))),8)</f>
        <v/>
      </c>
      <c r="G3936" s="4">
        <f>TRUNC((E3936*F3936),8)</f>
        <v/>
      </c>
      <c r="H3936" s="4">
        <f>ROUND(((1+$H$4)^(30/360))^(C3936/(EDATE(D3936-B3936,1)-(D3936-B3936))),9)</f>
        <v/>
      </c>
      <c r="I3936" s="49">
        <f>TRUNC((G3936*H3936-G3936),8)</f>
        <v/>
      </c>
      <c r="J3936" s="4">
        <f>G3936+I3936</f>
        <v/>
      </c>
      <c r="K3936" s="256" t="n"/>
      <c r="L3936" s="256" t="n"/>
      <c r="M3936" s="256" t="n"/>
      <c r="N3936" s="256" t="n"/>
      <c r="O3936" s="256" t="n"/>
      <c r="P3936" s="256" t="n"/>
      <c r="Q3936" s="256" t="n"/>
    </row>
    <row r="3937">
      <c r="A3937">
        <f>IF(DAY(D3937)=DAY($L$1+1),A3936+1,A3936)</f>
        <v/>
      </c>
      <c r="B3937" s="1">
        <f>IF(DAY(D3937)=DAY($L$1+1),1,B3936+1)</f>
        <v/>
      </c>
      <c r="C3937" s="1">
        <f>IF(DAY(D3937)=DAY($L$1+1),1,C3936+1)</f>
        <v/>
      </c>
      <c r="D3937" s="2">
        <f>D3936+1</f>
        <v/>
      </c>
      <c r="E3937" s="8">
        <f>IF(DAY(D3937)=DAY($L$1+1),TRUNC((N3936),8),E3936)</f>
        <v/>
      </c>
      <c r="F3937" s="49">
        <f>TRUNC(((1+VLOOKUP(A3937,IPCA!$A$2:$C$140,3,0)))^(C3937/(EDATE(D3937-C3937,1)-(D3937-C3937))),8)</f>
        <v/>
      </c>
      <c r="G3937" s="4">
        <f>TRUNC((E3937*F3937),8)</f>
        <v/>
      </c>
      <c r="H3937" s="4">
        <f>ROUND(((1+$H$4)^(30/360))^(C3937/(EDATE(D3937-B3937,1)-(D3937-B3937))),9)</f>
        <v/>
      </c>
      <c r="I3937" s="49">
        <f>TRUNC((G3937*H3937-G3937),8)</f>
        <v/>
      </c>
      <c r="J3937" s="4">
        <f>G3937+I3937</f>
        <v/>
      </c>
      <c r="K3937" s="256" t="n"/>
      <c r="L3937" s="256" t="n"/>
      <c r="M3937" s="256" t="n"/>
      <c r="N3937" s="256" t="n"/>
      <c r="O3937" s="256" t="n"/>
      <c r="P3937" s="256" t="n"/>
      <c r="Q3937" s="256" t="n"/>
    </row>
    <row r="3938">
      <c r="A3938">
        <f>IF(DAY(D3938)=DAY($L$1+1),A3937+1,A3937)</f>
        <v/>
      </c>
      <c r="B3938" s="46">
        <f>IF(DAY(D3938)=DAY($L$1+1),1,B3937+1)</f>
        <v/>
      </c>
      <c r="C3938" s="46">
        <f>IF(DAY(D3938)=DAY($L$1+1),1,C3937+1)</f>
        <v/>
      </c>
      <c r="D3938" s="2">
        <f>D3937+1</f>
        <v/>
      </c>
      <c r="E3938" s="8">
        <f>IF(DAY(D3938)=DAY($L$1+1),TRUNC((N3937),8),E3937)</f>
        <v/>
      </c>
      <c r="F3938" s="49">
        <f>TRUNC(((1+VLOOKUP(A3938,IPCA!$A$2:$C$140,3,0)))^(C3938/(EDATE(D3938-C3938,1)-(D3938-C3938))),8)</f>
        <v/>
      </c>
      <c r="G3938" s="4">
        <f>TRUNC((E3938*F3938),8)</f>
        <v/>
      </c>
      <c r="H3938" s="4">
        <f>ROUND(((1+$H$4)^(30/360))^(C3938/(EDATE(D3938-B3938,1)-(D3938-B3938))),9)</f>
        <v/>
      </c>
      <c r="I3938" s="49">
        <f>TRUNC((G3938*H3938-G3938),8)</f>
        <v/>
      </c>
      <c r="J3938" s="4">
        <f>G3938+I3938</f>
        <v/>
      </c>
      <c r="K3938" s="256" t="n"/>
      <c r="L3938" s="256" t="n"/>
      <c r="M3938" s="256" t="n"/>
      <c r="N3938" s="256" t="n"/>
      <c r="O3938" s="256" t="n"/>
      <c r="P3938" s="256" t="n"/>
      <c r="Q3938" s="256" t="n"/>
    </row>
    <row r="3939">
      <c r="A3939">
        <f>IF(DAY(D3939)=DAY($L$1+1),A3938+1,A3938)</f>
        <v/>
      </c>
      <c r="B3939" s="1">
        <f>IF(DAY(D3939)=DAY($L$1+1),1,B3938+1)</f>
        <v/>
      </c>
      <c r="C3939" s="1">
        <f>IF(DAY(D3939)=DAY($L$1+1),1,C3938+1)</f>
        <v/>
      </c>
      <c r="D3939" s="2">
        <f>D3938+1</f>
        <v/>
      </c>
      <c r="E3939" s="8">
        <f>IF(DAY(D3939)=DAY($L$1+1),TRUNC((N3938),8),E3938)</f>
        <v/>
      </c>
      <c r="F3939" s="49">
        <f>TRUNC(((1+VLOOKUP(A3939,IPCA!$A$2:$C$140,3,0)))^(C3939/(EDATE(D3939-C3939,1)-(D3939-C3939))),8)</f>
        <v/>
      </c>
      <c r="G3939" s="4">
        <f>TRUNC((E3939*F3939),8)</f>
        <v/>
      </c>
      <c r="H3939" s="4">
        <f>ROUND(((1+$H$4)^(30/360))^(C3939/(EDATE(D3939-B3939,1)-(D3939-B3939))),9)</f>
        <v/>
      </c>
      <c r="I3939" s="49">
        <f>TRUNC((G3939*H3939-G3939),8)</f>
        <v/>
      </c>
      <c r="J3939" s="4">
        <f>G3939+I3939</f>
        <v/>
      </c>
      <c r="K3939" s="256" t="n"/>
      <c r="L3939" s="256" t="n"/>
      <c r="M3939" s="256" t="n"/>
      <c r="N3939" s="256" t="n"/>
      <c r="O3939" s="256" t="n"/>
      <c r="P3939" s="256" t="n"/>
      <c r="Q3939" s="256" t="n"/>
    </row>
    <row r="3940">
      <c r="A3940">
        <f>IF(DAY(D3940)=DAY($L$1+1),A3939+1,A3939)</f>
        <v/>
      </c>
      <c r="B3940" s="46">
        <f>IF(DAY(D3940)=DAY($L$1+1),1,B3939+1)</f>
        <v/>
      </c>
      <c r="C3940" s="46">
        <f>IF(DAY(D3940)=DAY($L$1+1),1,C3939+1)</f>
        <v/>
      </c>
      <c r="D3940" s="2">
        <f>D3939+1</f>
        <v/>
      </c>
      <c r="E3940" s="8">
        <f>IF(DAY(D3940)=DAY($L$1+1),TRUNC((N3939),8),E3939)</f>
        <v/>
      </c>
      <c r="F3940" s="49">
        <f>TRUNC(((1+VLOOKUP(A3940,IPCA!$A$2:$C$140,3,0)))^(C3940/(EDATE(D3940-C3940,1)-(D3940-C3940))),8)</f>
        <v/>
      </c>
      <c r="G3940" s="4">
        <f>TRUNC((E3940*F3940),8)</f>
        <v/>
      </c>
      <c r="H3940" s="4">
        <f>ROUND(((1+$H$4)^(30/360))^(C3940/(EDATE(D3940-B3940,1)-(D3940-B3940))),9)</f>
        <v/>
      </c>
      <c r="I3940" s="49">
        <f>TRUNC((G3940*H3940-G3940),8)</f>
        <v/>
      </c>
      <c r="J3940" s="4">
        <f>G3940+I3940</f>
        <v/>
      </c>
      <c r="K3940" s="256" t="n"/>
      <c r="L3940" s="256" t="n"/>
      <c r="M3940" s="256" t="n"/>
      <c r="N3940" s="256" t="n"/>
      <c r="O3940" s="256" t="n"/>
      <c r="P3940" s="256" t="n"/>
      <c r="Q3940" s="256" t="n"/>
    </row>
    <row r="3941">
      <c r="A3941">
        <f>IF(DAY(D3941)=DAY($L$1+1),A3940+1,A3940)</f>
        <v/>
      </c>
      <c r="B3941" s="1">
        <f>IF(DAY(D3941)=DAY($L$1+1),1,B3940+1)</f>
        <v/>
      </c>
      <c r="C3941" s="1">
        <f>IF(DAY(D3941)=DAY($L$1+1),1,C3940+1)</f>
        <v/>
      </c>
      <c r="D3941" s="2">
        <f>D3940+1</f>
        <v/>
      </c>
      <c r="E3941" s="8">
        <f>IF(DAY(D3941)=DAY($L$1+1),TRUNC((N3940),8),E3940)</f>
        <v/>
      </c>
      <c r="F3941" s="49">
        <f>TRUNC(((1+VLOOKUP(A3941,IPCA!$A$2:$C$140,3,0)))^(C3941/(EDATE(D3941-C3941,1)-(D3941-C3941))),8)</f>
        <v/>
      </c>
      <c r="G3941" s="4">
        <f>TRUNC((E3941*F3941),8)</f>
        <v/>
      </c>
      <c r="H3941" s="4">
        <f>ROUND(((1+$H$4)^(30/360))^(C3941/(EDATE(D3941-B3941,1)-(D3941-B3941))),9)</f>
        <v/>
      </c>
      <c r="I3941" s="49">
        <f>TRUNC((G3941*H3941-G3941),8)</f>
        <v/>
      </c>
      <c r="J3941" s="4">
        <f>G3941+I3941</f>
        <v/>
      </c>
      <c r="K3941" s="256" t="n"/>
      <c r="L3941" s="256" t="n"/>
      <c r="M3941" s="256" t="n"/>
      <c r="N3941" s="256" t="n"/>
      <c r="O3941" s="256" t="n"/>
      <c r="P3941" s="256" t="n"/>
      <c r="Q3941" s="256" t="n"/>
    </row>
    <row r="3942">
      <c r="A3942">
        <f>IF(DAY(D3942)=DAY($L$1+1),A3941+1,A3941)</f>
        <v/>
      </c>
      <c r="B3942" s="46">
        <f>IF(DAY(D3942)=DAY($L$1+1),1,B3941+1)</f>
        <v/>
      </c>
      <c r="C3942" s="46">
        <f>IF(DAY(D3942)=DAY($L$1+1),1,C3941+1)</f>
        <v/>
      </c>
      <c r="D3942" s="2">
        <f>D3941+1</f>
        <v/>
      </c>
      <c r="E3942" s="8">
        <f>IF(DAY(D3942)=DAY($L$1+1),TRUNC((N3941),8),E3941)</f>
        <v/>
      </c>
      <c r="F3942" s="49">
        <f>TRUNC(((1+VLOOKUP(A3942,IPCA!$A$2:$C$140,3,0)))^(C3942/(EDATE(D3942-C3942,1)-(D3942-C3942))),8)</f>
        <v/>
      </c>
      <c r="G3942" s="4">
        <f>TRUNC((E3942*F3942),8)</f>
        <v/>
      </c>
      <c r="H3942" s="4">
        <f>ROUND(((1+$H$4)^(30/360))^(C3942/(EDATE(D3942-B3942,1)-(D3942-B3942))),9)</f>
        <v/>
      </c>
      <c r="I3942" s="49">
        <f>TRUNC((G3942*H3942-G3942),8)</f>
        <v/>
      </c>
      <c r="J3942" s="4">
        <f>G3942+I3942</f>
        <v/>
      </c>
      <c r="K3942" s="256" t="n"/>
      <c r="L3942" s="256" t="n"/>
      <c r="M3942" s="256" t="n"/>
      <c r="N3942" s="256" t="n"/>
      <c r="O3942" s="256" t="n"/>
      <c r="P3942" s="256" t="n"/>
      <c r="Q3942" s="256" t="n"/>
    </row>
    <row r="3943">
      <c r="A3943">
        <f>IF(DAY(D3943)=DAY($L$1+1),A3942+1,A3942)</f>
        <v/>
      </c>
      <c r="B3943" s="1">
        <f>IF(DAY(D3943)=DAY($L$1+1),1,B3942+1)</f>
        <v/>
      </c>
      <c r="C3943" s="1">
        <f>IF(DAY(D3943)=DAY($L$1+1),1,C3942+1)</f>
        <v/>
      </c>
      <c r="D3943" s="2">
        <f>D3942+1</f>
        <v/>
      </c>
      <c r="E3943" s="8">
        <f>IF(DAY(D3943)=DAY($L$1+1),TRUNC((N3942),8),E3942)</f>
        <v/>
      </c>
      <c r="F3943" s="49">
        <f>TRUNC(((1+VLOOKUP(A3943,IPCA!$A$2:$C$140,3,0)))^(C3943/(EDATE(D3943-C3943,1)-(D3943-C3943))),8)</f>
        <v/>
      </c>
      <c r="G3943" s="4">
        <f>TRUNC((E3943*F3943),8)</f>
        <v/>
      </c>
      <c r="H3943" s="4">
        <f>ROUND(((1+$H$4)^(30/360))^(C3943/(EDATE(D3943-B3943,1)-(D3943-B3943))),9)</f>
        <v/>
      </c>
      <c r="I3943" s="49">
        <f>TRUNC((G3943*H3943-G3943),8)</f>
        <v/>
      </c>
      <c r="J3943" s="4">
        <f>G3943+I3943</f>
        <v/>
      </c>
      <c r="K3943" s="256" t="n"/>
      <c r="L3943" s="256" t="n"/>
      <c r="M3943" s="256" t="n"/>
      <c r="N3943" s="256" t="n"/>
      <c r="O3943" s="256" t="n"/>
      <c r="P3943" s="256" t="n"/>
      <c r="Q3943" s="256" t="n"/>
    </row>
    <row r="3944">
      <c r="A3944">
        <f>IF(DAY(D3944)=DAY($L$1+1),A3943+1,A3943)</f>
        <v/>
      </c>
      <c r="B3944" s="46">
        <f>IF(DAY(D3944)=DAY($L$1+1),1,B3943+1)</f>
        <v/>
      </c>
      <c r="C3944" s="46">
        <f>IF(DAY(D3944)=DAY($L$1+1),1,C3943+1)</f>
        <v/>
      </c>
      <c r="D3944" s="2">
        <f>D3943+1</f>
        <v/>
      </c>
      <c r="E3944" s="8">
        <f>IF(DAY(D3944)=DAY($L$1+1),TRUNC((N3943),8),E3943)</f>
        <v/>
      </c>
      <c r="F3944" s="49">
        <f>TRUNC(((1+VLOOKUP(A3944,IPCA!$A$2:$C$140,3,0)))^(C3944/(EDATE(D3944-C3944,1)-(D3944-C3944))),8)</f>
        <v/>
      </c>
      <c r="G3944" s="4">
        <f>TRUNC((E3944*F3944),8)</f>
        <v/>
      </c>
      <c r="H3944" s="4">
        <f>ROUND(((1+$H$4)^(30/360))^(C3944/(EDATE(D3944-B3944,1)-(D3944-B3944))),9)</f>
        <v/>
      </c>
      <c r="I3944" s="49">
        <f>TRUNC((G3944*H3944-G3944),8)</f>
        <v/>
      </c>
      <c r="J3944" s="4">
        <f>G3944+I3944</f>
        <v/>
      </c>
      <c r="K3944" s="256" t="inlineStr">
        <is>
          <t>Cri Integralizado</t>
        </is>
      </c>
      <c r="L3944" s="270">
        <f>L3913</f>
        <v/>
      </c>
      <c r="M3944" s="256" t="n"/>
      <c r="N3944" s="256" t="n"/>
      <c r="O3944" s="256" t="n"/>
      <c r="P3944" s="256" t="n"/>
      <c r="Q3944" s="256" t="n"/>
    </row>
    <row r="3945">
      <c r="A3945">
        <f>IF(DAY(D3945)=DAY($L$1+1),A3944+1,A3944)</f>
        <v/>
      </c>
      <c r="B3945" s="1">
        <f>IF(DAY(D3945)=DAY($L$1+1),1,B3944+1)</f>
        <v/>
      </c>
      <c r="C3945" s="1">
        <f>IF(DAY(D3945)=DAY($L$1+1),1,C3944+1)</f>
        <v/>
      </c>
      <c r="D3945" s="2">
        <f>D3944+1</f>
        <v/>
      </c>
      <c r="E3945" s="8">
        <f>IF(DAY(D3945)=DAY($L$1+1),TRUNC((N3944),8),E3944)</f>
        <v/>
      </c>
      <c r="F3945" s="49">
        <f>TRUNC(((1+VLOOKUP(A3945,IPCA!$A$2:$C$140,3,0)))^(C3945/(EDATE(D3945-C3945,1)-(D3945-C3945))),8)</f>
        <v/>
      </c>
      <c r="G3945" s="4">
        <f>TRUNC((E3945*F3945),8)</f>
        <v/>
      </c>
      <c r="H3945" s="4">
        <f>ROUND(((1+$H$4)^(30/360))^(C3945/(EDATE(D3945-B3945,1)-(D3945-B3945))),9)</f>
        <v/>
      </c>
      <c r="I3945" s="49">
        <f>TRUNC((G3945*H3945-G3945),8)</f>
        <v/>
      </c>
      <c r="J3945" s="4">
        <f>G3945+I3945</f>
        <v/>
      </c>
      <c r="K3945" s="137" t="inlineStr">
        <is>
          <t>JUROS</t>
        </is>
      </c>
      <c r="L3945" s="118" t="inlineStr">
        <is>
          <t>AMORTIZAÇÃO</t>
        </is>
      </c>
      <c r="M3945" s="118" t="inlineStr">
        <is>
          <t>AMEX</t>
        </is>
      </c>
      <c r="N3945" s="118" t="inlineStr">
        <is>
          <t>RESIDUAL</t>
        </is>
      </c>
      <c r="O3945" s="256" t="n"/>
      <c r="P3945" s="256" t="n"/>
      <c r="Q3945" s="256" t="n"/>
    </row>
    <row r="3946">
      <c r="A3946">
        <f>IF(DAY(D3946)=DAY($L$1+1),A3945+1,A3945)</f>
        <v/>
      </c>
      <c r="B3946" s="111">
        <f>IF(DAY(D3946)=DAY($L$1+1),1,B3945+1)</f>
        <v/>
      </c>
      <c r="C3946" s="111">
        <f>IF(DAY(D3946)=DAY($L$1+1),1,C3945+1)</f>
        <v/>
      </c>
      <c r="D3946" s="112">
        <f>D3945+1</f>
        <v/>
      </c>
      <c r="E3946" s="113">
        <f>IF(DAY(D3946)=DAY($L$1+1),TRUNC((N3945),8),E3945)</f>
        <v/>
      </c>
      <c r="F3946" s="114">
        <f>TRUNC(((1+VLOOKUP(A3946,IPCA!$A$2:$C$140,3,0)))^(C3946/(EDATE(D3946-C3946,1)-(D3946-C3946))),8)</f>
        <v/>
      </c>
      <c r="G3946" s="114">
        <f>TRUNC((E3946*F3946),8)</f>
        <v/>
      </c>
      <c r="H3946" s="114">
        <f>ROUND(((1+$H$4)^(30/360))^(C3946/(EDATE(D3946-B3946,1)-(D3946-B3946))),9)</f>
        <v/>
      </c>
      <c r="I3946" s="114">
        <f>TRUNC((G3946*H3946-G3946),8)</f>
        <v/>
      </c>
      <c r="J3946" s="114">
        <f>G3946+I3946</f>
        <v/>
      </c>
      <c r="K3946" s="119">
        <f>I3946</f>
        <v/>
      </c>
      <c r="L3946" s="120">
        <f>TRUNC(G3946*VLOOKUP(D3946,'Amort TS'!$G$3:$H$140,2,0),8)</f>
        <v/>
      </c>
      <c r="M3946" s="120" t="n">
        <v>0</v>
      </c>
      <c r="N3946" s="120">
        <f>J3946-K3946-L3946-M3946</f>
        <v/>
      </c>
      <c r="O3946" s="256" t="n"/>
      <c r="P3946" s="256" t="n"/>
      <c r="Q3946" s="256" t="n"/>
    </row>
    <row r="3947">
      <c r="A3947">
        <f>IF(DAY(D3947)=DAY($L$1+1),A3946+1,A3946)</f>
        <v/>
      </c>
      <c r="B3947" s="46">
        <f>IF(DAY(D3947)=DAY($L$1+1),1,B3946+1)</f>
        <v/>
      </c>
      <c r="C3947" s="46">
        <f>IF(DAY(D3947)=DAY($L$1+1),1,C3946+1)</f>
        <v/>
      </c>
      <c r="D3947" s="47">
        <f>D3946+1</f>
        <v/>
      </c>
      <c r="E3947" s="8">
        <f>IF(DAY(D3947)=DAY($L$1+1),TRUNC((N3946),8),E3946)</f>
        <v/>
      </c>
      <c r="F3947" s="49">
        <f>TRUNC(((1+VLOOKUP(A3947,IPCA!$A$2:$C$140,3,0)))^(C3947/(EDATE(D3947-C3947,1)-(D3947-C3947))),8)</f>
        <v/>
      </c>
      <c r="G3947" s="4">
        <f>TRUNC((E3947*F3947),8)</f>
        <v/>
      </c>
      <c r="H3947" s="4">
        <f>ROUND(((1+$H$4)^(30/360))^(C3947/(EDATE(D3947-B3947,1)-(D3947-B3947))),9)</f>
        <v/>
      </c>
      <c r="I3947" s="49">
        <f>TRUNC((G3947*H3947-G3947),8)</f>
        <v/>
      </c>
      <c r="J3947" s="4">
        <f>G3947+I3947</f>
        <v/>
      </c>
      <c r="K3947" s="121">
        <f>K3946*L3944</f>
        <v/>
      </c>
      <c r="L3947" s="121">
        <f>L3946*L3944</f>
        <v/>
      </c>
      <c r="M3947" s="121">
        <f>M3946*L3944</f>
        <v/>
      </c>
      <c r="N3947" s="121">
        <f>N3946*L3944</f>
        <v/>
      </c>
      <c r="O3947" s="256" t="n"/>
      <c r="P3947" s="256" t="n"/>
      <c r="Q3947" s="256" t="n"/>
    </row>
    <row r="3948">
      <c r="A3948">
        <f>IF(DAY(D3948)=DAY($L$1+1),A3947+1,A3947)</f>
        <v/>
      </c>
      <c r="B3948" s="1">
        <f>IF(DAY(D3948)=DAY($L$1+1),1,B3947+1)</f>
        <v/>
      </c>
      <c r="C3948" s="46">
        <f>IF(DAY(D3948)=DAY($L$1+1),1,C3947+1)</f>
        <v/>
      </c>
      <c r="D3948" s="2">
        <f>D3947+1</f>
        <v/>
      </c>
      <c r="E3948" s="8">
        <f>IF(DAY(D3948)=DAY($L$1+1),TRUNC((N3947),8),E3947)</f>
        <v/>
      </c>
      <c r="F3948" s="49">
        <f>TRUNC(((1+VLOOKUP(A3948,IPCA!$A$2:$C$140,3,0)))^(C3948/(EDATE(D3948-C3948,1)-(D3948-C3948))),8)</f>
        <v/>
      </c>
      <c r="G3948" s="4">
        <f>TRUNC((E3948*F3948),8)</f>
        <v/>
      </c>
      <c r="H3948" s="4">
        <f>ROUND(((1+$H$4)^(30/360))^(C3948/(EDATE(D3948-B3948,1)-(D3948-B3948))),9)</f>
        <v/>
      </c>
      <c r="I3948" s="49">
        <f>TRUNC((G3948*H3948-G3948),8)</f>
        <v/>
      </c>
      <c r="J3948" s="4">
        <f>G3948+I3948</f>
        <v/>
      </c>
      <c r="K3948" s="256" t="n"/>
      <c r="L3948" s="256" t="n"/>
      <c r="M3948" s="256" t="n"/>
      <c r="N3948" s="256" t="n"/>
      <c r="O3948" s="256" t="n"/>
      <c r="P3948" s="256" t="n"/>
      <c r="Q3948" s="256" t="n"/>
    </row>
    <row r="3949">
      <c r="A3949">
        <f>IF(DAY(D3949)=DAY($L$1+1),A3948+1,A3948)</f>
        <v/>
      </c>
      <c r="B3949" s="46">
        <f>IF(DAY(D3949)=DAY($L$1+1),1,B3948+1)</f>
        <v/>
      </c>
      <c r="C3949" s="46">
        <f>IF(DAY(D3949)=DAY($L$1+1),1,C3948+1)</f>
        <v/>
      </c>
      <c r="D3949" s="2">
        <f>D3948+1</f>
        <v/>
      </c>
      <c r="E3949" s="8">
        <f>IF(DAY(D3949)=DAY($L$1+1),TRUNC((#REF!),8),E3948)</f>
        <v/>
      </c>
      <c r="F3949" s="49">
        <f>TRUNC(((1+VLOOKUP(A3949,IPCA!$A$2:$C$140,3,0)))^(C3949/(EDATE(D3949-C3949,1)-(D3949-C3949))),8)</f>
        <v/>
      </c>
      <c r="G3949" s="4">
        <f>TRUNC((E3949*F3949),8)</f>
        <v/>
      </c>
      <c r="H3949" s="4">
        <f>ROUND(((1+$H$4)^(30/360))^(C3949/(EDATE(D3949-B3949,1)-(D3949-B3949))),9)</f>
        <v/>
      </c>
      <c r="I3949" s="49">
        <f>TRUNC((G3949*H3949-G3949),8)</f>
        <v/>
      </c>
      <c r="J3949" s="4">
        <f>G3949+I3949</f>
        <v/>
      </c>
      <c r="K3949" s="256" t="n"/>
      <c r="L3949" s="256" t="n"/>
      <c r="M3949" s="256" t="n"/>
      <c r="N3949" s="256" t="n"/>
      <c r="O3949" s="256" t="n"/>
      <c r="P3949" s="256" t="n"/>
      <c r="Q3949" s="256" t="n"/>
    </row>
    <row r="3950">
      <c r="A3950">
        <f>IF(DAY(D3950)=DAY($L$1+1),A3949+1,A3949)</f>
        <v/>
      </c>
      <c r="B3950" s="46">
        <f>IF(DAY(D3950)=DAY($L$1+1),1,B3949+1)</f>
        <v/>
      </c>
      <c r="C3950" s="46">
        <f>IF(DAY(D3950)=DAY($L$1+1),1,C3949+1)</f>
        <v/>
      </c>
      <c r="D3950" s="47">
        <f>D3949+1</f>
        <v/>
      </c>
      <c r="E3950" s="8">
        <f>IF(DAY(D3950)=DAY($L$1+1),TRUNC((#REF!),8),E3949)</f>
        <v/>
      </c>
      <c r="F3950" s="49">
        <f>TRUNC(((1+VLOOKUP(A3950,IPCA!$A$2:$C$140,3,0)))^(C3950/(EDATE(D3950-C3950,1)-(D3950-C3950))),8)</f>
        <v/>
      </c>
      <c r="G3950" s="4">
        <f>TRUNC((E3950*F3950),8)</f>
        <v/>
      </c>
      <c r="H3950" s="4">
        <f>ROUND(((1+$H$4)^(30/360))^(C3950/(EDATE(D3950-B3950,1)-(D3950-B3950))),9)</f>
        <v/>
      </c>
      <c r="I3950" s="49">
        <f>TRUNC((G3950*H3950-G3950),8)</f>
        <v/>
      </c>
      <c r="J3950" s="4">
        <f>G3950+I3950</f>
        <v/>
      </c>
      <c r="K3950" s="256" t="n"/>
      <c r="L3950" s="256" t="n"/>
      <c r="M3950" s="256" t="n"/>
      <c r="N3950" s="256" t="n"/>
      <c r="O3950" s="256" t="n"/>
      <c r="P3950" s="256" t="n"/>
      <c r="Q3950" s="256" t="n"/>
    </row>
    <row r="3951">
      <c r="A3951">
        <f>IF(DAY(D3951)=DAY($L$1+1),A3950+1,A3950)</f>
        <v/>
      </c>
      <c r="B3951" s="1">
        <f>IF(DAY(D3951)=DAY($L$1+1),1,B3950+1)</f>
        <v/>
      </c>
      <c r="C3951" s="1">
        <f>IF(DAY(D3951)=DAY($L$1+1),1,C3950+1)</f>
        <v/>
      </c>
      <c r="D3951" s="2">
        <f>D3950+1</f>
        <v/>
      </c>
      <c r="E3951" s="8">
        <f>IF(DAY(D3951)=DAY($L$1+1),TRUNC((#REF!),8),E3950)</f>
        <v/>
      </c>
      <c r="F3951" s="49">
        <f>TRUNC(((1+VLOOKUP(A3951,IPCA!$A$2:$C$140,3,0)))^(C3951/(EDATE(D3951-C3951,1)-(D3951-C3951))),8)</f>
        <v/>
      </c>
      <c r="G3951" s="4">
        <f>TRUNC((E3951*F3951),8)</f>
        <v/>
      </c>
      <c r="H3951" s="4">
        <f>ROUND(((1+$H$4)^(30/360))^(C3951/(EDATE(D3951-B3951,1)-(D3951-B3951))),9)</f>
        <v/>
      </c>
      <c r="I3951" s="49">
        <f>TRUNC((G3951*H3951-G3951),8)</f>
        <v/>
      </c>
      <c r="J3951" s="4">
        <f>G3951+I3951</f>
        <v/>
      </c>
      <c r="K3951" s="256" t="n"/>
      <c r="L3951" s="256" t="n"/>
      <c r="M3951" s="256" t="n"/>
      <c r="N3951" s="256" t="n"/>
      <c r="O3951" s="256" t="n"/>
      <c r="P3951" s="256" t="n"/>
      <c r="Q3951" s="256" t="n"/>
    </row>
    <row r="3952">
      <c r="A3952">
        <f>IF(DAY(D3952)=DAY($L$1+1),A3951+1,A3951)</f>
        <v/>
      </c>
      <c r="B3952" s="46">
        <f>IF(DAY(D3952)=DAY($L$1+1),1,B3951+1)</f>
        <v/>
      </c>
      <c r="C3952" s="46">
        <f>IF(DAY(D3952)=DAY($L$1+1),1,C3951+1)</f>
        <v/>
      </c>
      <c r="D3952" s="2">
        <f>D3951+1</f>
        <v/>
      </c>
      <c r="E3952" s="8">
        <f>IF(DAY(D3952)=DAY($L$1+1),TRUNC((#REF!),8),E3951)</f>
        <v/>
      </c>
      <c r="F3952" s="49">
        <f>TRUNC(((1+VLOOKUP(A3952,IPCA!$A$2:$C$140,3,0)))^(C3952/(EDATE(D3952-C3952,1)-(D3952-C3952))),8)</f>
        <v/>
      </c>
      <c r="G3952" s="4">
        <f>TRUNC((E3952*F3952),8)</f>
        <v/>
      </c>
      <c r="H3952" s="4">
        <f>ROUND(((1+$H$4)^(30/360))^(C3952/(EDATE(D3952-B3952,1)-(D3952-B3952))),9)</f>
        <v/>
      </c>
      <c r="I3952" s="49">
        <f>TRUNC((G3952*H3952-G3952),8)</f>
        <v/>
      </c>
      <c r="J3952" s="4">
        <f>G3952+I3952</f>
        <v/>
      </c>
      <c r="K3952" s="256" t="n"/>
      <c r="L3952" s="256" t="n"/>
      <c r="M3952" s="256" t="n"/>
      <c r="N3952" s="256" t="n"/>
      <c r="O3952" s="256" t="n"/>
      <c r="P3952" s="256" t="n"/>
      <c r="Q3952" s="256" t="n"/>
    </row>
    <row r="3953">
      <c r="A3953">
        <f>IF(DAY(D3953)=DAY($L$1+1),A3952+1,A3952)</f>
        <v/>
      </c>
      <c r="B3953" s="1">
        <f>IF(DAY(D3953)=DAY($L$1+1),1,B3952+1)</f>
        <v/>
      </c>
      <c r="C3953" s="1">
        <f>IF(DAY(D3953)=DAY($L$1+1),1,C3952+1)</f>
        <v/>
      </c>
      <c r="D3953" s="2">
        <f>D3952+1</f>
        <v/>
      </c>
      <c r="E3953" s="8">
        <f>IF(DAY(D3953)=DAY($L$1+1),TRUNC((#REF!),8),E3952)</f>
        <v/>
      </c>
      <c r="F3953" s="49">
        <f>TRUNC(((1+VLOOKUP(A3953,IPCA!$A$2:$C$140,3,0)))^(C3953/(EDATE(D3953-C3953,1)-(D3953-C3953))),8)</f>
        <v/>
      </c>
      <c r="G3953" s="4">
        <f>TRUNC((E3953*F3953),8)</f>
        <v/>
      </c>
      <c r="H3953" s="4">
        <f>ROUND(((1+$H$4)^(30/360))^(C3953/(EDATE(D3953-B3953,1)-(D3953-B3953))),9)</f>
        <v/>
      </c>
      <c r="I3953" s="49">
        <f>TRUNC((G3953*H3953-G3953),8)</f>
        <v/>
      </c>
      <c r="J3953" s="4">
        <f>G3953+I3953</f>
        <v/>
      </c>
      <c r="K3953" s="256" t="n"/>
      <c r="L3953" s="256" t="n"/>
      <c r="M3953" s="256" t="n"/>
      <c r="N3953" s="256" t="n"/>
      <c r="O3953" s="256" t="n"/>
      <c r="P3953" s="256" t="n"/>
      <c r="Q3953" s="256" t="n"/>
    </row>
    <row r="3954">
      <c r="A3954">
        <f>IF(DAY(D3954)=DAY($L$1+1),A3953+1,A3953)</f>
        <v/>
      </c>
      <c r="B3954" s="46">
        <f>IF(DAY(D3954)=DAY($L$1+1),1,B3953+1)</f>
        <v/>
      </c>
      <c r="C3954" s="46">
        <f>IF(DAY(D3954)=DAY($L$1+1),1,C3953+1)</f>
        <v/>
      </c>
      <c r="D3954" s="2">
        <f>D3953+1</f>
        <v/>
      </c>
      <c r="E3954" s="8">
        <f>IF(DAY(D3954)=DAY($L$1+1),TRUNC((#REF!),8),E3953)</f>
        <v/>
      </c>
      <c r="F3954" s="49">
        <f>TRUNC(((1+VLOOKUP(A3954,IPCA!$A$2:$C$140,3,0)))^(C3954/(EDATE(D3954-C3954,1)-(D3954-C3954))),8)</f>
        <v/>
      </c>
      <c r="G3954" s="4">
        <f>TRUNC((E3954*F3954),8)</f>
        <v/>
      </c>
      <c r="H3954" s="4">
        <f>ROUND(((1+$H$4)^(30/360))^(C3954/(EDATE(D3954-B3954,1)-(D3954-B3954))),9)</f>
        <v/>
      </c>
      <c r="I3954" s="49">
        <f>TRUNC((G3954*H3954-G3954),8)</f>
        <v/>
      </c>
      <c r="J3954" s="4">
        <f>G3954+I3954</f>
        <v/>
      </c>
      <c r="K3954" s="256" t="n"/>
      <c r="L3954" s="256" t="n"/>
      <c r="M3954" s="256" t="n"/>
      <c r="N3954" s="256" t="n"/>
      <c r="O3954" s="256" t="n"/>
      <c r="P3954" s="256" t="n"/>
      <c r="Q3954" s="256" t="n"/>
    </row>
    <row r="3955">
      <c r="A3955">
        <f>IF(DAY(D3955)=DAY($L$1+1),A3954+1,A3954)</f>
        <v/>
      </c>
      <c r="B3955" s="1">
        <f>IF(DAY(D3955)=DAY($L$1+1),1,B3954+1)</f>
        <v/>
      </c>
      <c r="C3955" s="1">
        <f>IF(DAY(D3955)=DAY($L$1+1),1,C3954+1)</f>
        <v/>
      </c>
      <c r="D3955" s="2">
        <f>D3954+1</f>
        <v/>
      </c>
      <c r="E3955" s="8">
        <f>IF(DAY(D3955)=DAY($L$1+1),TRUNC((#REF!),8),E3954)</f>
        <v/>
      </c>
      <c r="F3955" s="49">
        <f>TRUNC(((1+VLOOKUP(A3955,IPCA!$A$2:$C$140,3,0)))^(C3955/(EDATE(D3955-C3955,1)-(D3955-C3955))),8)</f>
        <v/>
      </c>
      <c r="G3955" s="4">
        <f>TRUNC((E3955*F3955),8)</f>
        <v/>
      </c>
      <c r="H3955" s="4">
        <f>ROUND(((1+$H$4)^(30/360))^(C3955/(EDATE(D3955-B3955,1)-(D3955-B3955))),9)</f>
        <v/>
      </c>
      <c r="I3955" s="49">
        <f>TRUNC((G3955*H3955-G3955),8)</f>
        <v/>
      </c>
      <c r="J3955" s="4">
        <f>G3955+I3955</f>
        <v/>
      </c>
      <c r="K3955" s="256" t="n"/>
      <c r="L3955" s="256" t="n"/>
      <c r="M3955" s="256" t="n"/>
      <c r="N3955" s="256" t="n"/>
      <c r="O3955" s="256" t="n"/>
      <c r="P3955" s="256" t="n"/>
      <c r="Q3955" s="256" t="n"/>
    </row>
    <row r="3956">
      <c r="A3956">
        <f>IF(DAY(D3956)=DAY($L$1+1),A3955+1,A3955)</f>
        <v/>
      </c>
      <c r="B3956" s="46">
        <f>IF(DAY(D3956)=DAY($L$1+1),1,B3955+1)</f>
        <v/>
      </c>
      <c r="C3956" s="46">
        <f>IF(DAY(D3956)=DAY($L$1+1),1,C3955+1)</f>
        <v/>
      </c>
      <c r="D3956" s="2">
        <f>D3955+1</f>
        <v/>
      </c>
      <c r="E3956" s="8">
        <f>IF(DAY(D3956)=DAY($L$1+1),TRUNC((#REF!),8),E3955)</f>
        <v/>
      </c>
      <c r="F3956" s="49">
        <f>TRUNC(((1+VLOOKUP(A3956,IPCA!$A$2:$C$140,3,0)))^(C3956/(EDATE(D3956-C3956,1)-(D3956-C3956))),8)</f>
        <v/>
      </c>
      <c r="G3956" s="4">
        <f>TRUNC((E3956*F3956),8)</f>
        <v/>
      </c>
      <c r="H3956" s="4">
        <f>ROUND(((1+$H$4)^(30/360))^(C3956/(EDATE(D3956-B3956,1)-(D3956-B3956))),9)</f>
        <v/>
      </c>
      <c r="I3956" s="49">
        <f>TRUNC((G3956*H3956-G3956),8)</f>
        <v/>
      </c>
      <c r="J3956" s="4">
        <f>G3956+I3956</f>
        <v/>
      </c>
      <c r="K3956" s="256" t="n"/>
      <c r="L3956" s="256" t="n"/>
      <c r="M3956" s="256" t="n"/>
      <c r="N3956" s="256" t="n"/>
      <c r="O3956" s="256" t="n"/>
      <c r="P3956" s="256" t="n"/>
      <c r="Q3956" s="256" t="n"/>
    </row>
    <row r="3957">
      <c r="A3957">
        <f>IF(DAY(D3957)=DAY($L$1+1),A3956+1,A3956)</f>
        <v/>
      </c>
      <c r="B3957" s="1">
        <f>IF(DAY(D3957)=DAY($L$1+1),1,B3956+1)</f>
        <v/>
      </c>
      <c r="C3957" s="1">
        <f>IF(DAY(D3957)=DAY($L$1+1),1,C3956+1)</f>
        <v/>
      </c>
      <c r="D3957" s="2">
        <f>D3956+1</f>
        <v/>
      </c>
      <c r="E3957" s="8">
        <f>IF(DAY(D3957)=DAY($L$1+1),TRUNC((#REF!),8),E3956)</f>
        <v/>
      </c>
      <c r="F3957" s="49">
        <f>TRUNC(((1+VLOOKUP(A3957,IPCA!$A$2:$C$140,3,0)))^(C3957/(EDATE(D3957-C3957,1)-(D3957-C3957))),8)</f>
        <v/>
      </c>
      <c r="G3957" s="4">
        <f>TRUNC((E3957*F3957),8)</f>
        <v/>
      </c>
      <c r="H3957" s="4">
        <f>ROUND(((1+$H$4)^(30/360))^(C3957/(EDATE(D3957-B3957,1)-(D3957-B3957))),9)</f>
        <v/>
      </c>
      <c r="I3957" s="49">
        <f>TRUNC((G3957*H3957-G3957),8)</f>
        <v/>
      </c>
      <c r="J3957" s="4">
        <f>G3957+I3957</f>
        <v/>
      </c>
      <c r="K3957" s="256" t="n"/>
      <c r="L3957" s="256" t="n"/>
      <c r="M3957" s="256" t="n"/>
      <c r="N3957" s="256" t="n"/>
      <c r="O3957" s="256" t="n"/>
      <c r="P3957" s="256" t="n"/>
      <c r="Q3957" s="256" t="n"/>
    </row>
    <row r="3958">
      <c r="A3958">
        <f>IF(DAY(D3958)=DAY($L$1+1),A3957+1,A3957)</f>
        <v/>
      </c>
      <c r="B3958" s="46">
        <f>IF(DAY(D3958)=DAY($L$1+1),1,B3957+1)</f>
        <v/>
      </c>
      <c r="C3958" s="46">
        <f>IF(DAY(D3958)=DAY($L$1+1),1,C3957+1)</f>
        <v/>
      </c>
      <c r="D3958" s="2">
        <f>D3957+1</f>
        <v/>
      </c>
      <c r="E3958" s="8">
        <f>IF(DAY(D3958)=DAY($L$1+1),TRUNC((#REF!),8),E3957)</f>
        <v/>
      </c>
      <c r="F3958" s="49">
        <f>TRUNC(((1+VLOOKUP(A3958,IPCA!$A$2:$C$140,3,0)))^(C3958/(EDATE(D3958-C3958,1)-(D3958-C3958))),8)</f>
        <v/>
      </c>
      <c r="G3958" s="4">
        <f>TRUNC((E3958*F3958),8)</f>
        <v/>
      </c>
      <c r="H3958" s="4">
        <f>ROUND(((1+$H$4)^(30/360))^(C3958/(EDATE(D3958-B3958,1)-(D3958-B3958))),9)</f>
        <v/>
      </c>
      <c r="I3958" s="49">
        <f>TRUNC((G3958*H3958-G3958),8)</f>
        <v/>
      </c>
      <c r="J3958" s="4">
        <f>G3958+I3958</f>
        <v/>
      </c>
      <c r="K3958" s="256" t="n"/>
      <c r="L3958" s="256" t="n"/>
      <c r="M3958" s="256" t="n"/>
      <c r="N3958" s="256" t="n"/>
      <c r="O3958" s="256" t="n"/>
      <c r="P3958" s="256" t="n"/>
      <c r="Q3958" s="256" t="n"/>
    </row>
    <row r="3959">
      <c r="A3959">
        <f>IF(DAY(D3959)=DAY($L$1+1),A3958+1,A3958)</f>
        <v/>
      </c>
      <c r="B3959" s="1">
        <f>IF(DAY(D3959)=DAY($L$1+1),1,B3958+1)</f>
        <v/>
      </c>
      <c r="C3959" s="1">
        <f>IF(DAY(D3959)=DAY($L$1+1),1,C3958+1)</f>
        <v/>
      </c>
      <c r="D3959" s="2">
        <f>D3958+1</f>
        <v/>
      </c>
      <c r="E3959" s="8">
        <f>IF(DAY(D3959)=DAY($L$1+1),TRUNC((#REF!),8),E3958)</f>
        <v/>
      </c>
      <c r="F3959" s="49">
        <f>TRUNC(((1+VLOOKUP(A3959,IPCA!$A$2:$C$140,3,0)))^(C3959/(EDATE(D3959-C3959,1)-(D3959-C3959))),8)</f>
        <v/>
      </c>
      <c r="G3959" s="4">
        <f>TRUNC((E3959*F3959),8)</f>
        <v/>
      </c>
      <c r="H3959" s="4">
        <f>ROUND(((1+$H$4)^(30/360))^(C3959/(EDATE(D3959-B3959,1)-(D3959-B3959))),9)</f>
        <v/>
      </c>
      <c r="I3959" s="49">
        <f>TRUNC((G3959*H3959-G3959),8)</f>
        <v/>
      </c>
      <c r="J3959" s="4">
        <f>G3959+I3959</f>
        <v/>
      </c>
      <c r="K3959" s="256" t="n"/>
      <c r="L3959" s="256" t="n"/>
      <c r="M3959" s="256" t="n"/>
      <c r="N3959" s="256" t="n"/>
      <c r="O3959" s="256" t="n"/>
      <c r="P3959" s="256" t="n"/>
      <c r="Q3959" s="256" t="n"/>
    </row>
    <row r="3960">
      <c r="A3960">
        <f>IF(DAY(D3960)=DAY($L$1+1),A3959+1,A3959)</f>
        <v/>
      </c>
      <c r="B3960" s="46">
        <f>IF(DAY(D3960)=DAY($L$1+1),1,B3959+1)</f>
        <v/>
      </c>
      <c r="C3960" s="46">
        <f>IF(DAY(D3960)=DAY($L$1+1),1,C3959+1)</f>
        <v/>
      </c>
      <c r="D3960" s="2">
        <f>D3959+1</f>
        <v/>
      </c>
      <c r="E3960" s="8">
        <f>IF(DAY(D3960)=DAY($L$1+1),TRUNC((#REF!),8),E3959)</f>
        <v/>
      </c>
      <c r="F3960" s="49">
        <f>TRUNC(((1+VLOOKUP(A3960,IPCA!$A$2:$C$140,3,0)))^(C3960/(EDATE(D3960-C3960,1)-(D3960-C3960))),8)</f>
        <v/>
      </c>
      <c r="G3960" s="4">
        <f>TRUNC((E3960*F3960),8)</f>
        <v/>
      </c>
      <c r="H3960" s="4">
        <f>ROUND(((1+$H$4)^(30/360))^(C3960/(EDATE(D3960-B3960,1)-(D3960-B3960))),9)</f>
        <v/>
      </c>
      <c r="I3960" s="49">
        <f>TRUNC((G3960*H3960-G3960),8)</f>
        <v/>
      </c>
      <c r="J3960" s="4">
        <f>G3960+I3960</f>
        <v/>
      </c>
      <c r="K3960" s="256" t="n"/>
      <c r="L3960" s="256" t="n"/>
      <c r="M3960" s="256" t="n"/>
      <c r="N3960" s="256" t="n"/>
      <c r="O3960" s="256" t="n"/>
      <c r="P3960" s="256" t="n"/>
      <c r="Q3960" s="256" t="n"/>
    </row>
    <row r="3961">
      <c r="A3961">
        <f>IF(DAY(D3961)=DAY($L$1+1),A3960+1,A3960)</f>
        <v/>
      </c>
      <c r="B3961" s="1">
        <f>IF(DAY(D3961)=DAY($L$1+1),1,B3960+1)</f>
        <v/>
      </c>
      <c r="C3961" s="1">
        <f>IF(DAY(D3961)=DAY($L$1+1),1,C3960+1)</f>
        <v/>
      </c>
      <c r="D3961" s="2">
        <f>D3960+1</f>
        <v/>
      </c>
      <c r="E3961" s="8">
        <f>IF(DAY(D3961)=DAY($L$1+1),TRUNC((N3960),8),E3960)</f>
        <v/>
      </c>
      <c r="F3961" s="49">
        <f>TRUNC(((1+VLOOKUP(A3961,IPCA!$A$2:$C$140,3,0)))^(C3961/(EDATE(D3961-C3961,1)-(D3961-C3961))),8)</f>
        <v/>
      </c>
      <c r="G3961" s="4">
        <f>TRUNC((E3961*F3961),8)</f>
        <v/>
      </c>
      <c r="H3961" s="4">
        <f>ROUND(((1+$H$4)^(30/360))^(C3961/(EDATE(D3961-B3961,1)-(D3961-B3961))),9)</f>
        <v/>
      </c>
      <c r="I3961" s="49">
        <f>TRUNC((G3961*H3961-G3961),8)</f>
        <v/>
      </c>
      <c r="J3961" s="4">
        <f>G3961+I3961</f>
        <v/>
      </c>
      <c r="K3961" s="256" t="n"/>
      <c r="L3961" s="256" t="n"/>
      <c r="M3961" s="256" t="n"/>
      <c r="N3961" s="256" t="n"/>
      <c r="O3961" s="256" t="n"/>
      <c r="P3961" s="256" t="n"/>
      <c r="Q3961" s="256" t="n"/>
    </row>
    <row r="3962">
      <c r="A3962">
        <f>IF(DAY(D3962)=DAY($L$1+1),A3961+1,A3961)</f>
        <v/>
      </c>
      <c r="B3962" s="46">
        <f>IF(DAY(D3962)=DAY($L$1+1),1,B3961+1)</f>
        <v/>
      </c>
      <c r="C3962" s="46">
        <f>IF(DAY(D3962)=DAY($L$1+1),1,C3961+1)</f>
        <v/>
      </c>
      <c r="D3962" s="2">
        <f>D3961+1</f>
        <v/>
      </c>
      <c r="E3962" s="8">
        <f>IF(DAY(D3962)=DAY($L$1+1),TRUNC((N3961),8),E3961)</f>
        <v/>
      </c>
      <c r="F3962" s="49">
        <f>TRUNC(((1+VLOOKUP(A3962,IPCA!$A$2:$C$140,3,0)))^(C3962/(EDATE(D3962-C3962,1)-(D3962-C3962))),8)</f>
        <v/>
      </c>
      <c r="G3962" s="4">
        <f>TRUNC((E3962*F3962),8)</f>
        <v/>
      </c>
      <c r="H3962" s="4">
        <f>ROUND(((1+$H$4)^(30/360))^(C3962/(EDATE(D3962-B3962,1)-(D3962-B3962))),9)</f>
        <v/>
      </c>
      <c r="I3962" s="49">
        <f>TRUNC((G3962*H3962-G3962),8)</f>
        <v/>
      </c>
      <c r="J3962" s="4">
        <f>G3962+I3962</f>
        <v/>
      </c>
      <c r="K3962" s="256" t="n"/>
      <c r="L3962" s="256" t="n"/>
      <c r="M3962" s="256" t="n"/>
      <c r="N3962" s="256" t="n"/>
      <c r="O3962" s="256" t="n"/>
      <c r="P3962" s="256" t="n"/>
      <c r="Q3962" s="256" t="n"/>
    </row>
    <row r="3963">
      <c r="A3963">
        <f>IF(DAY(D3963)=DAY($L$1+1),A3962+1,A3962)</f>
        <v/>
      </c>
      <c r="B3963" s="1">
        <f>IF(DAY(D3963)=DAY($L$1+1),1,B3962+1)</f>
        <v/>
      </c>
      <c r="C3963" s="1">
        <f>IF(DAY(D3963)=DAY($L$1+1),1,C3962+1)</f>
        <v/>
      </c>
      <c r="D3963" s="2">
        <f>D3962+1</f>
        <v/>
      </c>
      <c r="E3963" s="8">
        <f>IF(DAY(D3963)=DAY($L$1+1),TRUNC((N3962),8),E3962)</f>
        <v/>
      </c>
      <c r="F3963" s="49">
        <f>TRUNC(((1+VLOOKUP(A3963,IPCA!$A$2:$C$140,3,0)))^(C3963/(EDATE(D3963-C3963,1)-(D3963-C3963))),8)</f>
        <v/>
      </c>
      <c r="G3963" s="4">
        <f>TRUNC((E3963*F3963),8)</f>
        <v/>
      </c>
      <c r="H3963" s="4">
        <f>ROUND(((1+$H$4)^(30/360))^(C3963/(EDATE(D3963-B3963,1)-(D3963-B3963))),9)</f>
        <v/>
      </c>
      <c r="I3963" s="49">
        <f>TRUNC((G3963*H3963-G3963),8)</f>
        <v/>
      </c>
      <c r="J3963" s="4">
        <f>G3963+I3963</f>
        <v/>
      </c>
      <c r="K3963" s="256" t="n"/>
      <c r="L3963" s="256" t="n"/>
      <c r="M3963" s="256" t="n"/>
      <c r="N3963" s="256" t="n"/>
      <c r="O3963" s="256" t="n"/>
      <c r="P3963" s="256" t="n"/>
      <c r="Q3963" s="256" t="n"/>
    </row>
    <row r="3964">
      <c r="A3964">
        <f>IF(DAY(D3964)=DAY($L$1+1),A3963+1,A3963)</f>
        <v/>
      </c>
      <c r="B3964" s="46">
        <f>IF(DAY(D3964)=DAY($L$1+1),1,B3963+1)</f>
        <v/>
      </c>
      <c r="C3964" s="46">
        <f>IF(DAY(D3964)=DAY($L$1+1),1,C3963+1)</f>
        <v/>
      </c>
      <c r="D3964" s="2">
        <f>D3963+1</f>
        <v/>
      </c>
      <c r="E3964" s="8">
        <f>IF(DAY(D3964)=DAY($L$1+1),TRUNC((N3963),8),E3963)</f>
        <v/>
      </c>
      <c r="F3964" s="49">
        <f>TRUNC(((1+VLOOKUP(A3964,IPCA!$A$2:$C$140,3,0)))^(C3964/(EDATE(D3964-C3964,1)-(D3964-C3964))),8)</f>
        <v/>
      </c>
      <c r="G3964" s="4">
        <f>TRUNC((E3964*F3964),8)</f>
        <v/>
      </c>
      <c r="H3964" s="4">
        <f>ROUND(((1+$H$4)^(30/360))^(C3964/(EDATE(D3964-B3964,1)-(D3964-B3964))),9)</f>
        <v/>
      </c>
      <c r="I3964" s="49">
        <f>TRUNC((G3964*H3964-G3964),8)</f>
        <v/>
      </c>
      <c r="J3964" s="4">
        <f>G3964+I3964</f>
        <v/>
      </c>
      <c r="K3964" s="256" t="n"/>
      <c r="L3964" s="256" t="n"/>
      <c r="M3964" s="256" t="n"/>
      <c r="N3964" s="256" t="n"/>
      <c r="O3964" s="256" t="n"/>
      <c r="P3964" s="256" t="n"/>
      <c r="Q3964" s="256" t="n"/>
    </row>
    <row r="3965">
      <c r="A3965">
        <f>IF(DAY(D3965)=DAY($L$1+1),A3964+1,A3964)</f>
        <v/>
      </c>
      <c r="B3965" s="1">
        <f>IF(DAY(D3965)=DAY($L$1+1),1,B3964+1)</f>
        <v/>
      </c>
      <c r="C3965" s="1">
        <f>IF(DAY(D3965)=DAY($L$1+1),1,C3964+1)</f>
        <v/>
      </c>
      <c r="D3965" s="2">
        <f>D3964+1</f>
        <v/>
      </c>
      <c r="E3965" s="8">
        <f>IF(DAY(D3965)=DAY($L$1+1),TRUNC((N3964),8),E3964)</f>
        <v/>
      </c>
      <c r="F3965" s="49">
        <f>TRUNC(((1+VLOOKUP(A3965,IPCA!$A$2:$C$140,3,0)))^(C3965/(EDATE(D3965-C3965,1)-(D3965-C3965))),8)</f>
        <v/>
      </c>
      <c r="G3965" s="4">
        <f>TRUNC((E3965*F3965),8)</f>
        <v/>
      </c>
      <c r="H3965" s="4">
        <f>ROUND(((1+$H$4)^(30/360))^(C3965/(EDATE(D3965-B3965,1)-(D3965-B3965))),9)</f>
        <v/>
      </c>
      <c r="I3965" s="49">
        <f>TRUNC((G3965*H3965-G3965),8)</f>
        <v/>
      </c>
      <c r="J3965" s="4">
        <f>G3965+I3965</f>
        <v/>
      </c>
      <c r="K3965" s="256" t="n"/>
      <c r="L3965" s="256" t="n"/>
      <c r="M3965" s="256" t="n"/>
      <c r="N3965" s="256" t="n"/>
      <c r="O3965" s="256" t="n"/>
      <c r="P3965" s="256" t="n"/>
      <c r="Q3965" s="256" t="n"/>
    </row>
    <row r="3966">
      <c r="A3966">
        <f>IF(DAY(D3966)=DAY($L$1+1),A3965+1,A3965)</f>
        <v/>
      </c>
      <c r="B3966" s="46">
        <f>IF(DAY(D3966)=DAY($L$1+1),1,B3965+1)</f>
        <v/>
      </c>
      <c r="C3966" s="46">
        <f>IF(DAY(D3966)=DAY($L$1+1),1,C3965+1)</f>
        <v/>
      </c>
      <c r="D3966" s="2">
        <f>D3965+1</f>
        <v/>
      </c>
      <c r="E3966" s="8">
        <f>IF(DAY(D3966)=DAY($L$1+1),TRUNC((N3965),8),E3965)</f>
        <v/>
      </c>
      <c r="F3966" s="49">
        <f>TRUNC(((1+VLOOKUP(A3966,IPCA!$A$2:$C$140,3,0)))^(C3966/(EDATE(D3966-C3966,1)-(D3966-C3966))),8)</f>
        <v/>
      </c>
      <c r="G3966" s="4">
        <f>TRUNC((E3966*F3966),8)</f>
        <v/>
      </c>
      <c r="H3966" s="4">
        <f>ROUND(((1+$H$4)^(30/360))^(C3966/(EDATE(D3966-B3966,1)-(D3966-B3966))),9)</f>
        <v/>
      </c>
      <c r="I3966" s="49">
        <f>TRUNC((G3966*H3966-G3966),8)</f>
        <v/>
      </c>
      <c r="J3966" s="4">
        <f>G3966+I3966</f>
        <v/>
      </c>
      <c r="K3966" s="256" t="n"/>
      <c r="L3966" s="256" t="n"/>
      <c r="M3966" s="256" t="n"/>
      <c r="N3966" s="256" t="n"/>
      <c r="O3966" s="256" t="n"/>
      <c r="P3966" s="256" t="n"/>
      <c r="Q3966" s="256" t="n"/>
    </row>
    <row r="3967">
      <c r="A3967">
        <f>IF(DAY(D3967)=DAY($L$1+1),A3966+1,A3966)</f>
        <v/>
      </c>
      <c r="B3967" s="1">
        <f>IF(DAY(D3967)=DAY($L$1+1),1,B3966+1)</f>
        <v/>
      </c>
      <c r="C3967" s="1">
        <f>IF(DAY(D3967)=DAY($L$1+1),1,C3966+1)</f>
        <v/>
      </c>
      <c r="D3967" s="2">
        <f>D3966+1</f>
        <v/>
      </c>
      <c r="E3967" s="8">
        <f>IF(DAY(D3967)=DAY($L$1+1),TRUNC((N3966),8),E3966)</f>
        <v/>
      </c>
      <c r="F3967" s="49">
        <f>TRUNC(((1+VLOOKUP(A3967,IPCA!$A$2:$C$140,3,0)))^(C3967/(EDATE(D3967-C3967,1)-(D3967-C3967))),8)</f>
        <v/>
      </c>
      <c r="G3967" s="4">
        <f>TRUNC((E3967*F3967),8)</f>
        <v/>
      </c>
      <c r="H3967" s="4">
        <f>ROUND(((1+$H$4)^(30/360))^(C3967/(EDATE(D3967-B3967,1)-(D3967-B3967))),9)</f>
        <v/>
      </c>
      <c r="I3967" s="49">
        <f>TRUNC((G3967*H3967-G3967),8)</f>
        <v/>
      </c>
      <c r="J3967" s="4">
        <f>G3967+I3967</f>
        <v/>
      </c>
      <c r="K3967" s="256" t="n"/>
      <c r="L3967" s="256" t="n"/>
      <c r="M3967" s="256" t="n"/>
      <c r="N3967" s="256" t="n"/>
      <c r="O3967" s="256" t="n"/>
      <c r="P3967" s="256" t="n"/>
      <c r="Q3967" s="256" t="n"/>
    </row>
    <row r="3968">
      <c r="A3968">
        <f>IF(DAY(D3968)=DAY($L$1+1),A3967+1,A3967)</f>
        <v/>
      </c>
      <c r="B3968" s="46">
        <f>IF(DAY(D3968)=DAY($L$1+1),1,B3967+1)</f>
        <v/>
      </c>
      <c r="C3968" s="46">
        <f>IF(DAY(D3968)=DAY($L$1+1),1,C3967+1)</f>
        <v/>
      </c>
      <c r="D3968" s="2">
        <f>D3967+1</f>
        <v/>
      </c>
      <c r="E3968" s="8">
        <f>IF(DAY(D3968)=DAY($L$1+1),TRUNC((N3967),8),E3967)</f>
        <v/>
      </c>
      <c r="F3968" s="49">
        <f>TRUNC(((1+VLOOKUP(A3968,IPCA!$A$2:$C$140,3,0)))^(C3968/(EDATE(D3968-C3968,1)-(D3968-C3968))),8)</f>
        <v/>
      </c>
      <c r="G3968" s="4">
        <f>TRUNC((E3968*F3968),8)</f>
        <v/>
      </c>
      <c r="H3968" s="4">
        <f>ROUND(((1+$H$4)^(30/360))^(C3968/(EDATE(D3968-B3968,1)-(D3968-B3968))),9)</f>
        <v/>
      </c>
      <c r="I3968" s="49">
        <f>TRUNC((G3968*H3968-G3968),8)</f>
        <v/>
      </c>
      <c r="J3968" s="4">
        <f>G3968+I3968</f>
        <v/>
      </c>
      <c r="K3968" s="256" t="n"/>
      <c r="L3968" s="256" t="n"/>
      <c r="M3968" s="256" t="n"/>
      <c r="N3968" s="256" t="n"/>
      <c r="O3968" s="256" t="n"/>
      <c r="P3968" s="256" t="n"/>
      <c r="Q3968" s="256" t="n"/>
    </row>
    <row r="3969">
      <c r="A3969">
        <f>IF(DAY(D3969)=DAY($L$1+1),A3968+1,A3968)</f>
        <v/>
      </c>
      <c r="B3969" s="1">
        <f>IF(DAY(D3969)=DAY($L$1+1),1,B3968+1)</f>
        <v/>
      </c>
      <c r="C3969" s="1">
        <f>IF(DAY(D3969)=DAY($L$1+1),1,C3968+1)</f>
        <v/>
      </c>
      <c r="D3969" s="2">
        <f>D3968+1</f>
        <v/>
      </c>
      <c r="E3969" s="8">
        <f>IF(DAY(D3969)=DAY($L$1+1),TRUNC((N3968),8),E3968)</f>
        <v/>
      </c>
      <c r="F3969" s="49">
        <f>TRUNC(((1+VLOOKUP(A3969,IPCA!$A$2:$C$140,3,0)))^(C3969/(EDATE(D3969-C3969,1)-(D3969-C3969))),8)</f>
        <v/>
      </c>
      <c r="G3969" s="4">
        <f>TRUNC((E3969*F3969),8)</f>
        <v/>
      </c>
      <c r="H3969" s="4">
        <f>ROUND(((1+$H$4)^(30/360))^(C3969/(EDATE(D3969-B3969,1)-(D3969-B3969))),9)</f>
        <v/>
      </c>
      <c r="I3969" s="49">
        <f>TRUNC((G3969*H3969-G3969),8)</f>
        <v/>
      </c>
      <c r="J3969" s="4">
        <f>G3969+I3969</f>
        <v/>
      </c>
      <c r="K3969" s="256" t="n"/>
      <c r="L3969" s="256" t="n"/>
      <c r="M3969" s="256" t="n"/>
      <c r="N3969" s="256" t="n"/>
      <c r="O3969" s="256" t="n"/>
      <c r="P3969" s="256" t="n"/>
      <c r="Q3969" s="256" t="n"/>
    </row>
    <row r="3970">
      <c r="A3970">
        <f>IF(DAY(D3970)=DAY($L$1+1),A3969+1,A3969)</f>
        <v/>
      </c>
      <c r="B3970" s="46">
        <f>IF(DAY(D3970)=DAY($L$1+1),1,B3969+1)</f>
        <v/>
      </c>
      <c r="C3970" s="46">
        <f>IF(DAY(D3970)=DAY($L$1+1),1,C3969+1)</f>
        <v/>
      </c>
      <c r="D3970" s="2">
        <f>D3969+1</f>
        <v/>
      </c>
      <c r="E3970" s="8">
        <f>IF(DAY(D3970)=DAY($L$1+1),TRUNC((N3969),8),E3969)</f>
        <v/>
      </c>
      <c r="F3970" s="49">
        <f>TRUNC(((1+VLOOKUP(A3970,IPCA!$A$2:$C$140,3,0)))^(C3970/(EDATE(D3970-C3970,1)-(D3970-C3970))),8)</f>
        <v/>
      </c>
      <c r="G3970" s="4">
        <f>TRUNC((E3970*F3970),8)</f>
        <v/>
      </c>
      <c r="H3970" s="4">
        <f>ROUND(((1+$H$4)^(30/360))^(C3970/(EDATE(D3970-B3970,1)-(D3970-B3970))),9)</f>
        <v/>
      </c>
      <c r="I3970" s="49">
        <f>TRUNC((G3970*H3970-G3970),8)</f>
        <v/>
      </c>
      <c r="J3970" s="4">
        <f>G3970+I3970</f>
        <v/>
      </c>
      <c r="K3970" s="256" t="n"/>
      <c r="L3970" s="256" t="n"/>
      <c r="M3970" s="256" t="n"/>
      <c r="N3970" s="256" t="n"/>
      <c r="O3970" s="256" t="n"/>
      <c r="P3970" s="256" t="n"/>
      <c r="Q3970" s="256" t="n"/>
    </row>
    <row r="3971">
      <c r="A3971">
        <f>IF(DAY(D3971)=DAY($L$1+1),A3970+1,A3970)</f>
        <v/>
      </c>
      <c r="B3971" s="1">
        <f>IF(DAY(D3971)=DAY($L$1+1),1,B3970+1)</f>
        <v/>
      </c>
      <c r="C3971" s="1">
        <f>IF(DAY(D3971)=DAY($L$1+1),1,C3970+1)</f>
        <v/>
      </c>
      <c r="D3971" s="2">
        <f>D3970+1</f>
        <v/>
      </c>
      <c r="E3971" s="8">
        <f>IF(DAY(D3971)=DAY($L$1+1),TRUNC((N3970),8),E3970)</f>
        <v/>
      </c>
      <c r="F3971" s="49">
        <f>TRUNC(((1+VLOOKUP(A3971,IPCA!$A$2:$C$140,3,0)))^(C3971/(EDATE(D3971-C3971,1)-(D3971-C3971))),8)</f>
        <v/>
      </c>
      <c r="G3971" s="4">
        <f>TRUNC((E3971*F3971),8)</f>
        <v/>
      </c>
      <c r="H3971" s="4">
        <f>ROUND(((1+$H$4)^(30/360))^(C3971/(EDATE(D3971-B3971,1)-(D3971-B3971))),9)</f>
        <v/>
      </c>
      <c r="I3971" s="49">
        <f>TRUNC((G3971*H3971-G3971),8)</f>
        <v/>
      </c>
      <c r="J3971" s="4">
        <f>G3971+I3971</f>
        <v/>
      </c>
      <c r="K3971" s="256" t="n"/>
      <c r="L3971" s="256" t="n"/>
      <c r="M3971" s="256" t="n"/>
      <c r="N3971" s="256" t="n"/>
      <c r="O3971" s="256" t="n"/>
      <c r="P3971" s="256" t="n"/>
      <c r="Q3971" s="256" t="n"/>
    </row>
    <row r="3972">
      <c r="A3972">
        <f>IF(DAY(D3972)=DAY($L$1+1),A3971+1,A3971)</f>
        <v/>
      </c>
      <c r="B3972" s="46">
        <f>IF(DAY(D3972)=DAY($L$1+1),1,B3971+1)</f>
        <v/>
      </c>
      <c r="C3972" s="46">
        <f>IF(DAY(D3972)=DAY($L$1+1),1,C3971+1)</f>
        <v/>
      </c>
      <c r="D3972" s="2">
        <f>D3971+1</f>
        <v/>
      </c>
      <c r="E3972" s="8">
        <f>IF(DAY(D3972)=DAY($L$1+1),TRUNC((N3971),8),E3971)</f>
        <v/>
      </c>
      <c r="F3972" s="49">
        <f>TRUNC(((1+VLOOKUP(A3972,IPCA!$A$2:$C$140,3,0)))^(C3972/(EDATE(D3972-C3972,1)-(D3972-C3972))),8)</f>
        <v/>
      </c>
      <c r="G3972" s="4">
        <f>TRUNC((E3972*F3972),8)</f>
        <v/>
      </c>
      <c r="H3972" s="4">
        <f>ROUND(((1+$H$4)^(30/360))^(C3972/(EDATE(D3972-B3972,1)-(D3972-B3972))),9)</f>
        <v/>
      </c>
      <c r="I3972" s="49">
        <f>TRUNC((G3972*H3972-G3972),8)</f>
        <v/>
      </c>
      <c r="J3972" s="4">
        <f>G3972+I3972</f>
        <v/>
      </c>
      <c r="K3972" s="256" t="n"/>
      <c r="L3972" s="256" t="n"/>
      <c r="M3972" s="256" t="n"/>
      <c r="N3972" s="256" t="n"/>
      <c r="O3972" s="256" t="n"/>
      <c r="P3972" s="256" t="n"/>
      <c r="Q3972" s="256" t="n"/>
    </row>
    <row r="3973">
      <c r="A3973">
        <f>IF(DAY(D3973)=DAY($L$1+1),A3972+1,A3972)</f>
        <v/>
      </c>
      <c r="B3973" s="1">
        <f>IF(DAY(D3973)=DAY($L$1+1),1,B3972+1)</f>
        <v/>
      </c>
      <c r="C3973" s="1">
        <f>IF(DAY(D3973)=DAY($L$1+1),1,C3972+1)</f>
        <v/>
      </c>
      <c r="D3973" s="2">
        <f>D3972+1</f>
        <v/>
      </c>
      <c r="E3973" s="8">
        <f>IF(DAY(D3973)=DAY($L$1+1),TRUNC((N3972),8),E3972)</f>
        <v/>
      </c>
      <c r="F3973" s="49">
        <f>TRUNC(((1+VLOOKUP(A3973,IPCA!$A$2:$C$140,3,0)))^(C3973/(EDATE(D3973-C3973,1)-(D3973-C3973))),8)</f>
        <v/>
      </c>
      <c r="G3973" s="4">
        <f>TRUNC((E3973*F3973),8)</f>
        <v/>
      </c>
      <c r="H3973" s="4">
        <f>ROUND(((1+$H$4)^(30/360))^(C3973/(EDATE(D3973-B3973,1)-(D3973-B3973))),9)</f>
        <v/>
      </c>
      <c r="I3973" s="49">
        <f>TRUNC((G3973*H3973-G3973),8)</f>
        <v/>
      </c>
      <c r="J3973" s="4">
        <f>G3973+I3973</f>
        <v/>
      </c>
      <c r="K3973" s="256" t="n"/>
      <c r="L3973" s="256" t="n"/>
      <c r="M3973" s="256" t="n"/>
      <c r="N3973" s="256" t="n"/>
      <c r="O3973" s="256" t="n"/>
      <c r="P3973" s="256" t="n"/>
      <c r="Q3973" s="256" t="n"/>
    </row>
    <row r="3974">
      <c r="A3974">
        <f>IF(DAY(D3974)=DAY($L$1+1),A3973+1,A3973)</f>
        <v/>
      </c>
      <c r="B3974" s="46">
        <f>IF(DAY(D3974)=DAY($L$1+1),1,B3973+1)</f>
        <v/>
      </c>
      <c r="C3974" s="46">
        <f>IF(DAY(D3974)=DAY($L$1+1),1,C3973+1)</f>
        <v/>
      </c>
      <c r="D3974" s="2">
        <f>D3973+1</f>
        <v/>
      </c>
      <c r="E3974" s="8">
        <f>IF(DAY(D3974)=DAY($L$1+1),TRUNC((N3973),8),E3973)</f>
        <v/>
      </c>
      <c r="F3974" s="49">
        <f>TRUNC(((1+VLOOKUP(A3974,IPCA!$A$2:$C$140,3,0)))^(C3974/(EDATE(D3974-C3974,1)-(D3974-C3974))),8)</f>
        <v/>
      </c>
      <c r="G3974" s="4">
        <f>TRUNC((E3974*F3974),8)</f>
        <v/>
      </c>
      <c r="H3974" s="4">
        <f>ROUND(((1+$H$4)^(30/360))^(C3974/(EDATE(D3974-B3974,1)-(D3974-B3974))),9)</f>
        <v/>
      </c>
      <c r="I3974" s="49">
        <f>TRUNC((G3974*H3974-G3974),8)</f>
        <v/>
      </c>
      <c r="J3974" s="4">
        <f>G3974+I3974</f>
        <v/>
      </c>
      <c r="K3974" s="256" t="inlineStr">
        <is>
          <t>Cri Integralizado</t>
        </is>
      </c>
      <c r="L3974" s="270">
        <f>L3944</f>
        <v/>
      </c>
      <c r="M3974" s="256" t="n"/>
      <c r="N3974" s="256" t="n"/>
      <c r="O3974" s="256" t="n"/>
      <c r="P3974" s="256" t="n"/>
      <c r="Q3974" s="256" t="n"/>
    </row>
    <row r="3975">
      <c r="A3975">
        <f>IF(DAY(D3975)=DAY($L$1+1),A3974+1,A3974)</f>
        <v/>
      </c>
      <c r="B3975" s="46">
        <f>IF(DAY(D3975)=DAY($L$1+1),1,B3974+1)</f>
        <v/>
      </c>
      <c r="C3975" s="46">
        <f>IF(DAY(D3975)=DAY($L$1+1),1,C3974+1)</f>
        <v/>
      </c>
      <c r="D3975" s="47">
        <f>D3974+1</f>
        <v/>
      </c>
      <c r="E3975" s="8">
        <f>IF(DAY(D3975)=DAY($L$1+1),TRUNC((N3974),8),E3974)</f>
        <v/>
      </c>
      <c r="F3975" s="49">
        <f>TRUNC(((1+VLOOKUP(A3975,IPCA!$A$2:$C$140,3,0)))^(C3975/(EDATE(D3975-C3975,1)-(D3975-C3975))),8)</f>
        <v/>
      </c>
      <c r="G3975" s="4">
        <f>TRUNC((E3975*F3975),8)</f>
        <v/>
      </c>
      <c r="H3975" s="4">
        <f>ROUND(((1+$H$4)^(30/360))^(C3975/(EDATE(D3975-B3975,1)-(D3975-B3975))),9)</f>
        <v/>
      </c>
      <c r="I3975" s="49">
        <f>TRUNC((G3975*H3975-G3975),8)</f>
        <v/>
      </c>
      <c r="J3975" s="4">
        <f>G3975+I3975</f>
        <v/>
      </c>
      <c r="K3975" s="137" t="inlineStr">
        <is>
          <t>JUROS</t>
        </is>
      </c>
      <c r="L3975" s="118" t="inlineStr">
        <is>
          <t>AMORTIZAÇÃO</t>
        </is>
      </c>
      <c r="M3975" s="118" t="inlineStr">
        <is>
          <t>AMEX</t>
        </is>
      </c>
      <c r="N3975" s="118" t="inlineStr">
        <is>
          <t>RESIDUAL</t>
        </is>
      </c>
      <c r="O3975" s="256" t="n"/>
      <c r="P3975" s="256" t="n"/>
      <c r="Q3975" s="256" t="n"/>
    </row>
    <row r="3976">
      <c r="A3976">
        <f>IF(DAY(D3976)=DAY($L$1+1),A3975+1,A3975)</f>
        <v/>
      </c>
      <c r="B3976" s="111">
        <f>IF(DAY(D3976)=DAY($L$1+1),1,B3975+1)</f>
        <v/>
      </c>
      <c r="C3976" s="111">
        <f>IF(DAY(D3976)=DAY($L$1+1),1,C3975+1)</f>
        <v/>
      </c>
      <c r="D3976" s="112">
        <f>D3975+1</f>
        <v/>
      </c>
      <c r="E3976" s="113">
        <f>IF(DAY(D3976)=DAY($L$1+1),TRUNC((N3975),8),E3975)</f>
        <v/>
      </c>
      <c r="F3976" s="114">
        <f>TRUNC(((1+VLOOKUP(A3976,IPCA!$A$2:$C$140,3,0)))^(C3976/(EDATE(D3976-C3976,1)-(D3976-C3976))),8)</f>
        <v/>
      </c>
      <c r="G3976" s="114">
        <f>TRUNC((E3976*F3976),8)</f>
        <v/>
      </c>
      <c r="H3976" s="114">
        <f>ROUND(((1+$H$4)^(30/360))^(C3976/(EDATE(D3976-B3976,1)-(D3976-B3976))),9)</f>
        <v/>
      </c>
      <c r="I3976" s="114">
        <f>TRUNC((G3976*H3976-G3976),8)</f>
        <v/>
      </c>
      <c r="J3976" s="114">
        <f>G3976+I3976</f>
        <v/>
      </c>
      <c r="K3976" s="119">
        <f>I3976</f>
        <v/>
      </c>
      <c r="L3976" s="120">
        <f>TRUNC(G3976*VLOOKUP(D3976,'Amort TS'!$G$3:$H$140,2,0),8)</f>
        <v/>
      </c>
      <c r="M3976" s="120" t="n">
        <v>0</v>
      </c>
      <c r="N3976" s="120">
        <f>J3976-K3976-L3976-M3976</f>
        <v/>
      </c>
      <c r="O3976" s="256" t="n"/>
      <c r="P3976" s="256" t="n"/>
      <c r="Q3976" s="256" t="n"/>
    </row>
    <row r="3977">
      <c r="A3977">
        <f>IF(DAY(D3977)=DAY($L$1+1),A3976+1,A3976)</f>
        <v/>
      </c>
      <c r="B3977" s="46">
        <f>IF(DAY(D3977)=DAY($L$1+1),1,B3976+1)</f>
        <v/>
      </c>
      <c r="C3977" s="46">
        <f>IF(DAY(D3977)=DAY($L$1+1),1,C3976+1)</f>
        <v/>
      </c>
      <c r="D3977" s="2">
        <f>D3976+1</f>
        <v/>
      </c>
      <c r="E3977" s="8">
        <f>IF(DAY(D3977)=DAY($L$1+1),TRUNC((N3976),8),E3976)</f>
        <v/>
      </c>
      <c r="F3977" s="49">
        <f>TRUNC(((1+VLOOKUP(A3977,IPCA!$A$2:$C$140,3,0)))^(C3977/(EDATE(D3977-C3977,1)-(D3977-C3977))),8)</f>
        <v/>
      </c>
      <c r="G3977" s="4">
        <f>TRUNC((E3977*F3977),8)</f>
        <v/>
      </c>
      <c r="H3977" s="4">
        <f>ROUND(((1+$H$4)^(30/360))^(C3977/(EDATE(D3977-B3977,1)-(D3977-B3977))),9)</f>
        <v/>
      </c>
      <c r="I3977" s="49">
        <f>TRUNC((G3977*H3977-G3977),8)</f>
        <v/>
      </c>
      <c r="J3977" s="4">
        <f>G3977+I3977</f>
        <v/>
      </c>
      <c r="K3977" s="121">
        <f>K3976*L3974</f>
        <v/>
      </c>
      <c r="L3977" s="121">
        <f>L3976*L3974</f>
        <v/>
      </c>
      <c r="M3977" s="121">
        <f>M3976*L3974</f>
        <v/>
      </c>
      <c r="N3977" s="121">
        <f>N3976*L3974</f>
        <v/>
      </c>
      <c r="O3977" s="256" t="n"/>
      <c r="P3977" s="256" t="n"/>
      <c r="Q3977" s="256" t="n"/>
    </row>
    <row r="3978">
      <c r="A3978">
        <f>IF(DAY(D3978)=DAY($L$1+1),A3977+1,A3977)</f>
        <v/>
      </c>
      <c r="B3978" s="46">
        <f>IF(DAY(D3978)=DAY($L$1+1),1,B3977+1)</f>
        <v/>
      </c>
      <c r="C3978" s="46">
        <f>IF(DAY(D3978)=DAY($L$1+1),1,C3977+1)</f>
        <v/>
      </c>
      <c r="D3978" s="47">
        <f>D3977+1</f>
        <v/>
      </c>
      <c r="E3978" s="8">
        <f>IF(DAY(D3978)=DAY($L$1+1),TRUNC((N3977),8),E3977)</f>
        <v/>
      </c>
      <c r="F3978" s="49">
        <f>TRUNC(((1+VLOOKUP(A3978,IPCA!$A$2:$C$140,3,0)))^(C3978/(EDATE(D3978-C3978,1)-(D3978-C3978))),8)</f>
        <v/>
      </c>
      <c r="G3978" s="4">
        <f>TRUNC((E3978*F3978),8)</f>
        <v/>
      </c>
      <c r="H3978" s="4">
        <f>ROUND(((1+$H$4)^(30/360))^(C3978/(EDATE(D3978-B3978,1)-(D3978-B3978))),9)</f>
        <v/>
      </c>
      <c r="I3978" s="49">
        <f>TRUNC((G3978*H3978-G3978),8)</f>
        <v/>
      </c>
      <c r="J3978" s="4">
        <f>G3978+I3978</f>
        <v/>
      </c>
      <c r="K3978" s="256" t="n"/>
      <c r="L3978" s="256" t="n"/>
      <c r="M3978" s="256" t="n"/>
      <c r="N3978" s="256" t="n"/>
      <c r="O3978" s="256" t="n"/>
      <c r="P3978" s="256" t="n"/>
      <c r="Q3978" s="256" t="n"/>
    </row>
    <row r="3979">
      <c r="A3979">
        <f>IF(DAY(D3979)=DAY($L$1+1),A3978+1,A3978)</f>
        <v/>
      </c>
      <c r="B3979" s="1">
        <f>IF(DAY(D3979)=DAY($L$1+1),1,B3978+1)</f>
        <v/>
      </c>
      <c r="C3979" s="1">
        <f>IF(DAY(D3979)=DAY($L$1+1),1,C3978+1)</f>
        <v/>
      </c>
      <c r="D3979" s="2">
        <f>D3978+1</f>
        <v/>
      </c>
      <c r="E3979" s="8">
        <f>IF(DAY(D3979)=DAY($L$1+1),TRUNC((#REF!),8),E3978)</f>
        <v/>
      </c>
      <c r="F3979" s="49">
        <f>TRUNC(((1+VLOOKUP(A3979,IPCA!$A$2:$C$140,3,0)))^(C3979/(EDATE(D3979-C3979,1)-(D3979-C3979))),8)</f>
        <v/>
      </c>
      <c r="G3979" s="4">
        <f>TRUNC((E3979*F3979),8)</f>
        <v/>
      </c>
      <c r="H3979" s="4">
        <f>ROUND(((1+$H$4)^(30/360))^(C3979/(EDATE(D3979-B3979,1)-(D3979-B3979))),9)</f>
        <v/>
      </c>
      <c r="I3979" s="49">
        <f>TRUNC((G3979*H3979-G3979),8)</f>
        <v/>
      </c>
      <c r="J3979" s="4">
        <f>G3979+I3979</f>
        <v/>
      </c>
      <c r="K3979" s="256" t="n"/>
      <c r="L3979" s="256" t="n"/>
      <c r="M3979" s="256" t="n"/>
      <c r="N3979" s="256" t="n"/>
      <c r="O3979" s="256" t="n"/>
      <c r="P3979" s="256" t="n"/>
      <c r="Q3979" s="256" t="n"/>
    </row>
    <row r="3980">
      <c r="A3980">
        <f>IF(DAY(D3980)=DAY($L$1+1),A3979+1,A3979)</f>
        <v/>
      </c>
      <c r="B3980" s="46">
        <f>IF(DAY(D3980)=DAY($L$1+1),1,B3979+1)</f>
        <v/>
      </c>
      <c r="C3980" s="46">
        <f>IF(DAY(D3980)=DAY($L$1+1),1,C3979+1)</f>
        <v/>
      </c>
      <c r="D3980" s="2">
        <f>D3979+1</f>
        <v/>
      </c>
      <c r="E3980" s="8">
        <f>IF(DAY(D3980)=DAY($L$1+1),TRUNC((#REF!),8),E3979)</f>
        <v/>
      </c>
      <c r="F3980" s="49">
        <f>TRUNC(((1+VLOOKUP(A3980,IPCA!$A$2:$C$140,3,0)))^(C3980/(EDATE(D3980-C3980,1)-(D3980-C3980))),8)</f>
        <v/>
      </c>
      <c r="G3980" s="4">
        <f>TRUNC((E3980*F3980),8)</f>
        <v/>
      </c>
      <c r="H3980" s="4">
        <f>ROUND(((1+$H$4)^(30/360))^(C3980/(EDATE(D3980-B3980,1)-(D3980-B3980))),9)</f>
        <v/>
      </c>
      <c r="I3980" s="49">
        <f>TRUNC((G3980*H3980-G3980),8)</f>
        <v/>
      </c>
      <c r="J3980" s="4">
        <f>G3980+I3980</f>
        <v/>
      </c>
      <c r="K3980" s="256" t="n"/>
      <c r="L3980" s="256" t="n"/>
      <c r="M3980" s="256" t="n"/>
      <c r="N3980" s="256" t="n"/>
      <c r="O3980" s="256" t="n"/>
      <c r="P3980" s="256" t="n"/>
      <c r="Q3980" s="256" t="n"/>
    </row>
    <row r="3981">
      <c r="A3981">
        <f>IF(DAY(D3981)=DAY($L$1+1),A3980+1,A3980)</f>
        <v/>
      </c>
      <c r="B3981" s="1">
        <f>IF(DAY(D3981)=DAY($L$1+1),1,B3980+1)</f>
        <v/>
      </c>
      <c r="C3981" s="1">
        <f>IF(DAY(D3981)=DAY($L$1+1),1,C3980+1)</f>
        <v/>
      </c>
      <c r="D3981" s="2">
        <f>D3980+1</f>
        <v/>
      </c>
      <c r="E3981" s="8">
        <f>IF(DAY(D3981)=DAY($L$1+1),TRUNC((#REF!),8),E3980)</f>
        <v/>
      </c>
      <c r="F3981" s="49">
        <f>TRUNC(((1+VLOOKUP(A3981,IPCA!$A$2:$C$140,3,0)))^(C3981/(EDATE(D3981-C3981,1)-(D3981-C3981))),8)</f>
        <v/>
      </c>
      <c r="G3981" s="4">
        <f>TRUNC((E3981*F3981),8)</f>
        <v/>
      </c>
      <c r="H3981" s="4">
        <f>ROUND(((1+$H$4)^(30/360))^(C3981/(EDATE(D3981-B3981,1)-(D3981-B3981))),9)</f>
        <v/>
      </c>
      <c r="I3981" s="49">
        <f>TRUNC((G3981*H3981-G3981),8)</f>
        <v/>
      </c>
      <c r="J3981" s="4">
        <f>G3981+I3981</f>
        <v/>
      </c>
      <c r="K3981" s="256" t="n"/>
      <c r="L3981" s="256" t="n"/>
      <c r="M3981" s="256" t="n"/>
      <c r="N3981" s="256" t="n"/>
      <c r="O3981" s="256" t="n"/>
      <c r="P3981" s="256" t="n"/>
      <c r="Q3981" s="256" t="n"/>
    </row>
    <row r="3982">
      <c r="A3982">
        <f>IF(DAY(D3982)=DAY($L$1+1),A3981+1,A3981)</f>
        <v/>
      </c>
      <c r="B3982" s="46">
        <f>IF(DAY(D3982)=DAY($L$1+1),1,B3981+1)</f>
        <v/>
      </c>
      <c r="C3982" s="46">
        <f>IF(DAY(D3982)=DAY($L$1+1),1,C3981+1)</f>
        <v/>
      </c>
      <c r="D3982" s="2">
        <f>D3981+1</f>
        <v/>
      </c>
      <c r="E3982" s="8">
        <f>IF(DAY(D3982)=DAY($L$1+1),TRUNC((#REF!),8),E3981)</f>
        <v/>
      </c>
      <c r="F3982" s="49">
        <f>TRUNC(((1+VLOOKUP(A3982,IPCA!$A$2:$C$140,3,0)))^(C3982/(EDATE(D3982-C3982,1)-(D3982-C3982))),8)</f>
        <v/>
      </c>
      <c r="G3982" s="4">
        <f>TRUNC((E3982*F3982),8)</f>
        <v/>
      </c>
      <c r="H3982" s="4">
        <f>ROUND(((1+$H$4)^(30/360))^(C3982/(EDATE(D3982-B3982,1)-(D3982-B3982))),9)</f>
        <v/>
      </c>
      <c r="I3982" s="49">
        <f>TRUNC((G3982*H3982-G3982),8)</f>
        <v/>
      </c>
      <c r="J3982" s="4">
        <f>G3982+I3982</f>
        <v/>
      </c>
      <c r="K3982" s="256" t="n"/>
      <c r="L3982" s="256" t="n"/>
      <c r="M3982" s="256" t="n"/>
      <c r="N3982" s="256" t="n"/>
      <c r="O3982" s="256" t="n"/>
      <c r="P3982" s="256" t="n"/>
      <c r="Q3982" s="256" t="n"/>
    </row>
    <row r="3983">
      <c r="A3983">
        <f>IF(DAY(D3983)=DAY($L$1+1),A3982+1,A3982)</f>
        <v/>
      </c>
      <c r="B3983" s="1">
        <f>IF(DAY(D3983)=DAY($L$1+1),1,B3982+1)</f>
        <v/>
      </c>
      <c r="C3983" s="1">
        <f>IF(DAY(D3983)=DAY($L$1+1),1,C3982+1)</f>
        <v/>
      </c>
      <c r="D3983" s="2">
        <f>D3982+1</f>
        <v/>
      </c>
      <c r="E3983" s="8">
        <f>IF(DAY(D3983)=DAY($L$1+1),TRUNC((#REF!),8),E3982)</f>
        <v/>
      </c>
      <c r="F3983" s="49">
        <f>TRUNC(((1+VLOOKUP(A3983,IPCA!$A$2:$C$140,3,0)))^(C3983/(EDATE(D3983-C3983,1)-(D3983-C3983))),8)</f>
        <v/>
      </c>
      <c r="G3983" s="4">
        <f>TRUNC((E3983*F3983),8)</f>
        <v/>
      </c>
      <c r="H3983" s="4">
        <f>ROUND(((1+$H$4)^(30/360))^(C3983/(EDATE(D3983-B3983,1)-(D3983-B3983))),9)</f>
        <v/>
      </c>
      <c r="I3983" s="49">
        <f>TRUNC((G3983*H3983-G3983),8)</f>
        <v/>
      </c>
      <c r="J3983" s="4">
        <f>G3983+I3983</f>
        <v/>
      </c>
      <c r="K3983" s="256" t="n"/>
      <c r="L3983" s="256" t="n"/>
      <c r="M3983" s="256" t="n"/>
      <c r="N3983" s="256" t="n"/>
      <c r="O3983" s="256" t="n"/>
      <c r="P3983" s="256" t="n"/>
      <c r="Q3983" s="256" t="n"/>
    </row>
    <row r="3984">
      <c r="A3984">
        <f>IF(DAY(D3984)=DAY($L$1+1),A3983+1,A3983)</f>
        <v/>
      </c>
      <c r="B3984" s="46">
        <f>IF(DAY(D3984)=DAY($L$1+1),1,B3983+1)</f>
        <v/>
      </c>
      <c r="C3984" s="46">
        <f>IF(DAY(D3984)=DAY($L$1+1),1,C3983+1)</f>
        <v/>
      </c>
      <c r="D3984" s="2">
        <f>D3983+1</f>
        <v/>
      </c>
      <c r="E3984" s="8">
        <f>IF(DAY(D3984)=DAY($L$1+1),TRUNC((#REF!),8),E3983)</f>
        <v/>
      </c>
      <c r="F3984" s="49">
        <f>TRUNC(((1+VLOOKUP(A3984,IPCA!$A$2:$C$140,3,0)))^(C3984/(EDATE(D3984-C3984,1)-(D3984-C3984))),8)</f>
        <v/>
      </c>
      <c r="G3984" s="4">
        <f>TRUNC((E3984*F3984),8)</f>
        <v/>
      </c>
      <c r="H3984" s="4">
        <f>ROUND(((1+$H$4)^(30/360))^(C3984/(EDATE(D3984-B3984,1)-(D3984-B3984))),9)</f>
        <v/>
      </c>
      <c r="I3984" s="49">
        <f>TRUNC((G3984*H3984-G3984),8)</f>
        <v/>
      </c>
      <c r="J3984" s="4">
        <f>G3984+I3984</f>
        <v/>
      </c>
      <c r="K3984" s="256" t="n"/>
      <c r="L3984" s="256" t="n"/>
      <c r="M3984" s="256" t="n"/>
      <c r="N3984" s="256" t="n"/>
      <c r="O3984" s="256" t="n"/>
      <c r="P3984" s="256" t="n"/>
      <c r="Q3984" s="256" t="n"/>
    </row>
    <row r="3985">
      <c r="A3985">
        <f>IF(DAY(D3985)=DAY($L$1+1),A3984+1,A3984)</f>
        <v/>
      </c>
      <c r="B3985" s="1">
        <f>IF(DAY(D3985)=DAY($L$1+1),1,B3984+1)</f>
        <v/>
      </c>
      <c r="C3985" s="1">
        <f>IF(DAY(D3985)=DAY($L$1+1),1,C3984+1)</f>
        <v/>
      </c>
      <c r="D3985" s="2">
        <f>D3984+1</f>
        <v/>
      </c>
      <c r="E3985" s="8">
        <f>IF(DAY(D3985)=DAY($L$1+1),TRUNC((#REF!),8),E3984)</f>
        <v/>
      </c>
      <c r="F3985" s="49">
        <f>TRUNC(((1+VLOOKUP(A3985,IPCA!$A$2:$C$140,3,0)))^(C3985/(EDATE(D3985-C3985,1)-(D3985-C3985))),8)</f>
        <v/>
      </c>
      <c r="G3985" s="4">
        <f>TRUNC((E3985*F3985),8)</f>
        <v/>
      </c>
      <c r="H3985" s="4">
        <f>ROUND(((1+$H$4)^(30/360))^(C3985/(EDATE(D3985-B3985,1)-(D3985-B3985))),9)</f>
        <v/>
      </c>
      <c r="I3985" s="49">
        <f>TRUNC((G3985*H3985-G3985),8)</f>
        <v/>
      </c>
      <c r="J3985" s="4">
        <f>G3985+I3985</f>
        <v/>
      </c>
      <c r="K3985" s="256" t="n"/>
      <c r="L3985" s="256" t="n"/>
      <c r="M3985" s="256" t="n"/>
      <c r="N3985" s="256" t="n"/>
      <c r="O3985" s="256" t="n"/>
      <c r="P3985" s="256" t="n"/>
      <c r="Q3985" s="256" t="n"/>
    </row>
    <row r="3986">
      <c r="A3986">
        <f>IF(DAY(D3986)=DAY($L$1+1),A3985+1,A3985)</f>
        <v/>
      </c>
      <c r="B3986" s="46">
        <f>IF(DAY(D3986)=DAY($L$1+1),1,B3985+1)</f>
        <v/>
      </c>
      <c r="C3986" s="46">
        <f>IF(DAY(D3986)=DAY($L$1+1),1,C3985+1)</f>
        <v/>
      </c>
      <c r="D3986" s="2">
        <f>D3985+1</f>
        <v/>
      </c>
      <c r="E3986" s="8">
        <f>IF(DAY(D3986)=DAY($L$1+1),TRUNC((#REF!),8),E3985)</f>
        <v/>
      </c>
      <c r="F3986" s="49">
        <f>TRUNC(((1+VLOOKUP(A3986,IPCA!$A$2:$C$140,3,0)))^(C3986/(EDATE(D3986-C3986,1)-(D3986-C3986))),8)</f>
        <v/>
      </c>
      <c r="G3986" s="4">
        <f>TRUNC((E3986*F3986),8)</f>
        <v/>
      </c>
      <c r="H3986" s="4">
        <f>ROUND(((1+$H$4)^(30/360))^(C3986/(EDATE(D3986-B3986,1)-(D3986-B3986))),9)</f>
        <v/>
      </c>
      <c r="I3986" s="49">
        <f>TRUNC((G3986*H3986-G3986),8)</f>
        <v/>
      </c>
      <c r="J3986" s="4">
        <f>G3986+I3986</f>
        <v/>
      </c>
      <c r="K3986" s="256" t="n"/>
      <c r="L3986" s="256" t="n"/>
      <c r="M3986" s="256" t="n"/>
      <c r="N3986" s="256" t="n"/>
      <c r="O3986" s="256" t="n"/>
      <c r="P3986" s="256" t="n"/>
      <c r="Q3986" s="256" t="n"/>
    </row>
    <row r="3987">
      <c r="A3987">
        <f>IF(DAY(D3987)=DAY($L$1+1),A3986+1,A3986)</f>
        <v/>
      </c>
      <c r="B3987" s="1">
        <f>IF(DAY(D3987)=DAY($L$1+1),1,B3986+1)</f>
        <v/>
      </c>
      <c r="C3987" s="1">
        <f>IF(DAY(D3987)=DAY($L$1+1),1,C3986+1)</f>
        <v/>
      </c>
      <c r="D3987" s="2">
        <f>D3986+1</f>
        <v/>
      </c>
      <c r="E3987" s="8">
        <f>IF(DAY(D3987)=DAY($L$1+1),TRUNC((#REF!),8),E3986)</f>
        <v/>
      </c>
      <c r="F3987" s="49">
        <f>TRUNC(((1+VLOOKUP(A3987,IPCA!$A$2:$C$140,3,0)))^(C3987/(EDATE(D3987-C3987,1)-(D3987-C3987))),8)</f>
        <v/>
      </c>
      <c r="G3987" s="4">
        <f>TRUNC((E3987*F3987),8)</f>
        <v/>
      </c>
      <c r="H3987" s="4">
        <f>ROUND(((1+$H$4)^(30/360))^(C3987/(EDATE(D3987-B3987,1)-(D3987-B3987))),9)</f>
        <v/>
      </c>
      <c r="I3987" s="49">
        <f>TRUNC((G3987*H3987-G3987),8)</f>
        <v/>
      </c>
      <c r="J3987" s="4">
        <f>G3987+I3987</f>
        <v/>
      </c>
      <c r="K3987" s="256" t="n"/>
      <c r="L3987" s="256" t="n"/>
      <c r="M3987" s="256" t="n"/>
      <c r="N3987" s="256" t="n"/>
      <c r="O3987" s="256" t="n"/>
      <c r="P3987" s="256" t="n"/>
      <c r="Q3987" s="256" t="n"/>
    </row>
    <row r="3988">
      <c r="A3988">
        <f>IF(DAY(D3988)=DAY($L$1+1),A3987+1,A3987)</f>
        <v/>
      </c>
      <c r="B3988" s="46">
        <f>IF(DAY(D3988)=DAY($L$1+1),1,B3987+1)</f>
        <v/>
      </c>
      <c r="C3988" s="46">
        <f>IF(DAY(D3988)=DAY($L$1+1),1,C3987+1)</f>
        <v/>
      </c>
      <c r="D3988" s="2">
        <f>D3987+1</f>
        <v/>
      </c>
      <c r="E3988" s="8">
        <f>IF(DAY(D3988)=DAY($L$1+1),TRUNC((#REF!),8),E3987)</f>
        <v/>
      </c>
      <c r="F3988" s="49">
        <f>TRUNC(((1+VLOOKUP(A3988,IPCA!$A$2:$C$140,3,0)))^(C3988/(EDATE(D3988-C3988,1)-(D3988-C3988))),8)</f>
        <v/>
      </c>
      <c r="G3988" s="4">
        <f>TRUNC((E3988*F3988),8)</f>
        <v/>
      </c>
      <c r="H3988" s="4">
        <f>ROUND(((1+$H$4)^(30/360))^(C3988/(EDATE(D3988-B3988,1)-(D3988-B3988))),9)</f>
        <v/>
      </c>
      <c r="I3988" s="49">
        <f>TRUNC((G3988*H3988-G3988),8)</f>
        <v/>
      </c>
      <c r="J3988" s="4">
        <f>G3988+I3988</f>
        <v/>
      </c>
      <c r="K3988" s="256" t="n"/>
      <c r="L3988" s="256" t="n"/>
      <c r="M3988" s="256" t="n"/>
      <c r="N3988" s="256" t="n"/>
      <c r="O3988" s="256" t="n"/>
      <c r="P3988" s="256" t="n"/>
      <c r="Q3988" s="256" t="n"/>
    </row>
    <row r="3989">
      <c r="A3989">
        <f>IF(DAY(D3989)=DAY($L$1+1),A3988+1,A3988)</f>
        <v/>
      </c>
      <c r="B3989" s="1">
        <f>IF(DAY(D3989)=DAY($L$1+1),1,B3988+1)</f>
        <v/>
      </c>
      <c r="C3989" s="1">
        <f>IF(DAY(D3989)=DAY($L$1+1),1,C3988+1)</f>
        <v/>
      </c>
      <c r="D3989" s="2">
        <f>D3988+1</f>
        <v/>
      </c>
      <c r="E3989" s="8">
        <f>IF(DAY(D3989)=DAY($L$1+1),TRUNC((N3988),8),E3988)</f>
        <v/>
      </c>
      <c r="F3989" s="49">
        <f>TRUNC(((1+VLOOKUP(A3989,IPCA!$A$2:$C$140,3,0)))^(C3989/(EDATE(D3989-C3989,1)-(D3989-C3989))),8)</f>
        <v/>
      </c>
      <c r="G3989" s="4">
        <f>TRUNC((E3989*F3989),8)</f>
        <v/>
      </c>
      <c r="H3989" s="4">
        <f>ROUND(((1+$H$4)^(30/360))^(C3989/(EDATE(D3989-B3989,1)-(D3989-B3989))),9)</f>
        <v/>
      </c>
      <c r="I3989" s="49">
        <f>TRUNC((G3989*H3989-G3989),8)</f>
        <v/>
      </c>
      <c r="J3989" s="4">
        <f>G3989+I3989</f>
        <v/>
      </c>
      <c r="K3989" s="256" t="n"/>
      <c r="L3989" s="256" t="n"/>
      <c r="M3989" s="256" t="n"/>
      <c r="N3989" s="256" t="n"/>
      <c r="O3989" s="256" t="n"/>
      <c r="P3989" s="256" t="n"/>
      <c r="Q3989" s="256" t="n"/>
    </row>
    <row r="3990">
      <c r="A3990">
        <f>IF(DAY(D3990)=DAY($L$1+1),A3989+1,A3989)</f>
        <v/>
      </c>
      <c r="B3990" s="46">
        <f>IF(DAY(D3990)=DAY($L$1+1),1,B3989+1)</f>
        <v/>
      </c>
      <c r="C3990" s="46">
        <f>IF(DAY(D3990)=DAY($L$1+1),1,C3989+1)</f>
        <v/>
      </c>
      <c r="D3990" s="2">
        <f>D3989+1</f>
        <v/>
      </c>
      <c r="E3990" s="8">
        <f>IF(DAY(D3990)=DAY($L$1+1),TRUNC((N3989),8),E3989)</f>
        <v/>
      </c>
      <c r="F3990" s="49">
        <f>TRUNC(((1+VLOOKUP(A3990,IPCA!$A$2:$C$140,3,0)))^(C3990/(EDATE(D3990-C3990,1)-(D3990-C3990))),8)</f>
        <v/>
      </c>
      <c r="G3990" s="4">
        <f>TRUNC((E3990*F3990),8)</f>
        <v/>
      </c>
      <c r="H3990" s="4">
        <f>ROUND(((1+$H$4)^(30/360))^(C3990/(EDATE(D3990-B3990,1)-(D3990-B3990))),9)</f>
        <v/>
      </c>
      <c r="I3990" s="49">
        <f>TRUNC((G3990*H3990-G3990),8)</f>
        <v/>
      </c>
      <c r="J3990" s="4">
        <f>G3990+I3990</f>
        <v/>
      </c>
      <c r="K3990" s="256" t="n"/>
      <c r="L3990" s="256" t="n"/>
      <c r="M3990" s="256" t="n"/>
      <c r="N3990" s="256" t="n"/>
      <c r="O3990" s="256" t="n"/>
      <c r="P3990" s="256" t="n"/>
      <c r="Q3990" s="256" t="n"/>
    </row>
    <row r="3991">
      <c r="A3991">
        <f>IF(DAY(D3991)=DAY($L$1+1),A3990+1,A3990)</f>
        <v/>
      </c>
      <c r="B3991" s="1">
        <f>IF(DAY(D3991)=DAY($L$1+1),1,B3990+1)</f>
        <v/>
      </c>
      <c r="C3991" s="1">
        <f>IF(DAY(D3991)=DAY($L$1+1),1,C3990+1)</f>
        <v/>
      </c>
      <c r="D3991" s="2">
        <f>D3990+1</f>
        <v/>
      </c>
      <c r="E3991" s="8">
        <f>IF(DAY(D3991)=DAY($L$1+1),TRUNC((N3990),8),E3990)</f>
        <v/>
      </c>
      <c r="F3991" s="49">
        <f>TRUNC(((1+VLOOKUP(A3991,IPCA!$A$2:$C$140,3,0)))^(C3991/(EDATE(D3991-C3991,1)-(D3991-C3991))),8)</f>
        <v/>
      </c>
      <c r="G3991" s="4">
        <f>TRUNC((E3991*F3991),8)</f>
        <v/>
      </c>
      <c r="H3991" s="4">
        <f>ROUND(((1+$H$4)^(30/360))^(C3991/(EDATE(D3991-B3991,1)-(D3991-B3991))),9)</f>
        <v/>
      </c>
      <c r="I3991" s="49">
        <f>TRUNC((G3991*H3991-G3991),8)</f>
        <v/>
      </c>
      <c r="J3991" s="4">
        <f>G3991+I3991</f>
        <v/>
      </c>
      <c r="K3991" s="256" t="n"/>
      <c r="L3991" s="256" t="n"/>
      <c r="M3991" s="256" t="n"/>
      <c r="N3991" s="256" t="n"/>
      <c r="O3991" s="256" t="n"/>
      <c r="P3991" s="256" t="n"/>
      <c r="Q3991" s="256" t="n"/>
    </row>
    <row r="3992">
      <c r="A3992">
        <f>IF(DAY(D3992)=DAY($L$1+1),A3991+1,A3991)</f>
        <v/>
      </c>
      <c r="B3992" s="46">
        <f>IF(DAY(D3992)=DAY($L$1+1),1,B3991+1)</f>
        <v/>
      </c>
      <c r="C3992" s="46">
        <f>IF(DAY(D3992)=DAY($L$1+1),1,C3991+1)</f>
        <v/>
      </c>
      <c r="D3992" s="2">
        <f>D3991+1</f>
        <v/>
      </c>
      <c r="E3992" s="8">
        <f>IF(DAY(D3992)=DAY($L$1+1),TRUNC((N3991),8),E3991)</f>
        <v/>
      </c>
      <c r="F3992" s="49">
        <f>TRUNC(((1+VLOOKUP(A3992,IPCA!$A$2:$C$140,3,0)))^(C3992/(EDATE(D3992-C3992,1)-(D3992-C3992))),8)</f>
        <v/>
      </c>
      <c r="G3992" s="4">
        <f>TRUNC((E3992*F3992),8)</f>
        <v/>
      </c>
      <c r="H3992" s="4">
        <f>ROUND(((1+$H$4)^(30/360))^(C3992/(EDATE(D3992-B3992,1)-(D3992-B3992))),9)</f>
        <v/>
      </c>
      <c r="I3992" s="49">
        <f>TRUNC((G3992*H3992-G3992),8)</f>
        <v/>
      </c>
      <c r="J3992" s="4">
        <f>G3992+I3992</f>
        <v/>
      </c>
      <c r="K3992" s="256" t="n"/>
      <c r="L3992" s="256" t="n"/>
      <c r="M3992" s="256" t="n"/>
      <c r="N3992" s="256" t="n"/>
      <c r="O3992" s="256" t="n"/>
      <c r="P3992" s="256" t="n"/>
      <c r="Q3992" s="256" t="n"/>
    </row>
    <row r="3993">
      <c r="A3993">
        <f>IF(DAY(D3993)=DAY($L$1+1),A3992+1,A3992)</f>
        <v/>
      </c>
      <c r="B3993" s="1">
        <f>IF(DAY(D3993)=DAY($L$1+1),1,B3992+1)</f>
        <v/>
      </c>
      <c r="C3993" s="1">
        <f>IF(DAY(D3993)=DAY($L$1+1),1,C3992+1)</f>
        <v/>
      </c>
      <c r="D3993" s="2">
        <f>D3992+1</f>
        <v/>
      </c>
      <c r="E3993" s="8">
        <f>IF(DAY(D3993)=DAY($L$1+1),TRUNC((N3992),8),E3992)</f>
        <v/>
      </c>
      <c r="F3993" s="49">
        <f>TRUNC(((1+VLOOKUP(A3993,IPCA!$A$2:$C$140,3,0)))^(C3993/(EDATE(D3993-C3993,1)-(D3993-C3993))),8)</f>
        <v/>
      </c>
      <c r="G3993" s="4">
        <f>TRUNC((E3993*F3993),8)</f>
        <v/>
      </c>
      <c r="H3993" s="4">
        <f>ROUND(((1+$H$4)^(30/360))^(C3993/(EDATE(D3993-B3993,1)-(D3993-B3993))),9)</f>
        <v/>
      </c>
      <c r="I3993" s="49">
        <f>TRUNC((G3993*H3993-G3993),8)</f>
        <v/>
      </c>
      <c r="J3993" s="4">
        <f>G3993+I3993</f>
        <v/>
      </c>
      <c r="K3993" s="256" t="n"/>
      <c r="L3993" s="256" t="n"/>
      <c r="M3993" s="256" t="n"/>
      <c r="N3993" s="256" t="n"/>
      <c r="O3993" s="256" t="n"/>
      <c r="P3993" s="256" t="n"/>
      <c r="Q3993" s="256" t="n"/>
    </row>
    <row r="3994">
      <c r="A3994">
        <f>IF(DAY(D3994)=DAY($L$1+1),A3993+1,A3993)</f>
        <v/>
      </c>
      <c r="B3994" s="46">
        <f>IF(DAY(D3994)=DAY($L$1+1),1,B3993+1)</f>
        <v/>
      </c>
      <c r="C3994" s="46">
        <f>IF(DAY(D3994)=DAY($L$1+1),1,C3993+1)</f>
        <v/>
      </c>
      <c r="D3994" s="2">
        <f>D3993+1</f>
        <v/>
      </c>
      <c r="E3994" s="8">
        <f>IF(DAY(D3994)=DAY($L$1+1),TRUNC((N3993),8),E3993)</f>
        <v/>
      </c>
      <c r="F3994" s="49">
        <f>TRUNC(((1+VLOOKUP(A3994,IPCA!$A$2:$C$140,3,0)))^(C3994/(EDATE(D3994-C3994,1)-(D3994-C3994))),8)</f>
        <v/>
      </c>
      <c r="G3994" s="4">
        <f>TRUNC((E3994*F3994),8)</f>
        <v/>
      </c>
      <c r="H3994" s="4">
        <f>ROUND(((1+$H$4)^(30/360))^(C3994/(EDATE(D3994-B3994,1)-(D3994-B3994))),9)</f>
        <v/>
      </c>
      <c r="I3994" s="49">
        <f>TRUNC((G3994*H3994-G3994),8)</f>
        <v/>
      </c>
      <c r="J3994" s="4">
        <f>G3994+I3994</f>
        <v/>
      </c>
      <c r="K3994" s="256" t="n"/>
      <c r="L3994" s="256" t="n"/>
      <c r="M3994" s="256" t="n"/>
      <c r="N3994" s="256" t="n"/>
      <c r="O3994" s="256" t="n"/>
      <c r="P3994" s="256" t="n"/>
      <c r="Q3994" s="256" t="n"/>
    </row>
    <row r="3995">
      <c r="A3995">
        <f>IF(DAY(D3995)=DAY($L$1+1),A3994+1,A3994)</f>
        <v/>
      </c>
      <c r="B3995" s="1">
        <f>IF(DAY(D3995)=DAY($L$1+1),1,B3994+1)</f>
        <v/>
      </c>
      <c r="C3995" s="1">
        <f>IF(DAY(D3995)=DAY($L$1+1),1,C3994+1)</f>
        <v/>
      </c>
      <c r="D3995" s="2">
        <f>D3994+1</f>
        <v/>
      </c>
      <c r="E3995" s="8">
        <f>IF(DAY(D3995)=DAY($L$1+1),TRUNC((N3994),8),E3994)</f>
        <v/>
      </c>
      <c r="F3995" s="49">
        <f>TRUNC(((1+VLOOKUP(A3995,IPCA!$A$2:$C$140,3,0)))^(C3995/(EDATE(D3995-C3995,1)-(D3995-C3995))),8)</f>
        <v/>
      </c>
      <c r="G3995" s="4">
        <f>TRUNC((E3995*F3995),8)</f>
        <v/>
      </c>
      <c r="H3995" s="4">
        <f>ROUND(((1+$H$4)^(30/360))^(C3995/(EDATE(D3995-B3995,1)-(D3995-B3995))),9)</f>
        <v/>
      </c>
      <c r="I3995" s="49">
        <f>TRUNC((G3995*H3995-G3995),8)</f>
        <v/>
      </c>
      <c r="J3995" s="4">
        <f>G3995+I3995</f>
        <v/>
      </c>
      <c r="K3995" s="256" t="n"/>
      <c r="L3995" s="256" t="n"/>
      <c r="M3995" s="256" t="n"/>
      <c r="N3995" s="256" t="n"/>
      <c r="O3995" s="256" t="n"/>
      <c r="P3995" s="256" t="n"/>
      <c r="Q3995" s="256" t="n"/>
    </row>
    <row r="3996">
      <c r="A3996">
        <f>IF(DAY(D3996)=DAY($L$1+1),A3995+1,A3995)</f>
        <v/>
      </c>
      <c r="B3996" s="46">
        <f>IF(DAY(D3996)=DAY($L$1+1),1,B3995+1)</f>
        <v/>
      </c>
      <c r="C3996" s="46">
        <f>IF(DAY(D3996)=DAY($L$1+1),1,C3995+1)</f>
        <v/>
      </c>
      <c r="D3996" s="2">
        <f>D3995+1</f>
        <v/>
      </c>
      <c r="E3996" s="8">
        <f>IF(DAY(D3996)=DAY($L$1+1),TRUNC((N3995),8),E3995)</f>
        <v/>
      </c>
      <c r="F3996" s="49">
        <f>TRUNC(((1+VLOOKUP(A3996,IPCA!$A$2:$C$140,3,0)))^(C3996/(EDATE(D3996-C3996,1)-(D3996-C3996))),8)</f>
        <v/>
      </c>
      <c r="G3996" s="4">
        <f>TRUNC((E3996*F3996),8)</f>
        <v/>
      </c>
      <c r="H3996" s="4">
        <f>ROUND(((1+$H$4)^(30/360))^(C3996/(EDATE(D3996-B3996,1)-(D3996-B3996))),9)</f>
        <v/>
      </c>
      <c r="I3996" s="49">
        <f>TRUNC((G3996*H3996-G3996),8)</f>
        <v/>
      </c>
      <c r="J3996" s="4">
        <f>G3996+I3996</f>
        <v/>
      </c>
      <c r="K3996" s="256" t="n"/>
      <c r="L3996" s="256" t="n"/>
      <c r="M3996" s="256" t="n"/>
      <c r="N3996" s="256" t="n"/>
      <c r="O3996" s="256" t="n"/>
      <c r="P3996" s="256" t="n"/>
      <c r="Q3996" s="256" t="n"/>
    </row>
    <row r="3997">
      <c r="A3997">
        <f>IF(DAY(D3997)=DAY($L$1+1),A3996+1,A3996)</f>
        <v/>
      </c>
      <c r="B3997" s="1">
        <f>IF(DAY(D3997)=DAY($L$1+1),1,B3996+1)</f>
        <v/>
      </c>
      <c r="C3997" s="1">
        <f>IF(DAY(D3997)=DAY($L$1+1),1,C3996+1)</f>
        <v/>
      </c>
      <c r="D3997" s="2">
        <f>D3996+1</f>
        <v/>
      </c>
      <c r="E3997" s="8">
        <f>IF(DAY(D3997)=DAY($L$1+1),TRUNC((N3996),8),E3996)</f>
        <v/>
      </c>
      <c r="F3997" s="49">
        <f>TRUNC(((1+VLOOKUP(A3997,IPCA!$A$2:$C$140,3,0)))^(C3997/(EDATE(D3997-C3997,1)-(D3997-C3997))),8)</f>
        <v/>
      </c>
      <c r="G3997" s="4">
        <f>TRUNC((E3997*F3997),8)</f>
        <v/>
      </c>
      <c r="H3997" s="4">
        <f>ROUND(((1+$H$4)^(30/360))^(C3997/(EDATE(D3997-B3997,1)-(D3997-B3997))),9)</f>
        <v/>
      </c>
      <c r="I3997" s="49">
        <f>TRUNC((G3997*H3997-G3997),8)</f>
        <v/>
      </c>
      <c r="J3997" s="4">
        <f>G3997+I3997</f>
        <v/>
      </c>
      <c r="K3997" s="256" t="n"/>
      <c r="L3997" s="256" t="n"/>
      <c r="M3997" s="256" t="n"/>
      <c r="N3997" s="256" t="n"/>
      <c r="O3997" s="256" t="n"/>
      <c r="P3997" s="256" t="n"/>
      <c r="Q3997" s="256" t="n"/>
    </row>
    <row r="3998">
      <c r="A3998">
        <f>IF(DAY(D3998)=DAY($L$1+1),A3997+1,A3997)</f>
        <v/>
      </c>
      <c r="B3998" s="46">
        <f>IF(DAY(D3998)=DAY($L$1+1),1,B3997+1)</f>
        <v/>
      </c>
      <c r="C3998" s="46">
        <f>IF(DAY(D3998)=DAY($L$1+1),1,C3997+1)</f>
        <v/>
      </c>
      <c r="D3998" s="2">
        <f>D3997+1</f>
        <v/>
      </c>
      <c r="E3998" s="8">
        <f>IF(DAY(D3998)=DAY($L$1+1),TRUNC((N3997),8),E3997)</f>
        <v/>
      </c>
      <c r="F3998" s="49">
        <f>TRUNC(((1+VLOOKUP(A3998,IPCA!$A$2:$C$140,3,0)))^(C3998/(EDATE(D3998-C3998,1)-(D3998-C3998))),8)</f>
        <v/>
      </c>
      <c r="G3998" s="4">
        <f>TRUNC((E3998*F3998),8)</f>
        <v/>
      </c>
      <c r="H3998" s="4">
        <f>ROUND(((1+$H$4)^(30/360))^(C3998/(EDATE(D3998-B3998,1)-(D3998-B3998))),9)</f>
        <v/>
      </c>
      <c r="I3998" s="49">
        <f>TRUNC((G3998*H3998-G3998),8)</f>
        <v/>
      </c>
      <c r="J3998" s="4">
        <f>G3998+I3998</f>
        <v/>
      </c>
      <c r="K3998" s="256" t="n"/>
      <c r="L3998" s="256" t="n"/>
      <c r="M3998" s="256" t="n"/>
      <c r="N3998" s="256" t="n"/>
      <c r="O3998" s="256" t="n"/>
      <c r="P3998" s="256" t="n"/>
      <c r="Q3998" s="256" t="n"/>
    </row>
    <row r="3999">
      <c r="A3999">
        <f>IF(DAY(D3999)=DAY($L$1+1),A3998+1,A3998)</f>
        <v/>
      </c>
      <c r="B3999" s="1">
        <f>IF(DAY(D3999)=DAY($L$1+1),1,B3998+1)</f>
        <v/>
      </c>
      <c r="C3999" s="1">
        <f>IF(DAY(D3999)=DAY($L$1+1),1,C3998+1)</f>
        <v/>
      </c>
      <c r="D3999" s="2">
        <f>D3998+1</f>
        <v/>
      </c>
      <c r="E3999" s="8">
        <f>IF(DAY(D3999)=DAY($L$1+1),TRUNC((N3998),8),E3998)</f>
        <v/>
      </c>
      <c r="F3999" s="49">
        <f>TRUNC(((1+VLOOKUP(A3999,IPCA!$A$2:$C$140,3,0)))^(C3999/(EDATE(D3999-C3999,1)-(D3999-C3999))),8)</f>
        <v/>
      </c>
      <c r="G3999" s="4">
        <f>TRUNC((E3999*F3999),8)</f>
        <v/>
      </c>
      <c r="H3999" s="4">
        <f>ROUND(((1+$H$4)^(30/360))^(C3999/(EDATE(D3999-B3999,1)-(D3999-B3999))),9)</f>
        <v/>
      </c>
      <c r="I3999" s="49">
        <f>TRUNC((G3999*H3999-G3999),8)</f>
        <v/>
      </c>
      <c r="J3999" s="4">
        <f>G3999+I3999</f>
        <v/>
      </c>
      <c r="K3999" s="256" t="n"/>
      <c r="L3999" s="256" t="n"/>
      <c r="M3999" s="256" t="n"/>
      <c r="N3999" s="256" t="n"/>
      <c r="O3999" s="256" t="n"/>
      <c r="P3999" s="256" t="n"/>
      <c r="Q3999" s="256" t="n"/>
    </row>
    <row r="4000">
      <c r="A4000">
        <f>IF(DAY(D4000)=DAY($L$1+1),A3999+1,A3999)</f>
        <v/>
      </c>
      <c r="B4000" s="46">
        <f>IF(DAY(D4000)=DAY($L$1+1),1,B3999+1)</f>
        <v/>
      </c>
      <c r="C4000" s="46">
        <f>IF(DAY(D4000)=DAY($L$1+1),1,C3999+1)</f>
        <v/>
      </c>
      <c r="D4000" s="2">
        <f>D3999+1</f>
        <v/>
      </c>
      <c r="E4000" s="8">
        <f>IF(DAY(D4000)=DAY($L$1+1),TRUNC((N3999),8),E3999)</f>
        <v/>
      </c>
      <c r="F4000" s="49">
        <f>TRUNC(((1+VLOOKUP(A4000,IPCA!$A$2:$C$140,3,0)))^(C4000/(EDATE(D4000-C4000,1)-(D4000-C4000))),8)</f>
        <v/>
      </c>
      <c r="G4000" s="4">
        <f>TRUNC((E4000*F4000),8)</f>
        <v/>
      </c>
      <c r="H4000" s="4">
        <f>ROUND(((1+$H$4)^(30/360))^(C4000/(EDATE(D4000-B4000,1)-(D4000-B4000))),9)</f>
        <v/>
      </c>
      <c r="I4000" s="49">
        <f>TRUNC((G4000*H4000-G4000),8)</f>
        <v/>
      </c>
      <c r="J4000" s="4">
        <f>G4000+I4000</f>
        <v/>
      </c>
      <c r="K4000" s="256" t="n"/>
      <c r="L4000" s="256" t="n"/>
      <c r="M4000" s="256" t="n"/>
      <c r="N4000" s="256" t="n"/>
      <c r="O4000" s="256" t="n"/>
      <c r="P4000" s="256" t="n"/>
      <c r="Q4000" s="256" t="n"/>
    </row>
    <row r="4001">
      <c r="A4001">
        <f>IF(DAY(D4001)=DAY($L$1+1),A4000+1,A4000)</f>
        <v/>
      </c>
      <c r="B4001" s="1">
        <f>IF(DAY(D4001)=DAY($L$1+1),1,B4000+1)</f>
        <v/>
      </c>
      <c r="C4001" s="46">
        <f>IF(DAY(D4001)=DAY($L$1+1),1,C4000+1)</f>
        <v/>
      </c>
      <c r="D4001" s="2">
        <f>D4000+1</f>
        <v/>
      </c>
      <c r="E4001" s="8">
        <f>IF(DAY(D4001)=DAY($L$1+1),TRUNC((N4000),8),E4000)</f>
        <v/>
      </c>
      <c r="F4001" s="49">
        <f>TRUNC(((1+VLOOKUP(A4001,IPCA!$A$2:$C$140,3,0)))^(C4001/(EDATE(D4001-C4001,1)-(D4001-C4001))),8)</f>
        <v/>
      </c>
      <c r="G4001" s="4">
        <f>TRUNC((E4001*F4001),8)</f>
        <v/>
      </c>
      <c r="H4001" s="4">
        <f>ROUND(((1+$H$4)^(30/360))^(C4001/(EDATE(D4001-B4001,1)-(D4001-B4001))),9)</f>
        <v/>
      </c>
      <c r="I4001" s="49">
        <f>TRUNC((G4001*H4001-G4001),8)</f>
        <v/>
      </c>
      <c r="J4001" s="4">
        <f>G4001+I4001</f>
        <v/>
      </c>
      <c r="K4001" s="256" t="n"/>
      <c r="L4001" s="256" t="n"/>
      <c r="M4001" s="256" t="n"/>
      <c r="N4001" s="256" t="n"/>
      <c r="O4001" s="256" t="n"/>
      <c r="P4001" s="256" t="n"/>
      <c r="Q4001" s="256" t="n"/>
    </row>
    <row r="4002">
      <c r="A4002">
        <f>IF(DAY(D4002)=DAY($L$1+1),A4001+1,A4001)</f>
        <v/>
      </c>
      <c r="B4002" s="46">
        <f>IF(DAY(D4002)=DAY($L$1+1),1,B4001+1)</f>
        <v/>
      </c>
      <c r="C4002" s="46">
        <f>IF(DAY(D4002)=DAY($L$1+1),1,C4001+1)</f>
        <v/>
      </c>
      <c r="D4002" s="2">
        <f>D4001+1</f>
        <v/>
      </c>
      <c r="E4002" s="8">
        <f>IF(DAY(D4002)=DAY($L$1+1),TRUNC((N4001),8),E4001)</f>
        <v/>
      </c>
      <c r="F4002" s="49">
        <f>TRUNC(((1+VLOOKUP(A4002,IPCA!$A$2:$C$140,3,0)))^(C4002/(EDATE(D4002-C4002,1)-(D4002-C4002))),8)</f>
        <v/>
      </c>
      <c r="G4002" s="4">
        <f>TRUNC((E4002*F4002),8)</f>
        <v/>
      </c>
      <c r="H4002" s="4">
        <f>ROUND(((1+$H$4)^(30/360))^(C4002/(EDATE(D4002-B4002,1)-(D4002-B4002))),9)</f>
        <v/>
      </c>
      <c r="I4002" s="49">
        <f>TRUNC((G4002*H4002-G4002),8)</f>
        <v/>
      </c>
      <c r="J4002" s="4">
        <f>G4002+I4002</f>
        <v/>
      </c>
      <c r="K4002" s="256" t="n"/>
      <c r="L4002" s="256" t="n"/>
      <c r="M4002" s="256" t="n"/>
      <c r="N4002" s="256" t="n"/>
      <c r="O4002" s="256" t="n"/>
      <c r="P4002" s="256" t="n"/>
      <c r="Q4002" s="256" t="n"/>
    </row>
    <row r="4003">
      <c r="A4003">
        <f>IF(DAY(D4003)=DAY($L$1+1),A4002+1,A4002)</f>
        <v/>
      </c>
      <c r="B4003" s="1">
        <f>IF(DAY(D4003)=DAY($L$1+1),1,B4002+1)</f>
        <v/>
      </c>
      <c r="C4003" s="46">
        <f>IF(DAY(D4003)=DAY($L$1+1),1,C4002+1)</f>
        <v/>
      </c>
      <c r="D4003" s="2">
        <f>D4002+1</f>
        <v/>
      </c>
      <c r="E4003" s="8">
        <f>IF(DAY(D4003)=DAY($L$1+1),TRUNC((N4002),8),E4002)</f>
        <v/>
      </c>
      <c r="F4003" s="49">
        <f>TRUNC(((1+VLOOKUP(A4003,IPCA!$A$2:$C$140,3,0)))^(C4003/(EDATE(D4003-C4003,1)-(D4003-C4003))),8)</f>
        <v/>
      </c>
      <c r="G4003" s="4">
        <f>TRUNC((E4003*F4003),8)</f>
        <v/>
      </c>
      <c r="H4003" s="4">
        <f>ROUND(((1+$H$4)^(30/360))^(C4003/(EDATE(D4003-B4003,1)-(D4003-B4003))),9)</f>
        <v/>
      </c>
      <c r="I4003" s="49">
        <f>TRUNC((G4003*H4003-G4003),8)</f>
        <v/>
      </c>
      <c r="J4003" s="4">
        <f>G4003+I4003</f>
        <v/>
      </c>
      <c r="K4003" s="256" t="n"/>
      <c r="L4003" s="256" t="n"/>
      <c r="M4003" s="256" t="n"/>
      <c r="N4003" s="256" t="n"/>
      <c r="O4003" s="256" t="n"/>
      <c r="P4003" s="256" t="n"/>
      <c r="Q4003" s="256" t="n"/>
    </row>
    <row r="4004">
      <c r="A4004">
        <f>IF(DAY(D4004)=DAY($L$1+1),A4003+1,A4003)</f>
        <v/>
      </c>
      <c r="B4004" s="1">
        <f>IF(DAY(D4004)=DAY($L$1+1),1,B4003+1)</f>
        <v/>
      </c>
      <c r="C4004" s="46">
        <f>IF(DAY(D4004)=DAY($L$1+1),1,C4003+1)</f>
        <v/>
      </c>
      <c r="D4004" s="2">
        <f>D4003+1</f>
        <v/>
      </c>
      <c r="E4004" s="8">
        <f>IF(DAY(D4004)=DAY($L$1+1),TRUNC((N4003),8),E4003)</f>
        <v/>
      </c>
      <c r="F4004" s="49">
        <f>TRUNC(((1+VLOOKUP(A4004,IPCA!$A$2:$C$140,3,0)))^(C4004/(EDATE(D4004-C4004,1)-(D4004-C4004))),8)</f>
        <v/>
      </c>
      <c r="G4004" s="4">
        <f>TRUNC((E4004*F4004),8)</f>
        <v/>
      </c>
      <c r="H4004" s="4">
        <f>ROUND(((1+$H$4)^(30/360))^(C4004/(EDATE(D4004-B4004,1)-(D4004-B4004))),9)</f>
        <v/>
      </c>
      <c r="I4004" s="49">
        <f>TRUNC((G4004*H4004-G4004),8)</f>
        <v/>
      </c>
      <c r="J4004" s="4">
        <f>G4004+I4004</f>
        <v/>
      </c>
      <c r="K4004" s="256" t="n"/>
      <c r="L4004" s="256" t="n"/>
      <c r="M4004" s="256" t="n"/>
      <c r="N4004" s="256" t="n"/>
      <c r="O4004" s="256" t="n"/>
      <c r="P4004" s="256" t="n"/>
      <c r="Q4004" s="256" t="n"/>
    </row>
    <row r="4005">
      <c r="A4005">
        <f>IF(DAY(D4005)=DAY($L$1+1),A4004+1,A4004)</f>
        <v/>
      </c>
      <c r="B4005" s="1">
        <f>IF(DAY(D4005)=DAY($L$1+1),1,B4004+1)</f>
        <v/>
      </c>
      <c r="C4005" s="46">
        <f>IF(DAY(D4005)=DAY($L$1+1),1,C4004+1)</f>
        <v/>
      </c>
      <c r="D4005" s="2">
        <f>D4004+1</f>
        <v/>
      </c>
      <c r="E4005" s="8">
        <f>IF(DAY(D4005)=DAY($L$1+1),TRUNC((N4004),8),E4004)</f>
        <v/>
      </c>
      <c r="F4005" s="49">
        <f>TRUNC(((1+VLOOKUP(A4005,IPCA!$A$2:$C$140,3,0)))^(C4005/(EDATE(D4005-C4005,1)-(D4005-C4005))),8)</f>
        <v/>
      </c>
      <c r="G4005" s="4">
        <f>TRUNC((E4005*F4005),8)</f>
        <v/>
      </c>
      <c r="H4005" s="4">
        <f>ROUND(((1+$H$4)^(30/360))^(C4005/(EDATE(D4005-B4005,1)-(D4005-B4005))),9)</f>
        <v/>
      </c>
      <c r="I4005" s="49">
        <f>TRUNC((G4005*H4005-G4005),8)</f>
        <v/>
      </c>
      <c r="J4005" s="4">
        <f>G4005+I4005</f>
        <v/>
      </c>
      <c r="K4005" s="256" t="inlineStr">
        <is>
          <t>Cri Integralizado</t>
        </is>
      </c>
      <c r="L4005" s="270">
        <f>L3974</f>
        <v/>
      </c>
      <c r="M4005" s="256" t="n"/>
      <c r="N4005" s="256" t="n"/>
      <c r="O4005" s="256" t="n"/>
      <c r="P4005" s="256" t="n"/>
      <c r="Q4005" s="256" t="n"/>
    </row>
    <row r="4006">
      <c r="A4006">
        <f>IF(DAY(D4006)=DAY($L$1+1),A4005+1,A4005)</f>
        <v/>
      </c>
      <c r="B4006" s="1">
        <f>IF(DAY(D4006)=DAY($L$1+1),1,B4005+1)</f>
        <v/>
      </c>
      <c r="C4006" s="46">
        <f>IF(DAY(D4006)=DAY($L$1+1),1,C4005+1)</f>
        <v/>
      </c>
      <c r="D4006" s="2">
        <f>D4005+1</f>
        <v/>
      </c>
      <c r="E4006" s="8">
        <f>IF(DAY(D4006)=DAY($L$1+1),TRUNC((N4005),8),E4005)</f>
        <v/>
      </c>
      <c r="F4006" s="49">
        <f>TRUNC(((1+VLOOKUP(A4006,IPCA!$A$2:$C$140,3,0)))^(C4006/(EDATE(D4006-C4006,1)-(D4006-C4006))),8)</f>
        <v/>
      </c>
      <c r="G4006" s="4">
        <f>TRUNC((E4006*F4006),8)</f>
        <v/>
      </c>
      <c r="H4006" s="4">
        <f>ROUND(((1+$H$4)^(30/360))^(C4006/(EDATE(D4006-B4006,1)-(D4006-B4006))),9)</f>
        <v/>
      </c>
      <c r="I4006" s="49">
        <f>TRUNC((G4006*H4006-G4006),8)</f>
        <v/>
      </c>
      <c r="J4006" s="4">
        <f>G4006+I4006</f>
        <v/>
      </c>
      <c r="K4006" s="137" t="inlineStr">
        <is>
          <t>JUROS</t>
        </is>
      </c>
      <c r="L4006" s="118" t="inlineStr">
        <is>
          <t>AMORTIZAÇÃO</t>
        </is>
      </c>
      <c r="M4006" s="118" t="inlineStr">
        <is>
          <t>AMEX</t>
        </is>
      </c>
      <c r="N4006" s="118" t="inlineStr">
        <is>
          <t>RESIDUAL</t>
        </is>
      </c>
      <c r="O4006" s="256" t="n"/>
      <c r="P4006" s="256" t="n"/>
      <c r="Q4006" s="256" t="n"/>
    </row>
    <row r="4007">
      <c r="A4007">
        <f>IF(DAY(D4007)=DAY($L$1+1),A4006+1,A4006)</f>
        <v/>
      </c>
      <c r="B4007" s="111">
        <f>IF(DAY(D4007)=DAY($L$1+1),1,B4006+1)</f>
        <v/>
      </c>
      <c r="C4007" s="111">
        <f>IF(DAY(D4007)=DAY($L$1+1),1,C4006+1)</f>
        <v/>
      </c>
      <c r="D4007" s="112">
        <f>D4006+1</f>
        <v/>
      </c>
      <c r="E4007" s="113">
        <f>IF(DAY(D4007)=DAY($L$1+1),TRUNC((N4006),8),E4006)</f>
        <v/>
      </c>
      <c r="F4007" s="114">
        <f>TRUNC(((1+VLOOKUP(A4007,IPCA!$A$2:$C$140,3,0)))^(C4007/(EDATE(D4007-C4007,1)-(D4007-C4007))),8)</f>
        <v/>
      </c>
      <c r="G4007" s="114">
        <f>TRUNC((E4007*F4007),8)</f>
        <v/>
      </c>
      <c r="H4007" s="114">
        <f>ROUND(((1+$H$4)^(30/360))^(C4007/(EDATE(D4007-B4007,1)-(D4007-B4007))),9)</f>
        <v/>
      </c>
      <c r="I4007" s="114">
        <f>TRUNC((G4007*H4007-G4007),8)</f>
        <v/>
      </c>
      <c r="J4007" s="114">
        <f>G4007+I4007</f>
        <v/>
      </c>
      <c r="K4007" s="119">
        <f>I4007</f>
        <v/>
      </c>
      <c r="L4007" s="120">
        <f>TRUNC(G4007*VLOOKUP(D4007,'Amort TS'!$G$3:$H$140,2,0),8)</f>
        <v/>
      </c>
      <c r="M4007" s="120" t="n">
        <v>0</v>
      </c>
      <c r="N4007" s="120">
        <f>J4007-K4007-L4007-M4007</f>
        <v/>
      </c>
      <c r="O4007" s="256" t="n"/>
      <c r="P4007" s="256" t="n"/>
      <c r="Q4007" s="256" t="n"/>
    </row>
    <row r="4008">
      <c r="A4008">
        <f>IF(DAY(D4008)=DAY($L$1+1),A4007+1,A4007)</f>
        <v/>
      </c>
      <c r="B4008" s="1">
        <f>IF(DAY(D4008)=DAY($L$1+1),1,B4007+1)</f>
        <v/>
      </c>
      <c r="C4008" s="46">
        <f>IF(DAY(D4008)=DAY($L$1+1),1,C4007+1)</f>
        <v/>
      </c>
      <c r="D4008" s="2">
        <f>D4007+1</f>
        <v/>
      </c>
      <c r="E4008" s="8">
        <f>IF(DAY(D4008)=DAY($L$1+1),TRUNC((N4007),8),E4007)</f>
        <v/>
      </c>
      <c r="F4008" s="49">
        <f>TRUNC(((1+VLOOKUP(A4008,IPCA!$A$2:$C$140,3,0)))^(C4008/(EDATE(D4008-C4008,1)-(D4008-C4008))),8)</f>
        <v/>
      </c>
      <c r="G4008" s="4">
        <f>TRUNC((E4008*F4008),8)</f>
        <v/>
      </c>
      <c r="H4008" s="4">
        <f>ROUND(((1+$H$4)^(30/360))^(C4008/(EDATE(D4008-B4008,1)-(D4008-B4008))),9)</f>
        <v/>
      </c>
      <c r="I4008" s="49">
        <f>TRUNC((G4008*H4008-G4008),8)</f>
        <v/>
      </c>
      <c r="J4008" s="4">
        <f>G4008+I4008</f>
        <v/>
      </c>
      <c r="K4008" s="121">
        <f>K4007*L4005</f>
        <v/>
      </c>
      <c r="L4008" s="121">
        <f>L4007*L4005</f>
        <v/>
      </c>
      <c r="M4008" s="121">
        <f>M4007*L4005</f>
        <v/>
      </c>
      <c r="N4008" s="121">
        <f>N4007*L4005</f>
        <v/>
      </c>
      <c r="O4008" s="256" t="n"/>
      <c r="P4008" s="256" t="n"/>
      <c r="Q4008" s="256" t="n"/>
    </row>
    <row r="4009">
      <c r="A4009">
        <f>IF(DAY(D4009)=DAY($L$1+1),A4008+1,A4008)</f>
        <v/>
      </c>
      <c r="B4009" s="1">
        <f>IF(DAY(D4009)=DAY($L$1+1),1,B4008+1)</f>
        <v/>
      </c>
      <c r="C4009" s="46">
        <f>IF(DAY(D4009)=DAY($L$1+1),1,C4008+1)</f>
        <v/>
      </c>
      <c r="D4009" s="2">
        <f>D4008+1</f>
        <v/>
      </c>
      <c r="E4009" s="8">
        <f>IF(DAY(D4009)=DAY($L$1+1),TRUNC((N4008),8),E4008)</f>
        <v/>
      </c>
      <c r="F4009" s="49">
        <f>TRUNC(((1+VLOOKUP(A4009,IPCA!$A$2:$C$140,3,0)))^(C4009/(EDATE(D4009-C4009,1)-(D4009-C4009))),8)</f>
        <v/>
      </c>
      <c r="G4009" s="4">
        <f>TRUNC((E4009*F4009),8)</f>
        <v/>
      </c>
      <c r="H4009" s="4">
        <f>ROUND(((1+$H$4)^(30/360))^(C4009/(EDATE(D4009-B4009,1)-(D4009-B4009))),9)</f>
        <v/>
      </c>
      <c r="I4009" s="49">
        <f>TRUNC((G4009*H4009-G4009),8)</f>
        <v/>
      </c>
      <c r="J4009" s="4">
        <f>G4009+I4009</f>
        <v/>
      </c>
      <c r="K4009" s="256" t="n"/>
      <c r="L4009" s="256" t="n"/>
      <c r="M4009" s="256" t="n"/>
      <c r="N4009" s="256" t="n"/>
      <c r="O4009" s="256" t="n"/>
      <c r="P4009" s="256" t="n"/>
      <c r="Q4009" s="256" t="n"/>
    </row>
    <row r="4010">
      <c r="A4010">
        <f>IF(DAY(D4010)=DAY($L$1+1),A4009+1,A4009)</f>
        <v/>
      </c>
      <c r="B4010" s="1">
        <f>IF(DAY(D4010)=DAY($L$1+1),1,B4009+1)</f>
        <v/>
      </c>
      <c r="C4010" s="46">
        <f>IF(DAY(D4010)=DAY($L$1+1),1,C4009+1)</f>
        <v/>
      </c>
      <c r="D4010" s="2">
        <f>D4009+1</f>
        <v/>
      </c>
      <c r="E4010" s="8">
        <f>IF(DAY(D4010)=DAY($L$1+1),TRUNC((#REF!),8),E4009)</f>
        <v/>
      </c>
      <c r="F4010" s="49">
        <f>TRUNC(((1+VLOOKUP(A4010,IPCA!$A$2:$C$140,3,0)))^(C4010/(EDATE(D4010-C4010,1)-(D4010-C4010))),8)</f>
        <v/>
      </c>
      <c r="G4010" s="4">
        <f>TRUNC((E4010*F4010),8)</f>
        <v/>
      </c>
      <c r="H4010" s="4">
        <f>ROUND(((1+$H$4)^(30/360))^(C4010/(EDATE(D4010-B4010,1)-(D4010-B4010))),9)</f>
        <v/>
      </c>
      <c r="I4010" s="49">
        <f>TRUNC((G4010*H4010-G4010),8)</f>
        <v/>
      </c>
      <c r="J4010" s="4">
        <f>G4010+I4010</f>
        <v/>
      </c>
      <c r="K4010" s="256" t="n"/>
      <c r="L4010" s="256" t="n"/>
      <c r="M4010" s="256" t="n"/>
      <c r="N4010" s="256" t="n"/>
      <c r="O4010" s="256" t="n"/>
      <c r="P4010" s="256" t="n"/>
      <c r="Q4010" s="256" t="n"/>
    </row>
    <row r="4011">
      <c r="A4011">
        <f>IF(DAY(D4011)=DAY($L$1+1),A4010+1,A4010)</f>
        <v/>
      </c>
      <c r="B4011" s="1">
        <f>IF(DAY(D4011)=DAY($L$1+1),1,B4010+1)</f>
        <v/>
      </c>
      <c r="C4011" s="46">
        <f>IF(DAY(D4011)=DAY($L$1+1),1,C4010+1)</f>
        <v/>
      </c>
      <c r="D4011" s="2">
        <f>D4010+1</f>
        <v/>
      </c>
      <c r="E4011" s="8">
        <f>IF(DAY(D4011)=DAY($L$1+1),TRUNC((#REF!),8),E4010)</f>
        <v/>
      </c>
      <c r="F4011" s="49">
        <f>TRUNC(((1+VLOOKUP(A4011,IPCA!$A$2:$C$140,3,0)))^(C4011/(EDATE(D4011-C4011,1)-(D4011-C4011))),8)</f>
        <v/>
      </c>
      <c r="G4011" s="4">
        <f>TRUNC((E4011*F4011),8)</f>
        <v/>
      </c>
      <c r="H4011" s="4">
        <f>ROUND(((1+$H$4)^(30/360))^(C4011/(EDATE(D4011-B4011,1)-(D4011-B4011))),9)</f>
        <v/>
      </c>
      <c r="I4011" s="49">
        <f>TRUNC((G4011*H4011-G4011),8)</f>
        <v/>
      </c>
      <c r="J4011" s="4">
        <f>G4011+I4011</f>
        <v/>
      </c>
      <c r="K4011" s="256" t="n"/>
      <c r="L4011" s="256" t="n"/>
      <c r="M4011" s="256" t="n"/>
      <c r="N4011" s="256" t="n"/>
      <c r="O4011" s="256" t="n"/>
      <c r="P4011" s="256" t="n"/>
      <c r="Q4011" s="256" t="n"/>
    </row>
    <row r="4012">
      <c r="A4012">
        <f>IF(DAY(D4012)=DAY($L$1+1),A4011+1,A4011)</f>
        <v/>
      </c>
      <c r="B4012" s="1">
        <f>IF(DAY(D4012)=DAY($L$1+1),1,B4011+1)</f>
        <v/>
      </c>
      <c r="C4012" s="46">
        <f>IF(DAY(D4012)=DAY($L$1+1),1,C4011+1)</f>
        <v/>
      </c>
      <c r="D4012" s="2">
        <f>D4011+1</f>
        <v/>
      </c>
      <c r="E4012" s="8">
        <f>IF(DAY(D4012)=DAY($L$1+1),TRUNC((#REF!),8),E4011)</f>
        <v/>
      </c>
      <c r="F4012" s="49">
        <f>TRUNC(((1+VLOOKUP(A4012,IPCA!$A$2:$C$140,3,0)))^(C4012/(EDATE(D4012-C4012,1)-(D4012-C4012))),8)</f>
        <v/>
      </c>
      <c r="G4012" s="4">
        <f>TRUNC((E4012*F4012),8)</f>
        <v/>
      </c>
      <c r="H4012" s="4">
        <f>ROUND(((1+$H$4)^(30/360))^(C4012/(EDATE(D4012-B4012,1)-(D4012-B4012))),9)</f>
        <v/>
      </c>
      <c r="I4012" s="49">
        <f>TRUNC((G4012*H4012-G4012),8)</f>
        <v/>
      </c>
      <c r="J4012" s="4">
        <f>G4012+I4012</f>
        <v/>
      </c>
      <c r="K4012" s="256" t="n"/>
      <c r="L4012" s="256" t="n"/>
      <c r="M4012" s="256" t="n"/>
      <c r="N4012" s="256" t="n"/>
      <c r="O4012" s="256" t="n"/>
      <c r="P4012" s="256" t="n"/>
      <c r="Q4012" s="256" t="n"/>
    </row>
    <row r="4013">
      <c r="A4013">
        <f>IF(DAY(D4013)=DAY($L$1+1),A4012+1,A4012)</f>
        <v/>
      </c>
      <c r="B4013" s="1">
        <f>IF(DAY(D4013)=DAY($L$1+1),1,B4012+1)</f>
        <v/>
      </c>
      <c r="C4013" s="46">
        <f>IF(DAY(D4013)=DAY($L$1+1),1,C4012+1)</f>
        <v/>
      </c>
      <c r="D4013" s="2">
        <f>D4012+1</f>
        <v/>
      </c>
      <c r="E4013" s="8">
        <f>IF(DAY(D4013)=DAY($L$1+1),TRUNC((#REF!),8),E4012)</f>
        <v/>
      </c>
      <c r="F4013" s="49">
        <f>TRUNC(((1+VLOOKUP(A4013,IPCA!$A$2:$C$140,3,0)))^(C4013/(EDATE(D4013-C4013,1)-(D4013-C4013))),8)</f>
        <v/>
      </c>
      <c r="G4013" s="4">
        <f>TRUNC((E4013*F4013),8)</f>
        <v/>
      </c>
      <c r="H4013" s="4">
        <f>ROUND(((1+$H$4)^(30/360))^(C4013/(EDATE(D4013-B4013,1)-(D4013-B4013))),9)</f>
        <v/>
      </c>
      <c r="I4013" s="49">
        <f>TRUNC((G4013*H4013-G4013),8)</f>
        <v/>
      </c>
      <c r="J4013" s="4">
        <f>G4013+I4013</f>
        <v/>
      </c>
      <c r="K4013" s="256" t="n"/>
      <c r="L4013" s="256" t="n"/>
      <c r="M4013" s="256" t="n"/>
      <c r="N4013" s="256" t="n"/>
      <c r="O4013" s="256" t="n"/>
      <c r="P4013" s="256" t="n"/>
      <c r="Q4013" s="256" t="n"/>
    </row>
    <row r="4014">
      <c r="A4014">
        <f>IF(DAY(D4014)=DAY($L$1+1),A4013+1,A4013)</f>
        <v/>
      </c>
      <c r="B4014" s="1">
        <f>IF(DAY(D4014)=DAY($L$1+1),1,B4013+1)</f>
        <v/>
      </c>
      <c r="C4014" s="46">
        <f>IF(DAY(D4014)=DAY($L$1+1),1,C4013+1)</f>
        <v/>
      </c>
      <c r="D4014" s="2">
        <f>D4013+1</f>
        <v/>
      </c>
      <c r="E4014" s="8">
        <f>IF(DAY(D4014)=DAY($L$1+1),TRUNC((#REF!),8),E4013)</f>
        <v/>
      </c>
      <c r="F4014" s="49">
        <f>TRUNC(((1+VLOOKUP(A4014,IPCA!$A$2:$C$140,3,0)))^(C4014/(EDATE(D4014-C4014,1)-(D4014-C4014))),8)</f>
        <v/>
      </c>
      <c r="G4014" s="4">
        <f>TRUNC((E4014*F4014),8)</f>
        <v/>
      </c>
      <c r="H4014" s="4">
        <f>ROUND(((1+$H$4)^(30/360))^(C4014/(EDATE(D4014-B4014,1)-(D4014-B4014))),9)</f>
        <v/>
      </c>
      <c r="I4014" s="49">
        <f>TRUNC((G4014*H4014-G4014),8)</f>
        <v/>
      </c>
      <c r="J4014" s="4">
        <f>G4014+I4014</f>
        <v/>
      </c>
      <c r="K4014" s="256" t="n"/>
      <c r="L4014" s="256" t="n"/>
      <c r="M4014" s="256" t="n"/>
      <c r="N4014" s="256" t="n"/>
      <c r="O4014" s="256" t="n"/>
      <c r="P4014" s="256" t="n"/>
      <c r="Q4014" s="256" t="n"/>
    </row>
    <row r="4015">
      <c r="A4015">
        <f>IF(DAY(D4015)=DAY($L$1+1),A4014+1,A4014)</f>
        <v/>
      </c>
      <c r="B4015" s="1">
        <f>IF(DAY(D4015)=DAY($L$1+1),1,B4014+1)</f>
        <v/>
      </c>
      <c r="C4015" s="46">
        <f>IF(DAY(D4015)=DAY($L$1+1),1,C4014+1)</f>
        <v/>
      </c>
      <c r="D4015" s="2">
        <f>D4014+1</f>
        <v/>
      </c>
      <c r="E4015" s="8">
        <f>IF(DAY(D4015)=DAY($L$1+1),TRUNC((#REF!),8),E4014)</f>
        <v/>
      </c>
      <c r="F4015" s="49">
        <f>TRUNC(((1+VLOOKUP(A4015,IPCA!$A$2:$C$140,3,0)))^(C4015/(EDATE(D4015-C4015,1)-(D4015-C4015))),8)</f>
        <v/>
      </c>
      <c r="G4015" s="4">
        <f>TRUNC((E4015*F4015),8)</f>
        <v/>
      </c>
      <c r="H4015" s="4">
        <f>ROUND(((1+$H$4)^(30/360))^(C4015/(EDATE(D4015-B4015,1)-(D4015-B4015))),9)</f>
        <v/>
      </c>
      <c r="I4015" s="49">
        <f>TRUNC((G4015*H4015-G4015),8)</f>
        <v/>
      </c>
      <c r="J4015" s="4">
        <f>G4015+I4015</f>
        <v/>
      </c>
      <c r="K4015" s="256" t="n"/>
      <c r="L4015" s="256" t="n"/>
      <c r="M4015" s="256" t="n"/>
      <c r="N4015" s="256" t="n"/>
      <c r="O4015" s="256" t="n"/>
      <c r="P4015" s="256" t="n"/>
      <c r="Q4015" s="256" t="n"/>
    </row>
    <row r="4016">
      <c r="A4016">
        <f>IF(DAY(D4016)=DAY($L$1+1),A4015+1,A4015)</f>
        <v/>
      </c>
      <c r="B4016" s="1">
        <f>IF(DAY(D4016)=DAY($L$1+1),1,B4015+1)</f>
        <v/>
      </c>
      <c r="C4016" s="46">
        <f>IF(DAY(D4016)=DAY($L$1+1),1,C4015+1)</f>
        <v/>
      </c>
      <c r="D4016" s="2">
        <f>D4015+1</f>
        <v/>
      </c>
      <c r="E4016" s="8">
        <f>IF(DAY(D4016)=DAY($L$1+1),TRUNC((#REF!),8),E4015)</f>
        <v/>
      </c>
      <c r="F4016" s="49">
        <f>TRUNC(((1+VLOOKUP(A4016,IPCA!$A$2:$C$140,3,0)))^(C4016/(EDATE(D4016-C4016,1)-(D4016-C4016))),8)</f>
        <v/>
      </c>
      <c r="G4016" s="4">
        <f>TRUNC((E4016*F4016),8)</f>
        <v/>
      </c>
      <c r="H4016" s="4">
        <f>ROUND(((1+$H$4)^(30/360))^(C4016/(EDATE(D4016-B4016,1)-(D4016-B4016))),9)</f>
        <v/>
      </c>
      <c r="I4016" s="49">
        <f>TRUNC((G4016*H4016-G4016),8)</f>
        <v/>
      </c>
      <c r="J4016" s="4">
        <f>G4016+I4016</f>
        <v/>
      </c>
      <c r="K4016" s="256" t="n"/>
      <c r="L4016" s="256" t="n"/>
      <c r="M4016" s="256" t="n"/>
      <c r="N4016" s="256" t="n"/>
      <c r="O4016" s="256" t="n"/>
      <c r="P4016" s="256" t="n"/>
      <c r="Q4016" s="256" t="n"/>
    </row>
    <row r="4017">
      <c r="A4017">
        <f>IF(DAY(D4017)=DAY($L$1+1),A4016+1,A4016)</f>
        <v/>
      </c>
      <c r="B4017" s="1">
        <f>IF(DAY(D4017)=DAY($L$1+1),1,B4016+1)</f>
        <v/>
      </c>
      <c r="C4017" s="46">
        <f>IF(DAY(D4017)=DAY($L$1+1),1,C4016+1)</f>
        <v/>
      </c>
      <c r="D4017" s="2">
        <f>D4016+1</f>
        <v/>
      </c>
      <c r="E4017" s="8">
        <f>IF(DAY(D4017)=DAY($L$1+1),TRUNC((#REF!),8),E4016)</f>
        <v/>
      </c>
      <c r="F4017" s="49">
        <f>TRUNC(((1+VLOOKUP(A4017,IPCA!$A$2:$C$140,3,0)))^(C4017/(EDATE(D4017-C4017,1)-(D4017-C4017))),8)</f>
        <v/>
      </c>
      <c r="G4017" s="4">
        <f>TRUNC((E4017*F4017),8)</f>
        <v/>
      </c>
      <c r="H4017" s="4">
        <f>ROUND(((1+$H$4)^(30/360))^(C4017/(EDATE(D4017-B4017,1)-(D4017-B4017))),9)</f>
        <v/>
      </c>
      <c r="I4017" s="49">
        <f>TRUNC((G4017*H4017-G4017),8)</f>
        <v/>
      </c>
      <c r="J4017" s="4">
        <f>G4017+I4017</f>
        <v/>
      </c>
      <c r="K4017" s="256" t="n"/>
      <c r="L4017" s="256" t="n"/>
      <c r="M4017" s="256" t="n"/>
      <c r="N4017" s="256" t="n"/>
      <c r="O4017" s="256" t="n"/>
      <c r="P4017" s="256" t="n"/>
      <c r="Q4017" s="256" t="n"/>
    </row>
    <row r="4018">
      <c r="A4018">
        <f>IF(DAY(D4018)=DAY($L$1+1),A4017+1,A4017)</f>
        <v/>
      </c>
      <c r="B4018" s="1">
        <f>IF(DAY(D4018)=DAY($L$1+1),1,B4017+1)</f>
        <v/>
      </c>
      <c r="C4018" s="46">
        <f>IF(DAY(D4018)=DAY($L$1+1),1,C4017+1)</f>
        <v/>
      </c>
      <c r="D4018" s="2">
        <f>D4017+1</f>
        <v/>
      </c>
      <c r="E4018" s="8">
        <f>IF(DAY(D4018)=DAY($L$1+1),TRUNC((#REF!),8),E4017)</f>
        <v/>
      </c>
      <c r="F4018" s="49">
        <f>TRUNC(((1+VLOOKUP(A4018,IPCA!$A$2:$C$140,3,0)))^(C4018/(EDATE(D4018-C4018,1)-(D4018-C4018))),8)</f>
        <v/>
      </c>
      <c r="G4018" s="4">
        <f>TRUNC((E4018*F4018),8)</f>
        <v/>
      </c>
      <c r="H4018" s="4">
        <f>ROUND(((1+$H$4)^(30/360))^(C4018/(EDATE(D4018-B4018,1)-(D4018-B4018))),9)</f>
        <v/>
      </c>
      <c r="I4018" s="49">
        <f>TRUNC((G4018*H4018-G4018),8)</f>
        <v/>
      </c>
      <c r="J4018" s="4">
        <f>G4018+I4018</f>
        <v/>
      </c>
      <c r="K4018" s="256" t="n"/>
      <c r="L4018" s="256" t="n"/>
      <c r="M4018" s="256" t="n"/>
      <c r="N4018" s="256" t="n"/>
      <c r="O4018" s="256" t="n"/>
      <c r="P4018" s="256" t="n"/>
      <c r="Q4018" s="256" t="n"/>
    </row>
    <row r="4019">
      <c r="A4019">
        <f>IF(DAY(D4019)=DAY($L$1+1),A4018+1,A4018)</f>
        <v/>
      </c>
      <c r="B4019" s="1">
        <f>IF(DAY(D4019)=DAY($L$1+1),1,B4018+1)</f>
        <v/>
      </c>
      <c r="C4019" s="46">
        <f>IF(DAY(D4019)=DAY($L$1+1),1,C4018+1)</f>
        <v/>
      </c>
      <c r="D4019" s="2">
        <f>D4018+1</f>
        <v/>
      </c>
      <c r="E4019" s="8">
        <f>IF(DAY(D4019)=DAY($L$1+1),TRUNC((#REF!),8),E4018)</f>
        <v/>
      </c>
      <c r="F4019" s="49">
        <f>TRUNC(((1+VLOOKUP(A4019,IPCA!$A$2:$C$140,3,0)))^(C4019/(EDATE(D4019-C4019,1)-(D4019-C4019))),8)</f>
        <v/>
      </c>
      <c r="G4019" s="4">
        <f>TRUNC((E4019*F4019),8)</f>
        <v/>
      </c>
      <c r="H4019" s="4">
        <f>ROUND(((1+$H$4)^(30/360))^(C4019/(EDATE(D4019-B4019,1)-(D4019-B4019))),9)</f>
        <v/>
      </c>
      <c r="I4019" s="49">
        <f>TRUNC((G4019*H4019-G4019),8)</f>
        <v/>
      </c>
      <c r="J4019" s="4">
        <f>G4019+I4019</f>
        <v/>
      </c>
      <c r="K4019" s="256" t="n"/>
      <c r="L4019" s="256" t="n"/>
      <c r="M4019" s="256" t="n"/>
      <c r="N4019" s="256" t="n"/>
      <c r="O4019" s="256" t="n"/>
      <c r="P4019" s="256" t="n"/>
      <c r="Q4019" s="256" t="n"/>
    </row>
    <row r="4020">
      <c r="A4020">
        <f>IF(DAY(D4020)=DAY($L$1+1),A4019+1,A4019)</f>
        <v/>
      </c>
      <c r="B4020" s="1">
        <f>IF(DAY(D4020)=DAY($L$1+1),1,B4019+1)</f>
        <v/>
      </c>
      <c r="C4020" s="46">
        <f>IF(DAY(D4020)=DAY($L$1+1),1,C4019+1)</f>
        <v/>
      </c>
      <c r="D4020" s="2">
        <f>D4019+1</f>
        <v/>
      </c>
      <c r="E4020" s="8">
        <f>IF(DAY(D4020)=DAY($L$1+1),TRUNC((#REF!),8),E4019)</f>
        <v/>
      </c>
      <c r="F4020" s="49">
        <f>TRUNC(((1+VLOOKUP(A4020,IPCA!$A$2:$C$140,3,0)))^(C4020/(EDATE(D4020-C4020,1)-(D4020-C4020))),8)</f>
        <v/>
      </c>
      <c r="G4020" s="4">
        <f>TRUNC((E4020*F4020),8)</f>
        <v/>
      </c>
      <c r="H4020" s="4">
        <f>ROUND(((1+$H$4)^(30/360))^(C4020/(EDATE(D4020-B4020,1)-(D4020-B4020))),9)</f>
        <v/>
      </c>
      <c r="I4020" s="49">
        <f>TRUNC((G4020*H4020-G4020),8)</f>
        <v/>
      </c>
      <c r="J4020" s="4">
        <f>G4020+I4020</f>
        <v/>
      </c>
      <c r="K4020" s="256" t="n"/>
      <c r="L4020" s="256" t="n"/>
      <c r="M4020" s="256" t="n"/>
      <c r="N4020" s="256" t="n"/>
      <c r="O4020" s="256" t="n"/>
      <c r="P4020" s="256" t="n"/>
      <c r="Q4020" s="256" t="n"/>
    </row>
    <row r="4021">
      <c r="A4021">
        <f>IF(DAY(D4021)=DAY($L$1+1),A4020+1,A4020)</f>
        <v/>
      </c>
      <c r="B4021" s="1">
        <f>IF(DAY(D4021)=DAY($L$1+1),1,B4020+1)</f>
        <v/>
      </c>
      <c r="C4021" s="46">
        <f>IF(DAY(D4021)=DAY($L$1+1),1,C4020+1)</f>
        <v/>
      </c>
      <c r="D4021" s="2">
        <f>D4020+1</f>
        <v/>
      </c>
      <c r="E4021" s="8">
        <f>IF(DAY(D4021)=DAY($L$1+1),TRUNC((#REF!),8),E4020)</f>
        <v/>
      </c>
      <c r="F4021" s="49">
        <f>TRUNC(((1+VLOOKUP(A4021,IPCA!$A$2:$C$140,3,0)))^(C4021/(EDATE(D4021-C4021,1)-(D4021-C4021))),8)</f>
        <v/>
      </c>
      <c r="G4021" s="4">
        <f>TRUNC((E4021*F4021),8)</f>
        <v/>
      </c>
      <c r="H4021" s="4">
        <f>ROUND(((1+$H$4)^(30/360))^(C4021/(EDATE(D4021-B4021,1)-(D4021-B4021))),9)</f>
        <v/>
      </c>
      <c r="I4021" s="49">
        <f>TRUNC((G4021*H4021-G4021),8)</f>
        <v/>
      </c>
      <c r="J4021" s="4">
        <f>G4021+I4021</f>
        <v/>
      </c>
      <c r="K4021" s="256" t="n"/>
      <c r="L4021" s="256" t="n"/>
      <c r="M4021" s="256" t="n"/>
      <c r="N4021" s="256" t="n"/>
      <c r="O4021" s="256" t="n"/>
      <c r="P4021" s="256" t="n"/>
      <c r="Q4021" s="256" t="n"/>
    </row>
    <row r="4022">
      <c r="A4022">
        <f>IF(DAY(D4022)=DAY($L$1+1),A4021+1,A4021)</f>
        <v/>
      </c>
      <c r="B4022" s="1">
        <f>IF(DAY(D4022)=DAY($L$1+1),1,B4021+1)</f>
        <v/>
      </c>
      <c r="C4022" s="46">
        <f>IF(DAY(D4022)=DAY($L$1+1),1,C4021+1)</f>
        <v/>
      </c>
      <c r="D4022" s="2">
        <f>D4021+1</f>
        <v/>
      </c>
      <c r="E4022" s="8">
        <f>IF(DAY(D4022)=DAY($L$1+1),TRUNC((#REF!),8),E4021)</f>
        <v/>
      </c>
      <c r="F4022" s="49">
        <f>TRUNC(((1+VLOOKUP(A4022,IPCA!$A$2:$C$140,3,0)))^(C4022/(EDATE(D4022-C4022,1)-(D4022-C4022))),8)</f>
        <v/>
      </c>
      <c r="G4022" s="4">
        <f>TRUNC((E4022*F4022),8)</f>
        <v/>
      </c>
      <c r="H4022" s="4">
        <f>ROUND(((1+$H$4)^(30/360))^(C4022/(EDATE(D4022-B4022,1)-(D4022-B4022))),9)</f>
        <v/>
      </c>
      <c r="I4022" s="49">
        <f>TRUNC((G4022*H4022-G4022),8)</f>
        <v/>
      </c>
      <c r="J4022" s="4">
        <f>G4022+I4022</f>
        <v/>
      </c>
      <c r="K4022" s="256" t="n"/>
      <c r="L4022" s="256" t="n"/>
      <c r="M4022" s="256" t="n"/>
      <c r="N4022" s="256" t="n"/>
      <c r="O4022" s="256" t="n"/>
      <c r="P4022" s="256" t="n"/>
      <c r="Q4022" s="256" t="n"/>
    </row>
    <row r="4023">
      <c r="A4023">
        <f>IF(DAY(D4023)=DAY($L$1+1),A4022+1,A4022)</f>
        <v/>
      </c>
      <c r="B4023" s="1">
        <f>IF(DAY(D4023)=DAY($L$1+1),1,B4022+1)</f>
        <v/>
      </c>
      <c r="C4023" s="46">
        <f>IF(DAY(D4023)=DAY($L$1+1),1,C4022+1)</f>
        <v/>
      </c>
      <c r="D4023" s="2">
        <f>D4022+1</f>
        <v/>
      </c>
      <c r="E4023" s="8">
        <f>IF(DAY(D4023)=DAY($L$1+1),TRUNC((#REF!),8),E4022)</f>
        <v/>
      </c>
      <c r="F4023" s="49">
        <f>TRUNC(((1+VLOOKUP(A4023,IPCA!$A$2:$C$140,3,0)))^(C4023/(EDATE(D4023-C4023,1)-(D4023-C4023))),8)</f>
        <v/>
      </c>
      <c r="G4023" s="4">
        <f>TRUNC((E4023*F4023),8)</f>
        <v/>
      </c>
      <c r="H4023" s="4">
        <f>ROUND(((1+$H$4)^(30/360))^(C4023/(EDATE(D4023-B4023,1)-(D4023-B4023))),9)</f>
        <v/>
      </c>
      <c r="I4023" s="49">
        <f>TRUNC((G4023*H4023-G4023),8)</f>
        <v/>
      </c>
      <c r="J4023" s="4">
        <f>G4023+I4023</f>
        <v/>
      </c>
      <c r="K4023" s="256" t="n"/>
      <c r="L4023" s="256" t="n"/>
      <c r="M4023" s="256" t="n"/>
      <c r="N4023" s="256" t="n"/>
      <c r="O4023" s="256" t="n"/>
      <c r="P4023" s="256" t="n"/>
      <c r="Q4023" s="256" t="n"/>
    </row>
    <row r="4024">
      <c r="A4024">
        <f>IF(DAY(D4024)=DAY($L$1+1),A4023+1,A4023)</f>
        <v/>
      </c>
      <c r="B4024" s="1">
        <f>IF(DAY(D4024)=DAY($L$1+1),1,B4023+1)</f>
        <v/>
      </c>
      <c r="C4024" s="46">
        <f>IF(DAY(D4024)=DAY($L$1+1),1,C4023+1)</f>
        <v/>
      </c>
      <c r="D4024" s="2">
        <f>D4023+1</f>
        <v/>
      </c>
      <c r="E4024" s="8">
        <f>IF(DAY(D4024)=DAY($L$1+1),TRUNC((#REF!),8),E4023)</f>
        <v/>
      </c>
      <c r="F4024" s="49">
        <f>TRUNC(((1+VLOOKUP(A4024,IPCA!$A$2:$C$140,3,0)))^(C4024/(EDATE(D4024-C4024,1)-(D4024-C4024))),8)</f>
        <v/>
      </c>
      <c r="G4024" s="4">
        <f>TRUNC((E4024*F4024),8)</f>
        <v/>
      </c>
      <c r="H4024" s="4">
        <f>ROUND(((1+$H$4)^(30/360))^(C4024/(EDATE(D4024-B4024,1)-(D4024-B4024))),9)</f>
        <v/>
      </c>
      <c r="I4024" s="49">
        <f>TRUNC((G4024*H4024-G4024),8)</f>
        <v/>
      </c>
      <c r="J4024" s="4">
        <f>G4024+I4024</f>
        <v/>
      </c>
      <c r="K4024" s="256" t="n"/>
      <c r="L4024" s="256" t="n"/>
      <c r="M4024" s="256" t="n"/>
      <c r="N4024" s="256" t="n"/>
      <c r="O4024" s="256" t="n"/>
      <c r="P4024" s="256" t="n"/>
      <c r="Q4024" s="256" t="n"/>
    </row>
    <row r="4025">
      <c r="A4025">
        <f>IF(DAY(D4025)=DAY($L$1+1),A4024+1,A4024)</f>
        <v/>
      </c>
      <c r="B4025" s="1">
        <f>IF(DAY(D4025)=DAY($L$1+1),1,B4024+1)</f>
        <v/>
      </c>
      <c r="C4025" s="46">
        <f>IF(DAY(D4025)=DAY($L$1+1),1,C4024+1)</f>
        <v/>
      </c>
      <c r="D4025" s="2">
        <f>D4024+1</f>
        <v/>
      </c>
      <c r="E4025" s="8">
        <f>IF(DAY(D4025)=DAY($L$1+1),TRUNC((#REF!),8),E4024)</f>
        <v/>
      </c>
      <c r="F4025" s="49">
        <f>TRUNC(((1+VLOOKUP(A4025,IPCA!$A$2:$C$140,3,0)))^(C4025/(EDATE(D4025-C4025,1)-(D4025-C4025))),8)</f>
        <v/>
      </c>
      <c r="G4025" s="4">
        <f>TRUNC((E4025*F4025),8)</f>
        <v/>
      </c>
      <c r="H4025" s="4">
        <f>ROUND(((1+$H$4)^(30/360))^(C4025/(EDATE(D4025-B4025,1)-(D4025-B4025))),9)</f>
        <v/>
      </c>
      <c r="I4025" s="49">
        <f>TRUNC((G4025*H4025-G4025),8)</f>
        <v/>
      </c>
      <c r="J4025" s="4">
        <f>G4025+I4025</f>
        <v/>
      </c>
      <c r="K4025" s="256" t="n"/>
      <c r="L4025" s="256" t="n"/>
      <c r="M4025" s="256" t="n"/>
      <c r="N4025" s="256" t="n"/>
      <c r="O4025" s="256" t="n"/>
      <c r="P4025" s="256" t="n"/>
      <c r="Q4025" s="256" t="n"/>
    </row>
    <row r="4026">
      <c r="A4026">
        <f>IF(DAY(D4026)=DAY($L$1+1),A4025+1,A4025)</f>
        <v/>
      </c>
      <c r="B4026" s="1">
        <f>IF(DAY(D4026)=DAY($L$1+1),1,B4025+1)</f>
        <v/>
      </c>
      <c r="C4026" s="46">
        <f>IF(DAY(D4026)=DAY($L$1+1),1,C4025+1)</f>
        <v/>
      </c>
      <c r="D4026" s="2">
        <f>D4025+1</f>
        <v/>
      </c>
      <c r="E4026" s="8">
        <f>IF(DAY(D4026)=DAY($L$1+1),TRUNC((#REF!),8),E4025)</f>
        <v/>
      </c>
      <c r="F4026" s="49">
        <f>TRUNC(((1+VLOOKUP(A4026,IPCA!$A$2:$C$140,3,0)))^(C4026/(EDATE(D4026-C4026,1)-(D4026-C4026))),8)</f>
        <v/>
      </c>
      <c r="G4026" s="4">
        <f>TRUNC((E4026*F4026),8)</f>
        <v/>
      </c>
      <c r="H4026" s="4">
        <f>ROUND(((1+$H$4)^(30/360))^(C4026/(EDATE(D4026-B4026,1)-(D4026-B4026))),9)</f>
        <v/>
      </c>
      <c r="I4026" s="49">
        <f>TRUNC((G4026*H4026-G4026),8)</f>
        <v/>
      </c>
      <c r="J4026" s="4">
        <f>G4026+I4026</f>
        <v/>
      </c>
      <c r="K4026" s="256" t="n"/>
      <c r="L4026" s="256" t="n"/>
      <c r="M4026" s="256" t="n"/>
      <c r="N4026" s="256" t="n"/>
      <c r="O4026" s="256" t="n"/>
      <c r="P4026" s="256" t="n"/>
      <c r="Q4026" s="256" t="n"/>
    </row>
    <row r="4027">
      <c r="A4027">
        <f>IF(DAY(D4027)=DAY($L$1+1),A4026+1,A4026)</f>
        <v/>
      </c>
      <c r="B4027" s="1">
        <f>IF(DAY(D4027)=DAY($L$1+1),1,B4026+1)</f>
        <v/>
      </c>
      <c r="C4027" s="46">
        <f>IF(DAY(D4027)=DAY($L$1+1),1,C4026+1)</f>
        <v/>
      </c>
      <c r="D4027" s="2">
        <f>D4026+1</f>
        <v/>
      </c>
      <c r="E4027" s="8">
        <f>IF(DAY(D4027)=DAY($L$1+1),TRUNC((#REF!),8),E4026)</f>
        <v/>
      </c>
      <c r="F4027" s="49">
        <f>TRUNC(((1+VLOOKUP(A4027,IPCA!$A$2:$C$140,3,0)))^(C4027/(EDATE(D4027-C4027,1)-(D4027-C4027))),8)</f>
        <v/>
      </c>
      <c r="G4027" s="4">
        <f>TRUNC((E4027*F4027),8)</f>
        <v/>
      </c>
      <c r="H4027" s="4">
        <f>ROUND(((1+$H$4)^(30/360))^(C4027/(EDATE(D4027-B4027,1)-(D4027-B4027))),9)</f>
        <v/>
      </c>
      <c r="I4027" s="49">
        <f>TRUNC((G4027*H4027-G4027),8)</f>
        <v/>
      </c>
      <c r="J4027" s="4">
        <f>G4027+I4027</f>
        <v/>
      </c>
      <c r="K4027" s="256" t="n"/>
      <c r="L4027" s="256" t="n"/>
      <c r="M4027" s="256" t="n"/>
      <c r="N4027" s="256" t="n"/>
      <c r="O4027" s="256" t="n"/>
      <c r="P4027" s="256" t="n"/>
      <c r="Q4027" s="256" t="n"/>
    </row>
    <row r="4028">
      <c r="A4028">
        <f>IF(DAY(D4028)=DAY($L$1+1),A4027+1,A4027)</f>
        <v/>
      </c>
      <c r="B4028" s="1">
        <f>IF(DAY(D4028)=DAY($L$1+1),1,B4027+1)</f>
        <v/>
      </c>
      <c r="C4028" s="46">
        <f>IF(DAY(D4028)=DAY($L$1+1),1,C4027+1)</f>
        <v/>
      </c>
      <c r="D4028" s="2">
        <f>D4027+1</f>
        <v/>
      </c>
      <c r="E4028" s="8">
        <f>IF(DAY(D4028)=DAY($L$1+1),TRUNC((#REF!),8),E4027)</f>
        <v/>
      </c>
      <c r="F4028" s="49">
        <f>TRUNC(((1+VLOOKUP(A4028,IPCA!$A$2:$C$140,3,0)))^(C4028/(EDATE(D4028-C4028,1)-(D4028-C4028))),8)</f>
        <v/>
      </c>
      <c r="G4028" s="4">
        <f>TRUNC((E4028*F4028),8)</f>
        <v/>
      </c>
      <c r="H4028" s="4">
        <f>ROUND(((1+$H$4)^(30/360))^(C4028/(EDATE(D4028-B4028,1)-(D4028-B4028))),9)</f>
        <v/>
      </c>
      <c r="I4028" s="49">
        <f>TRUNC((G4028*H4028-G4028),8)</f>
        <v/>
      </c>
      <c r="J4028" s="4">
        <f>G4028+I4028</f>
        <v/>
      </c>
      <c r="K4028" s="256" t="n"/>
      <c r="L4028" s="256" t="n"/>
      <c r="M4028" s="256" t="n"/>
      <c r="N4028" s="256" t="n"/>
      <c r="O4028" s="256" t="n"/>
      <c r="P4028" s="256" t="n"/>
      <c r="Q4028" s="256" t="n"/>
    </row>
    <row r="4029">
      <c r="A4029">
        <f>IF(DAY(D4029)=DAY($L$1+1),A4028+1,A4028)</f>
        <v/>
      </c>
      <c r="B4029" s="1">
        <f>IF(DAY(D4029)=DAY($L$1+1),1,B4028+1)</f>
        <v/>
      </c>
      <c r="C4029" s="46">
        <f>IF(DAY(D4029)=DAY($L$1+1),1,C4028+1)</f>
        <v/>
      </c>
      <c r="D4029" s="2">
        <f>D4028+1</f>
        <v/>
      </c>
      <c r="E4029" s="8">
        <f>IF(DAY(D4029)=DAY($L$1+1),TRUNC((N4028),8),E4028)</f>
        <v/>
      </c>
      <c r="F4029" s="49">
        <f>TRUNC(((1+VLOOKUP(A4029,IPCA!$A$2:$C$140,3,0)))^(C4029/(EDATE(D4029-C4029,1)-(D4029-C4029))),8)</f>
        <v/>
      </c>
      <c r="G4029" s="4">
        <f>TRUNC((E4029*F4029),8)</f>
        <v/>
      </c>
      <c r="H4029" s="4">
        <f>ROUND(((1+$H$4)^(30/360))^(C4029/(EDATE(D4029-B4029,1)-(D4029-B4029))),9)</f>
        <v/>
      </c>
      <c r="I4029" s="49">
        <f>TRUNC((G4029*H4029-G4029),8)</f>
        <v/>
      </c>
      <c r="J4029" s="4">
        <f>G4029+I4029</f>
        <v/>
      </c>
      <c r="K4029" s="256" t="n"/>
      <c r="L4029" s="256" t="n"/>
      <c r="M4029" s="256" t="n"/>
      <c r="N4029" s="256" t="n"/>
      <c r="O4029" s="256" t="n"/>
      <c r="P4029" s="256" t="n"/>
      <c r="Q4029" s="256" t="n"/>
    </row>
    <row r="4030">
      <c r="A4030">
        <f>IF(DAY(D4030)=DAY($L$1+1),A4029+1,A4029)</f>
        <v/>
      </c>
      <c r="B4030" s="1">
        <f>IF(DAY(D4030)=DAY($L$1+1),1,B4029+1)</f>
        <v/>
      </c>
      <c r="C4030" s="46">
        <f>IF(DAY(D4030)=DAY($L$1+1),1,C4029+1)</f>
        <v/>
      </c>
      <c r="D4030" s="2">
        <f>D4029+1</f>
        <v/>
      </c>
      <c r="E4030" s="8">
        <f>IF(DAY(D4030)=DAY($L$1+1),TRUNC((N4029),8),E4029)</f>
        <v/>
      </c>
      <c r="F4030" s="49">
        <f>TRUNC(((1+VLOOKUP(A4030,IPCA!$A$2:$C$140,3,0)))^(C4030/(EDATE(D4030-C4030,1)-(D4030-C4030))),8)</f>
        <v/>
      </c>
      <c r="G4030" s="4">
        <f>TRUNC((E4030*F4030),8)</f>
        <v/>
      </c>
      <c r="H4030" s="4">
        <f>ROUND(((1+$H$4)^(30/360))^(C4030/(EDATE(D4030-B4030,1)-(D4030-B4030))),9)</f>
        <v/>
      </c>
      <c r="I4030" s="49">
        <f>TRUNC((G4030*H4030-G4030),8)</f>
        <v/>
      </c>
      <c r="J4030" s="4">
        <f>G4030+I4030</f>
        <v/>
      </c>
      <c r="K4030" s="256" t="n"/>
      <c r="L4030" s="256" t="n"/>
      <c r="M4030" s="256" t="n"/>
      <c r="N4030" s="256" t="n"/>
      <c r="O4030" s="256" t="n"/>
      <c r="P4030" s="256" t="n"/>
      <c r="Q4030" s="256" t="n"/>
    </row>
    <row r="4031">
      <c r="A4031">
        <f>IF(DAY(D4031)=DAY($L$1+1),A4030+1,A4030)</f>
        <v/>
      </c>
      <c r="B4031" s="1">
        <f>IF(DAY(D4031)=DAY($L$1+1),1,B4030+1)</f>
        <v/>
      </c>
      <c r="C4031" s="46">
        <f>IF(DAY(D4031)=DAY($L$1+1),1,C4030+1)</f>
        <v/>
      </c>
      <c r="D4031" s="2">
        <f>D4030+1</f>
        <v/>
      </c>
      <c r="E4031" s="8">
        <f>IF(DAY(D4031)=DAY($L$1+1),TRUNC((N4030),8),E4030)</f>
        <v/>
      </c>
      <c r="F4031" s="49">
        <f>TRUNC(((1+VLOOKUP(A4031,IPCA!$A$2:$C$140,3,0)))^(C4031/(EDATE(D4031-C4031,1)-(D4031-C4031))),8)</f>
        <v/>
      </c>
      <c r="G4031" s="4">
        <f>TRUNC((E4031*F4031),8)</f>
        <v/>
      </c>
      <c r="H4031" s="4">
        <f>ROUND(((1+$H$4)^(30/360))^(C4031/(EDATE(D4031-B4031,1)-(D4031-B4031))),9)</f>
        <v/>
      </c>
      <c r="I4031" s="49">
        <f>TRUNC((G4031*H4031-G4031),8)</f>
        <v/>
      </c>
      <c r="J4031" s="4">
        <f>G4031+I4031</f>
        <v/>
      </c>
      <c r="K4031" s="256" t="n"/>
      <c r="L4031" s="256" t="n"/>
      <c r="M4031" s="256" t="n"/>
      <c r="N4031" s="256" t="n"/>
      <c r="O4031" s="256" t="n"/>
      <c r="P4031" s="256" t="n"/>
      <c r="Q4031" s="256" t="n"/>
    </row>
    <row r="4032">
      <c r="A4032">
        <f>IF(DAY(D4032)=DAY($L$1+1),A4031+1,A4031)</f>
        <v/>
      </c>
      <c r="B4032" s="1">
        <f>IF(DAY(D4032)=DAY($L$1+1),1,B4031+1)</f>
        <v/>
      </c>
      <c r="C4032" s="46">
        <f>IF(DAY(D4032)=DAY($L$1+1),1,C4031+1)</f>
        <v/>
      </c>
      <c r="D4032" s="2">
        <f>D4031+1</f>
        <v/>
      </c>
      <c r="E4032" s="8">
        <f>IF(DAY(D4032)=DAY($L$1+1),TRUNC((N4031),8),E4031)</f>
        <v/>
      </c>
      <c r="F4032" s="49">
        <f>TRUNC(((1+VLOOKUP(A4032,IPCA!$A$2:$C$140,3,0)))^(C4032/(EDATE(D4032-C4032,1)-(D4032-C4032))),8)</f>
        <v/>
      </c>
      <c r="G4032" s="4">
        <f>TRUNC((E4032*F4032),8)</f>
        <v/>
      </c>
      <c r="H4032" s="4">
        <f>ROUND(((1+$H$4)^(30/360))^(C4032/(EDATE(D4032-B4032,1)-(D4032-B4032))),9)</f>
        <v/>
      </c>
      <c r="I4032" s="49">
        <f>TRUNC((G4032*H4032-G4032),8)</f>
        <v/>
      </c>
      <c r="J4032" s="4">
        <f>G4032+I4032</f>
        <v/>
      </c>
      <c r="K4032" s="256" t="n"/>
      <c r="L4032" s="256" t="n"/>
      <c r="M4032" s="256" t="n"/>
      <c r="N4032" s="256" t="n"/>
      <c r="O4032" s="256" t="n"/>
      <c r="P4032" s="256" t="n"/>
      <c r="Q4032" s="256" t="n"/>
    </row>
    <row r="4033">
      <c r="A4033">
        <f>IF(DAY(D4033)=DAY($L$1+1),A4032+1,A4032)</f>
        <v/>
      </c>
      <c r="B4033" s="1">
        <f>IF(DAY(D4033)=DAY($L$1+1),1,B4032+1)</f>
        <v/>
      </c>
      <c r="C4033" s="46">
        <f>IF(DAY(D4033)=DAY($L$1+1),1,C4032+1)</f>
        <v/>
      </c>
      <c r="D4033" s="2">
        <f>D4032+1</f>
        <v/>
      </c>
      <c r="E4033" s="8">
        <f>IF(DAY(D4033)=DAY($L$1+1),TRUNC((N4032),8),E4032)</f>
        <v/>
      </c>
      <c r="F4033" s="49">
        <f>TRUNC(((1+VLOOKUP(A4033,IPCA!$A$2:$C$140,3,0)))^(C4033/(EDATE(D4033-C4033,1)-(D4033-C4033))),8)</f>
        <v/>
      </c>
      <c r="G4033" s="4">
        <f>TRUNC((E4033*F4033),8)</f>
        <v/>
      </c>
      <c r="H4033" s="4">
        <f>ROUND(((1+$H$4)^(30/360))^(C4033/(EDATE(D4033-B4033,1)-(D4033-B4033))),9)</f>
        <v/>
      </c>
      <c r="I4033" s="49">
        <f>TRUNC((G4033*H4033-G4033),8)</f>
        <v/>
      </c>
      <c r="J4033" s="4">
        <f>G4033+I4033</f>
        <v/>
      </c>
      <c r="K4033" s="256" t="n"/>
      <c r="L4033" s="256" t="n"/>
      <c r="M4033" s="256" t="n"/>
      <c r="N4033" s="256" t="n"/>
      <c r="O4033" s="256" t="n"/>
      <c r="P4033" s="256" t="n"/>
      <c r="Q4033" s="256" t="n"/>
    </row>
    <row r="4034">
      <c r="A4034">
        <f>IF(DAY(D4034)=DAY($L$1+1),A4033+1,A4033)</f>
        <v/>
      </c>
      <c r="B4034" s="1">
        <f>IF(DAY(D4034)=DAY($L$1+1),1,B4033+1)</f>
        <v/>
      </c>
      <c r="C4034" s="46">
        <f>IF(DAY(D4034)=DAY($L$1+1),1,C4033+1)</f>
        <v/>
      </c>
      <c r="D4034" s="2">
        <f>D4033+1</f>
        <v/>
      </c>
      <c r="E4034" s="8">
        <f>IF(DAY(D4034)=DAY($L$1+1),TRUNC((N4033),8),E4033)</f>
        <v/>
      </c>
      <c r="F4034" s="49">
        <f>TRUNC(((1+VLOOKUP(A4034,IPCA!$A$2:$C$140,3,0)))^(C4034/(EDATE(D4034-C4034,1)-(D4034-C4034))),8)</f>
        <v/>
      </c>
      <c r="G4034" s="4">
        <f>TRUNC((E4034*F4034),8)</f>
        <v/>
      </c>
      <c r="H4034" s="4">
        <f>ROUND(((1+$H$4)^(30/360))^(C4034/(EDATE(D4034-B4034,1)-(D4034-B4034))),9)</f>
        <v/>
      </c>
      <c r="I4034" s="49">
        <f>TRUNC((G4034*H4034-G4034),8)</f>
        <v/>
      </c>
      <c r="J4034" s="4">
        <f>G4034+I4034</f>
        <v/>
      </c>
      <c r="K4034" s="256" t="n"/>
      <c r="L4034" s="256" t="n"/>
      <c r="M4034" s="256" t="n"/>
      <c r="N4034" s="256" t="n"/>
      <c r="O4034" s="256" t="n"/>
      <c r="P4034" s="256" t="n"/>
      <c r="Q4034" s="256" t="n"/>
    </row>
    <row r="4035">
      <c r="A4035">
        <f>IF(DAY(D4035)=DAY($L$1+1),A4034+1,A4034)</f>
        <v/>
      </c>
      <c r="B4035" s="1">
        <f>IF(DAY(D4035)=DAY($L$1+1),1,B4034+1)</f>
        <v/>
      </c>
      <c r="C4035" s="46">
        <f>IF(DAY(D4035)=DAY($L$1+1),1,C4034+1)</f>
        <v/>
      </c>
      <c r="D4035" s="2">
        <f>D4034+1</f>
        <v/>
      </c>
      <c r="E4035" s="8">
        <f>IF(DAY(D4035)=DAY($L$1+1),TRUNC((N4034),8),E4034)</f>
        <v/>
      </c>
      <c r="F4035" s="49">
        <f>TRUNC(((1+VLOOKUP(A4035,IPCA!$A$2:$C$140,3,0)))^(C4035/(EDATE(D4035-C4035,1)-(D4035-C4035))),8)</f>
        <v/>
      </c>
      <c r="G4035" s="4">
        <f>TRUNC((E4035*F4035),8)</f>
        <v/>
      </c>
      <c r="H4035" s="4">
        <f>ROUND(((1+$H$4)^(30/360))^(C4035/(EDATE(D4035-B4035,1)-(D4035-B4035))),9)</f>
        <v/>
      </c>
      <c r="I4035" s="49">
        <f>TRUNC((G4035*H4035-G4035),8)</f>
        <v/>
      </c>
      <c r="J4035" s="4">
        <f>G4035+I4035</f>
        <v/>
      </c>
      <c r="K4035" s="256" t="inlineStr">
        <is>
          <t>Cri Integralizado</t>
        </is>
      </c>
      <c r="L4035" s="270">
        <f>L4005</f>
        <v/>
      </c>
      <c r="M4035" s="256" t="n"/>
      <c r="N4035" s="256" t="n"/>
      <c r="O4035" s="256" t="n"/>
      <c r="P4035" s="256" t="n"/>
      <c r="Q4035" s="256" t="n"/>
    </row>
    <row r="4036">
      <c r="A4036">
        <f>IF(DAY(D4036)=DAY($L$1+1),A4035+1,A4035)</f>
        <v/>
      </c>
      <c r="B4036" s="1">
        <f>IF(DAY(D4036)=DAY($L$1+1),1,B4035+1)</f>
        <v/>
      </c>
      <c r="C4036" s="46">
        <f>IF(DAY(D4036)=DAY($L$1+1),1,C4035+1)</f>
        <v/>
      </c>
      <c r="D4036" s="2">
        <f>D4035+1</f>
        <v/>
      </c>
      <c r="E4036" s="8">
        <f>IF(DAY(D4036)=DAY($L$1+1),TRUNC((N4035),8),E4035)</f>
        <v/>
      </c>
      <c r="F4036" s="49">
        <f>TRUNC(((1+VLOOKUP(A4036,IPCA!$A$2:$C$140,3,0)))^(C4036/(EDATE(D4036-C4036,1)-(D4036-C4036))),8)</f>
        <v/>
      </c>
      <c r="G4036" s="4">
        <f>TRUNC((E4036*F4036),8)</f>
        <v/>
      </c>
      <c r="H4036" s="4">
        <f>ROUND(((1+$H$4)^(30/360))^(C4036/(EDATE(D4036-B4036,1)-(D4036-B4036))),9)</f>
        <v/>
      </c>
      <c r="I4036" s="49">
        <f>TRUNC((G4036*H4036-G4036),8)</f>
        <v/>
      </c>
      <c r="J4036" s="4">
        <f>G4036+I4036</f>
        <v/>
      </c>
      <c r="K4036" s="137" t="inlineStr">
        <is>
          <t>JUROS</t>
        </is>
      </c>
      <c r="L4036" s="118" t="inlineStr">
        <is>
          <t>AMORTIZAÇÃO</t>
        </is>
      </c>
      <c r="M4036" s="118" t="inlineStr">
        <is>
          <t>AMEX</t>
        </is>
      </c>
      <c r="N4036" s="118" t="inlineStr">
        <is>
          <t>RESIDUAL</t>
        </is>
      </c>
      <c r="O4036" s="256" t="n"/>
      <c r="P4036" s="256" t="n"/>
      <c r="Q4036" s="256" t="n"/>
    </row>
    <row r="4037">
      <c r="A4037">
        <f>IF(DAY(D4037)=DAY($L$1+1),A4036+1,A4036)</f>
        <v/>
      </c>
      <c r="B4037" s="111">
        <f>IF(DAY(D4037)=DAY($L$1+1),1,B4036+1)</f>
        <v/>
      </c>
      <c r="C4037" s="111">
        <f>IF(DAY(D4037)=DAY($L$1+1),1,C4036+1)</f>
        <v/>
      </c>
      <c r="D4037" s="112">
        <f>D4036+1</f>
        <v/>
      </c>
      <c r="E4037" s="113">
        <f>IF(DAY(D4037)=DAY($L$1+1),TRUNC((N4036),8),E4036)</f>
        <v/>
      </c>
      <c r="F4037" s="114">
        <f>TRUNC(((1+VLOOKUP(A4037,IPCA!$A$2:$C$140,3,0)))^(C4037/(EDATE(D4037-C4037,1)-(D4037-C4037))),8)</f>
        <v/>
      </c>
      <c r="G4037" s="114">
        <f>TRUNC((E4037*F4037),8)</f>
        <v/>
      </c>
      <c r="H4037" s="114">
        <f>ROUND(((1+$H$4)^(30/360))^(C4037/(EDATE(D4037-B4037,1)-(D4037-B4037))),9)</f>
        <v/>
      </c>
      <c r="I4037" s="114">
        <f>TRUNC((G4037*H4037-G4037),8)</f>
        <v/>
      </c>
      <c r="J4037" s="114">
        <f>G4037+I4037</f>
        <v/>
      </c>
      <c r="K4037" s="119">
        <f>I4037</f>
        <v/>
      </c>
      <c r="L4037" s="120">
        <f>TRUNC(G4037*VLOOKUP(D4037,'Amort TS'!$G$3:$H$140,2,0),8)</f>
        <v/>
      </c>
      <c r="M4037" s="120" t="n">
        <v>0</v>
      </c>
      <c r="N4037" s="120">
        <f>J4037-K4037-L4037-M4037</f>
        <v/>
      </c>
      <c r="O4037" s="256" t="n"/>
      <c r="P4037" s="256" t="n"/>
      <c r="Q4037" s="256" t="n"/>
    </row>
    <row r="4038">
      <c r="A4038">
        <f>IF(DAY(D4038)=DAY($L$1+1),A4037+1,A4037)</f>
        <v/>
      </c>
      <c r="B4038" s="1">
        <f>IF(DAY(D4038)=DAY($L$1+1),1,B4037+1)</f>
        <v/>
      </c>
      <c r="C4038" s="46">
        <f>IF(DAY(D4038)=DAY($L$1+1),1,C4037+1)</f>
        <v/>
      </c>
      <c r="D4038" s="2">
        <f>D4037+1</f>
        <v/>
      </c>
      <c r="E4038" s="8">
        <f>IF(DAY(D4038)=DAY($L$1+1),TRUNC((N4037),8),E4037)</f>
        <v/>
      </c>
      <c r="F4038" s="49">
        <f>TRUNC(((1+VLOOKUP(A4038,IPCA!$A$2:$C$140,3,0)))^(C4038/(EDATE(D4038-C4038,1)-(D4038-C4038))),8)</f>
        <v/>
      </c>
      <c r="G4038" s="49">
        <f>TRUNC((E4038*F4038),8)</f>
        <v/>
      </c>
      <c r="H4038" s="49">
        <f>ROUND(((1+$H$4)^(30/360))^(C4038/(EDATE(D4038-B4038,1)-(D4038-B4038))),9)</f>
        <v/>
      </c>
      <c r="I4038" s="49">
        <f>TRUNC((G4038*H4038-G4038),8)</f>
        <v/>
      </c>
      <c r="J4038" s="4">
        <f>G4038+I4038</f>
        <v/>
      </c>
      <c r="K4038" s="121">
        <f>K4037*L4035</f>
        <v/>
      </c>
      <c r="L4038" s="121">
        <f>L4037*L4035</f>
        <v/>
      </c>
      <c r="M4038" s="121">
        <f>M4037*L4035</f>
        <v/>
      </c>
      <c r="N4038" s="121">
        <f>N4037*L4035</f>
        <v/>
      </c>
      <c r="O4038" s="256" t="n"/>
      <c r="P4038" s="256" t="n"/>
      <c r="Q4038" s="256" t="n"/>
    </row>
    <row r="4039">
      <c r="A4039">
        <f>IF(DAY(D4039)=DAY($L$1+1),A4038+1,A4038)</f>
        <v/>
      </c>
      <c r="B4039" s="1">
        <f>IF(DAY(D4039)=DAY($L$1+1),1,B4038+1)</f>
        <v/>
      </c>
      <c r="C4039" s="46">
        <f>IF(DAY(D4039)=DAY($L$1+1),1,C4038+1)</f>
        <v/>
      </c>
      <c r="D4039" s="2">
        <f>D4038+1</f>
        <v/>
      </c>
      <c r="E4039" s="8">
        <f>IF(DAY(D4039)=DAY($L$1+1),TRUNC((N4038),8),E4038)</f>
        <v/>
      </c>
      <c r="F4039" s="49">
        <f>TRUNC(((1+VLOOKUP(A4039,IPCA!$A$2:$C$140,3,0)))^(C4039/(EDATE(D4039-C4039,1)-(D4039-C4039))),8)</f>
        <v/>
      </c>
      <c r="G4039" s="49">
        <f>TRUNC((E4039*F4039),8)</f>
        <v/>
      </c>
      <c r="H4039" s="49">
        <f>ROUND(((1+$H$4)^(30/360))^(C4039/(EDATE(D4039-B4039,1)-(D4039-B4039))),9)</f>
        <v/>
      </c>
      <c r="I4039" s="49">
        <f>TRUNC((G4039*H4039-G4039),8)</f>
        <v/>
      </c>
      <c r="J4039" s="4">
        <f>G4039+I4039</f>
        <v/>
      </c>
      <c r="K4039" s="256" t="n"/>
      <c r="L4039" s="256" t="n"/>
      <c r="M4039" s="256" t="n"/>
      <c r="N4039" s="256" t="n"/>
      <c r="O4039" s="256" t="n"/>
      <c r="P4039" s="256" t="n"/>
      <c r="Q4039" s="256" t="n"/>
    </row>
    <row r="4040">
      <c r="A4040">
        <f>IF(DAY(D4040)=DAY($L$1+1),A4039+1,A4039)</f>
        <v/>
      </c>
      <c r="B4040" s="1">
        <f>IF(DAY(D4040)=DAY($L$1+1),1,B4039+1)</f>
        <v/>
      </c>
      <c r="C4040" s="46">
        <f>IF(DAY(D4040)=DAY($L$1+1),1,C4039+1)</f>
        <v/>
      </c>
      <c r="D4040" s="2">
        <f>D4039+1</f>
        <v/>
      </c>
      <c r="E4040" s="8">
        <f>IF(DAY(D4040)=DAY($L$1+1),TRUNC((#REF!),8),E4039)</f>
        <v/>
      </c>
      <c r="F4040" s="49">
        <f>TRUNC(((1+VLOOKUP(A4040,IPCA!$A$2:$C$140,3,0)))^(C4040/(EDATE(D4040-C4040,1)-(D4040-C4040))),8)</f>
        <v/>
      </c>
      <c r="G4040" s="49">
        <f>TRUNC((E4040*F4040),8)</f>
        <v/>
      </c>
      <c r="H4040" s="49">
        <f>ROUND(((1+$H$4)^(30/360))^(C4040/(EDATE(D4040-B4040,1)-(D4040-B4040))),9)</f>
        <v/>
      </c>
      <c r="I4040" s="49">
        <f>TRUNC((G4040*H4040-G4040),8)</f>
        <v/>
      </c>
      <c r="J4040" s="4">
        <f>G4040+I4040</f>
        <v/>
      </c>
      <c r="K4040" s="256" t="n"/>
      <c r="L4040" s="256" t="n"/>
      <c r="M4040" s="256" t="n"/>
      <c r="N4040" s="256" t="n"/>
      <c r="O4040" s="256" t="n"/>
      <c r="P4040" s="256" t="n"/>
      <c r="Q4040" s="256" t="n"/>
    </row>
    <row r="4041">
      <c r="A4041">
        <f>IF(DAY(D4041)=DAY($L$1+1),A4040+1,A4040)</f>
        <v/>
      </c>
      <c r="B4041" s="1">
        <f>IF(DAY(D4041)=DAY($L$1+1),1,B4040+1)</f>
        <v/>
      </c>
      <c r="C4041" s="46">
        <f>IF(DAY(D4041)=DAY($L$1+1),1,C4040+1)</f>
        <v/>
      </c>
      <c r="D4041" s="2">
        <f>D4040+1</f>
        <v/>
      </c>
      <c r="E4041" s="8">
        <f>IF(DAY(D4041)=DAY($L$1+1),TRUNC((#REF!),8),E4040)</f>
        <v/>
      </c>
      <c r="F4041" s="49">
        <f>TRUNC(((1+VLOOKUP(A4041,IPCA!$A$2:$C$140,3,0)))^(C4041/(EDATE(D4041-C4041,1)-(D4041-C4041))),8)</f>
        <v/>
      </c>
      <c r="G4041" s="49">
        <f>TRUNC((E4041*F4041),8)</f>
        <v/>
      </c>
      <c r="H4041" s="49">
        <f>ROUND(((1+$H$4)^(30/360))^(C4041/(EDATE(D4041-B4041,1)-(D4041-B4041))),9)</f>
        <v/>
      </c>
      <c r="I4041" s="49">
        <f>TRUNC((G4041*H4041-G4041),8)</f>
        <v/>
      </c>
      <c r="J4041" s="4">
        <f>G4041+I4041</f>
        <v/>
      </c>
      <c r="K4041" s="256" t="n"/>
      <c r="L4041" s="256" t="n"/>
      <c r="M4041" s="256" t="n"/>
      <c r="N4041" s="256" t="n"/>
      <c r="O4041" s="256" t="n"/>
      <c r="P4041" s="256" t="n"/>
      <c r="Q4041" s="256" t="n"/>
    </row>
    <row r="4042">
      <c r="A4042">
        <f>IF(DAY(D4042)=DAY($L$1+1),A4041+1,A4041)</f>
        <v/>
      </c>
      <c r="B4042" s="1">
        <f>IF(DAY(D4042)=DAY($L$1+1),1,B4041+1)</f>
        <v/>
      </c>
      <c r="C4042" s="46">
        <f>IF(DAY(D4042)=DAY($L$1+1),1,C4041+1)</f>
        <v/>
      </c>
      <c r="D4042" s="2">
        <f>D4041+1</f>
        <v/>
      </c>
      <c r="E4042" s="8">
        <f>IF(DAY(D4042)=DAY($L$1+1),TRUNC((#REF!),8),E4041)</f>
        <v/>
      </c>
      <c r="F4042" s="49">
        <f>TRUNC(((1+VLOOKUP(A4042,IPCA!$A$2:$C$140,3,0)))^(C4042/(EDATE(D4042-C4042,1)-(D4042-C4042))),8)</f>
        <v/>
      </c>
      <c r="G4042" s="49">
        <f>TRUNC((E4042*F4042),8)</f>
        <v/>
      </c>
      <c r="H4042" s="49">
        <f>ROUND(((1+$H$4)^(30/360))^(C4042/(EDATE(D4042-B4042,1)-(D4042-B4042))),9)</f>
        <v/>
      </c>
      <c r="I4042" s="49">
        <f>TRUNC((G4042*H4042-G4042),8)</f>
        <v/>
      </c>
      <c r="J4042" s="4">
        <f>G4042+I4042</f>
        <v/>
      </c>
      <c r="K4042" s="256" t="n"/>
      <c r="L4042" s="256" t="n"/>
      <c r="M4042" s="256" t="n"/>
      <c r="N4042" s="256" t="n"/>
      <c r="O4042" s="256" t="n"/>
      <c r="P4042" s="256" t="n"/>
      <c r="Q4042" s="256" t="n"/>
    </row>
    <row r="4043">
      <c r="A4043">
        <f>IF(DAY(D4043)=DAY($L$1+1),A4042+1,A4042)</f>
        <v/>
      </c>
      <c r="B4043" s="1">
        <f>IF(DAY(D4043)=DAY($L$1+1),1,B4042+1)</f>
        <v/>
      </c>
      <c r="C4043" s="46">
        <f>IF(DAY(D4043)=DAY($L$1+1),1,C4042+1)</f>
        <v/>
      </c>
      <c r="D4043" s="2">
        <f>D4042+1</f>
        <v/>
      </c>
      <c r="E4043" s="8">
        <f>IF(DAY(D4043)=DAY($L$1+1),TRUNC((#REF!),8),E4042)</f>
        <v/>
      </c>
      <c r="F4043" s="49">
        <f>TRUNC(((1+VLOOKUP(A4043,IPCA!$A$2:$C$140,3,0)))^(C4043/(EDATE(D4043-C4043,1)-(D4043-C4043))),8)</f>
        <v/>
      </c>
      <c r="G4043" s="49">
        <f>TRUNC((E4043*F4043),8)</f>
        <v/>
      </c>
      <c r="H4043" s="49">
        <f>ROUND(((1+$H$4)^(30/360))^(C4043/(EDATE(D4043-B4043,1)-(D4043-B4043))),9)</f>
        <v/>
      </c>
      <c r="I4043" s="49">
        <f>TRUNC((G4043*H4043-G4043),8)</f>
        <v/>
      </c>
      <c r="J4043" s="4">
        <f>G4043+I4043</f>
        <v/>
      </c>
      <c r="K4043" s="256" t="n"/>
      <c r="L4043" s="256" t="n"/>
      <c r="M4043" s="256" t="n"/>
      <c r="N4043" s="256" t="n"/>
      <c r="O4043" s="256" t="n"/>
      <c r="P4043" s="256" t="n"/>
      <c r="Q4043" s="256" t="n"/>
    </row>
    <row r="4044">
      <c r="A4044">
        <f>IF(DAY(D4044)=DAY($L$1+1),A4043+1,A4043)</f>
        <v/>
      </c>
      <c r="B4044" s="1">
        <f>IF(DAY(D4044)=DAY($L$1+1),1,B4043+1)</f>
        <v/>
      </c>
      <c r="C4044" s="46">
        <f>IF(DAY(D4044)=DAY($L$1+1),1,C4043+1)</f>
        <v/>
      </c>
      <c r="D4044" s="2">
        <f>D4043+1</f>
        <v/>
      </c>
      <c r="E4044" s="8">
        <f>IF(DAY(D4044)=DAY($L$1+1),TRUNC((#REF!),8),E4043)</f>
        <v/>
      </c>
      <c r="F4044" s="49">
        <f>TRUNC(((1+VLOOKUP(A4044,IPCA!$A$2:$C$140,3,0)))^(C4044/(EDATE(D4044-C4044,1)-(D4044-C4044))),8)</f>
        <v/>
      </c>
      <c r="G4044" s="49">
        <f>TRUNC((E4044*F4044),8)</f>
        <v/>
      </c>
      <c r="H4044" s="49">
        <f>ROUND(((1+$H$4)^(30/360))^(C4044/(EDATE(D4044-B4044,1)-(D4044-B4044))),9)</f>
        <v/>
      </c>
      <c r="I4044" s="49">
        <f>TRUNC((G4044*H4044-G4044),8)</f>
        <v/>
      </c>
      <c r="J4044" s="4">
        <f>G4044+I4044</f>
        <v/>
      </c>
      <c r="K4044" s="256" t="n"/>
      <c r="L4044" s="256" t="n"/>
      <c r="M4044" s="256" t="n"/>
      <c r="N4044" s="256" t="n"/>
      <c r="O4044" s="256" t="n"/>
      <c r="P4044" s="256" t="n"/>
      <c r="Q4044" s="256" t="n"/>
    </row>
    <row r="4045">
      <c r="A4045">
        <f>IF(DAY(D4045)=DAY($L$1+1),A4044+1,A4044)</f>
        <v/>
      </c>
      <c r="B4045" s="1">
        <f>IF(DAY(D4045)=DAY($L$1+1),1,B4044+1)</f>
        <v/>
      </c>
      <c r="C4045" s="46">
        <f>IF(DAY(D4045)=DAY($L$1+1),1,C4044+1)</f>
        <v/>
      </c>
      <c r="D4045" s="2">
        <f>D4044+1</f>
        <v/>
      </c>
      <c r="E4045" s="8">
        <f>IF(DAY(D4045)=DAY($L$1+1),TRUNC((#REF!),8),E4044)</f>
        <v/>
      </c>
      <c r="F4045" s="49">
        <f>TRUNC(((1+VLOOKUP(A4045,IPCA!$A$2:$C$140,3,0)))^(C4045/(EDATE(D4045-C4045,1)-(D4045-C4045))),8)</f>
        <v/>
      </c>
      <c r="G4045" s="49">
        <f>TRUNC((E4045*F4045),8)</f>
        <v/>
      </c>
      <c r="H4045" s="49">
        <f>ROUND(((1+$H$4)^(30/360))^(C4045/(EDATE(D4045-B4045,1)-(D4045-B4045))),9)</f>
        <v/>
      </c>
      <c r="I4045" s="49">
        <f>TRUNC((G4045*H4045-G4045),8)</f>
        <v/>
      </c>
      <c r="J4045" s="4">
        <f>G4045+I4045</f>
        <v/>
      </c>
      <c r="K4045" s="256" t="n"/>
      <c r="L4045" s="256" t="n"/>
      <c r="M4045" s="256" t="n"/>
      <c r="N4045" s="256" t="n"/>
      <c r="O4045" s="256" t="n"/>
      <c r="P4045" s="256" t="n"/>
      <c r="Q4045" s="256" t="n"/>
    </row>
    <row r="4046">
      <c r="A4046">
        <f>IF(DAY(D4046)=DAY($L$1+1),A4045+1,A4045)</f>
        <v/>
      </c>
      <c r="B4046" s="1">
        <f>IF(DAY(D4046)=DAY($L$1+1),1,B4045+1)</f>
        <v/>
      </c>
      <c r="C4046" s="46">
        <f>IF(DAY(D4046)=DAY($L$1+1),1,C4045+1)</f>
        <v/>
      </c>
      <c r="D4046" s="2">
        <f>D4045+1</f>
        <v/>
      </c>
      <c r="E4046" s="8">
        <f>IF(DAY(D4046)=DAY($L$1+1),TRUNC((#REF!),8),E4045)</f>
        <v/>
      </c>
      <c r="F4046" s="49">
        <f>TRUNC(((1+VLOOKUP(A4046,IPCA!$A$2:$C$140,3,0)))^(C4046/(EDATE(D4046-C4046,1)-(D4046-C4046))),8)</f>
        <v/>
      </c>
      <c r="G4046" s="49">
        <f>TRUNC((E4046*F4046),8)</f>
        <v/>
      </c>
      <c r="H4046" s="49">
        <f>ROUND(((1+$H$4)^(30/360))^(C4046/(EDATE(D4046-B4046,1)-(D4046-B4046))),9)</f>
        <v/>
      </c>
      <c r="I4046" s="49">
        <f>TRUNC((G4046*H4046-G4046),8)</f>
        <v/>
      </c>
      <c r="J4046" s="4">
        <f>G4046+I4046</f>
        <v/>
      </c>
      <c r="K4046" s="256" t="n"/>
      <c r="L4046" s="256" t="n"/>
      <c r="M4046" s="256" t="n"/>
      <c r="N4046" s="256" t="n"/>
      <c r="O4046" s="256" t="n"/>
      <c r="P4046" s="256" t="n"/>
      <c r="Q4046" s="256" t="n"/>
    </row>
    <row r="4047">
      <c r="A4047">
        <f>IF(DAY(D4047)=DAY($L$1+1),A4046+1,A4046)</f>
        <v/>
      </c>
      <c r="B4047" s="1">
        <f>IF(DAY(D4047)=DAY($L$1+1),1,B4046+1)</f>
        <v/>
      </c>
      <c r="C4047" s="46">
        <f>IF(DAY(D4047)=DAY($L$1+1),1,C4046+1)</f>
        <v/>
      </c>
      <c r="D4047" s="2">
        <f>D4046+1</f>
        <v/>
      </c>
      <c r="E4047" s="8">
        <f>IF(DAY(D4047)=DAY($L$1+1),TRUNC((#REF!),8),E4046)</f>
        <v/>
      </c>
      <c r="F4047" s="49">
        <f>TRUNC(((1+VLOOKUP(A4047,IPCA!$A$2:$C$140,3,0)))^(C4047/(EDATE(D4047-C4047,1)-(D4047-C4047))),8)</f>
        <v/>
      </c>
      <c r="G4047" s="49">
        <f>TRUNC((E4047*F4047),8)</f>
        <v/>
      </c>
      <c r="H4047" s="49">
        <f>ROUND(((1+$H$4)^(30/360))^(C4047/(EDATE(D4047-B4047,1)-(D4047-B4047))),9)</f>
        <v/>
      </c>
      <c r="I4047" s="49">
        <f>TRUNC((G4047*H4047-G4047),8)</f>
        <v/>
      </c>
      <c r="J4047" s="4">
        <f>G4047+I4047</f>
        <v/>
      </c>
      <c r="K4047" s="256" t="n"/>
      <c r="L4047" s="256" t="n"/>
      <c r="M4047" s="256" t="n"/>
      <c r="N4047" s="256" t="n"/>
      <c r="O4047" s="256" t="n"/>
      <c r="P4047" s="256" t="n"/>
      <c r="Q4047" s="256" t="n"/>
    </row>
    <row r="4048">
      <c r="A4048">
        <f>IF(DAY(D4048)=DAY($L$1+1),A4047+1,A4047)</f>
        <v/>
      </c>
      <c r="B4048" s="1">
        <f>IF(DAY(D4048)=DAY($L$1+1),1,B4047+1)</f>
        <v/>
      </c>
      <c r="C4048" s="46">
        <f>IF(DAY(D4048)=DAY($L$1+1),1,C4047+1)</f>
        <v/>
      </c>
      <c r="D4048" s="2">
        <f>D4047+1</f>
        <v/>
      </c>
      <c r="E4048" s="8">
        <f>IF(DAY(D4048)=DAY($L$1+1),TRUNC((#REF!),8),E4047)</f>
        <v/>
      </c>
      <c r="F4048" s="49">
        <f>TRUNC(((1+VLOOKUP(A4048,IPCA!$A$2:$C$140,3,0)))^(C4048/(EDATE(D4048-C4048,1)-(D4048-C4048))),8)</f>
        <v/>
      </c>
      <c r="G4048" s="49">
        <f>TRUNC((E4048*F4048),8)</f>
        <v/>
      </c>
      <c r="H4048" s="49">
        <f>ROUND(((1+$H$4)^(30/360))^(C4048/(EDATE(D4048-B4048,1)-(D4048-B4048))),9)</f>
        <v/>
      </c>
      <c r="I4048" s="49">
        <f>TRUNC((G4048*H4048-G4048),8)</f>
        <v/>
      </c>
      <c r="J4048" s="4">
        <f>G4048+I4048</f>
        <v/>
      </c>
      <c r="K4048" s="256" t="n"/>
      <c r="L4048" s="256" t="n"/>
      <c r="M4048" s="256" t="n"/>
      <c r="N4048" s="256" t="n"/>
      <c r="O4048" s="256" t="n"/>
      <c r="P4048" s="256" t="n"/>
      <c r="Q4048" s="256" t="n"/>
    </row>
    <row r="4049">
      <c r="A4049">
        <f>IF(DAY(D4049)=DAY($L$1+1),A4048+1,A4048)</f>
        <v/>
      </c>
      <c r="B4049" s="1">
        <f>IF(DAY(D4049)=DAY($L$1+1),1,B4048+1)</f>
        <v/>
      </c>
      <c r="C4049" s="46">
        <f>IF(DAY(D4049)=DAY($L$1+1),1,C4048+1)</f>
        <v/>
      </c>
      <c r="D4049" s="2">
        <f>D4048+1</f>
        <v/>
      </c>
      <c r="E4049" s="8">
        <f>IF(DAY(D4049)=DAY($L$1+1),TRUNC((N4048),8),E4048)</f>
        <v/>
      </c>
      <c r="F4049" s="49">
        <f>TRUNC(((1+VLOOKUP(A4049,IPCA!$A$2:$C$140,3,0)))^(C4049/(EDATE(D4049-C4049,1)-(D4049-C4049))),8)</f>
        <v/>
      </c>
      <c r="G4049" s="49">
        <f>TRUNC((E4049*F4049),8)</f>
        <v/>
      </c>
      <c r="H4049" s="49">
        <f>ROUND(((1+$H$4)^(30/360))^(C4049/(EDATE(D4049-B4049,1)-(D4049-B4049))),9)</f>
        <v/>
      </c>
      <c r="I4049" s="49">
        <f>TRUNC((G4049*H4049-G4049),8)</f>
        <v/>
      </c>
      <c r="J4049" s="4">
        <f>G4049+I4049</f>
        <v/>
      </c>
      <c r="K4049" s="256" t="n"/>
      <c r="L4049" s="256" t="n"/>
      <c r="M4049" s="256" t="n"/>
      <c r="N4049" s="256" t="n"/>
      <c r="O4049" s="256" t="n"/>
      <c r="P4049" s="256" t="n"/>
      <c r="Q4049" s="256" t="n"/>
    </row>
    <row r="4050">
      <c r="A4050">
        <f>IF(DAY(D4050)=DAY($L$1+1),A4049+1,A4049)</f>
        <v/>
      </c>
      <c r="B4050" s="1">
        <f>IF(DAY(D4050)=DAY($L$1+1),1,B4049+1)</f>
        <v/>
      </c>
      <c r="C4050" s="46">
        <f>IF(DAY(D4050)=DAY($L$1+1),1,C4049+1)</f>
        <v/>
      </c>
      <c r="D4050" s="2">
        <f>D4049+1</f>
        <v/>
      </c>
      <c r="E4050" s="8">
        <f>IF(DAY(D4050)=DAY($L$1+1),TRUNC((N4049),8),E4049)</f>
        <v/>
      </c>
      <c r="F4050" s="49">
        <f>TRUNC(((1+VLOOKUP(A4050,IPCA!$A$2:$C$140,3,0)))^(C4050/(EDATE(D4050-C4050,1)-(D4050-C4050))),8)</f>
        <v/>
      </c>
      <c r="G4050" s="49">
        <f>TRUNC((E4050*F4050),8)</f>
        <v/>
      </c>
      <c r="H4050" s="49">
        <f>ROUND(((1+$H$4)^(30/360))^(C4050/(EDATE(D4050-B4050,1)-(D4050-B4050))),9)</f>
        <v/>
      </c>
      <c r="I4050" s="49">
        <f>TRUNC((G4050*H4050-G4050),8)</f>
        <v/>
      </c>
      <c r="J4050" s="4">
        <f>G4050+I4050</f>
        <v/>
      </c>
      <c r="K4050" s="256" t="n"/>
      <c r="L4050" s="256" t="n"/>
      <c r="M4050" s="256" t="n"/>
      <c r="N4050" s="256" t="n"/>
      <c r="O4050" s="256" t="n"/>
      <c r="P4050" s="256" t="n"/>
      <c r="Q4050" s="256" t="n"/>
    </row>
    <row r="4051">
      <c r="A4051">
        <f>IF(DAY(D4051)=DAY($L$1+1),A4050+1,A4050)</f>
        <v/>
      </c>
      <c r="B4051" s="1">
        <f>IF(DAY(D4051)=DAY($L$1+1),1,B4050+1)</f>
        <v/>
      </c>
      <c r="C4051" s="46">
        <f>IF(DAY(D4051)=DAY($L$1+1),1,C4050+1)</f>
        <v/>
      </c>
      <c r="D4051" s="2">
        <f>D4050+1</f>
        <v/>
      </c>
      <c r="E4051" s="8">
        <f>IF(DAY(D4051)=DAY($L$1+1),TRUNC((N4050),8),E4050)</f>
        <v/>
      </c>
      <c r="F4051" s="49">
        <f>TRUNC(((1+VLOOKUP(A4051,IPCA!$A$2:$C$140,3,0)))^(C4051/(EDATE(D4051-C4051,1)-(D4051-C4051))),8)</f>
        <v/>
      </c>
      <c r="G4051" s="49">
        <f>TRUNC((E4051*F4051),8)</f>
        <v/>
      </c>
      <c r="H4051" s="49">
        <f>ROUND(((1+$H$4)^(30/360))^(C4051/(EDATE(D4051-B4051,1)-(D4051-B4051))),9)</f>
        <v/>
      </c>
      <c r="I4051" s="49">
        <f>TRUNC((G4051*H4051-G4051),8)</f>
        <v/>
      </c>
      <c r="J4051" s="4">
        <f>G4051+I4051</f>
        <v/>
      </c>
      <c r="K4051" s="256" t="n"/>
      <c r="L4051" s="256" t="n"/>
      <c r="M4051" s="256" t="n"/>
      <c r="N4051" s="256" t="n"/>
      <c r="O4051" s="256" t="n"/>
      <c r="P4051" s="256" t="n"/>
      <c r="Q4051" s="256" t="n"/>
    </row>
    <row r="4052">
      <c r="A4052">
        <f>IF(DAY(D4052)=DAY($L$1+1),A4051+1,A4051)</f>
        <v/>
      </c>
      <c r="B4052" s="1">
        <f>IF(DAY(D4052)=DAY($L$1+1),1,B4051+1)</f>
        <v/>
      </c>
      <c r="C4052" s="46">
        <f>IF(DAY(D4052)=DAY($L$1+1),1,C4051+1)</f>
        <v/>
      </c>
      <c r="D4052" s="2">
        <f>D4051+1</f>
        <v/>
      </c>
      <c r="E4052" s="8">
        <f>IF(DAY(D4052)=DAY($L$1+1),TRUNC((N4051),8),E4051)</f>
        <v/>
      </c>
      <c r="F4052" s="49">
        <f>TRUNC(((1+VLOOKUP(A4052,IPCA!$A$2:$C$140,3,0)))^(C4052/(EDATE(D4052-C4052,1)-(D4052-C4052))),8)</f>
        <v/>
      </c>
      <c r="G4052" s="49">
        <f>TRUNC((E4052*F4052),8)</f>
        <v/>
      </c>
      <c r="H4052" s="49">
        <f>ROUND(((1+$H$4)^(30/360))^(C4052/(EDATE(D4052-B4052,1)-(D4052-B4052))),9)</f>
        <v/>
      </c>
      <c r="I4052" s="49">
        <f>TRUNC((G4052*H4052-G4052),8)</f>
        <v/>
      </c>
      <c r="J4052" s="4">
        <f>G4052+I4052</f>
        <v/>
      </c>
      <c r="K4052" s="256" t="n"/>
      <c r="L4052" s="256" t="n"/>
      <c r="M4052" s="256" t="n"/>
      <c r="N4052" s="256" t="n"/>
      <c r="O4052" s="256" t="n"/>
      <c r="P4052" s="256" t="n"/>
      <c r="Q4052" s="256" t="n"/>
    </row>
    <row r="4053">
      <c r="A4053">
        <f>IF(DAY(D4053)=DAY($L$1+1),A4052+1,A4052)</f>
        <v/>
      </c>
      <c r="B4053" s="1">
        <f>IF(DAY(D4053)=DAY($L$1+1),1,B4052+1)</f>
        <v/>
      </c>
      <c r="C4053" s="46">
        <f>IF(DAY(D4053)=DAY($L$1+1),1,C4052+1)</f>
        <v/>
      </c>
      <c r="D4053" s="2">
        <f>D4052+1</f>
        <v/>
      </c>
      <c r="E4053" s="8">
        <f>IF(DAY(D4053)=DAY($L$1+1),TRUNC((N4052),8),E4052)</f>
        <v/>
      </c>
      <c r="F4053" s="49">
        <f>TRUNC(((1+VLOOKUP(A4053,IPCA!$A$2:$C$140,3,0)))^(C4053/(EDATE(D4053-C4053,1)-(D4053-C4053))),8)</f>
        <v/>
      </c>
      <c r="G4053" s="49">
        <f>TRUNC((E4053*F4053),8)</f>
        <v/>
      </c>
      <c r="H4053" s="49">
        <f>ROUND(((1+$H$4)^(30/360))^(C4053/(EDATE(D4053-B4053,1)-(D4053-B4053))),9)</f>
        <v/>
      </c>
      <c r="I4053" s="49">
        <f>TRUNC((G4053*H4053-G4053),8)</f>
        <v/>
      </c>
      <c r="J4053" s="4">
        <f>G4053+I4053</f>
        <v/>
      </c>
      <c r="K4053" s="256" t="n"/>
      <c r="L4053" s="256" t="n"/>
      <c r="M4053" s="256" t="n"/>
      <c r="N4053" s="256" t="n"/>
      <c r="O4053" s="256" t="n"/>
      <c r="P4053" s="256" t="n"/>
      <c r="Q4053" s="256" t="n"/>
    </row>
    <row r="4054">
      <c r="A4054">
        <f>IF(DAY(D4054)=DAY($L$1+1),A4053+1,A4053)</f>
        <v/>
      </c>
      <c r="B4054" s="1">
        <f>IF(DAY(D4054)=DAY($L$1+1),1,B4053+1)</f>
        <v/>
      </c>
      <c r="C4054" s="46">
        <f>IF(DAY(D4054)=DAY($L$1+1),1,C4053+1)</f>
        <v/>
      </c>
      <c r="D4054" s="2">
        <f>D4053+1</f>
        <v/>
      </c>
      <c r="E4054" s="8">
        <f>IF(DAY(D4054)=DAY($L$1+1),TRUNC((N4053),8),E4053)</f>
        <v/>
      </c>
      <c r="F4054" s="49">
        <f>TRUNC(((1+VLOOKUP(A4054,IPCA!$A$2:$C$140,3,0)))^(C4054/(EDATE(D4054-C4054,1)-(D4054-C4054))),8)</f>
        <v/>
      </c>
      <c r="G4054" s="49">
        <f>TRUNC((E4054*F4054),8)</f>
        <v/>
      </c>
      <c r="H4054" s="49">
        <f>ROUND(((1+$H$4)^(30/360))^(C4054/(EDATE(D4054-B4054,1)-(D4054-B4054))),9)</f>
        <v/>
      </c>
      <c r="I4054" s="49">
        <f>TRUNC((G4054*H4054-G4054),8)</f>
        <v/>
      </c>
      <c r="J4054" s="4">
        <f>G4054+I4054</f>
        <v/>
      </c>
      <c r="K4054" s="256" t="n"/>
      <c r="L4054" s="256" t="n"/>
      <c r="M4054" s="256" t="n"/>
      <c r="N4054" s="256" t="n"/>
      <c r="O4054" s="256" t="n"/>
      <c r="P4054" s="256" t="n"/>
      <c r="Q4054" s="256" t="n"/>
    </row>
    <row r="4055">
      <c r="A4055">
        <f>IF(DAY(D4055)=DAY($L$1+1),A4054+1,A4054)</f>
        <v/>
      </c>
      <c r="B4055" s="1">
        <f>IF(DAY(D4055)=DAY($L$1+1),1,B4054+1)</f>
        <v/>
      </c>
      <c r="C4055" s="46">
        <f>IF(DAY(D4055)=DAY($L$1+1),1,C4054+1)</f>
        <v/>
      </c>
      <c r="D4055" s="2">
        <f>D4054+1</f>
        <v/>
      </c>
      <c r="E4055" s="8">
        <f>IF(DAY(D4055)=DAY($L$1+1),TRUNC((N4054),8),E4054)</f>
        <v/>
      </c>
      <c r="F4055" s="49">
        <f>TRUNC(((1+VLOOKUP(A4055,IPCA!$A$2:$C$140,3,0)))^(C4055/(EDATE(D4055-C4055,1)-(D4055-C4055))),8)</f>
        <v/>
      </c>
      <c r="G4055" s="49">
        <f>TRUNC((E4055*F4055),8)</f>
        <v/>
      </c>
      <c r="H4055" s="49">
        <f>ROUND(((1+$H$4)^(30/360))^(C4055/(EDATE(D4055-B4055,1)-(D4055-B4055))),9)</f>
        <v/>
      </c>
      <c r="I4055" s="49">
        <f>TRUNC((G4055*H4055-G4055),8)</f>
        <v/>
      </c>
      <c r="J4055" s="4">
        <f>G4055+I4055</f>
        <v/>
      </c>
      <c r="K4055" s="256" t="n"/>
      <c r="L4055" s="256" t="n"/>
      <c r="M4055" s="256" t="n"/>
      <c r="N4055" s="256" t="n"/>
      <c r="O4055" s="256" t="n"/>
      <c r="P4055" s="256" t="n"/>
      <c r="Q4055" s="256" t="n"/>
    </row>
    <row r="4056">
      <c r="A4056">
        <f>IF(DAY(D4056)=DAY($L$1+1),A4055+1,A4055)</f>
        <v/>
      </c>
      <c r="B4056" s="1">
        <f>IF(DAY(D4056)=DAY($L$1+1),1,B4055+1)</f>
        <v/>
      </c>
      <c r="C4056" s="46">
        <f>IF(DAY(D4056)=DAY($L$1+1),1,C4055+1)</f>
        <v/>
      </c>
      <c r="D4056" s="2">
        <f>D4055+1</f>
        <v/>
      </c>
      <c r="E4056" s="8">
        <f>IF(DAY(D4056)=DAY($L$1+1),TRUNC((N4055),8),E4055)</f>
        <v/>
      </c>
      <c r="F4056" s="49">
        <f>TRUNC(((1+VLOOKUP(A4056,IPCA!$A$2:$C$140,3,0)))^(C4056/(EDATE(D4056-C4056,1)-(D4056-C4056))),8)</f>
        <v/>
      </c>
      <c r="G4056" s="49">
        <f>TRUNC((E4056*F4056),8)</f>
        <v/>
      </c>
      <c r="H4056" s="49">
        <f>ROUND(((1+$H$4)^(30/360))^(C4056/(EDATE(D4056-B4056,1)-(D4056-B4056))),9)</f>
        <v/>
      </c>
      <c r="I4056" s="49">
        <f>TRUNC((G4056*H4056-G4056),8)</f>
        <v/>
      </c>
      <c r="J4056" s="4">
        <f>G4056+I4056</f>
        <v/>
      </c>
      <c r="K4056" s="256" t="n"/>
      <c r="L4056" s="256" t="n"/>
      <c r="M4056" s="256" t="n"/>
      <c r="N4056" s="256" t="n"/>
      <c r="O4056" s="256" t="n"/>
      <c r="P4056" s="256" t="n"/>
      <c r="Q4056" s="256" t="n"/>
    </row>
    <row r="4057">
      <c r="A4057">
        <f>IF(DAY(D4057)=DAY($L$1+1),A4056+1,A4056)</f>
        <v/>
      </c>
      <c r="B4057" s="1">
        <f>IF(DAY(D4057)=DAY($L$1+1),1,B4056+1)</f>
        <v/>
      </c>
      <c r="C4057" s="46">
        <f>IF(DAY(D4057)=DAY($L$1+1),1,C4056+1)</f>
        <v/>
      </c>
      <c r="D4057" s="2">
        <f>D4056+1</f>
        <v/>
      </c>
      <c r="E4057" s="8">
        <f>IF(DAY(D4057)=DAY($L$1+1),TRUNC((N4056),8),E4056)</f>
        <v/>
      </c>
      <c r="F4057" s="49">
        <f>TRUNC(((1+VLOOKUP(A4057,IPCA!$A$2:$C$140,3,0)))^(C4057/(EDATE(D4057-C4057,1)-(D4057-C4057))),8)</f>
        <v/>
      </c>
      <c r="G4057" s="49">
        <f>TRUNC((E4057*F4057),8)</f>
        <v/>
      </c>
      <c r="H4057" s="49">
        <f>ROUND(((1+$H$4)^(30/360))^(C4057/(EDATE(D4057-B4057,1)-(D4057-B4057))),9)</f>
        <v/>
      </c>
      <c r="I4057" s="49">
        <f>TRUNC((G4057*H4057-G4057),8)</f>
        <v/>
      </c>
      <c r="J4057" s="4">
        <f>G4057+I4057</f>
        <v/>
      </c>
      <c r="K4057" s="256" t="n"/>
      <c r="L4057" s="256" t="n"/>
      <c r="M4057" s="256" t="n"/>
      <c r="N4057" s="256" t="n"/>
      <c r="O4057" s="256" t="n"/>
      <c r="P4057" s="256" t="n"/>
      <c r="Q4057" s="256" t="n"/>
    </row>
    <row r="4058">
      <c r="A4058">
        <f>IF(DAY(D4058)=DAY($L$1+1),A4057+1,A4057)</f>
        <v/>
      </c>
      <c r="B4058" s="1">
        <f>IF(DAY(D4058)=DAY($L$1+1),1,B4057+1)</f>
        <v/>
      </c>
      <c r="C4058" s="46">
        <f>IF(DAY(D4058)=DAY($L$1+1),1,C4057+1)</f>
        <v/>
      </c>
      <c r="D4058" s="2">
        <f>D4057+1</f>
        <v/>
      </c>
      <c r="E4058" s="8">
        <f>IF(DAY(D4058)=DAY($L$1+1),TRUNC((N4057),8),E4057)</f>
        <v/>
      </c>
      <c r="F4058" s="49">
        <f>TRUNC(((1+VLOOKUP(A4058,IPCA!$A$2:$C$140,3,0)))^(C4058/(EDATE(D4058-C4058,1)-(D4058-C4058))),8)</f>
        <v/>
      </c>
      <c r="G4058" s="49">
        <f>TRUNC((E4058*F4058),8)</f>
        <v/>
      </c>
      <c r="H4058" s="49">
        <f>ROUND(((1+$H$4)^(30/360))^(C4058/(EDATE(D4058-B4058,1)-(D4058-B4058))),9)</f>
        <v/>
      </c>
      <c r="I4058" s="49">
        <f>TRUNC((G4058*H4058-G4058),8)</f>
        <v/>
      </c>
      <c r="J4058" s="4">
        <f>G4058+I4058</f>
        <v/>
      </c>
      <c r="K4058" s="256" t="n"/>
      <c r="L4058" s="256" t="n"/>
      <c r="M4058" s="256" t="n"/>
      <c r="N4058" s="256" t="n"/>
      <c r="O4058" s="256" t="n"/>
      <c r="P4058" s="256" t="n"/>
      <c r="Q4058" s="256" t="n"/>
    </row>
    <row r="4059">
      <c r="A4059">
        <f>IF(DAY(D4059)=DAY($L$1+1),A4058+1,A4058)</f>
        <v/>
      </c>
      <c r="B4059" s="1">
        <f>IF(DAY(D4059)=DAY($L$1+1),1,B4058+1)</f>
        <v/>
      </c>
      <c r="C4059" s="46">
        <f>IF(DAY(D4059)=DAY($L$1+1),1,C4058+1)</f>
        <v/>
      </c>
      <c r="D4059" s="2">
        <f>D4058+1</f>
        <v/>
      </c>
      <c r="E4059" s="8">
        <f>IF(DAY(D4059)=DAY($L$1+1),TRUNC((N4058),8),E4058)</f>
        <v/>
      </c>
      <c r="F4059" s="49">
        <f>TRUNC(((1+VLOOKUP(A4059,IPCA!$A$2:$C$140,3,0)))^(C4059/(EDATE(D4059-C4059,1)-(D4059-C4059))),8)</f>
        <v/>
      </c>
      <c r="G4059" s="49">
        <f>TRUNC((E4059*F4059),8)</f>
        <v/>
      </c>
      <c r="H4059" s="49">
        <f>ROUND(((1+$H$4)^(30/360))^(C4059/(EDATE(D4059-B4059,1)-(D4059-B4059))),9)</f>
        <v/>
      </c>
      <c r="I4059" s="49">
        <f>TRUNC((G4059*H4059-G4059),8)</f>
        <v/>
      </c>
      <c r="J4059" s="4">
        <f>G4059+I4059</f>
        <v/>
      </c>
      <c r="K4059" s="256" t="n"/>
      <c r="L4059" s="256" t="n"/>
      <c r="M4059" s="256" t="n"/>
      <c r="N4059" s="256" t="n"/>
      <c r="O4059" s="256" t="n"/>
      <c r="P4059" s="256" t="n"/>
      <c r="Q4059" s="256" t="n"/>
    </row>
    <row r="4060">
      <c r="A4060">
        <f>IF(DAY(D4060)=DAY($L$1+1),A4059+1,A4059)</f>
        <v/>
      </c>
      <c r="B4060" s="1">
        <f>IF(DAY(D4060)=DAY($L$1+1),1,B4059+1)</f>
        <v/>
      </c>
      <c r="C4060" s="46">
        <f>IF(DAY(D4060)=DAY($L$1+1),1,C4059+1)</f>
        <v/>
      </c>
      <c r="D4060" s="2">
        <f>D4059+1</f>
        <v/>
      </c>
      <c r="E4060" s="8">
        <f>IF(DAY(D4060)=DAY($L$1+1),TRUNC((N4059),8),E4059)</f>
        <v/>
      </c>
      <c r="F4060" s="49">
        <f>TRUNC(((1+VLOOKUP(A4060,IPCA!$A$2:$C$140,3,0)))^(C4060/(EDATE(D4060-C4060,1)-(D4060-C4060))),8)</f>
        <v/>
      </c>
      <c r="G4060" s="49">
        <f>TRUNC((E4060*F4060),8)</f>
        <v/>
      </c>
      <c r="H4060" s="49">
        <f>ROUND(((1+$H$4)^(30/360))^(C4060/(EDATE(D4060-B4060,1)-(D4060-B4060))),9)</f>
        <v/>
      </c>
      <c r="I4060" s="49">
        <f>TRUNC((G4060*H4060-G4060),8)</f>
        <v/>
      </c>
      <c r="J4060" s="4">
        <f>G4060+I4060</f>
        <v/>
      </c>
      <c r="K4060" s="256" t="n"/>
      <c r="L4060" s="256" t="n"/>
      <c r="M4060" s="256" t="n"/>
      <c r="N4060" s="256" t="n"/>
      <c r="O4060" s="256" t="n"/>
      <c r="P4060" s="256" t="n"/>
      <c r="Q4060" s="256" t="n"/>
    </row>
    <row r="4061">
      <c r="A4061">
        <f>IF(DAY(D4061)=DAY($L$1+1),A4060+1,A4060)</f>
        <v/>
      </c>
      <c r="B4061" s="1">
        <f>IF(DAY(D4061)=DAY($L$1+1),1,B4060+1)</f>
        <v/>
      </c>
      <c r="C4061" s="46">
        <f>IF(DAY(D4061)=DAY($L$1+1),1,C4060+1)</f>
        <v/>
      </c>
      <c r="D4061" s="2">
        <f>D4060+1</f>
        <v/>
      </c>
      <c r="E4061" s="8">
        <f>IF(DAY(D4061)=DAY($L$1+1),TRUNC((N4060),8),E4060)</f>
        <v/>
      </c>
      <c r="F4061" s="49">
        <f>TRUNC(((1+VLOOKUP(A4061,IPCA!$A$2:$C$140,3,0)))^(C4061/(EDATE(D4061-C4061,1)-(D4061-C4061))),8)</f>
        <v/>
      </c>
      <c r="G4061" s="49">
        <f>TRUNC((E4061*F4061),8)</f>
        <v/>
      </c>
      <c r="H4061" s="49">
        <f>ROUND(((1+$H$4)^(30/360))^(C4061/(EDATE(D4061-B4061,1)-(D4061-B4061))),9)</f>
        <v/>
      </c>
      <c r="I4061" s="49">
        <f>TRUNC((G4061*H4061-G4061),8)</f>
        <v/>
      </c>
      <c r="J4061" s="4">
        <f>G4061+I4061</f>
        <v/>
      </c>
      <c r="K4061" s="256" t="n"/>
      <c r="L4061" s="256" t="n"/>
      <c r="M4061" s="256" t="n"/>
      <c r="N4061" s="256" t="n"/>
      <c r="O4061" s="256" t="n"/>
      <c r="P4061" s="256" t="n"/>
      <c r="Q4061" s="256" t="n"/>
    </row>
    <row r="4062">
      <c r="A4062">
        <f>IF(DAY(D4062)=DAY($L$1+1),A4061+1,A4061)</f>
        <v/>
      </c>
      <c r="B4062" s="1">
        <f>IF(DAY(D4062)=DAY($L$1+1),1,B4061+1)</f>
        <v/>
      </c>
      <c r="C4062" s="46">
        <f>IF(DAY(D4062)=DAY($L$1+1),1,C4061+1)</f>
        <v/>
      </c>
      <c r="D4062" s="2">
        <f>D4061+1</f>
        <v/>
      </c>
      <c r="E4062" s="8">
        <f>IF(DAY(D4062)=DAY($L$1+1),TRUNC((N4061),8),E4061)</f>
        <v/>
      </c>
      <c r="F4062" s="49">
        <f>TRUNC(((1+VLOOKUP(A4062,IPCA!$A$2:$C$140,3,0)))^(C4062/(EDATE(D4062-C4062,1)-(D4062-C4062))),8)</f>
        <v/>
      </c>
      <c r="G4062" s="49">
        <f>TRUNC((E4062*F4062),8)</f>
        <v/>
      </c>
      <c r="H4062" s="49">
        <f>ROUND(((1+$H$4)^(30/360))^(C4062/(EDATE(D4062-B4062,1)-(D4062-B4062))),9)</f>
        <v/>
      </c>
      <c r="I4062" s="49">
        <f>TRUNC((G4062*H4062-G4062),8)</f>
        <v/>
      </c>
      <c r="J4062" s="4">
        <f>G4062+I4062</f>
        <v/>
      </c>
      <c r="K4062" s="256" t="n"/>
      <c r="L4062" s="256" t="n"/>
      <c r="M4062" s="256" t="n"/>
      <c r="N4062" s="256" t="n"/>
      <c r="O4062" s="256" t="n"/>
      <c r="P4062" s="256" t="n"/>
      <c r="Q4062" s="256" t="n"/>
    </row>
    <row r="4063">
      <c r="A4063">
        <f>IF(DAY(D4063)=DAY($L$1+1),A4062+1,A4062)</f>
        <v/>
      </c>
      <c r="B4063" s="1">
        <f>IF(DAY(D4063)=DAY($L$1+1),1,B4062+1)</f>
        <v/>
      </c>
      <c r="C4063" s="46">
        <f>IF(DAY(D4063)=DAY($L$1+1),1,C4062+1)</f>
        <v/>
      </c>
      <c r="D4063" s="2">
        <f>D4062+1</f>
        <v/>
      </c>
      <c r="E4063" s="8">
        <f>IF(DAY(D4063)=DAY($L$1+1),TRUNC((N4062),8),E4062)</f>
        <v/>
      </c>
      <c r="F4063" s="49">
        <f>TRUNC(((1+VLOOKUP(A4063,IPCA!$A$2:$C$140,3,0)))^(C4063/(EDATE(D4063-C4063,1)-(D4063-C4063))),8)</f>
        <v/>
      </c>
      <c r="G4063" s="49">
        <f>TRUNC((E4063*F4063),8)</f>
        <v/>
      </c>
      <c r="H4063" s="49">
        <f>ROUND(((1+$H$4)^(30/360))^(C4063/(EDATE(D4063-B4063,1)-(D4063-B4063))),9)</f>
        <v/>
      </c>
      <c r="I4063" s="49">
        <f>TRUNC((G4063*H4063-G4063),8)</f>
        <v/>
      </c>
      <c r="J4063" s="4">
        <f>G4063+I4063</f>
        <v/>
      </c>
      <c r="K4063" s="256" t="n"/>
      <c r="L4063" s="256" t="n"/>
      <c r="M4063" s="256" t="n"/>
      <c r="N4063" s="256" t="n"/>
      <c r="O4063" s="256" t="n"/>
      <c r="P4063" s="256" t="n"/>
      <c r="Q4063" s="256" t="n"/>
    </row>
    <row r="4064">
      <c r="A4064">
        <f>IF(DAY(D4064)=DAY($L$1+1),A4063+1,A4063)</f>
        <v/>
      </c>
      <c r="B4064" s="1">
        <f>IF(DAY(D4064)=DAY($L$1+1),1,B4063+1)</f>
        <v/>
      </c>
      <c r="C4064" s="46">
        <f>IF(DAY(D4064)=DAY($L$1+1),1,C4063+1)</f>
        <v/>
      </c>
      <c r="D4064" s="2">
        <f>D4063+1</f>
        <v/>
      </c>
      <c r="E4064" s="8">
        <f>IF(DAY(D4064)=DAY($L$1+1),TRUNC((N4063),8),E4063)</f>
        <v/>
      </c>
      <c r="F4064" s="49">
        <f>TRUNC(((1+VLOOKUP(A4064,IPCA!$A$2:$C$140,3,0)))^(C4064/(EDATE(D4064-C4064,1)-(D4064-C4064))),8)</f>
        <v/>
      </c>
      <c r="G4064" s="49">
        <f>TRUNC((E4064*F4064),8)</f>
        <v/>
      </c>
      <c r="H4064" s="49">
        <f>ROUND(((1+$H$4)^(30/360))^(C4064/(EDATE(D4064-B4064,1)-(D4064-B4064))),9)</f>
        <v/>
      </c>
      <c r="I4064" s="49">
        <f>TRUNC((G4064*H4064-G4064),8)</f>
        <v/>
      </c>
      <c r="J4064" s="4">
        <f>G4064+I4064</f>
        <v/>
      </c>
      <c r="K4064" s="256" t="n"/>
      <c r="L4064" s="256" t="n"/>
      <c r="M4064" s="256" t="n"/>
      <c r="N4064" s="256" t="n"/>
      <c r="O4064" s="256" t="n"/>
      <c r="P4064" s="256" t="n"/>
      <c r="Q4064" s="256" t="n"/>
    </row>
    <row r="4065">
      <c r="A4065">
        <f>IF(DAY(D4065)=DAY($L$1+1),A4064+1,A4064)</f>
        <v/>
      </c>
      <c r="B4065" s="1">
        <f>IF(DAY(D4065)=DAY($L$1+1),1,B4064+1)</f>
        <v/>
      </c>
      <c r="C4065" s="46">
        <f>IF(DAY(D4065)=DAY($L$1+1),1,C4064+1)</f>
        <v/>
      </c>
      <c r="D4065" s="2">
        <f>D4064+1</f>
        <v/>
      </c>
      <c r="E4065" s="8">
        <f>IF(DAY(D4065)=DAY($L$1+1),TRUNC((N4064),8),E4064)</f>
        <v/>
      </c>
      <c r="F4065" s="49">
        <f>TRUNC(((1+VLOOKUP(A4065,IPCA!$A$2:$C$140,3,0)))^(C4065/(EDATE(D4065-C4065,1)-(D4065-C4065))),8)</f>
        <v/>
      </c>
      <c r="G4065" s="49">
        <f>TRUNC((E4065*F4065),8)</f>
        <v/>
      </c>
      <c r="H4065" s="49">
        <f>ROUND(((1+$H$4)^(30/360))^(C4065/(EDATE(D4065-B4065,1)-(D4065-B4065))),9)</f>
        <v/>
      </c>
      <c r="I4065" s="49">
        <f>TRUNC((G4065*H4065-G4065),8)</f>
        <v/>
      </c>
      <c r="J4065" s="4">
        <f>G4065+I4065</f>
        <v/>
      </c>
      <c r="K4065" s="256" t="n"/>
      <c r="L4065" s="256" t="n"/>
      <c r="M4065" s="256" t="n"/>
      <c r="N4065" s="256" t="n"/>
      <c r="O4065" s="256" t="n"/>
      <c r="P4065" s="256" t="n"/>
      <c r="Q4065" s="256" t="n"/>
    </row>
    <row r="4066">
      <c r="A4066">
        <f>IF(DAY(D4066)=DAY($L$1+1),A4065+1,A4065)</f>
        <v/>
      </c>
      <c r="B4066" s="1">
        <f>IF(DAY(D4066)=DAY($L$1+1),1,B4065+1)</f>
        <v/>
      </c>
      <c r="C4066" s="46">
        <f>IF(DAY(D4066)=DAY($L$1+1),1,C4065+1)</f>
        <v/>
      </c>
      <c r="D4066" s="2">
        <f>D4065+1</f>
        <v/>
      </c>
      <c r="E4066" s="8">
        <f>IF(DAY(D4066)=DAY($L$1+1),TRUNC((N4065),8),E4065)</f>
        <v/>
      </c>
      <c r="F4066" s="49">
        <f>TRUNC(((1+VLOOKUP(A4066,IPCA!$A$2:$C$140,3,0)))^(C4066/(EDATE(D4066-C4066,1)-(D4066-C4066))),8)</f>
        <v/>
      </c>
      <c r="G4066" s="49">
        <f>TRUNC((E4066*F4066),8)</f>
        <v/>
      </c>
      <c r="H4066" s="49">
        <f>ROUND(((1+$H$4)^(30/360))^(C4066/(EDATE(D4066-B4066,1)-(D4066-B4066))),9)</f>
        <v/>
      </c>
      <c r="I4066" s="49">
        <f>TRUNC((G4066*H4066-G4066),8)</f>
        <v/>
      </c>
      <c r="J4066" s="4">
        <f>G4066+I4066</f>
        <v/>
      </c>
      <c r="K4066" s="256" t="inlineStr">
        <is>
          <t>Cri Integralizado</t>
        </is>
      </c>
      <c r="L4066" s="270">
        <f>L4035</f>
        <v/>
      </c>
      <c r="M4066" s="256" t="n"/>
      <c r="N4066" s="256" t="n"/>
      <c r="O4066" s="256" t="n"/>
      <c r="P4066" s="256" t="n"/>
      <c r="Q4066" s="256" t="n"/>
    </row>
    <row r="4067">
      <c r="A4067">
        <f>IF(DAY(D4067)=DAY($L$1+1),A4066+1,A4066)</f>
        <v/>
      </c>
      <c r="B4067" s="1">
        <f>IF(DAY(D4067)=DAY($L$1+1),1,B4066+1)</f>
        <v/>
      </c>
      <c r="C4067" s="46">
        <f>IF(DAY(D4067)=DAY($L$1+1),1,C4066+1)</f>
        <v/>
      </c>
      <c r="D4067" s="2">
        <f>D4066+1</f>
        <v/>
      </c>
      <c r="E4067" s="8">
        <f>IF(DAY(D4067)=DAY($L$1+1),TRUNC((N4066),8),E4066)</f>
        <v/>
      </c>
      <c r="F4067" s="49">
        <f>TRUNC(((1+VLOOKUP(A4067,IPCA!$A$2:$C$140,3,0)))^(C4067/(EDATE(D4067-C4067,1)-(D4067-C4067))),8)</f>
        <v/>
      </c>
      <c r="G4067" s="49">
        <f>TRUNC((E4067*F4067),8)</f>
        <v/>
      </c>
      <c r="H4067" s="49">
        <f>ROUND(((1+$H$4)^(30/360))^(C4067/(EDATE(D4067-B4067,1)-(D4067-B4067))),9)</f>
        <v/>
      </c>
      <c r="I4067" s="49">
        <f>TRUNC((G4067*H4067-G4067),8)</f>
        <v/>
      </c>
      <c r="J4067" s="4">
        <f>G4067+I4067</f>
        <v/>
      </c>
      <c r="K4067" s="137" t="inlineStr">
        <is>
          <t>JUROS</t>
        </is>
      </c>
      <c r="L4067" s="118" t="inlineStr">
        <is>
          <t>AMORTIZAÇÃO</t>
        </is>
      </c>
      <c r="M4067" s="118" t="inlineStr">
        <is>
          <t>AMEX</t>
        </is>
      </c>
      <c r="N4067" s="118" t="inlineStr">
        <is>
          <t>RESIDUAL</t>
        </is>
      </c>
      <c r="O4067" s="256" t="n"/>
      <c r="P4067" s="256" t="n"/>
      <c r="Q4067" s="256" t="n"/>
    </row>
    <row r="4068">
      <c r="A4068">
        <f>IF(DAY(D4068)=DAY($L$1+1),A4067+1,A4067)</f>
        <v/>
      </c>
      <c r="B4068" s="111">
        <f>IF(DAY(D4068)=DAY($L$1+1),1,B4067+1)</f>
        <v/>
      </c>
      <c r="C4068" s="111">
        <f>IF(DAY(D4068)=DAY($L$1+1),1,C4067+1)</f>
        <v/>
      </c>
      <c r="D4068" s="112">
        <f>D4067+1</f>
        <v/>
      </c>
      <c r="E4068" s="113">
        <f>IF(DAY(D4068)=DAY($L$1+1),TRUNC((N4067),8),E4067)</f>
        <v/>
      </c>
      <c r="F4068" s="114">
        <f>TRUNC(((1+VLOOKUP(A4068,IPCA!$A$2:$C$140,3,0)))^(C4068/(EDATE(D4068-C4068,1)-(D4068-C4068))),8)</f>
        <v/>
      </c>
      <c r="G4068" s="114">
        <f>TRUNC((E4068*F4068),8)</f>
        <v/>
      </c>
      <c r="H4068" s="114">
        <f>ROUND(((1+$H$4)^(30/360))^(C4068/(EDATE(D4068-B4068,1)-(D4068-B4068))),9)</f>
        <v/>
      </c>
      <c r="I4068" s="114">
        <f>TRUNC((G4068*H4068-G4068),8)</f>
        <v/>
      </c>
      <c r="J4068" s="114">
        <f>G4068+I4068</f>
        <v/>
      </c>
      <c r="K4068" s="119">
        <f>I4068</f>
        <v/>
      </c>
      <c r="L4068" s="120">
        <f>TRUNC(G4068*VLOOKUP(D4068,'Amort TS'!$G$3:$H$140,2,0),8)</f>
        <v/>
      </c>
      <c r="M4068" s="120" t="n">
        <v>0</v>
      </c>
      <c r="N4068" s="120">
        <f>J4068-K4068-L4068-M4068</f>
        <v/>
      </c>
      <c r="O4068" s="256" t="n"/>
      <c r="P4068" s="256" t="n"/>
      <c r="Q4068" s="256" t="n"/>
    </row>
    <row r="4069">
      <c r="A4069">
        <f>IF(DAY(D4069)=DAY($L$1+1),A4068+1,A4068)</f>
        <v/>
      </c>
      <c r="B4069" s="1">
        <f>IF(DAY(D4069)=DAY($L$1+1),1,B4068+1)</f>
        <v/>
      </c>
      <c r="C4069" s="46">
        <f>IF(DAY(D4069)=DAY($L$1+1),1,C4068+1)</f>
        <v/>
      </c>
      <c r="D4069" s="2">
        <f>D4068+1</f>
        <v/>
      </c>
      <c r="E4069" s="8">
        <f>IF(DAY(D4069)=DAY($L$1+1),TRUNC((N4068),8),E4068)</f>
        <v/>
      </c>
      <c r="F4069" s="49">
        <f>TRUNC(((1+VLOOKUP(A4069,IPCA!$A$2:$C$140,3,0)))^(C4069/(EDATE(D4069-C4069,1)-(D4069-C4069))),8)</f>
        <v/>
      </c>
      <c r="G4069" s="49">
        <f>TRUNC((E4069*F4069),8)</f>
        <v/>
      </c>
      <c r="H4069" s="49">
        <f>ROUND(((1+$H$4)^(30/360))^(C4069/(EDATE(D4069-B4069,1)-(D4069-B4069))),9)</f>
        <v/>
      </c>
      <c r="I4069" s="49">
        <f>TRUNC((G4069*H4069-G4069),8)</f>
        <v/>
      </c>
      <c r="J4069" s="4">
        <f>G4069+I4069</f>
        <v/>
      </c>
      <c r="K4069" s="121">
        <f>K4068*L4066</f>
        <v/>
      </c>
      <c r="L4069" s="121">
        <f>L4068*L4066</f>
        <v/>
      </c>
      <c r="M4069" s="121">
        <f>M4068*L4066</f>
        <v/>
      </c>
      <c r="N4069" s="121">
        <f>N4068*L4066</f>
        <v/>
      </c>
      <c r="O4069" s="256" t="n"/>
      <c r="P4069" s="256" t="n"/>
      <c r="Q4069" s="256" t="n"/>
    </row>
    <row r="4070">
      <c r="A4070">
        <f>IF(DAY(D4070)=DAY($L$1+1),A4069+1,A4069)</f>
        <v/>
      </c>
      <c r="B4070" s="1">
        <f>IF(DAY(D4070)=DAY($L$1+1),1,B4069+1)</f>
        <v/>
      </c>
      <c r="C4070" s="46">
        <f>IF(DAY(D4070)=DAY($L$1+1),1,C4069+1)</f>
        <v/>
      </c>
      <c r="D4070" s="2">
        <f>D4069+1</f>
        <v/>
      </c>
      <c r="E4070" s="8">
        <f>IF(DAY(D4070)=DAY($L$1+1),TRUNC((N4069),8),E4069)</f>
        <v/>
      </c>
      <c r="F4070" s="49">
        <f>TRUNC(((1+VLOOKUP(A4070,IPCA!$A$2:$C$140,3,0)))^(C4070/(EDATE(D4070-C4070,1)-(D4070-C4070))),8)</f>
        <v/>
      </c>
      <c r="G4070" s="49">
        <f>TRUNC((E4070*F4070),8)</f>
        <v/>
      </c>
      <c r="H4070" s="49">
        <f>ROUND(((1+$H$4)^(30/360))^(C4070/(EDATE(D4070-B4070,1)-(D4070-B4070))),9)</f>
        <v/>
      </c>
      <c r="I4070" s="49">
        <f>TRUNC((G4070*H4070-G4070),8)</f>
        <v/>
      </c>
      <c r="J4070" s="4">
        <f>G4070+I4070</f>
        <v/>
      </c>
      <c r="K4070" s="256" t="n"/>
      <c r="L4070" s="256" t="n"/>
      <c r="M4070" s="256" t="n"/>
      <c r="N4070" s="256" t="n"/>
      <c r="O4070" s="256" t="n"/>
      <c r="P4070" s="256" t="n"/>
      <c r="Q4070" s="256" t="n"/>
    </row>
    <row r="4071">
      <c r="A4071">
        <f>IF(DAY(D4071)=DAY($L$1+1),A4070+1,A4070)</f>
        <v/>
      </c>
      <c r="B4071" s="1">
        <f>IF(DAY(D4071)=DAY($L$1+1),1,B4070+1)</f>
        <v/>
      </c>
      <c r="C4071" s="46">
        <f>IF(DAY(D4071)=DAY($L$1+1),1,C4070+1)</f>
        <v/>
      </c>
      <c r="D4071" s="2">
        <f>D4070+1</f>
        <v/>
      </c>
      <c r="E4071" s="8">
        <f>IF(DAY(D4071)=DAY($L$1+1),TRUNC((#REF!),8),E4070)</f>
        <v/>
      </c>
      <c r="F4071" s="49">
        <f>TRUNC(((1+VLOOKUP(A4071,IPCA!$A$2:$C$140,3,0)))^(C4071/(EDATE(D4071-C4071,1)-(D4071-C4071))),8)</f>
        <v/>
      </c>
      <c r="G4071" s="49">
        <f>TRUNC((E4071*F4071),8)</f>
        <v/>
      </c>
      <c r="H4071" s="49">
        <f>ROUND(((1+$H$4)^(30/360))^(C4071/(EDATE(D4071-B4071,1)-(D4071-B4071))),9)</f>
        <v/>
      </c>
      <c r="I4071" s="49">
        <f>TRUNC((G4071*H4071-G4071),8)</f>
        <v/>
      </c>
      <c r="J4071" s="4">
        <f>G4071+I4071</f>
        <v/>
      </c>
      <c r="K4071" s="256" t="n"/>
      <c r="L4071" s="256" t="n"/>
      <c r="M4071" s="256" t="n"/>
      <c r="N4071" s="256" t="n"/>
      <c r="O4071" s="256" t="n"/>
      <c r="P4071" s="256" t="n"/>
      <c r="Q4071" s="256" t="n"/>
    </row>
    <row r="4072">
      <c r="A4072">
        <f>IF(DAY(D4072)=DAY($L$1+1),A4071+1,A4071)</f>
        <v/>
      </c>
      <c r="B4072" s="1">
        <f>IF(DAY(D4072)=DAY($L$1+1),1,B4071+1)</f>
        <v/>
      </c>
      <c r="C4072" s="46">
        <f>IF(DAY(D4072)=DAY($L$1+1),1,C4071+1)</f>
        <v/>
      </c>
      <c r="D4072" s="2">
        <f>D4071+1</f>
        <v/>
      </c>
      <c r="E4072" s="8">
        <f>IF(DAY(D4072)=DAY($L$1+1),TRUNC((#REF!),8),E4071)</f>
        <v/>
      </c>
      <c r="F4072" s="49">
        <f>TRUNC(((1+VLOOKUP(A4072,IPCA!$A$2:$C$140,3,0)))^(C4072/(EDATE(D4072-C4072,1)-(D4072-C4072))),8)</f>
        <v/>
      </c>
      <c r="G4072" s="49">
        <f>TRUNC((E4072*F4072),8)</f>
        <v/>
      </c>
      <c r="H4072" s="49">
        <f>ROUND(((1+$H$4)^(30/360))^(C4072/(EDATE(D4072-B4072,1)-(D4072-B4072))),9)</f>
        <v/>
      </c>
      <c r="I4072" s="49">
        <f>TRUNC((G4072*H4072-G4072),8)</f>
        <v/>
      </c>
      <c r="J4072" s="4">
        <f>G4072+I4072</f>
        <v/>
      </c>
      <c r="K4072" s="256" t="n"/>
      <c r="L4072" s="256" t="n"/>
      <c r="M4072" s="256" t="n"/>
      <c r="N4072" s="256" t="n"/>
      <c r="O4072" s="256" t="n"/>
      <c r="P4072" s="256" t="n"/>
      <c r="Q4072" s="256" t="n"/>
    </row>
    <row r="4073">
      <c r="A4073">
        <f>IF(DAY(D4073)=DAY($L$1+1),A4072+1,A4072)</f>
        <v/>
      </c>
      <c r="B4073" s="1">
        <f>IF(DAY(D4073)=DAY($L$1+1),1,B4072+1)</f>
        <v/>
      </c>
      <c r="C4073" s="46">
        <f>IF(DAY(D4073)=DAY($L$1+1),1,C4072+1)</f>
        <v/>
      </c>
      <c r="D4073" s="2">
        <f>D4072+1</f>
        <v/>
      </c>
      <c r="E4073" s="8">
        <f>IF(DAY(D4073)=DAY($L$1+1),TRUNC((#REF!),8),E4072)</f>
        <v/>
      </c>
      <c r="F4073" s="49">
        <f>TRUNC(((1+VLOOKUP(A4073,IPCA!$A$2:$C$140,3,0)))^(C4073/(EDATE(D4073-C4073,1)-(D4073-C4073))),8)</f>
        <v/>
      </c>
      <c r="G4073" s="49">
        <f>TRUNC((E4073*F4073),8)</f>
        <v/>
      </c>
      <c r="H4073" s="49">
        <f>ROUND(((1+$H$4)^(30/360))^(C4073/(EDATE(D4073-B4073,1)-(D4073-B4073))),9)</f>
        <v/>
      </c>
      <c r="I4073" s="49">
        <f>TRUNC((G4073*H4073-G4073),8)</f>
        <v/>
      </c>
      <c r="J4073" s="4">
        <f>G4073+I4073</f>
        <v/>
      </c>
      <c r="K4073" s="256" t="n"/>
      <c r="L4073" s="256" t="n"/>
      <c r="M4073" s="256" t="n"/>
      <c r="N4073" s="256" t="n"/>
      <c r="O4073" s="256" t="n"/>
      <c r="P4073" s="256" t="n"/>
      <c r="Q4073" s="256" t="n"/>
    </row>
    <row r="4074">
      <c r="A4074">
        <f>IF(DAY(D4074)=DAY($L$1+1),A4073+1,A4073)</f>
        <v/>
      </c>
      <c r="B4074" s="1">
        <f>IF(DAY(D4074)=DAY($L$1+1),1,B4073+1)</f>
        <v/>
      </c>
      <c r="C4074" s="46">
        <f>IF(DAY(D4074)=DAY($L$1+1),1,C4073+1)</f>
        <v/>
      </c>
      <c r="D4074" s="2">
        <f>D4073+1</f>
        <v/>
      </c>
      <c r="E4074" s="8">
        <f>IF(DAY(D4074)=DAY($L$1+1),TRUNC((#REF!),8),E4073)</f>
        <v/>
      </c>
      <c r="F4074" s="49">
        <f>TRUNC(((1+VLOOKUP(A4074,IPCA!$A$2:$C$140,3,0)))^(C4074/(EDATE(D4074-C4074,1)-(D4074-C4074))),8)</f>
        <v/>
      </c>
      <c r="G4074" s="49">
        <f>TRUNC((E4074*F4074),8)</f>
        <v/>
      </c>
      <c r="H4074" s="49">
        <f>ROUND(((1+$H$4)^(30/360))^(C4074/(EDATE(D4074-B4074,1)-(D4074-B4074))),9)</f>
        <v/>
      </c>
      <c r="I4074" s="49">
        <f>TRUNC((G4074*H4074-G4074),8)</f>
        <v/>
      </c>
      <c r="J4074" s="4">
        <f>G4074+I4074</f>
        <v/>
      </c>
      <c r="K4074" s="256" t="n"/>
      <c r="L4074" s="256" t="n"/>
      <c r="M4074" s="256" t="n"/>
      <c r="N4074" s="256" t="n"/>
      <c r="O4074" s="256" t="n"/>
      <c r="P4074" s="256" t="n"/>
      <c r="Q4074" s="256" t="n"/>
    </row>
    <row r="4075">
      <c r="A4075">
        <f>IF(DAY(D4075)=DAY($L$1+1),A4074+1,A4074)</f>
        <v/>
      </c>
      <c r="B4075" s="1">
        <f>IF(DAY(D4075)=DAY($L$1+1),1,B4074+1)</f>
        <v/>
      </c>
      <c r="C4075" s="46">
        <f>IF(DAY(D4075)=DAY($L$1+1),1,C4074+1)</f>
        <v/>
      </c>
      <c r="D4075" s="2">
        <f>D4074+1</f>
        <v/>
      </c>
      <c r="E4075" s="8">
        <f>IF(DAY(D4075)=DAY($L$1+1),TRUNC((#REF!),8),E4074)</f>
        <v/>
      </c>
      <c r="F4075" s="49">
        <f>TRUNC(((1+VLOOKUP(A4075,IPCA!$A$2:$C$140,3,0)))^(C4075/(EDATE(D4075-C4075,1)-(D4075-C4075))),8)</f>
        <v/>
      </c>
      <c r="G4075" s="49">
        <f>TRUNC((E4075*F4075),8)</f>
        <v/>
      </c>
      <c r="H4075" s="49">
        <f>ROUND(((1+$H$4)^(30/360))^(C4075/(EDATE(D4075-B4075,1)-(D4075-B4075))),9)</f>
        <v/>
      </c>
      <c r="I4075" s="49">
        <f>TRUNC((G4075*H4075-G4075),8)</f>
        <v/>
      </c>
      <c r="J4075" s="4">
        <f>G4075+I4075</f>
        <v/>
      </c>
      <c r="K4075" s="256" t="n"/>
      <c r="L4075" s="256" t="n"/>
      <c r="M4075" s="256" t="n"/>
      <c r="N4075" s="256" t="n"/>
      <c r="O4075" s="256" t="n"/>
      <c r="P4075" s="256" t="n"/>
      <c r="Q4075" s="256" t="n"/>
    </row>
    <row r="4076">
      <c r="A4076">
        <f>IF(DAY(D4076)=DAY($L$1+1),A4075+1,A4075)</f>
        <v/>
      </c>
      <c r="B4076" s="1">
        <f>IF(DAY(D4076)=DAY($L$1+1),1,B4075+1)</f>
        <v/>
      </c>
      <c r="C4076" s="46">
        <f>IF(DAY(D4076)=DAY($L$1+1),1,C4075+1)</f>
        <v/>
      </c>
      <c r="D4076" s="2">
        <f>D4075+1</f>
        <v/>
      </c>
      <c r="E4076" s="8">
        <f>IF(DAY(D4076)=DAY($L$1+1),TRUNC((#REF!),8),E4075)</f>
        <v/>
      </c>
      <c r="F4076" s="49">
        <f>TRUNC(((1+VLOOKUP(A4076,IPCA!$A$2:$C$140,3,0)))^(C4076/(EDATE(D4076-C4076,1)-(D4076-C4076))),8)</f>
        <v/>
      </c>
      <c r="G4076" s="49">
        <f>TRUNC((E4076*F4076),8)</f>
        <v/>
      </c>
      <c r="H4076" s="49">
        <f>ROUND(((1+$H$4)^(30/360))^(C4076/(EDATE(D4076-B4076,1)-(D4076-B4076))),9)</f>
        <v/>
      </c>
      <c r="I4076" s="49">
        <f>TRUNC((G4076*H4076-G4076),8)</f>
        <v/>
      </c>
      <c r="J4076" s="4">
        <f>G4076+I4076</f>
        <v/>
      </c>
      <c r="K4076" s="256" t="n"/>
      <c r="L4076" s="256" t="n"/>
      <c r="M4076" s="256" t="n"/>
      <c r="N4076" s="256" t="n"/>
      <c r="O4076" s="256" t="n"/>
      <c r="P4076" s="256" t="n"/>
      <c r="Q4076" s="256" t="n"/>
    </row>
    <row r="4077">
      <c r="A4077">
        <f>IF(DAY(D4077)=DAY($L$1+1),A4076+1,A4076)</f>
        <v/>
      </c>
      <c r="B4077" s="1">
        <f>IF(DAY(D4077)=DAY($L$1+1),1,B4076+1)</f>
        <v/>
      </c>
      <c r="C4077" s="46">
        <f>IF(DAY(D4077)=DAY($L$1+1),1,C4076+1)</f>
        <v/>
      </c>
      <c r="D4077" s="2">
        <f>D4076+1</f>
        <v/>
      </c>
      <c r="E4077" s="8">
        <f>IF(DAY(D4077)=DAY($L$1+1),TRUNC((#REF!),8),E4076)</f>
        <v/>
      </c>
      <c r="F4077" s="49">
        <f>TRUNC(((1+VLOOKUP(A4077,IPCA!$A$2:$C$140,3,0)))^(C4077/(EDATE(D4077-C4077,1)-(D4077-C4077))),8)</f>
        <v/>
      </c>
      <c r="G4077" s="49">
        <f>TRUNC((E4077*F4077),8)</f>
        <v/>
      </c>
      <c r="H4077" s="49">
        <f>ROUND(((1+$H$4)^(30/360))^(C4077/(EDATE(D4077-B4077,1)-(D4077-B4077))),9)</f>
        <v/>
      </c>
      <c r="I4077" s="49">
        <f>TRUNC((G4077*H4077-G4077),8)</f>
        <v/>
      </c>
      <c r="J4077" s="4">
        <f>G4077+I4077</f>
        <v/>
      </c>
      <c r="K4077" s="256" t="n"/>
      <c r="L4077" s="256" t="n"/>
      <c r="M4077" s="256" t="n"/>
      <c r="N4077" s="256" t="n"/>
      <c r="O4077" s="256" t="n"/>
      <c r="P4077" s="256" t="n"/>
      <c r="Q4077" s="256" t="n"/>
    </row>
    <row r="4078">
      <c r="A4078">
        <f>IF(DAY(D4078)=DAY($L$1+1),A4077+1,A4077)</f>
        <v/>
      </c>
      <c r="B4078" s="1">
        <f>IF(DAY(D4078)=DAY($L$1+1),1,B4077+1)</f>
        <v/>
      </c>
      <c r="C4078" s="46">
        <f>IF(DAY(D4078)=DAY($L$1+1),1,C4077+1)</f>
        <v/>
      </c>
      <c r="D4078" s="2">
        <f>D4077+1</f>
        <v/>
      </c>
      <c r="E4078" s="8">
        <f>IF(DAY(D4078)=DAY($L$1+1),TRUNC((#REF!),8),E4077)</f>
        <v/>
      </c>
      <c r="F4078" s="49">
        <f>TRUNC(((1+VLOOKUP(A4078,IPCA!$A$2:$C$140,3,0)))^(C4078/(EDATE(D4078-C4078,1)-(D4078-C4078))),8)</f>
        <v/>
      </c>
      <c r="G4078" s="49">
        <f>TRUNC((E4078*F4078),8)</f>
        <v/>
      </c>
      <c r="H4078" s="49">
        <f>ROUND(((1+$H$4)^(30/360))^(C4078/(EDATE(D4078-B4078,1)-(D4078-B4078))),9)</f>
        <v/>
      </c>
      <c r="I4078" s="49">
        <f>TRUNC((G4078*H4078-G4078),8)</f>
        <v/>
      </c>
      <c r="J4078" s="4">
        <f>G4078+I4078</f>
        <v/>
      </c>
      <c r="K4078" s="256" t="n"/>
      <c r="L4078" s="256" t="n"/>
      <c r="M4078" s="256" t="n"/>
      <c r="N4078" s="256" t="n"/>
      <c r="O4078" s="256" t="n"/>
      <c r="P4078" s="256" t="n"/>
      <c r="Q4078" s="256" t="n"/>
    </row>
    <row r="4079">
      <c r="A4079">
        <f>IF(DAY(D4079)=DAY($L$1+1),A4078+1,A4078)</f>
        <v/>
      </c>
      <c r="B4079" s="1">
        <f>IF(DAY(D4079)=DAY($L$1+1),1,B4078+1)</f>
        <v/>
      </c>
      <c r="C4079" s="46">
        <f>IF(DAY(D4079)=DAY($L$1+1),1,C4078+1)</f>
        <v/>
      </c>
      <c r="D4079" s="2">
        <f>D4078+1</f>
        <v/>
      </c>
      <c r="E4079" s="8">
        <f>IF(DAY(D4079)=DAY($L$1+1),TRUNC((#REF!),8),E4078)</f>
        <v/>
      </c>
      <c r="F4079" s="49">
        <f>TRUNC(((1+VLOOKUP(A4079,IPCA!$A$2:$C$140,3,0)))^(C4079/(EDATE(D4079-C4079,1)-(D4079-C4079))),8)</f>
        <v/>
      </c>
      <c r="G4079" s="49">
        <f>TRUNC((E4079*F4079),8)</f>
        <v/>
      </c>
      <c r="H4079" s="49">
        <f>ROUND(((1+$H$4)^(30/360))^(C4079/(EDATE(D4079-B4079,1)-(D4079-B4079))),9)</f>
        <v/>
      </c>
      <c r="I4079" s="49">
        <f>TRUNC((G4079*H4079-G4079),8)</f>
        <v/>
      </c>
      <c r="J4079" s="4">
        <f>G4079+I4079</f>
        <v/>
      </c>
      <c r="K4079" s="256" t="n"/>
      <c r="L4079" s="256" t="n"/>
      <c r="M4079" s="256" t="n"/>
      <c r="N4079" s="256" t="n"/>
      <c r="O4079" s="256" t="n"/>
      <c r="P4079" s="256" t="n"/>
      <c r="Q4079" s="256" t="n"/>
    </row>
    <row r="4080">
      <c r="A4080">
        <f>IF(DAY(D4080)=DAY($L$1+1),A4079+1,A4079)</f>
        <v/>
      </c>
      <c r="B4080" s="1">
        <f>IF(DAY(D4080)=DAY($L$1+1),1,B4079+1)</f>
        <v/>
      </c>
      <c r="C4080" s="46">
        <f>IF(DAY(D4080)=DAY($L$1+1),1,C4079+1)</f>
        <v/>
      </c>
      <c r="D4080" s="2">
        <f>D4079+1</f>
        <v/>
      </c>
      <c r="E4080" s="8">
        <f>IF(DAY(D4080)=DAY($L$1+1),TRUNC((#REF!),8),E4079)</f>
        <v/>
      </c>
      <c r="F4080" s="49">
        <f>TRUNC(((1+VLOOKUP(A4080,IPCA!$A$2:$C$140,3,0)))^(C4080/(EDATE(D4080-C4080,1)-(D4080-C4080))),8)</f>
        <v/>
      </c>
      <c r="G4080" s="49">
        <f>TRUNC((E4080*F4080),8)</f>
        <v/>
      </c>
      <c r="H4080" s="49">
        <f>ROUND(((1+$H$4)^(30/360))^(C4080/(EDATE(D4080-B4080,1)-(D4080-B4080))),9)</f>
        <v/>
      </c>
      <c r="I4080" s="49">
        <f>TRUNC((G4080*H4080-G4080),8)</f>
        <v/>
      </c>
      <c r="J4080" s="4">
        <f>G4080+I4080</f>
        <v/>
      </c>
      <c r="K4080" s="256" t="n"/>
      <c r="L4080" s="256" t="n"/>
      <c r="M4080" s="256" t="n"/>
      <c r="N4080" s="256" t="n"/>
      <c r="O4080" s="256" t="n"/>
      <c r="P4080" s="256" t="n"/>
      <c r="Q4080" s="256" t="n"/>
    </row>
    <row r="4081">
      <c r="A4081">
        <f>IF(DAY(D4081)=DAY($L$1+1),A4080+1,A4080)</f>
        <v/>
      </c>
      <c r="B4081" s="1">
        <f>IF(DAY(D4081)=DAY($L$1+1),1,B4080+1)</f>
        <v/>
      </c>
      <c r="C4081" s="46">
        <f>IF(DAY(D4081)=DAY($L$1+1),1,C4080+1)</f>
        <v/>
      </c>
      <c r="D4081" s="2">
        <f>D4080+1</f>
        <v/>
      </c>
      <c r="E4081" s="8">
        <f>IF(DAY(D4081)=DAY($L$1+1),TRUNC((#REF!),8),E4080)</f>
        <v/>
      </c>
      <c r="F4081" s="49">
        <f>TRUNC(((1+VLOOKUP(A4081,IPCA!$A$2:$C$140,3,0)))^(C4081/(EDATE(D4081-C4081,1)-(D4081-C4081))),8)</f>
        <v/>
      </c>
      <c r="G4081" s="49">
        <f>TRUNC((E4081*F4081),8)</f>
        <v/>
      </c>
      <c r="H4081" s="49">
        <f>ROUND(((1+$H$4)^(30/360))^(C4081/(EDATE(D4081-B4081,1)-(D4081-B4081))),9)</f>
        <v/>
      </c>
      <c r="I4081" s="49">
        <f>TRUNC((G4081*H4081-G4081),8)</f>
        <v/>
      </c>
      <c r="J4081" s="4">
        <f>G4081+I4081</f>
        <v/>
      </c>
      <c r="K4081" s="256" t="n"/>
      <c r="L4081" s="256" t="n"/>
      <c r="M4081" s="256" t="n"/>
      <c r="N4081" s="256" t="n"/>
      <c r="O4081" s="256" t="n"/>
      <c r="P4081" s="256" t="n"/>
      <c r="Q4081" s="256" t="n"/>
    </row>
    <row r="4082">
      <c r="A4082">
        <f>IF(DAY(D4082)=DAY($L$1+1),A4081+1,A4081)</f>
        <v/>
      </c>
      <c r="B4082" s="1">
        <f>IF(DAY(D4082)=DAY($L$1+1),1,B4081+1)</f>
        <v/>
      </c>
      <c r="C4082" s="46">
        <f>IF(DAY(D4082)=DAY($L$1+1),1,C4081+1)</f>
        <v/>
      </c>
      <c r="D4082" s="2">
        <f>D4081+1</f>
        <v/>
      </c>
      <c r="E4082" s="8">
        <f>IF(DAY(D4082)=DAY($L$1+1),TRUNC((#REF!),8),E4081)</f>
        <v/>
      </c>
      <c r="F4082" s="49">
        <f>TRUNC(((1+VLOOKUP(A4082,IPCA!$A$2:$C$140,3,0)))^(C4082/(EDATE(D4082-C4082,1)-(D4082-C4082))),8)</f>
        <v/>
      </c>
      <c r="G4082" s="49">
        <f>TRUNC((E4082*F4082),8)</f>
        <v/>
      </c>
      <c r="H4082" s="49">
        <f>ROUND(((1+$H$4)^(30/360))^(C4082/(EDATE(D4082-B4082,1)-(D4082-B4082))),9)</f>
        <v/>
      </c>
      <c r="I4082" s="49">
        <f>TRUNC((G4082*H4082-G4082),8)</f>
        <v/>
      </c>
      <c r="J4082" s="4">
        <f>G4082+I4082</f>
        <v/>
      </c>
      <c r="K4082" s="256" t="n"/>
      <c r="L4082" s="256" t="n"/>
      <c r="M4082" s="256" t="n"/>
      <c r="N4082" s="256" t="n"/>
      <c r="O4082" s="256" t="n"/>
      <c r="P4082" s="256" t="n"/>
      <c r="Q4082" s="256" t="n"/>
    </row>
    <row r="4083">
      <c r="A4083">
        <f>IF(DAY(D4083)=DAY($L$1+1),A4082+1,A4082)</f>
        <v/>
      </c>
      <c r="B4083" s="1">
        <f>IF(DAY(D4083)=DAY($L$1+1),1,B4082+1)</f>
        <v/>
      </c>
      <c r="C4083" s="46">
        <f>IF(DAY(D4083)=DAY($L$1+1),1,C4082+1)</f>
        <v/>
      </c>
      <c r="D4083" s="2">
        <f>D4082+1</f>
        <v/>
      </c>
      <c r="E4083" s="8">
        <f>IF(DAY(D4083)=DAY($L$1+1),TRUNC((#REF!),8),E4082)</f>
        <v/>
      </c>
      <c r="F4083" s="49">
        <f>TRUNC(((1+VLOOKUP(A4083,IPCA!$A$2:$C$140,3,0)))^(C4083/(EDATE(D4083-C4083,1)-(D4083-C4083))),8)</f>
        <v/>
      </c>
      <c r="G4083" s="49">
        <f>TRUNC((E4083*F4083),8)</f>
        <v/>
      </c>
      <c r="H4083" s="49">
        <f>ROUND(((1+$H$4)^(30/360))^(C4083/(EDATE(D4083-B4083,1)-(D4083-B4083))),9)</f>
        <v/>
      </c>
      <c r="I4083" s="49">
        <f>TRUNC((G4083*H4083-G4083),8)</f>
        <v/>
      </c>
      <c r="J4083" s="4">
        <f>G4083+I4083</f>
        <v/>
      </c>
      <c r="K4083" s="256" t="n"/>
      <c r="L4083" s="256" t="n"/>
      <c r="M4083" s="256" t="n"/>
      <c r="N4083" s="256" t="n"/>
      <c r="O4083" s="256" t="n"/>
      <c r="P4083" s="256" t="n"/>
      <c r="Q4083" s="256" t="n"/>
    </row>
    <row r="4084">
      <c r="A4084">
        <f>IF(DAY(D4084)=DAY($L$1+1),A4083+1,A4083)</f>
        <v/>
      </c>
      <c r="B4084" s="1">
        <f>IF(DAY(D4084)=DAY($L$1+1),1,B4083+1)</f>
        <v/>
      </c>
      <c r="C4084" s="46">
        <f>IF(DAY(D4084)=DAY($L$1+1),1,C4083+1)</f>
        <v/>
      </c>
      <c r="D4084" s="2">
        <f>D4083+1</f>
        <v/>
      </c>
      <c r="E4084" s="8">
        <f>IF(DAY(D4084)=DAY($L$1+1),TRUNC((N4083),8),E4083)</f>
        <v/>
      </c>
      <c r="F4084" s="49">
        <f>TRUNC(((1+VLOOKUP(A4084,IPCA!$A$2:$C$140,3,0)))^(C4084/(EDATE(D4084-C4084,1)-(D4084-C4084))),8)</f>
        <v/>
      </c>
      <c r="G4084" s="49">
        <f>TRUNC((E4084*F4084),8)</f>
        <v/>
      </c>
      <c r="H4084" s="49">
        <f>ROUND(((1+$H$4)^(30/360))^(C4084/(EDATE(D4084-B4084,1)-(D4084-B4084))),9)</f>
        <v/>
      </c>
      <c r="I4084" s="49">
        <f>TRUNC((G4084*H4084-G4084),8)</f>
        <v/>
      </c>
      <c r="J4084" s="4">
        <f>G4084+I4084</f>
        <v/>
      </c>
      <c r="K4084" s="256" t="n"/>
      <c r="L4084" s="256" t="n"/>
      <c r="M4084" s="256" t="n"/>
      <c r="N4084" s="256" t="n"/>
      <c r="O4084" s="256" t="n"/>
      <c r="P4084" s="256" t="n"/>
      <c r="Q4084" s="256" t="n"/>
    </row>
    <row r="4085">
      <c r="A4085">
        <f>IF(DAY(D4085)=DAY($L$1+1),A4084+1,A4084)</f>
        <v/>
      </c>
      <c r="B4085" s="1">
        <f>IF(DAY(D4085)=DAY($L$1+1),1,B4084+1)</f>
        <v/>
      </c>
      <c r="C4085" s="46">
        <f>IF(DAY(D4085)=DAY($L$1+1),1,C4084+1)</f>
        <v/>
      </c>
      <c r="D4085" s="2">
        <f>D4084+1</f>
        <v/>
      </c>
      <c r="E4085" s="8">
        <f>IF(DAY(D4085)=DAY($L$1+1),TRUNC((N4084),8),E4084)</f>
        <v/>
      </c>
      <c r="F4085" s="49">
        <f>TRUNC(((1+VLOOKUP(A4085,IPCA!$A$2:$C$140,3,0)))^(C4085/(EDATE(D4085-C4085,1)-(D4085-C4085))),8)</f>
        <v/>
      </c>
      <c r="G4085" s="49">
        <f>TRUNC((E4085*F4085),8)</f>
        <v/>
      </c>
      <c r="H4085" s="49">
        <f>ROUND(((1+$H$4)^(30/360))^(C4085/(EDATE(D4085-B4085,1)-(D4085-B4085))),9)</f>
        <v/>
      </c>
      <c r="I4085" s="49">
        <f>TRUNC((G4085*H4085-G4085),8)</f>
        <v/>
      </c>
      <c r="J4085" s="4">
        <f>G4085+I4085</f>
        <v/>
      </c>
      <c r="K4085" s="256" t="n"/>
      <c r="L4085" s="256" t="n"/>
      <c r="M4085" s="256" t="n"/>
      <c r="N4085" s="256" t="n"/>
      <c r="O4085" s="256" t="n"/>
      <c r="P4085" s="256" t="n"/>
      <c r="Q4085" s="256" t="n"/>
    </row>
    <row r="4086">
      <c r="A4086">
        <f>IF(DAY(D4086)=DAY($L$1+1),A4085+1,A4085)</f>
        <v/>
      </c>
      <c r="B4086" s="1">
        <f>IF(DAY(D4086)=DAY($L$1+1),1,B4085+1)</f>
        <v/>
      </c>
      <c r="C4086" s="46">
        <f>IF(DAY(D4086)=DAY($L$1+1),1,C4085+1)</f>
        <v/>
      </c>
      <c r="D4086" s="2">
        <f>D4085+1</f>
        <v/>
      </c>
      <c r="E4086" s="8">
        <f>IF(DAY(D4086)=DAY($L$1+1),TRUNC((N4085),8),E4085)</f>
        <v/>
      </c>
      <c r="F4086" s="49">
        <f>TRUNC(((1+VLOOKUP(A4086,IPCA!$A$2:$C$140,3,0)))^(C4086/(EDATE(D4086-C4086,1)-(D4086-C4086))),8)</f>
        <v/>
      </c>
      <c r="G4086" s="49">
        <f>TRUNC((E4086*F4086),8)</f>
        <v/>
      </c>
      <c r="H4086" s="49">
        <f>ROUND(((1+$H$4)^(30/360))^(C4086/(EDATE(D4086-B4086,1)-(D4086-B4086))),9)</f>
        <v/>
      </c>
      <c r="I4086" s="49">
        <f>TRUNC((G4086*H4086-G4086),8)</f>
        <v/>
      </c>
      <c r="J4086" s="4">
        <f>G4086+I4086</f>
        <v/>
      </c>
      <c r="K4086" s="256" t="n"/>
      <c r="L4086" s="256" t="n"/>
      <c r="M4086" s="256" t="n"/>
      <c r="N4086" s="256" t="n"/>
      <c r="O4086" s="256" t="n"/>
      <c r="P4086" s="256" t="n"/>
      <c r="Q4086" s="256" t="n"/>
    </row>
    <row r="4087">
      <c r="A4087">
        <f>IF(DAY(D4087)=DAY($L$1+1),A4086+1,A4086)</f>
        <v/>
      </c>
      <c r="B4087" s="1">
        <f>IF(DAY(D4087)=DAY($L$1+1),1,B4086+1)</f>
        <v/>
      </c>
      <c r="C4087" s="46">
        <f>IF(DAY(D4087)=DAY($L$1+1),1,C4086+1)</f>
        <v/>
      </c>
      <c r="D4087" s="2">
        <f>D4086+1</f>
        <v/>
      </c>
      <c r="E4087" s="8">
        <f>IF(DAY(D4087)=DAY($L$1+1),TRUNC((N4086),8),E4086)</f>
        <v/>
      </c>
      <c r="F4087" s="49">
        <f>TRUNC(((1+VLOOKUP(A4087,IPCA!$A$2:$C$140,3,0)))^(C4087/(EDATE(D4087-C4087,1)-(D4087-C4087))),8)</f>
        <v/>
      </c>
      <c r="G4087" s="49">
        <f>TRUNC((E4087*F4087),8)</f>
        <v/>
      </c>
      <c r="H4087" s="49">
        <f>ROUND(((1+$H$4)^(30/360))^(C4087/(EDATE(D4087-B4087,1)-(D4087-B4087))),9)</f>
        <v/>
      </c>
      <c r="I4087" s="49">
        <f>TRUNC((G4087*H4087-G4087),8)</f>
        <v/>
      </c>
      <c r="J4087" s="4">
        <f>G4087+I4087</f>
        <v/>
      </c>
      <c r="K4087" s="256" t="n"/>
      <c r="L4087" s="256" t="n"/>
      <c r="M4087" s="256" t="n"/>
      <c r="N4087" s="256" t="n"/>
      <c r="O4087" s="256" t="n"/>
      <c r="P4087" s="256" t="n"/>
      <c r="Q4087" s="256" t="n"/>
    </row>
    <row r="4088">
      <c r="A4088">
        <f>IF(DAY(D4088)=DAY($L$1+1),A4087+1,A4087)</f>
        <v/>
      </c>
      <c r="B4088" s="1">
        <f>IF(DAY(D4088)=DAY($L$1+1),1,B4087+1)</f>
        <v/>
      </c>
      <c r="C4088" s="46">
        <f>IF(DAY(D4088)=DAY($L$1+1),1,C4087+1)</f>
        <v/>
      </c>
      <c r="D4088" s="2">
        <f>D4087+1</f>
        <v/>
      </c>
      <c r="E4088" s="8">
        <f>IF(DAY(D4088)=DAY($L$1+1),TRUNC((N4087),8),E4087)</f>
        <v/>
      </c>
      <c r="F4088" s="49">
        <f>TRUNC(((1+VLOOKUP(A4088,IPCA!$A$2:$C$140,3,0)))^(C4088/(EDATE(D4088-C4088,1)-(D4088-C4088))),8)</f>
        <v/>
      </c>
      <c r="G4088" s="49">
        <f>TRUNC((E4088*F4088),8)</f>
        <v/>
      </c>
      <c r="H4088" s="49">
        <f>ROUND(((1+$H$4)^(30/360))^(C4088/(EDATE(D4088-B4088,1)-(D4088-B4088))),9)</f>
        <v/>
      </c>
      <c r="I4088" s="49">
        <f>TRUNC((G4088*H4088-G4088),8)</f>
        <v/>
      </c>
      <c r="J4088" s="4">
        <f>G4088+I4088</f>
        <v/>
      </c>
      <c r="K4088" s="256" t="n"/>
      <c r="L4088" s="256" t="n"/>
      <c r="M4088" s="256" t="n"/>
      <c r="N4088" s="256" t="n"/>
      <c r="O4088" s="256" t="n"/>
      <c r="P4088" s="256" t="n"/>
      <c r="Q4088" s="256" t="n"/>
    </row>
    <row r="4089">
      <c r="A4089">
        <f>IF(DAY(D4089)=DAY($L$1+1),A4088+1,A4088)</f>
        <v/>
      </c>
      <c r="B4089" s="1">
        <f>IF(DAY(D4089)=DAY($L$1+1),1,B4088+1)</f>
        <v/>
      </c>
      <c r="C4089" s="46">
        <f>IF(DAY(D4089)=DAY($L$1+1),1,C4088+1)</f>
        <v/>
      </c>
      <c r="D4089" s="2">
        <f>D4088+1</f>
        <v/>
      </c>
      <c r="E4089" s="8">
        <f>IF(DAY(D4089)=DAY($L$1+1),TRUNC((N4088),8),E4088)</f>
        <v/>
      </c>
      <c r="F4089" s="49">
        <f>TRUNC(((1+VLOOKUP(A4089,IPCA!$A$2:$C$140,3,0)))^(C4089/(EDATE(D4089-C4089,1)-(D4089-C4089))),8)</f>
        <v/>
      </c>
      <c r="G4089" s="49">
        <f>TRUNC((E4089*F4089),8)</f>
        <v/>
      </c>
      <c r="H4089" s="49">
        <f>ROUND(((1+$H$4)^(30/360))^(C4089/(EDATE(D4089-B4089,1)-(D4089-B4089))),9)</f>
        <v/>
      </c>
      <c r="I4089" s="49">
        <f>TRUNC((G4089*H4089-G4089),8)</f>
        <v/>
      </c>
      <c r="J4089" s="4">
        <f>G4089+I4089</f>
        <v/>
      </c>
      <c r="K4089" s="256" t="n"/>
      <c r="L4089" s="256" t="n"/>
      <c r="M4089" s="256" t="n"/>
      <c r="N4089" s="256" t="n"/>
      <c r="O4089" s="256" t="n"/>
      <c r="P4089" s="256" t="n"/>
      <c r="Q4089" s="256" t="n"/>
    </row>
    <row r="4090">
      <c r="A4090">
        <f>IF(DAY(D4090)=DAY($L$1+1),A4089+1,A4089)</f>
        <v/>
      </c>
      <c r="B4090" s="1">
        <f>IF(DAY(D4090)=DAY($L$1+1),1,B4089+1)</f>
        <v/>
      </c>
      <c r="C4090" s="46">
        <f>IF(DAY(D4090)=DAY($L$1+1),1,C4089+1)</f>
        <v/>
      </c>
      <c r="D4090" s="2">
        <f>D4089+1</f>
        <v/>
      </c>
      <c r="E4090" s="8">
        <f>IF(DAY(D4090)=DAY($L$1+1),TRUNC((N4089),8),E4089)</f>
        <v/>
      </c>
      <c r="F4090" s="49">
        <f>TRUNC(((1+VLOOKUP(A4090,IPCA!$A$2:$C$140,3,0)))^(C4090/(EDATE(D4090-C4090,1)-(D4090-C4090))),8)</f>
        <v/>
      </c>
      <c r="G4090" s="49">
        <f>TRUNC((E4090*F4090),8)</f>
        <v/>
      </c>
      <c r="H4090" s="49">
        <f>ROUND(((1+$H$4)^(30/360))^(C4090/(EDATE(D4090-B4090,1)-(D4090-B4090))),9)</f>
        <v/>
      </c>
      <c r="I4090" s="49">
        <f>TRUNC((G4090*H4090-G4090),8)</f>
        <v/>
      </c>
      <c r="J4090" s="4">
        <f>G4090+I4090</f>
        <v/>
      </c>
      <c r="K4090" s="256" t="n"/>
      <c r="L4090" s="256" t="n"/>
      <c r="M4090" s="256" t="n"/>
      <c r="N4090" s="256" t="n"/>
      <c r="O4090" s="256" t="n"/>
      <c r="P4090" s="256" t="n"/>
      <c r="Q4090" s="256" t="n"/>
    </row>
    <row r="4091">
      <c r="A4091">
        <f>IF(DAY(D4091)=DAY($L$1+1),A4090+1,A4090)</f>
        <v/>
      </c>
      <c r="B4091" s="1">
        <f>IF(DAY(D4091)=DAY($L$1+1),1,B4090+1)</f>
        <v/>
      </c>
      <c r="C4091" s="46">
        <f>IF(DAY(D4091)=DAY($L$1+1),1,C4090+1)</f>
        <v/>
      </c>
      <c r="D4091" s="2">
        <f>D4090+1</f>
        <v/>
      </c>
      <c r="E4091" s="8">
        <f>IF(DAY(D4091)=DAY($L$1+1),TRUNC((N4090),8),E4090)</f>
        <v/>
      </c>
      <c r="F4091" s="49">
        <f>TRUNC(((1+VLOOKUP(A4091,IPCA!$A$2:$C$140,3,0)))^(C4091/(EDATE(D4091-C4091,1)-(D4091-C4091))),8)</f>
        <v/>
      </c>
      <c r="G4091" s="49">
        <f>TRUNC((E4091*F4091),8)</f>
        <v/>
      </c>
      <c r="H4091" s="49">
        <f>ROUND(((1+$H$4)^(30/360))^(C4091/(EDATE(D4091-B4091,1)-(D4091-B4091))),9)</f>
        <v/>
      </c>
      <c r="I4091" s="49">
        <f>TRUNC((G4091*H4091-G4091),8)</f>
        <v/>
      </c>
      <c r="J4091" s="4">
        <f>G4091+I4091</f>
        <v/>
      </c>
      <c r="K4091" s="256" t="n"/>
      <c r="L4091" s="256" t="n"/>
      <c r="M4091" s="256" t="n"/>
      <c r="N4091" s="256" t="n"/>
      <c r="O4091" s="256" t="n"/>
      <c r="P4091" s="256" t="n"/>
      <c r="Q4091" s="256" t="n"/>
    </row>
    <row r="4092">
      <c r="A4092">
        <f>IF(DAY(D4092)=DAY($L$1+1),A4091+1,A4091)</f>
        <v/>
      </c>
      <c r="B4092" s="1">
        <f>IF(DAY(D4092)=DAY($L$1+1),1,B4091+1)</f>
        <v/>
      </c>
      <c r="C4092" s="46">
        <f>IF(DAY(D4092)=DAY($L$1+1),1,C4091+1)</f>
        <v/>
      </c>
      <c r="D4092" s="2">
        <f>D4091+1</f>
        <v/>
      </c>
      <c r="E4092" s="8">
        <f>IF(DAY(D4092)=DAY($L$1+1),TRUNC((N4091),8),E4091)</f>
        <v/>
      </c>
      <c r="F4092" s="49">
        <f>TRUNC(((1+VLOOKUP(A4092,IPCA!$A$2:$C$140,3,0)))^(C4092/(EDATE(D4092-C4092,1)-(D4092-C4092))),8)</f>
        <v/>
      </c>
      <c r="G4092" s="49">
        <f>TRUNC((E4092*F4092),8)</f>
        <v/>
      </c>
      <c r="H4092" s="49">
        <f>ROUND(((1+$H$4)^(30/360))^(C4092/(EDATE(D4092-B4092,1)-(D4092-B4092))),9)</f>
        <v/>
      </c>
      <c r="I4092" s="49">
        <f>TRUNC((G4092*H4092-G4092),8)</f>
        <v/>
      </c>
      <c r="J4092" s="4">
        <f>G4092+I4092</f>
        <v/>
      </c>
      <c r="K4092" s="256" t="n"/>
      <c r="L4092" s="256" t="n"/>
      <c r="M4092" s="256" t="n"/>
      <c r="N4092" s="256" t="n"/>
      <c r="O4092" s="256" t="n"/>
      <c r="P4092" s="256" t="n"/>
      <c r="Q4092" s="256" t="n"/>
    </row>
    <row r="4093">
      <c r="A4093">
        <f>IF(DAY(D4093)=DAY($L$1+1),A4092+1,A4092)</f>
        <v/>
      </c>
      <c r="B4093" s="1">
        <f>IF(DAY(D4093)=DAY($L$1+1),1,B4092+1)</f>
        <v/>
      </c>
      <c r="C4093" s="46">
        <f>IF(DAY(D4093)=DAY($L$1+1),1,C4092+1)</f>
        <v/>
      </c>
      <c r="D4093" s="2">
        <f>D4092+1</f>
        <v/>
      </c>
      <c r="E4093" s="8">
        <f>IF(DAY(D4093)=DAY($L$1+1),TRUNC((N4092),8),E4092)</f>
        <v/>
      </c>
      <c r="F4093" s="49">
        <f>TRUNC(((1+VLOOKUP(A4093,IPCA!$A$2:$C$140,3,0)))^(C4093/(EDATE(D4093-C4093,1)-(D4093-C4093))),8)</f>
        <v/>
      </c>
      <c r="G4093" s="49">
        <f>TRUNC((E4093*F4093),8)</f>
        <v/>
      </c>
      <c r="H4093" s="49">
        <f>ROUND(((1+$H$4)^(30/360))^(C4093/(EDATE(D4093-B4093,1)-(D4093-B4093))),9)</f>
        <v/>
      </c>
      <c r="I4093" s="49">
        <f>TRUNC((G4093*H4093-G4093),8)</f>
        <v/>
      </c>
      <c r="J4093" s="4">
        <f>G4093+I4093</f>
        <v/>
      </c>
      <c r="K4093" s="256" t="n"/>
      <c r="L4093" s="256" t="n"/>
      <c r="M4093" s="256" t="n"/>
      <c r="N4093" s="256" t="n"/>
      <c r="O4093" s="256" t="n"/>
      <c r="P4093" s="256" t="n"/>
      <c r="Q4093" s="256" t="n"/>
    </row>
    <row r="4094">
      <c r="A4094">
        <f>IF(DAY(D4094)=DAY($L$1+1),A4093+1,A4093)</f>
        <v/>
      </c>
      <c r="B4094" s="1">
        <f>IF(DAY(D4094)=DAY($L$1+1),1,B4093+1)</f>
        <v/>
      </c>
      <c r="C4094" s="46">
        <f>IF(DAY(D4094)=DAY($L$1+1),1,C4093+1)</f>
        <v/>
      </c>
      <c r="D4094" s="2">
        <f>D4093+1</f>
        <v/>
      </c>
      <c r="E4094" s="8">
        <f>IF(DAY(D4094)=DAY($L$1+1),TRUNC((N4093),8),E4093)</f>
        <v/>
      </c>
      <c r="F4094" s="49">
        <f>TRUNC(((1+VLOOKUP(A4094,IPCA!$A$2:$C$140,3,0)))^(C4094/(EDATE(D4094-C4094,1)-(D4094-C4094))),8)</f>
        <v/>
      </c>
      <c r="G4094" s="49">
        <f>TRUNC((E4094*F4094),8)</f>
        <v/>
      </c>
      <c r="H4094" s="49">
        <f>ROUND(((1+$H$4)^(30/360))^(C4094/(EDATE(D4094-B4094,1)-(D4094-B4094))),9)</f>
        <v/>
      </c>
      <c r="I4094" s="49">
        <f>TRUNC((G4094*H4094-G4094),8)</f>
        <v/>
      </c>
      <c r="J4094" s="4">
        <f>G4094+I4094</f>
        <v/>
      </c>
      <c r="K4094" s="256" t="n"/>
      <c r="L4094" s="256" t="n"/>
      <c r="M4094" s="256" t="n"/>
      <c r="N4094" s="256" t="n"/>
      <c r="O4094" s="256" t="n"/>
      <c r="P4094" s="256" t="n"/>
      <c r="Q4094" s="256" t="n"/>
    </row>
    <row r="4095">
      <c r="A4095">
        <f>IF(DAY(D4095)=DAY($L$1+1),A4094+1,A4094)</f>
        <v/>
      </c>
      <c r="B4095" s="1">
        <f>IF(DAY(D4095)=DAY($L$1+1),1,B4094+1)</f>
        <v/>
      </c>
      <c r="C4095" s="46">
        <f>IF(DAY(D4095)=DAY($L$1+1),1,C4094+1)</f>
        <v/>
      </c>
      <c r="D4095" s="2">
        <f>D4094+1</f>
        <v/>
      </c>
      <c r="E4095" s="8">
        <f>IF(DAY(D4095)=DAY($L$1+1),TRUNC((N4094),8),E4094)</f>
        <v/>
      </c>
      <c r="F4095" s="49">
        <f>TRUNC(((1+VLOOKUP(A4095,IPCA!$A$2:$C$140,3,0)))^(C4095/(EDATE(D4095-C4095,1)-(D4095-C4095))),8)</f>
        <v/>
      </c>
      <c r="G4095" s="49">
        <f>TRUNC((E4095*F4095),8)</f>
        <v/>
      </c>
      <c r="H4095" s="49">
        <f>ROUND(((1+$H$4)^(30/360))^(C4095/(EDATE(D4095-B4095,1)-(D4095-B4095))),9)</f>
        <v/>
      </c>
      <c r="I4095" s="49">
        <f>TRUNC((G4095*H4095-G4095),8)</f>
        <v/>
      </c>
      <c r="J4095" s="4">
        <f>G4095+I4095</f>
        <v/>
      </c>
      <c r="K4095" s="256" t="n"/>
      <c r="L4095" s="256" t="n"/>
      <c r="M4095" s="256" t="n"/>
      <c r="N4095" s="256" t="n"/>
      <c r="O4095" s="256" t="n"/>
      <c r="P4095" s="256" t="n"/>
      <c r="Q4095" s="256" t="n"/>
    </row>
    <row r="4096">
      <c r="A4096">
        <f>IF(DAY(D4096)=DAY($L$1+1),A4095+1,A4095)</f>
        <v/>
      </c>
      <c r="B4096" s="1">
        <f>IF(DAY(D4096)=DAY($L$1+1),1,B4095+1)</f>
        <v/>
      </c>
      <c r="C4096" s="46">
        <f>IF(DAY(D4096)=DAY($L$1+1),1,C4095+1)</f>
        <v/>
      </c>
      <c r="D4096" s="2">
        <f>D4095+1</f>
        <v/>
      </c>
      <c r="E4096" s="8">
        <f>IF(DAY(D4096)=DAY($L$1+1),TRUNC((N4095),8),E4095)</f>
        <v/>
      </c>
      <c r="F4096" s="49">
        <f>TRUNC(((1+VLOOKUP(A4096,IPCA!$A$2:$C$140,3,0)))^(C4096/(EDATE(D4096-C4096,1)-(D4096-C4096))),8)</f>
        <v/>
      </c>
      <c r="G4096" s="49">
        <f>TRUNC((E4096*F4096),8)</f>
        <v/>
      </c>
      <c r="H4096" s="49">
        <f>ROUND(((1+$H$4)^(30/360))^(C4096/(EDATE(D4096-B4096,1)-(D4096-B4096))),9)</f>
        <v/>
      </c>
      <c r="I4096" s="49">
        <f>TRUNC((G4096*H4096-G4096),8)</f>
        <v/>
      </c>
      <c r="J4096" s="4">
        <f>G4096+I4096</f>
        <v/>
      </c>
      <c r="K4096" s="256" t="n"/>
      <c r="L4096" s="256" t="n"/>
      <c r="M4096" s="256" t="n"/>
      <c r="N4096" s="256" t="n"/>
      <c r="O4096" s="256" t="n"/>
      <c r="P4096" s="256" t="n"/>
      <c r="Q4096" s="256" t="n"/>
    </row>
    <row r="4097">
      <c r="A4097">
        <f>IF(DAY(D4097)=DAY($L$1+1),A4096+1,A4096)</f>
        <v/>
      </c>
      <c r="B4097" s="1">
        <f>IF(DAY(D4097)=DAY($L$1+1),1,B4096+1)</f>
        <v/>
      </c>
      <c r="C4097" s="46">
        <f>IF(DAY(D4097)=DAY($L$1+1),1,C4096+1)</f>
        <v/>
      </c>
      <c r="D4097" s="2">
        <f>D4096+1</f>
        <v/>
      </c>
      <c r="E4097" s="8">
        <f>IF(DAY(D4097)=DAY($L$1+1),TRUNC((N4096),8),E4096)</f>
        <v/>
      </c>
      <c r="F4097" s="49">
        <f>TRUNC(((1+VLOOKUP(A4097,IPCA!$A$2:$C$140,3,0)))^(C4097/(EDATE(D4097-C4097,1)-(D4097-C4097))),8)</f>
        <v/>
      </c>
      <c r="G4097" s="49">
        <f>TRUNC((E4097*F4097),8)</f>
        <v/>
      </c>
      <c r="H4097" s="49">
        <f>ROUND(((1+$H$4)^(30/360))^(C4097/(EDATE(D4097-B4097,1)-(D4097-B4097))),9)</f>
        <v/>
      </c>
      <c r="I4097" s="49">
        <f>TRUNC((G4097*H4097-G4097),8)</f>
        <v/>
      </c>
      <c r="J4097" s="4">
        <f>G4097+I4097</f>
        <v/>
      </c>
      <c r="K4097" s="256" t="inlineStr">
        <is>
          <t>Cri Integralizado</t>
        </is>
      </c>
      <c r="L4097" s="270">
        <f>L4066</f>
        <v/>
      </c>
      <c r="M4097" s="256" t="n"/>
      <c r="N4097" s="256" t="n"/>
      <c r="O4097" s="256" t="n"/>
      <c r="P4097" s="256" t="n"/>
      <c r="Q4097" s="256" t="n"/>
    </row>
    <row r="4098">
      <c r="A4098">
        <f>IF(DAY(D4098)=DAY($L$1+1),A4097+1,A4097)</f>
        <v/>
      </c>
      <c r="B4098" s="1">
        <f>IF(DAY(D4098)=DAY($L$1+1),1,B4097+1)</f>
        <v/>
      </c>
      <c r="C4098" s="46">
        <f>IF(DAY(D4098)=DAY($L$1+1),1,C4097+1)</f>
        <v/>
      </c>
      <c r="D4098" s="2">
        <f>D4097+1</f>
        <v/>
      </c>
      <c r="E4098" s="8">
        <f>IF(DAY(D4098)=DAY($L$1+1),TRUNC((N4097),8),E4097)</f>
        <v/>
      </c>
      <c r="F4098" s="49">
        <f>TRUNC(((1+VLOOKUP(A4098,IPCA!$A$2:$C$140,3,0)))^(C4098/(EDATE(D4098-C4098,1)-(D4098-C4098))),8)</f>
        <v/>
      </c>
      <c r="G4098" s="49">
        <f>TRUNC((E4098*F4098),8)</f>
        <v/>
      </c>
      <c r="H4098" s="49">
        <f>ROUND(((1+$H$4)^(30/360))^(C4098/(EDATE(D4098-B4098,1)-(D4098-B4098))),9)</f>
        <v/>
      </c>
      <c r="I4098" s="49">
        <f>TRUNC((G4098*H4098-G4098),8)</f>
        <v/>
      </c>
      <c r="J4098" s="4">
        <f>G4098+I4098</f>
        <v/>
      </c>
      <c r="K4098" s="137" t="inlineStr">
        <is>
          <t>JUROS</t>
        </is>
      </c>
      <c r="L4098" s="118" t="inlineStr">
        <is>
          <t>AMORTIZAÇÃO</t>
        </is>
      </c>
      <c r="M4098" s="118" t="inlineStr">
        <is>
          <t>AMEX</t>
        </is>
      </c>
      <c r="N4098" s="118" t="inlineStr">
        <is>
          <t>RESIDUAL</t>
        </is>
      </c>
      <c r="O4098" s="256" t="n"/>
      <c r="P4098" s="256" t="n"/>
      <c r="Q4098" s="256" t="n"/>
    </row>
    <row r="4099">
      <c r="A4099">
        <f>IF(DAY(D4099)=DAY($L$1+1),A4098+1,A4098)</f>
        <v/>
      </c>
      <c r="B4099" s="111">
        <f>IF(DAY(D4099)=DAY($L$1+1),1,B4098+1)</f>
        <v/>
      </c>
      <c r="C4099" s="111">
        <f>IF(DAY(D4099)=DAY($L$1+1),1,C4098+1)</f>
        <v/>
      </c>
      <c r="D4099" s="112">
        <f>D4098+1</f>
        <v/>
      </c>
      <c r="E4099" s="113">
        <f>IF(DAY(D4099)=DAY($L$1+1),TRUNC((N4098),8),E4098)</f>
        <v/>
      </c>
      <c r="F4099" s="114">
        <f>TRUNC(((1+VLOOKUP(A4099,IPCA!$A$2:$C$140,3,0)))^(C4099/(EDATE(D4099-C4099,1)-(D4099-C4099))),8)</f>
        <v/>
      </c>
      <c r="G4099" s="114">
        <f>TRUNC((E4099*F4099),8)</f>
        <v/>
      </c>
      <c r="H4099" s="114">
        <f>ROUND(((1+$H$4)^(30/360))^(C4099/(EDATE(D4099-B4099,1)-(D4099-B4099))),9)</f>
        <v/>
      </c>
      <c r="I4099" s="114">
        <f>TRUNC((G4099*H4099-G4099),8)</f>
        <v/>
      </c>
      <c r="J4099" s="114">
        <f>G4099+I4099</f>
        <v/>
      </c>
      <c r="K4099" s="119">
        <f>I4099</f>
        <v/>
      </c>
      <c r="L4099" s="120">
        <f>TRUNC(G4099*VLOOKUP(D4099,'Amort TS'!$G$3:$H$140,2,0),8)</f>
        <v/>
      </c>
      <c r="M4099" s="120" t="n">
        <v>0</v>
      </c>
      <c r="N4099" s="120">
        <f>J4099-K4099-L4099-M4099</f>
        <v/>
      </c>
      <c r="O4099" s="256" t="n"/>
      <c r="P4099" s="256" t="n"/>
      <c r="Q4099" s="256" t="n"/>
    </row>
    <row r="4100">
      <c r="A4100">
        <f>IF(DAY(D4100)=DAY($L$1+1),A4099+1,A4099)</f>
        <v/>
      </c>
      <c r="B4100" s="1">
        <f>IF(DAY(D4100)=DAY($L$1+1),1,B4099+1)</f>
        <v/>
      </c>
      <c r="C4100" s="46">
        <f>IF(DAY(D4100)=DAY($L$1+1),1,C4099+1)</f>
        <v/>
      </c>
      <c r="D4100" s="2">
        <f>D4099+1</f>
        <v/>
      </c>
      <c r="E4100" s="8">
        <f>IF(DAY(D4100)=DAY($L$1+1),TRUNC((N4099),8),E4099)</f>
        <v/>
      </c>
      <c r="F4100" s="49">
        <f>TRUNC(((1+VLOOKUP(A4100,IPCA!$A$2:$C$140,3,0)))^(C4100/(EDATE(D4100-C4100,1)-(D4100-C4100))),8)</f>
        <v/>
      </c>
      <c r="G4100" s="49">
        <f>TRUNC((E4100*F4100),8)</f>
        <v/>
      </c>
      <c r="H4100" s="49">
        <f>ROUND(((1+$H$4)^(30/360))^(C4100/(EDATE(D4100-B4100,1)-(D4100-B4100))),9)</f>
        <v/>
      </c>
      <c r="I4100" s="49">
        <f>TRUNC((G4100*H4100-G4100),8)</f>
        <v/>
      </c>
      <c r="J4100" s="4">
        <f>G4100+I4100</f>
        <v/>
      </c>
      <c r="K4100" s="121">
        <f>K4099*L4097</f>
        <v/>
      </c>
      <c r="L4100" s="121">
        <f>L4099*L4097</f>
        <v/>
      </c>
      <c r="M4100" s="121">
        <f>M4099*L4097</f>
        <v/>
      </c>
      <c r="N4100" s="121">
        <f>N4099*L4097</f>
        <v/>
      </c>
      <c r="O4100" s="256" t="n"/>
      <c r="P4100" s="256" t="n"/>
      <c r="Q4100" s="256" t="n"/>
    </row>
    <row r="4101">
      <c r="A4101">
        <f>IF(DAY(D4101)=DAY($L$1+1),A4100+1,A4100)</f>
        <v/>
      </c>
      <c r="B4101" s="1">
        <f>IF(DAY(D4101)=DAY($L$1+1),1,B4100+1)</f>
        <v/>
      </c>
      <c r="C4101" s="46">
        <f>IF(DAY(D4101)=DAY($L$1+1),1,C4100+1)</f>
        <v/>
      </c>
      <c r="D4101" s="2">
        <f>D4100+1</f>
        <v/>
      </c>
      <c r="E4101" s="8">
        <f>IF(DAY(D4101)=DAY($L$1+1),TRUNC((N4100),8),E4100)</f>
        <v/>
      </c>
      <c r="F4101" s="49">
        <f>TRUNC(((1+VLOOKUP(A4101,IPCA!$A$2:$C$140,3,0)))^(C4101/(EDATE(D4101-C4101,1)-(D4101-C4101))),8)</f>
        <v/>
      </c>
      <c r="G4101" s="49">
        <f>TRUNC((E4101*F4101),8)</f>
        <v/>
      </c>
      <c r="H4101" s="49">
        <f>ROUND(((1+$H$4)^(30/360))^(C4101/(EDATE(D4101-B4101,1)-(D4101-B4101))),9)</f>
        <v/>
      </c>
      <c r="I4101" s="49">
        <f>TRUNC((G4101*H4101-G4101),8)</f>
        <v/>
      </c>
      <c r="J4101" s="4">
        <f>G4101+I4101</f>
        <v/>
      </c>
      <c r="K4101" s="256" t="n"/>
      <c r="L4101" s="256" t="n"/>
      <c r="M4101" s="256" t="n"/>
      <c r="N4101" s="256" t="n"/>
      <c r="O4101" s="256" t="n"/>
      <c r="P4101" s="256" t="n"/>
      <c r="Q4101" s="256" t="n"/>
    </row>
    <row r="4102">
      <c r="A4102">
        <f>IF(DAY(D4102)=DAY($L$1+1),A4101+1,A4101)</f>
        <v/>
      </c>
      <c r="B4102" s="1">
        <f>IF(DAY(D4102)=DAY($L$1+1),1,B4101+1)</f>
        <v/>
      </c>
      <c r="C4102" s="46">
        <f>IF(DAY(D4102)=DAY($L$1+1),1,C4101+1)</f>
        <v/>
      </c>
      <c r="D4102" s="2">
        <f>D4101+1</f>
        <v/>
      </c>
      <c r="E4102" s="8">
        <f>IF(DAY(D4102)=DAY($L$1+1),TRUNC((#REF!),8),E4101)</f>
        <v/>
      </c>
      <c r="F4102" s="49">
        <f>TRUNC(((1+VLOOKUP(A4102,IPCA!$A$2:$C$140,3,0)))^(C4102/(EDATE(D4102-C4102,1)-(D4102-C4102))),8)</f>
        <v/>
      </c>
      <c r="G4102" s="49">
        <f>TRUNC((E4102*F4102),8)</f>
        <v/>
      </c>
      <c r="H4102" s="49">
        <f>ROUND(((1+$H$4)^(30/360))^(C4102/(EDATE(D4102-B4102,1)-(D4102-B4102))),9)</f>
        <v/>
      </c>
      <c r="I4102" s="49">
        <f>TRUNC((G4102*H4102-G4102),8)</f>
        <v/>
      </c>
      <c r="J4102" s="4">
        <f>G4102+I4102</f>
        <v/>
      </c>
      <c r="K4102" s="256" t="n"/>
      <c r="L4102" s="256" t="n"/>
      <c r="M4102" s="256" t="n"/>
      <c r="N4102" s="256" t="n"/>
      <c r="O4102" s="256" t="n"/>
      <c r="P4102" s="256" t="n"/>
      <c r="Q4102" s="256" t="n"/>
    </row>
    <row r="4103">
      <c r="A4103">
        <f>IF(DAY(D4103)=DAY($L$1+1),A4102+1,A4102)</f>
        <v/>
      </c>
      <c r="B4103" s="1">
        <f>IF(DAY(D4103)=DAY($L$1+1),1,B4102+1)</f>
        <v/>
      </c>
      <c r="C4103" s="46">
        <f>IF(DAY(D4103)=DAY($L$1+1),1,C4102+1)</f>
        <v/>
      </c>
      <c r="D4103" s="2">
        <f>D4102+1</f>
        <v/>
      </c>
      <c r="E4103" s="8">
        <f>IF(DAY(D4103)=DAY($L$1+1),TRUNC((#REF!),8),E4102)</f>
        <v/>
      </c>
      <c r="F4103" s="49">
        <f>TRUNC(((1+VLOOKUP(A4103,IPCA!$A$2:$C$140,3,0)))^(C4103/(EDATE(D4103-C4103,1)-(D4103-C4103))),8)</f>
        <v/>
      </c>
      <c r="G4103" s="49">
        <f>TRUNC((E4103*F4103),8)</f>
        <v/>
      </c>
      <c r="H4103" s="49">
        <f>ROUND(((1+$H$4)^(30/360))^(C4103/(EDATE(D4103-B4103,1)-(D4103-B4103))),9)</f>
        <v/>
      </c>
      <c r="I4103" s="49">
        <f>TRUNC((G4103*H4103-G4103),8)</f>
        <v/>
      </c>
      <c r="J4103" s="4">
        <f>G4103+I4103</f>
        <v/>
      </c>
      <c r="K4103" s="256" t="n"/>
      <c r="L4103" s="256" t="n"/>
      <c r="M4103" s="256" t="n"/>
      <c r="N4103" s="256" t="n"/>
      <c r="O4103" s="256" t="n"/>
      <c r="P4103" s="256" t="n"/>
      <c r="Q4103" s="256" t="n"/>
    </row>
    <row r="4104">
      <c r="A4104">
        <f>IF(DAY(D4104)=DAY($L$1+1),A4103+1,A4103)</f>
        <v/>
      </c>
      <c r="B4104" s="1">
        <f>IF(DAY(D4104)=DAY($L$1+1),1,B4103+1)</f>
        <v/>
      </c>
      <c r="C4104" s="46">
        <f>IF(DAY(D4104)=DAY($L$1+1),1,C4103+1)</f>
        <v/>
      </c>
      <c r="D4104" s="2">
        <f>D4103+1</f>
        <v/>
      </c>
      <c r="E4104" s="8">
        <f>IF(DAY(D4104)=DAY($L$1+1),TRUNC((#REF!),8),E4103)</f>
        <v/>
      </c>
      <c r="F4104" s="49">
        <f>TRUNC(((1+VLOOKUP(A4104,IPCA!$A$2:$C$140,3,0)))^(C4104/(EDATE(D4104-C4104,1)-(D4104-C4104))),8)</f>
        <v/>
      </c>
      <c r="G4104" s="49">
        <f>TRUNC((E4104*F4104),8)</f>
        <v/>
      </c>
      <c r="H4104" s="49">
        <f>ROUND(((1+$H$4)^(30/360))^(C4104/(EDATE(D4104-B4104,1)-(D4104-B4104))),9)</f>
        <v/>
      </c>
      <c r="I4104" s="49">
        <f>TRUNC((G4104*H4104-G4104),8)</f>
        <v/>
      </c>
      <c r="J4104" s="4">
        <f>G4104+I4104</f>
        <v/>
      </c>
      <c r="K4104" s="256" t="n"/>
      <c r="L4104" s="256" t="n"/>
      <c r="M4104" s="256" t="n"/>
      <c r="N4104" s="256" t="n"/>
      <c r="O4104" s="256" t="n"/>
      <c r="P4104" s="256" t="n"/>
      <c r="Q4104" s="256" t="n"/>
    </row>
    <row r="4105">
      <c r="A4105">
        <f>IF(DAY(D4105)=DAY($L$1+1),A4104+1,A4104)</f>
        <v/>
      </c>
      <c r="B4105" s="1">
        <f>IF(DAY(D4105)=DAY($L$1+1),1,B4104+1)</f>
        <v/>
      </c>
      <c r="C4105" s="46">
        <f>IF(DAY(D4105)=DAY($L$1+1),1,C4104+1)</f>
        <v/>
      </c>
      <c r="D4105" s="2">
        <f>D4104+1</f>
        <v/>
      </c>
      <c r="E4105" s="8">
        <f>IF(DAY(D4105)=DAY($L$1+1),TRUNC((#REF!),8),E4104)</f>
        <v/>
      </c>
      <c r="F4105" s="49">
        <f>TRUNC(((1+VLOOKUP(A4105,IPCA!$A$2:$C$140,3,0)))^(C4105/(EDATE(D4105-C4105,1)-(D4105-C4105))),8)</f>
        <v/>
      </c>
      <c r="G4105" s="49">
        <f>TRUNC((E4105*F4105),8)</f>
        <v/>
      </c>
      <c r="H4105" s="49">
        <f>ROUND(((1+$H$4)^(30/360))^(C4105/(EDATE(D4105-B4105,1)-(D4105-B4105))),9)</f>
        <v/>
      </c>
      <c r="I4105" s="49">
        <f>TRUNC((G4105*H4105-G4105),8)</f>
        <v/>
      </c>
      <c r="J4105" s="4">
        <f>G4105+I4105</f>
        <v/>
      </c>
      <c r="K4105" s="256" t="n"/>
      <c r="L4105" s="256" t="n"/>
      <c r="M4105" s="256" t="n"/>
      <c r="N4105" s="256" t="n"/>
      <c r="O4105" s="256" t="n"/>
      <c r="P4105" s="256" t="n"/>
      <c r="Q4105" s="256" t="n"/>
    </row>
    <row r="4106">
      <c r="A4106">
        <f>IF(DAY(D4106)=DAY($L$1+1),A4105+1,A4105)</f>
        <v/>
      </c>
      <c r="B4106" s="1">
        <f>IF(DAY(D4106)=DAY($L$1+1),1,B4105+1)</f>
        <v/>
      </c>
      <c r="C4106" s="46">
        <f>IF(DAY(D4106)=DAY($L$1+1),1,C4105+1)</f>
        <v/>
      </c>
      <c r="D4106" s="2">
        <f>D4105+1</f>
        <v/>
      </c>
      <c r="E4106" s="8">
        <f>IF(DAY(D4106)=DAY($L$1+1),TRUNC((#REF!),8),E4105)</f>
        <v/>
      </c>
      <c r="F4106" s="49">
        <f>TRUNC(((1+VLOOKUP(A4106,IPCA!$A$2:$C$140,3,0)))^(C4106/(EDATE(D4106-C4106,1)-(D4106-C4106))),8)</f>
        <v/>
      </c>
      <c r="G4106" s="49">
        <f>TRUNC((E4106*F4106),8)</f>
        <v/>
      </c>
      <c r="H4106" s="49">
        <f>ROUND(((1+$H$4)^(30/360))^(C4106/(EDATE(D4106-B4106,1)-(D4106-B4106))),9)</f>
        <v/>
      </c>
      <c r="I4106" s="49">
        <f>TRUNC((G4106*H4106-G4106),8)</f>
        <v/>
      </c>
      <c r="J4106" s="4">
        <f>G4106+I4106</f>
        <v/>
      </c>
      <c r="K4106" s="256" t="n"/>
      <c r="L4106" s="256" t="n"/>
      <c r="M4106" s="256" t="n"/>
      <c r="N4106" s="256" t="n"/>
      <c r="O4106" s="256" t="n"/>
      <c r="P4106" s="256" t="n"/>
      <c r="Q4106" s="256" t="n"/>
    </row>
    <row r="4107">
      <c r="A4107">
        <f>IF(DAY(D4107)=DAY($L$1+1),A4106+1,A4106)</f>
        <v/>
      </c>
      <c r="B4107" s="1">
        <f>IF(DAY(D4107)=DAY($L$1+1),1,B4106+1)</f>
        <v/>
      </c>
      <c r="C4107" s="46">
        <f>IF(DAY(D4107)=DAY($L$1+1),1,C4106+1)</f>
        <v/>
      </c>
      <c r="D4107" s="2">
        <f>D4106+1</f>
        <v/>
      </c>
      <c r="E4107" s="8">
        <f>IF(DAY(D4107)=DAY($L$1+1),TRUNC((#REF!),8),E4106)</f>
        <v/>
      </c>
      <c r="F4107" s="49">
        <f>TRUNC(((1+VLOOKUP(A4107,IPCA!$A$2:$C$140,3,0)))^(C4107/(EDATE(D4107-C4107,1)-(D4107-C4107))),8)</f>
        <v/>
      </c>
      <c r="G4107" s="49">
        <f>TRUNC((E4107*F4107),8)</f>
        <v/>
      </c>
      <c r="H4107" s="49">
        <f>ROUND(((1+$H$4)^(30/360))^(C4107/(EDATE(D4107-B4107,1)-(D4107-B4107))),9)</f>
        <v/>
      </c>
      <c r="I4107" s="49">
        <f>TRUNC((G4107*H4107-G4107),8)</f>
        <v/>
      </c>
      <c r="J4107" s="4">
        <f>G4107+I4107</f>
        <v/>
      </c>
      <c r="K4107" s="256" t="n"/>
      <c r="L4107" s="256" t="n"/>
      <c r="M4107" s="256" t="n"/>
      <c r="N4107" s="256" t="n"/>
      <c r="O4107" s="256" t="n"/>
      <c r="P4107" s="256" t="n"/>
      <c r="Q4107" s="256" t="n"/>
    </row>
    <row r="4108">
      <c r="A4108">
        <f>IF(DAY(D4108)=DAY($L$1+1),A4107+1,A4107)</f>
        <v/>
      </c>
      <c r="B4108" s="1">
        <f>IF(DAY(D4108)=DAY($L$1+1),1,B4107+1)</f>
        <v/>
      </c>
      <c r="C4108" s="46">
        <f>IF(DAY(D4108)=DAY($L$1+1),1,C4107+1)</f>
        <v/>
      </c>
      <c r="D4108" s="2">
        <f>D4107+1</f>
        <v/>
      </c>
      <c r="E4108" s="8">
        <f>IF(DAY(D4108)=DAY($L$1+1),TRUNC((#REF!),8),E4107)</f>
        <v/>
      </c>
      <c r="F4108" s="49">
        <f>TRUNC(((1+VLOOKUP(A4108,IPCA!$A$2:$C$140,3,0)))^(C4108/(EDATE(D4108-C4108,1)-(D4108-C4108))),8)</f>
        <v/>
      </c>
      <c r="G4108" s="49">
        <f>TRUNC((E4108*F4108),8)</f>
        <v/>
      </c>
      <c r="H4108" s="49">
        <f>ROUND(((1+$H$4)^(30/360))^(C4108/(EDATE(D4108-B4108,1)-(D4108-B4108))),9)</f>
        <v/>
      </c>
      <c r="I4108" s="49">
        <f>TRUNC((G4108*H4108-G4108),8)</f>
        <v/>
      </c>
      <c r="J4108" s="4">
        <f>G4108+I4108</f>
        <v/>
      </c>
      <c r="K4108" s="256" t="n"/>
      <c r="L4108" s="256" t="n"/>
      <c r="M4108" s="256" t="n"/>
      <c r="N4108" s="256" t="n"/>
      <c r="O4108" s="256" t="n"/>
      <c r="P4108" s="256" t="n"/>
      <c r="Q4108" s="256" t="n"/>
    </row>
    <row r="4109">
      <c r="A4109">
        <f>IF(DAY(D4109)=DAY($L$1+1),A4108+1,A4108)</f>
        <v/>
      </c>
      <c r="B4109" s="1">
        <f>IF(DAY(D4109)=DAY($L$1+1),1,B4108+1)</f>
        <v/>
      </c>
      <c r="C4109" s="46">
        <f>IF(DAY(D4109)=DAY($L$1+1),1,C4108+1)</f>
        <v/>
      </c>
      <c r="D4109" s="2">
        <f>D4108+1</f>
        <v/>
      </c>
      <c r="E4109" s="8">
        <f>IF(DAY(D4109)=DAY($L$1+1),TRUNC((#REF!),8),E4108)</f>
        <v/>
      </c>
      <c r="F4109" s="49">
        <f>TRUNC(((1+VLOOKUP(A4109,IPCA!$A$2:$C$140,3,0)))^(C4109/(EDATE(D4109-C4109,1)-(D4109-C4109))),8)</f>
        <v/>
      </c>
      <c r="G4109" s="49">
        <f>TRUNC((E4109*F4109),8)</f>
        <v/>
      </c>
      <c r="H4109" s="49">
        <f>ROUND(((1+$H$4)^(30/360))^(C4109/(EDATE(D4109-B4109,1)-(D4109-B4109))),9)</f>
        <v/>
      </c>
      <c r="I4109" s="49">
        <f>TRUNC((G4109*H4109-G4109),8)</f>
        <v/>
      </c>
      <c r="J4109" s="4">
        <f>G4109+I4109</f>
        <v/>
      </c>
      <c r="K4109" s="256" t="n"/>
      <c r="L4109" s="256" t="n"/>
      <c r="M4109" s="256" t="n"/>
      <c r="N4109" s="256" t="n"/>
      <c r="O4109" s="256" t="n"/>
      <c r="P4109" s="256" t="n"/>
      <c r="Q4109" s="256" t="n"/>
    </row>
    <row r="4110">
      <c r="A4110">
        <f>IF(DAY(D4110)=DAY($L$1+1),A4109+1,A4109)</f>
        <v/>
      </c>
      <c r="B4110" s="1">
        <f>IF(DAY(D4110)=DAY($L$1+1),1,B4109+1)</f>
        <v/>
      </c>
      <c r="C4110" s="46">
        <f>IF(DAY(D4110)=DAY($L$1+1),1,C4109+1)</f>
        <v/>
      </c>
      <c r="D4110" s="2">
        <f>D4109+1</f>
        <v/>
      </c>
      <c r="E4110" s="8">
        <f>IF(DAY(D4110)=DAY($L$1+1),TRUNC((#REF!),8),E4109)</f>
        <v/>
      </c>
      <c r="F4110" s="49">
        <f>TRUNC(((1+VLOOKUP(A4110,IPCA!$A$2:$C$140,3,0)))^(C4110/(EDATE(D4110-C4110,1)-(D4110-C4110))),8)</f>
        <v/>
      </c>
      <c r="G4110" s="49">
        <f>TRUNC((E4110*F4110),8)</f>
        <v/>
      </c>
      <c r="H4110" s="49">
        <f>ROUND(((1+$H$4)^(30/360))^(C4110/(EDATE(D4110-B4110,1)-(D4110-B4110))),9)</f>
        <v/>
      </c>
      <c r="I4110" s="49">
        <f>TRUNC((G4110*H4110-G4110),8)</f>
        <v/>
      </c>
      <c r="J4110" s="4">
        <f>G4110+I4110</f>
        <v/>
      </c>
      <c r="K4110" s="256" t="n"/>
      <c r="L4110" s="256" t="n"/>
      <c r="M4110" s="256" t="n"/>
      <c r="N4110" s="256" t="n"/>
      <c r="O4110" s="256" t="n"/>
      <c r="P4110" s="256" t="n"/>
      <c r="Q4110" s="256" t="n"/>
    </row>
    <row r="4111">
      <c r="A4111">
        <f>IF(DAY(D4111)=DAY($L$1+1),A4110+1,A4110)</f>
        <v/>
      </c>
      <c r="B4111" s="1">
        <f>IF(DAY(D4111)=DAY($L$1+1),1,B4110+1)</f>
        <v/>
      </c>
      <c r="C4111" s="46">
        <f>IF(DAY(D4111)=DAY($L$1+1),1,C4110+1)</f>
        <v/>
      </c>
      <c r="D4111" s="2">
        <f>D4110+1</f>
        <v/>
      </c>
      <c r="E4111" s="8">
        <f>IF(DAY(D4111)=DAY($L$1+1),TRUNC((#REF!),8),E4110)</f>
        <v/>
      </c>
      <c r="F4111" s="49">
        <f>TRUNC(((1+VLOOKUP(A4111,IPCA!$A$2:$C$140,3,0)))^(C4111/(EDATE(D4111-C4111,1)-(D4111-C4111))),8)</f>
        <v/>
      </c>
      <c r="G4111" s="49">
        <f>TRUNC((E4111*F4111),8)</f>
        <v/>
      </c>
      <c r="H4111" s="49">
        <f>ROUND(((1+$H$4)^(30/360))^(C4111/(EDATE(D4111-B4111,1)-(D4111-B4111))),9)</f>
        <v/>
      </c>
      <c r="I4111" s="49">
        <f>TRUNC((G4111*H4111-G4111),8)</f>
        <v/>
      </c>
      <c r="J4111" s="4">
        <f>G4111+I4111</f>
        <v/>
      </c>
      <c r="K4111" s="256" t="n"/>
      <c r="L4111" s="256" t="n"/>
      <c r="M4111" s="256" t="n"/>
      <c r="N4111" s="256" t="n"/>
      <c r="O4111" s="256" t="n"/>
      <c r="P4111" s="256" t="n"/>
      <c r="Q4111" s="256" t="n"/>
    </row>
    <row r="4112">
      <c r="A4112">
        <f>IF(DAY(D4112)=DAY($L$1+1),A4111+1,A4111)</f>
        <v/>
      </c>
      <c r="B4112" s="1">
        <f>IF(DAY(D4112)=DAY($L$1+1),1,B4111+1)</f>
        <v/>
      </c>
      <c r="C4112" s="46">
        <f>IF(DAY(D4112)=DAY($L$1+1),1,C4111+1)</f>
        <v/>
      </c>
      <c r="D4112" s="2">
        <f>D4111+1</f>
        <v/>
      </c>
      <c r="E4112" s="8">
        <f>IF(DAY(D4112)=DAY($L$1+1),TRUNC((#REF!),8),E4111)</f>
        <v/>
      </c>
      <c r="F4112" s="49">
        <f>TRUNC(((1+VLOOKUP(A4112,IPCA!$A$2:$C$140,3,0)))^(C4112/(EDATE(D4112-C4112,1)-(D4112-C4112))),8)</f>
        <v/>
      </c>
      <c r="G4112" s="49">
        <f>TRUNC((E4112*F4112),8)</f>
        <v/>
      </c>
      <c r="H4112" s="49">
        <f>ROUND(((1+$H$4)^(30/360))^(C4112/(EDATE(D4112-B4112,1)-(D4112-B4112))),9)</f>
        <v/>
      </c>
      <c r="I4112" s="49">
        <f>TRUNC((G4112*H4112-G4112),8)</f>
        <v/>
      </c>
      <c r="J4112" s="4">
        <f>G4112+I4112</f>
        <v/>
      </c>
      <c r="K4112" s="256" t="n"/>
      <c r="L4112" s="256" t="n"/>
      <c r="M4112" s="256" t="n"/>
      <c r="N4112" s="256" t="n"/>
      <c r="O4112" s="256" t="n"/>
      <c r="P4112" s="256" t="n"/>
      <c r="Q4112" s="256" t="n"/>
    </row>
    <row r="4113">
      <c r="A4113">
        <f>IF(DAY(D4113)=DAY($L$1+1),A4112+1,A4112)</f>
        <v/>
      </c>
      <c r="B4113" s="1">
        <f>IF(DAY(D4113)=DAY($L$1+1),1,B4112+1)</f>
        <v/>
      </c>
      <c r="C4113" s="46">
        <f>IF(DAY(D4113)=DAY($L$1+1),1,C4112+1)</f>
        <v/>
      </c>
      <c r="D4113" s="2">
        <f>D4112+1</f>
        <v/>
      </c>
      <c r="E4113" s="8">
        <f>IF(DAY(D4113)=DAY($L$1+1),TRUNC((N4112),8),E4112)</f>
        <v/>
      </c>
      <c r="F4113" s="49">
        <f>TRUNC(((1+VLOOKUP(A4113,IPCA!$A$2:$C$140,3,0)))^(C4113/(EDATE(D4113-C4113,1)-(D4113-C4113))),8)</f>
        <v/>
      </c>
      <c r="G4113" s="49">
        <f>TRUNC((E4113*F4113),8)</f>
        <v/>
      </c>
      <c r="H4113" s="49">
        <f>ROUND(((1+$H$4)^(30/360))^(C4113/(EDATE(D4113-B4113,1)-(D4113-B4113))),9)</f>
        <v/>
      </c>
      <c r="I4113" s="49">
        <f>TRUNC((G4113*H4113-G4113),8)</f>
        <v/>
      </c>
      <c r="J4113" s="4">
        <f>G4113+I4113</f>
        <v/>
      </c>
      <c r="K4113" s="256" t="n"/>
      <c r="L4113" s="256" t="n"/>
      <c r="M4113" s="256" t="n"/>
      <c r="N4113" s="256" t="n"/>
      <c r="O4113" s="256" t="n"/>
      <c r="P4113" s="256" t="n"/>
      <c r="Q4113" s="256" t="n"/>
    </row>
    <row r="4114">
      <c r="A4114">
        <f>IF(DAY(D4114)=DAY($L$1+1),A4113+1,A4113)</f>
        <v/>
      </c>
      <c r="B4114" s="1">
        <f>IF(DAY(D4114)=DAY($L$1+1),1,B4113+1)</f>
        <v/>
      </c>
      <c r="C4114" s="46">
        <f>IF(DAY(D4114)=DAY($L$1+1),1,C4113+1)</f>
        <v/>
      </c>
      <c r="D4114" s="2">
        <f>D4113+1</f>
        <v/>
      </c>
      <c r="E4114" s="8">
        <f>IF(DAY(D4114)=DAY($L$1+1),TRUNC((N4113),8),E4113)</f>
        <v/>
      </c>
      <c r="F4114" s="49">
        <f>TRUNC(((1+VLOOKUP(A4114,IPCA!$A$2:$C$140,3,0)))^(C4114/(EDATE(D4114-C4114,1)-(D4114-C4114))),8)</f>
        <v/>
      </c>
      <c r="G4114" s="49">
        <f>TRUNC((E4114*F4114),8)</f>
        <v/>
      </c>
      <c r="H4114" s="49">
        <f>ROUND(((1+$H$4)^(30/360))^(C4114/(EDATE(D4114-B4114,1)-(D4114-B4114))),9)</f>
        <v/>
      </c>
      <c r="I4114" s="49">
        <f>TRUNC((G4114*H4114-G4114),8)</f>
        <v/>
      </c>
      <c r="J4114" s="4">
        <f>G4114+I4114</f>
        <v/>
      </c>
      <c r="K4114" s="256" t="n"/>
      <c r="L4114" s="256" t="n"/>
      <c r="M4114" s="256" t="n"/>
      <c r="N4114" s="256" t="n"/>
      <c r="O4114" s="256" t="n"/>
      <c r="P4114" s="256" t="n"/>
      <c r="Q4114" s="256" t="n"/>
    </row>
    <row r="4115">
      <c r="A4115">
        <f>IF(DAY(D4115)=DAY($L$1+1),A4114+1,A4114)</f>
        <v/>
      </c>
      <c r="B4115" s="1">
        <f>IF(DAY(D4115)=DAY($L$1+1),1,B4114+1)</f>
        <v/>
      </c>
      <c r="C4115" s="46">
        <f>IF(DAY(D4115)=DAY($L$1+1),1,C4114+1)</f>
        <v/>
      </c>
      <c r="D4115" s="2">
        <f>D4114+1</f>
        <v/>
      </c>
      <c r="E4115" s="8">
        <f>IF(DAY(D4115)=DAY($L$1+1),TRUNC((N4114),8),E4114)</f>
        <v/>
      </c>
      <c r="F4115" s="49">
        <f>TRUNC(((1+VLOOKUP(A4115,IPCA!$A$2:$C$140,3,0)))^(C4115/(EDATE(D4115-C4115,1)-(D4115-C4115))),8)</f>
        <v/>
      </c>
      <c r="G4115" s="49">
        <f>TRUNC((E4115*F4115),8)</f>
        <v/>
      </c>
      <c r="H4115" s="49">
        <f>ROUND(((1+$H$4)^(30/360))^(C4115/(EDATE(D4115-B4115,1)-(D4115-B4115))),9)</f>
        <v/>
      </c>
      <c r="I4115" s="49">
        <f>TRUNC((G4115*H4115-G4115),8)</f>
        <v/>
      </c>
      <c r="J4115" s="4">
        <f>G4115+I4115</f>
        <v/>
      </c>
      <c r="K4115" s="256" t="n"/>
      <c r="L4115" s="256" t="n"/>
      <c r="M4115" s="256" t="n"/>
      <c r="N4115" s="256" t="n"/>
      <c r="O4115" s="256" t="n"/>
      <c r="P4115" s="256" t="n"/>
      <c r="Q4115" s="256" t="n"/>
    </row>
    <row r="4116">
      <c r="A4116">
        <f>IF(DAY(D4116)=DAY($L$1+1),A4115+1,A4115)</f>
        <v/>
      </c>
      <c r="B4116" s="1">
        <f>IF(DAY(D4116)=DAY($L$1+1),1,B4115+1)</f>
        <v/>
      </c>
      <c r="C4116" s="46">
        <f>IF(DAY(D4116)=DAY($L$1+1),1,C4115+1)</f>
        <v/>
      </c>
      <c r="D4116" s="2">
        <f>D4115+1</f>
        <v/>
      </c>
      <c r="E4116" s="8">
        <f>IF(DAY(D4116)=DAY($L$1+1),TRUNC((N4115),8),E4115)</f>
        <v/>
      </c>
      <c r="F4116" s="49">
        <f>TRUNC(((1+VLOOKUP(A4116,IPCA!$A$2:$C$140,3,0)))^(C4116/(EDATE(D4116-C4116,1)-(D4116-C4116))),8)</f>
        <v/>
      </c>
      <c r="G4116" s="49">
        <f>TRUNC((E4116*F4116),8)</f>
        <v/>
      </c>
      <c r="H4116" s="49">
        <f>ROUND(((1+$H$4)^(30/360))^(C4116/(EDATE(D4116-B4116,1)-(D4116-B4116))),9)</f>
        <v/>
      </c>
      <c r="I4116" s="49">
        <f>TRUNC((G4116*H4116-G4116),8)</f>
        <v/>
      </c>
      <c r="J4116" s="4">
        <f>G4116+I4116</f>
        <v/>
      </c>
      <c r="K4116" s="256" t="n"/>
      <c r="L4116" s="256" t="n"/>
      <c r="M4116" s="256" t="n"/>
      <c r="N4116" s="256" t="n"/>
      <c r="O4116" s="256" t="n"/>
      <c r="P4116" s="256" t="n"/>
      <c r="Q4116" s="256" t="n"/>
    </row>
    <row r="4117">
      <c r="A4117">
        <f>IF(DAY(D4117)=DAY($L$1+1),A4116+1,A4116)</f>
        <v/>
      </c>
      <c r="B4117" s="1">
        <f>IF(DAY(D4117)=DAY($L$1+1),1,B4116+1)</f>
        <v/>
      </c>
      <c r="C4117" s="46">
        <f>IF(DAY(D4117)=DAY($L$1+1),1,C4116+1)</f>
        <v/>
      </c>
      <c r="D4117" s="2">
        <f>D4116+1</f>
        <v/>
      </c>
      <c r="E4117" s="8">
        <f>IF(DAY(D4117)=DAY($L$1+1),TRUNC((N4116),8),E4116)</f>
        <v/>
      </c>
      <c r="F4117" s="49">
        <f>TRUNC(((1+VLOOKUP(A4117,IPCA!$A$2:$C$140,3,0)))^(C4117/(EDATE(D4117-C4117,1)-(D4117-C4117))),8)</f>
        <v/>
      </c>
      <c r="G4117" s="49">
        <f>TRUNC((E4117*F4117),8)</f>
        <v/>
      </c>
      <c r="H4117" s="49">
        <f>ROUND(((1+$H$4)^(30/360))^(C4117/(EDATE(D4117-B4117,1)-(D4117-B4117))),9)</f>
        <v/>
      </c>
      <c r="I4117" s="49">
        <f>TRUNC((G4117*H4117-G4117),8)</f>
        <v/>
      </c>
      <c r="J4117" s="4">
        <f>G4117+I4117</f>
        <v/>
      </c>
      <c r="K4117" s="256" t="n"/>
      <c r="L4117" s="256" t="n"/>
      <c r="M4117" s="256" t="n"/>
      <c r="N4117" s="256" t="n"/>
      <c r="O4117" s="256" t="n"/>
      <c r="P4117" s="256" t="n"/>
      <c r="Q4117" s="256" t="n"/>
    </row>
    <row r="4118">
      <c r="A4118">
        <f>IF(DAY(D4118)=DAY($L$1+1),A4117+1,A4117)</f>
        <v/>
      </c>
      <c r="B4118" s="1">
        <f>IF(DAY(D4118)=DAY($L$1+1),1,B4117+1)</f>
        <v/>
      </c>
      <c r="C4118" s="46">
        <f>IF(DAY(D4118)=DAY($L$1+1),1,C4117+1)</f>
        <v/>
      </c>
      <c r="D4118" s="2">
        <f>D4117+1</f>
        <v/>
      </c>
      <c r="E4118" s="8">
        <f>IF(DAY(D4118)=DAY($L$1+1),TRUNC((N4117),8),E4117)</f>
        <v/>
      </c>
      <c r="F4118" s="49">
        <f>TRUNC(((1+VLOOKUP(A4118,IPCA!$A$2:$C$140,3,0)))^(C4118/(EDATE(D4118-C4118,1)-(D4118-C4118))),8)</f>
        <v/>
      </c>
      <c r="G4118" s="49">
        <f>TRUNC((E4118*F4118),8)</f>
        <v/>
      </c>
      <c r="H4118" s="49">
        <f>ROUND(((1+$H$4)^(30/360))^(C4118/(EDATE(D4118-B4118,1)-(D4118-B4118))),9)</f>
        <v/>
      </c>
      <c r="I4118" s="49">
        <f>TRUNC((G4118*H4118-G4118),8)</f>
        <v/>
      </c>
      <c r="J4118" s="4">
        <f>G4118+I4118</f>
        <v/>
      </c>
      <c r="K4118" s="256" t="n"/>
      <c r="L4118" s="256" t="n"/>
      <c r="M4118" s="256" t="n"/>
      <c r="N4118" s="256" t="n"/>
      <c r="O4118" s="256" t="n"/>
      <c r="P4118" s="256" t="n"/>
      <c r="Q4118" s="256" t="n"/>
    </row>
    <row r="4119">
      <c r="A4119">
        <f>IF(DAY(D4119)=DAY($L$1+1),A4118+1,A4118)</f>
        <v/>
      </c>
      <c r="B4119" s="1">
        <f>IF(DAY(D4119)=DAY($L$1+1),1,B4118+1)</f>
        <v/>
      </c>
      <c r="C4119" s="46">
        <f>IF(DAY(D4119)=DAY($L$1+1),1,C4118+1)</f>
        <v/>
      </c>
      <c r="D4119" s="2">
        <f>D4118+1</f>
        <v/>
      </c>
      <c r="E4119" s="8">
        <f>IF(DAY(D4119)=DAY($L$1+1),TRUNC((N4118),8),E4118)</f>
        <v/>
      </c>
      <c r="F4119" s="49">
        <f>TRUNC(((1+VLOOKUP(A4119,IPCA!$A$2:$C$140,3,0)))^(C4119/(EDATE(D4119-C4119,1)-(D4119-C4119))),8)</f>
        <v/>
      </c>
      <c r="G4119" s="49">
        <f>TRUNC((E4119*F4119),8)</f>
        <v/>
      </c>
      <c r="H4119" s="49">
        <f>ROUND(((1+$H$4)^(30/360))^(C4119/(EDATE(D4119-B4119,1)-(D4119-B4119))),9)</f>
        <v/>
      </c>
      <c r="I4119" s="49">
        <f>TRUNC((G4119*H4119-G4119),8)</f>
        <v/>
      </c>
      <c r="J4119" s="4">
        <f>G4119+I4119</f>
        <v/>
      </c>
      <c r="K4119" s="256" t="n"/>
      <c r="L4119" s="256" t="n"/>
      <c r="M4119" s="256" t="n"/>
      <c r="N4119" s="256" t="n"/>
      <c r="O4119" s="256" t="n"/>
      <c r="P4119" s="256" t="n"/>
      <c r="Q4119" s="256" t="n"/>
    </row>
    <row r="4120">
      <c r="A4120">
        <f>IF(DAY(D4120)=DAY($L$1+1),A4119+1,A4119)</f>
        <v/>
      </c>
      <c r="B4120" s="1">
        <f>IF(DAY(D4120)=DAY($L$1+1),1,B4119+1)</f>
        <v/>
      </c>
      <c r="C4120" s="46">
        <f>IF(DAY(D4120)=DAY($L$1+1),1,C4119+1)</f>
        <v/>
      </c>
      <c r="D4120" s="2">
        <f>D4119+1</f>
        <v/>
      </c>
      <c r="E4120" s="8">
        <f>IF(DAY(D4120)=DAY($L$1+1),TRUNC((N4119),8),E4119)</f>
        <v/>
      </c>
      <c r="F4120" s="49">
        <f>TRUNC(((1+VLOOKUP(A4120,IPCA!$A$2:$C$140,3,0)))^(C4120/(EDATE(D4120-C4120,1)-(D4120-C4120))),8)</f>
        <v/>
      </c>
      <c r="G4120" s="49">
        <f>TRUNC((E4120*F4120),8)</f>
        <v/>
      </c>
      <c r="H4120" s="49">
        <f>ROUND(((1+$H$4)^(30/360))^(C4120/(EDATE(D4120-B4120,1)-(D4120-B4120))),9)</f>
        <v/>
      </c>
      <c r="I4120" s="49">
        <f>TRUNC((G4120*H4120-G4120),8)</f>
        <v/>
      </c>
      <c r="J4120" s="4">
        <f>G4120+I4120</f>
        <v/>
      </c>
      <c r="K4120" s="256" t="n"/>
      <c r="L4120" s="256" t="n"/>
      <c r="M4120" s="256" t="n"/>
      <c r="N4120" s="256" t="n"/>
      <c r="O4120" s="256" t="n"/>
      <c r="P4120" s="256" t="n"/>
      <c r="Q4120" s="256" t="n"/>
    </row>
    <row r="4121">
      <c r="A4121">
        <f>IF(DAY(D4121)=DAY($L$1+1),A4120+1,A4120)</f>
        <v/>
      </c>
      <c r="B4121" s="1">
        <f>IF(DAY(D4121)=DAY($L$1+1),1,B4120+1)</f>
        <v/>
      </c>
      <c r="C4121" s="46">
        <f>IF(DAY(D4121)=DAY($L$1+1),1,C4120+1)</f>
        <v/>
      </c>
      <c r="D4121" s="2">
        <f>D4120+1</f>
        <v/>
      </c>
      <c r="E4121" s="8">
        <f>IF(DAY(D4121)=DAY($L$1+1),TRUNC((N4120),8),E4120)</f>
        <v/>
      </c>
      <c r="F4121" s="49">
        <f>TRUNC(((1+VLOOKUP(A4121,IPCA!$A$2:$C$140,3,0)))^(C4121/(EDATE(D4121-C4121,1)-(D4121-C4121))),8)</f>
        <v/>
      </c>
      <c r="G4121" s="49">
        <f>TRUNC((E4121*F4121),8)</f>
        <v/>
      </c>
      <c r="H4121" s="49">
        <f>ROUND(((1+$H$4)^(30/360))^(C4121/(EDATE(D4121-B4121,1)-(D4121-B4121))),9)</f>
        <v/>
      </c>
      <c r="I4121" s="49">
        <f>TRUNC((G4121*H4121-G4121),8)</f>
        <v/>
      </c>
      <c r="J4121" s="4">
        <f>G4121+I4121</f>
        <v/>
      </c>
      <c r="K4121" s="256" t="n"/>
      <c r="L4121" s="256" t="n"/>
      <c r="M4121" s="256" t="n"/>
      <c r="N4121" s="256" t="n"/>
      <c r="O4121" s="256" t="n"/>
      <c r="P4121" s="256" t="n"/>
      <c r="Q4121" s="256" t="n"/>
    </row>
    <row r="4122">
      <c r="A4122">
        <f>IF(DAY(D4122)=DAY($L$1+1),A4121+1,A4121)</f>
        <v/>
      </c>
      <c r="B4122" s="1">
        <f>IF(DAY(D4122)=DAY($L$1+1),1,B4121+1)</f>
        <v/>
      </c>
      <c r="C4122" s="46">
        <f>IF(DAY(D4122)=DAY($L$1+1),1,C4121+1)</f>
        <v/>
      </c>
      <c r="D4122" s="2">
        <f>D4121+1</f>
        <v/>
      </c>
      <c r="E4122" s="8">
        <f>IF(DAY(D4122)=DAY($L$1+1),TRUNC((N4121),8),E4121)</f>
        <v/>
      </c>
      <c r="F4122" s="49">
        <f>TRUNC(((1+VLOOKUP(A4122,IPCA!$A$2:$C$140,3,0)))^(C4122/(EDATE(D4122-C4122,1)-(D4122-C4122))),8)</f>
        <v/>
      </c>
      <c r="G4122" s="49">
        <f>TRUNC((E4122*F4122),8)</f>
        <v/>
      </c>
      <c r="H4122" s="49">
        <f>ROUND(((1+$H$4)^(30/360))^(C4122/(EDATE(D4122-B4122,1)-(D4122-B4122))),9)</f>
        <v/>
      </c>
      <c r="I4122" s="49">
        <f>TRUNC((G4122*H4122-G4122),8)</f>
        <v/>
      </c>
      <c r="J4122" s="4">
        <f>G4122+I4122</f>
        <v/>
      </c>
      <c r="K4122" s="256" t="n"/>
      <c r="L4122" s="256" t="n"/>
      <c r="M4122" s="256" t="n"/>
      <c r="N4122" s="256" t="n"/>
      <c r="O4122" s="256" t="n"/>
      <c r="P4122" s="256" t="n"/>
      <c r="Q4122" s="256" t="n"/>
    </row>
    <row r="4123">
      <c r="A4123">
        <f>IF(DAY(D4123)=DAY($L$1+1),A4122+1,A4122)</f>
        <v/>
      </c>
      <c r="B4123" s="1">
        <f>IF(DAY(D4123)=DAY($L$1+1),1,B4122+1)</f>
        <v/>
      </c>
      <c r="C4123" s="46">
        <f>IF(DAY(D4123)=DAY($L$1+1),1,C4122+1)</f>
        <v/>
      </c>
      <c r="D4123" s="2">
        <f>D4122+1</f>
        <v/>
      </c>
      <c r="E4123" s="8">
        <f>IF(DAY(D4123)=DAY($L$1+1),TRUNC((N4122),8),E4122)</f>
        <v/>
      </c>
      <c r="F4123" s="49">
        <f>TRUNC(((1+VLOOKUP(A4123,IPCA!$A$2:$C$140,3,0)))^(C4123/(EDATE(D4123-C4123,1)-(D4123-C4123))),8)</f>
        <v/>
      </c>
      <c r="G4123" s="49">
        <f>TRUNC((E4123*F4123),8)</f>
        <v/>
      </c>
      <c r="H4123" s="49">
        <f>ROUND(((1+$H$4)^(30/360))^(C4123/(EDATE(D4123-B4123,1)-(D4123-B4123))),9)</f>
        <v/>
      </c>
      <c r="I4123" s="49">
        <f>TRUNC((G4123*H4123-G4123),8)</f>
        <v/>
      </c>
      <c r="J4123" s="4">
        <f>G4123+I4123</f>
        <v/>
      </c>
      <c r="K4123" s="256" t="n"/>
      <c r="L4123" s="256" t="n"/>
      <c r="M4123" s="256" t="n"/>
      <c r="N4123" s="256" t="n"/>
      <c r="O4123" s="256" t="n"/>
      <c r="P4123" s="256" t="n"/>
      <c r="Q4123" s="256" t="n"/>
    </row>
    <row r="4124">
      <c r="A4124">
        <f>IF(DAY(D4124)=DAY($L$1+1),A4123+1,A4123)</f>
        <v/>
      </c>
      <c r="B4124" s="1">
        <f>IF(DAY(D4124)=DAY($L$1+1),1,B4123+1)</f>
        <v/>
      </c>
      <c r="C4124" s="46">
        <f>IF(DAY(D4124)=DAY($L$1+1),1,C4123+1)</f>
        <v/>
      </c>
      <c r="D4124" s="2">
        <f>D4123+1</f>
        <v/>
      </c>
      <c r="E4124" s="8">
        <f>IF(DAY(D4124)=DAY($L$1+1),TRUNC((N4123),8),E4123)</f>
        <v/>
      </c>
      <c r="F4124" s="49">
        <f>TRUNC(((1+VLOOKUP(A4124,IPCA!$A$2:$C$140,3,0)))^(C4124/(EDATE(D4124-C4124,1)-(D4124-C4124))),8)</f>
        <v/>
      </c>
      <c r="G4124" s="49">
        <f>TRUNC((E4124*F4124),8)</f>
        <v/>
      </c>
      <c r="H4124" s="49">
        <f>ROUND(((1+$H$4)^(30/360))^(C4124/(EDATE(D4124-B4124,1)-(D4124-B4124))),9)</f>
        <v/>
      </c>
      <c r="I4124" s="49">
        <f>TRUNC((G4124*H4124-G4124),8)</f>
        <v/>
      </c>
      <c r="J4124" s="4">
        <f>G4124+I4124</f>
        <v/>
      </c>
      <c r="K4124" s="256" t="n"/>
      <c r="L4124" s="256" t="n"/>
      <c r="M4124" s="256" t="n"/>
      <c r="N4124" s="256" t="n"/>
      <c r="O4124" s="256" t="n"/>
      <c r="P4124" s="256" t="n"/>
      <c r="Q4124" s="256" t="n"/>
    </row>
    <row r="4125">
      <c r="A4125">
        <f>IF(DAY(D4125)=DAY($L$1+1),A4124+1,A4124)</f>
        <v/>
      </c>
      <c r="B4125" s="1">
        <f>IF(DAY(D4125)=DAY($L$1+1),1,B4124+1)</f>
        <v/>
      </c>
      <c r="C4125" s="46">
        <f>IF(DAY(D4125)=DAY($L$1+1),1,C4124+1)</f>
        <v/>
      </c>
      <c r="D4125" s="2">
        <f>D4124+1</f>
        <v/>
      </c>
      <c r="E4125" s="8">
        <f>IF(DAY(D4125)=DAY($L$1+1),TRUNC((N4124),8),E4124)</f>
        <v/>
      </c>
      <c r="F4125" s="49">
        <f>TRUNC(((1+VLOOKUP(A4125,IPCA!$A$2:$C$140,3,0)))^(C4125/(EDATE(D4125-C4125,1)-(D4125-C4125))),8)</f>
        <v/>
      </c>
      <c r="G4125" s="49">
        <f>TRUNC((E4125*F4125),8)</f>
        <v/>
      </c>
      <c r="H4125" s="49">
        <f>ROUND(((1+$H$4)^(30/360))^(C4125/(EDATE(D4125-B4125,1)-(D4125-B4125))),9)</f>
        <v/>
      </c>
      <c r="I4125" s="49">
        <f>TRUNC((G4125*H4125-G4125),8)</f>
        <v/>
      </c>
      <c r="J4125" s="4">
        <f>G4125+I4125</f>
        <v/>
      </c>
      <c r="K4125" s="256" t="n"/>
      <c r="L4125" s="256" t="n"/>
      <c r="M4125" s="256" t="n"/>
      <c r="N4125" s="256" t="n"/>
      <c r="O4125" s="256" t="n"/>
      <c r="P4125" s="256" t="n"/>
      <c r="Q4125" s="256" t="n"/>
    </row>
    <row r="4126">
      <c r="A4126">
        <f>IF(DAY(D4126)=DAY($L$1+1),A4125+1,A4125)</f>
        <v/>
      </c>
      <c r="B4126" s="1">
        <f>IF(DAY(D4126)=DAY($L$1+1),1,B4125+1)</f>
        <v/>
      </c>
      <c r="C4126" s="46">
        <f>IF(DAY(D4126)=DAY($L$1+1),1,C4125+1)</f>
        <v/>
      </c>
      <c r="D4126" s="2">
        <f>D4125+1</f>
        <v/>
      </c>
      <c r="E4126" s="8">
        <f>IF(DAY(D4126)=DAY($L$1+1),TRUNC((N4125),8),E4125)</f>
        <v/>
      </c>
      <c r="F4126" s="49">
        <f>TRUNC(((1+VLOOKUP(A4126,IPCA!$A$2:$C$140,3,0)))^(C4126/(EDATE(D4126-C4126,1)-(D4126-C4126))),8)</f>
        <v/>
      </c>
      <c r="G4126" s="49">
        <f>TRUNC((E4126*F4126),8)</f>
        <v/>
      </c>
      <c r="H4126" s="49">
        <f>ROUND(((1+$H$4)^(30/360))^(C4126/(EDATE(D4126-B4126,1)-(D4126-B4126))),9)</f>
        <v/>
      </c>
      <c r="I4126" s="49">
        <f>TRUNC((G4126*H4126-G4126),8)</f>
        <v/>
      </c>
      <c r="J4126" s="4">
        <f>G4126+I4126</f>
        <v/>
      </c>
      <c r="K4126" s="256" t="n"/>
      <c r="L4126" s="256" t="n"/>
      <c r="M4126" s="256" t="n"/>
      <c r="N4126" s="256" t="n"/>
      <c r="O4126" s="256" t="n"/>
      <c r="P4126" s="256" t="n"/>
      <c r="Q4126" s="256" t="n"/>
    </row>
    <row r="4127">
      <c r="A4127">
        <f>IF(DAY(D4127)=DAY($L$1+1),A4126+1,A4126)</f>
        <v/>
      </c>
      <c r="B4127" s="1">
        <f>IF(DAY(D4127)=DAY($L$1+1),1,B4126+1)</f>
        <v/>
      </c>
      <c r="C4127" s="46">
        <f>IF(DAY(D4127)=DAY($L$1+1),1,C4126+1)</f>
        <v/>
      </c>
      <c r="D4127" s="2">
        <f>D4126+1</f>
        <v/>
      </c>
      <c r="E4127" s="8">
        <f>IF(DAY(D4127)=DAY($L$1+1),TRUNC((N4126),8),E4126)</f>
        <v/>
      </c>
      <c r="F4127" s="49">
        <f>TRUNC(((1+VLOOKUP(A4127,IPCA!$A$2:$C$140,3,0)))^(C4127/(EDATE(D4127-C4127,1)-(D4127-C4127))),8)</f>
        <v/>
      </c>
      <c r="G4127" s="49">
        <f>TRUNC((E4127*F4127),8)</f>
        <v/>
      </c>
      <c r="H4127" s="49">
        <f>ROUND(((1+$H$4)^(30/360))^(C4127/(EDATE(D4127-B4127,1)-(D4127-B4127))),9)</f>
        <v/>
      </c>
      <c r="I4127" s="49">
        <f>TRUNC((G4127*H4127-G4127),8)</f>
        <v/>
      </c>
      <c r="J4127" s="4">
        <f>G4127+I4127</f>
        <v/>
      </c>
      <c r="K4127" s="256" t="inlineStr">
        <is>
          <t>Cri Integralizado</t>
        </is>
      </c>
      <c r="L4127" s="270">
        <f>L4097</f>
        <v/>
      </c>
      <c r="M4127" s="256" t="n"/>
      <c r="N4127" s="256" t="n"/>
      <c r="O4127" s="256" t="n"/>
      <c r="P4127" s="256" t="n"/>
      <c r="Q4127" s="256" t="n"/>
    </row>
    <row r="4128">
      <c r="A4128">
        <f>IF(DAY(D4128)=DAY($L$1+1),A4127+1,A4127)</f>
        <v/>
      </c>
      <c r="B4128" s="1">
        <f>IF(DAY(D4128)=DAY($L$1+1),1,B4127+1)</f>
        <v/>
      </c>
      <c r="C4128" s="46">
        <f>IF(DAY(D4128)=DAY($L$1+1),1,C4127+1)</f>
        <v/>
      </c>
      <c r="D4128" s="2">
        <f>D4127+1</f>
        <v/>
      </c>
      <c r="E4128" s="8">
        <f>IF(DAY(D4128)=DAY($L$1+1),TRUNC((N4127),8),E4127)</f>
        <v/>
      </c>
      <c r="F4128" s="49">
        <f>TRUNC(((1+VLOOKUP(A4128,IPCA!$A$2:$C$140,3,0)))^(C4128/(EDATE(D4128-C4128,1)-(D4128-C4128))),8)</f>
        <v/>
      </c>
      <c r="G4128" s="49">
        <f>TRUNC((E4128*F4128),8)</f>
        <v/>
      </c>
      <c r="H4128" s="49">
        <f>ROUND(((1+$H$4)^(30/360))^(C4128/(EDATE(D4128-B4128,1)-(D4128-B4128))),9)</f>
        <v/>
      </c>
      <c r="I4128" s="49">
        <f>TRUNC((G4128*H4128-G4128),8)</f>
        <v/>
      </c>
      <c r="J4128" s="4">
        <f>G4128+I4128</f>
        <v/>
      </c>
      <c r="K4128" s="137" t="inlineStr">
        <is>
          <t>JUROS</t>
        </is>
      </c>
      <c r="L4128" s="118" t="inlineStr">
        <is>
          <t>AMORTIZAÇÃO</t>
        </is>
      </c>
      <c r="M4128" s="118" t="inlineStr">
        <is>
          <t>AMEX</t>
        </is>
      </c>
      <c r="N4128" s="118" t="inlineStr">
        <is>
          <t>RESIDUAL</t>
        </is>
      </c>
      <c r="O4128" s="256" t="n"/>
      <c r="P4128" s="256" t="n"/>
      <c r="Q4128" s="256" t="n"/>
    </row>
    <row r="4129">
      <c r="A4129">
        <f>IF(DAY(D4129)=DAY($L$1+1),A4128+1,A4128)</f>
        <v/>
      </c>
      <c r="B4129" s="111">
        <f>IF(DAY(D4129)=DAY($L$1+1),1,B4128+1)</f>
        <v/>
      </c>
      <c r="C4129" s="111">
        <f>IF(DAY(D4129)=DAY($L$1+1),1,C4128+1)</f>
        <v/>
      </c>
      <c r="D4129" s="112">
        <f>D4128+1</f>
        <v/>
      </c>
      <c r="E4129" s="113">
        <f>IF(DAY(D4129)=DAY($L$1+1),TRUNC((N4128),8),E4128)</f>
        <v/>
      </c>
      <c r="F4129" s="114">
        <f>TRUNC(((1+VLOOKUP(A4129,IPCA!$A$2:$C$140,3,0)))^(C4129/(EDATE(D4129-C4129,1)-(D4129-C4129))),8)</f>
        <v/>
      </c>
      <c r="G4129" s="114">
        <f>TRUNC((E4129*F4129),8)</f>
        <v/>
      </c>
      <c r="H4129" s="114">
        <f>ROUND(((1+$H$4)^(30/360))^(C4129/(EDATE(D4129-B4129,1)-(D4129-B4129))),9)</f>
        <v/>
      </c>
      <c r="I4129" s="114">
        <f>TRUNC((G4129*H4129-G4129),8)</f>
        <v/>
      </c>
      <c r="J4129" s="114">
        <f>G4129+I4129</f>
        <v/>
      </c>
      <c r="K4129" s="119">
        <f>I4129</f>
        <v/>
      </c>
      <c r="L4129" s="120">
        <f>TRUNC(G4129*VLOOKUP(D4129,'Amort TS'!$G$3:$H$140,2,0),8)</f>
        <v/>
      </c>
      <c r="M4129" s="120" t="n">
        <v>0</v>
      </c>
      <c r="N4129" s="120">
        <f>J4129-K4129-L4129-M4129</f>
        <v/>
      </c>
      <c r="O4129" s="256" t="n"/>
      <c r="P4129" s="256" t="n"/>
      <c r="Q4129" s="256" t="n"/>
    </row>
    <row r="4130">
      <c r="A4130">
        <f>IF(DAY(D4130)=DAY($L$1+1),A4129+1,A4129)</f>
        <v/>
      </c>
      <c r="B4130" s="1">
        <f>IF(DAY(D4130)=DAY($L$1+1),1,B4129+1)</f>
        <v/>
      </c>
      <c r="C4130" s="46">
        <f>IF(DAY(D4130)=DAY($L$1+1),1,C4129+1)</f>
        <v/>
      </c>
      <c r="D4130" s="2">
        <f>D4129+1</f>
        <v/>
      </c>
      <c r="E4130" s="8">
        <f>IF(DAY(D4130)=DAY($L$1+1),TRUNC((N4129),8),E4129)</f>
        <v/>
      </c>
      <c r="F4130" s="49">
        <f>TRUNC(((1+VLOOKUP(A4130,IPCA!$A$2:$C$140,3,0)))^(C4130/(EDATE(D4130-C4130,1)-(D4130-C4130))),8)</f>
        <v/>
      </c>
      <c r="G4130" s="49">
        <f>TRUNC((E4130*F4130),8)</f>
        <v/>
      </c>
      <c r="H4130" s="49">
        <f>ROUND(((1+$H$4)^(30/360))^(C4130/(EDATE(D4130-B4130,1)-(D4130-B4130))),9)</f>
        <v/>
      </c>
      <c r="I4130" s="49">
        <f>TRUNC((G4130*H4130-G4130),8)</f>
        <v/>
      </c>
      <c r="J4130" s="4">
        <f>G4130+I4130</f>
        <v/>
      </c>
      <c r="K4130" s="121">
        <f>K4129*L4127</f>
        <v/>
      </c>
      <c r="L4130" s="121">
        <f>L4129*L4127</f>
        <v/>
      </c>
      <c r="M4130" s="121">
        <f>M4129*L4127</f>
        <v/>
      </c>
      <c r="N4130" s="121">
        <f>N4129*L4127</f>
        <v/>
      </c>
      <c r="O4130" s="256" t="n"/>
      <c r="P4130" s="256" t="n"/>
      <c r="Q4130" s="256" t="n"/>
    </row>
    <row r="4131">
      <c r="A4131">
        <f>IF(DAY(D4131)=DAY($L$1+1),A4130+1,A4130)</f>
        <v/>
      </c>
      <c r="B4131" s="1">
        <f>IF(DAY(D4131)=DAY($L$1+1),1,B4130+1)</f>
        <v/>
      </c>
      <c r="C4131" s="46">
        <f>IF(DAY(D4131)=DAY($L$1+1),1,C4130+1)</f>
        <v/>
      </c>
      <c r="D4131" s="2">
        <f>D4130+1</f>
        <v/>
      </c>
      <c r="E4131" s="8">
        <f>IF(DAY(D4131)=DAY($L$1+1),TRUNC((N4130),8),E4130)</f>
        <v/>
      </c>
      <c r="F4131" s="49">
        <f>TRUNC(((1+VLOOKUP(A4131,IPCA!$A$2:$C$140,3,0)))^(C4131/(EDATE(D4131-C4131,1)-(D4131-C4131))),8)</f>
        <v/>
      </c>
      <c r="G4131" s="49">
        <f>TRUNC((E4131*F4131),8)</f>
        <v/>
      </c>
      <c r="H4131" s="49">
        <f>ROUND(((1+$H$4)^(30/360))^(C4131/(EDATE(D4131-B4131,1)-(D4131-B4131))),9)</f>
        <v/>
      </c>
      <c r="I4131" s="49">
        <f>TRUNC((G4131*H4131-G4131),8)</f>
        <v/>
      </c>
      <c r="J4131" s="4">
        <f>G4131+I4131</f>
        <v/>
      </c>
      <c r="K4131" s="256" t="n"/>
      <c r="L4131" s="256" t="n"/>
      <c r="M4131" s="256" t="n"/>
      <c r="N4131" s="256" t="n"/>
      <c r="O4131" s="256" t="n"/>
      <c r="P4131" s="256" t="n"/>
      <c r="Q4131" s="256" t="n"/>
    </row>
    <row r="4132">
      <c r="A4132">
        <f>IF(DAY(D4132)=DAY($L$1+1),A4131+1,A4131)</f>
        <v/>
      </c>
      <c r="B4132" s="1">
        <f>IF(DAY(D4132)=DAY($L$1+1),1,B4131+1)</f>
        <v/>
      </c>
      <c r="C4132" s="46">
        <f>IF(DAY(D4132)=DAY($L$1+1),1,C4131+1)</f>
        <v/>
      </c>
      <c r="D4132" s="2">
        <f>D4131+1</f>
        <v/>
      </c>
      <c r="E4132" s="8">
        <f>IF(DAY(D4132)=DAY($L$1+1),TRUNC((#REF!),8),E4131)</f>
        <v/>
      </c>
      <c r="F4132" s="49">
        <f>TRUNC(((1+VLOOKUP(A4132,IPCA!$A$2:$C$140,3,0)))^(C4132/(EDATE(D4132-C4132,1)-(D4132-C4132))),8)</f>
        <v/>
      </c>
      <c r="G4132" s="49">
        <f>TRUNC((E4132*F4132),8)</f>
        <v/>
      </c>
      <c r="H4132" s="49">
        <f>ROUND(((1+$H$4)^(30/360))^(C4132/(EDATE(D4132-B4132,1)-(D4132-B4132))),9)</f>
        <v/>
      </c>
      <c r="I4132" s="49">
        <f>TRUNC((G4132*H4132-G4132),8)</f>
        <v/>
      </c>
      <c r="J4132" s="4">
        <f>G4132+I4132</f>
        <v/>
      </c>
      <c r="K4132" s="256" t="n"/>
      <c r="L4132" s="256" t="n"/>
      <c r="M4132" s="256" t="n"/>
      <c r="N4132" s="256" t="n"/>
      <c r="O4132" s="256" t="n"/>
      <c r="P4132" s="256" t="n"/>
      <c r="Q4132" s="256" t="n"/>
    </row>
    <row r="4133">
      <c r="A4133">
        <f>IF(DAY(D4133)=DAY($L$1+1),A4132+1,A4132)</f>
        <v/>
      </c>
      <c r="B4133" s="1">
        <f>IF(DAY(D4133)=DAY($L$1+1),1,B4132+1)</f>
        <v/>
      </c>
      <c r="C4133" s="46">
        <f>IF(DAY(D4133)=DAY($L$1+1),1,C4132+1)</f>
        <v/>
      </c>
      <c r="D4133" s="2">
        <f>D4132+1</f>
        <v/>
      </c>
      <c r="E4133" s="8">
        <f>IF(DAY(D4133)=DAY($L$1+1),TRUNC((#REF!),8),E4132)</f>
        <v/>
      </c>
      <c r="F4133" s="49">
        <f>TRUNC(((1+VLOOKUP(A4133,IPCA!$A$2:$C$140,3,0)))^(C4133/(EDATE(D4133-C4133,1)-(D4133-C4133))),8)</f>
        <v/>
      </c>
      <c r="G4133" s="49">
        <f>TRUNC((E4133*F4133),8)</f>
        <v/>
      </c>
      <c r="H4133" s="49">
        <f>ROUND(((1+$H$4)^(30/360))^(C4133/(EDATE(D4133-B4133,1)-(D4133-B4133))),9)</f>
        <v/>
      </c>
      <c r="I4133" s="49">
        <f>TRUNC((G4133*H4133-G4133),8)</f>
        <v/>
      </c>
      <c r="J4133" s="4">
        <f>G4133+I4133</f>
        <v/>
      </c>
      <c r="K4133" s="256" t="n"/>
      <c r="L4133" s="256" t="n"/>
      <c r="M4133" s="256" t="n"/>
      <c r="N4133" s="256" t="n"/>
      <c r="O4133" s="256" t="n"/>
      <c r="P4133" s="256" t="n"/>
      <c r="Q4133" s="256" t="n"/>
    </row>
    <row r="4134">
      <c r="A4134">
        <f>IF(DAY(D4134)=DAY($L$1+1),A4133+1,A4133)</f>
        <v/>
      </c>
      <c r="B4134" s="1">
        <f>IF(DAY(D4134)=DAY($L$1+1),1,B4133+1)</f>
        <v/>
      </c>
      <c r="C4134" s="46">
        <f>IF(DAY(D4134)=DAY($L$1+1),1,C4133+1)</f>
        <v/>
      </c>
      <c r="D4134" s="2">
        <f>D4133+1</f>
        <v/>
      </c>
      <c r="E4134" s="8">
        <f>IF(DAY(D4134)=DAY($L$1+1),TRUNC((#REF!),8),E4133)</f>
        <v/>
      </c>
      <c r="F4134" s="49">
        <f>TRUNC(((1+VLOOKUP(A4134,IPCA!$A$2:$C$140,3,0)))^(C4134/(EDATE(D4134-C4134,1)-(D4134-C4134))),8)</f>
        <v/>
      </c>
      <c r="G4134" s="49">
        <f>TRUNC((E4134*F4134),8)</f>
        <v/>
      </c>
      <c r="H4134" s="49">
        <f>ROUND(((1+$H$4)^(30/360))^(C4134/(EDATE(D4134-B4134,1)-(D4134-B4134))),9)</f>
        <v/>
      </c>
      <c r="I4134" s="49">
        <f>TRUNC((G4134*H4134-G4134),8)</f>
        <v/>
      </c>
      <c r="J4134" s="4">
        <f>G4134+I4134</f>
        <v/>
      </c>
      <c r="K4134" s="256" t="n"/>
      <c r="L4134" s="256" t="n"/>
      <c r="M4134" s="256" t="n"/>
      <c r="N4134" s="256" t="n"/>
      <c r="O4134" s="256" t="n"/>
      <c r="P4134" s="256" t="n"/>
      <c r="Q4134" s="256" t="n"/>
    </row>
    <row r="4135">
      <c r="A4135">
        <f>IF(DAY(D4135)=DAY($L$1+1),A4134+1,A4134)</f>
        <v/>
      </c>
      <c r="B4135" s="1">
        <f>IF(DAY(D4135)=DAY($L$1+1),1,B4134+1)</f>
        <v/>
      </c>
      <c r="C4135" s="46">
        <f>IF(DAY(D4135)=DAY($L$1+1),1,C4134+1)</f>
        <v/>
      </c>
      <c r="D4135" s="2">
        <f>D4134+1</f>
        <v/>
      </c>
      <c r="E4135" s="8">
        <f>IF(DAY(D4135)=DAY($L$1+1),TRUNC((#REF!),8),E4134)</f>
        <v/>
      </c>
      <c r="F4135" s="49">
        <f>TRUNC(((1+VLOOKUP(A4135,IPCA!$A$2:$C$140,3,0)))^(C4135/(EDATE(D4135-C4135,1)-(D4135-C4135))),8)</f>
        <v/>
      </c>
      <c r="G4135" s="49">
        <f>TRUNC((E4135*F4135),8)</f>
        <v/>
      </c>
      <c r="H4135" s="49">
        <f>ROUND(((1+$H$4)^(30/360))^(C4135/(EDATE(D4135-B4135,1)-(D4135-B4135))),9)</f>
        <v/>
      </c>
      <c r="I4135" s="49">
        <f>TRUNC((G4135*H4135-G4135),8)</f>
        <v/>
      </c>
      <c r="J4135" s="4">
        <f>G4135+I4135</f>
        <v/>
      </c>
      <c r="K4135" s="256" t="n"/>
      <c r="L4135" s="256" t="n"/>
      <c r="M4135" s="256" t="n"/>
      <c r="N4135" s="256" t="n"/>
      <c r="O4135" s="256" t="n"/>
      <c r="P4135" s="256" t="n"/>
      <c r="Q4135" s="256" t="n"/>
    </row>
    <row r="4136">
      <c r="A4136">
        <f>IF(DAY(D4136)=DAY($L$1+1),A4135+1,A4135)</f>
        <v/>
      </c>
      <c r="B4136" s="1">
        <f>IF(DAY(D4136)=DAY($L$1+1),1,B4135+1)</f>
        <v/>
      </c>
      <c r="C4136" s="46">
        <f>IF(DAY(D4136)=DAY($L$1+1),1,C4135+1)</f>
        <v/>
      </c>
      <c r="D4136" s="2">
        <f>D4135+1</f>
        <v/>
      </c>
      <c r="E4136" s="8">
        <f>IF(DAY(D4136)=DAY($L$1+1),TRUNC((#REF!),8),E4135)</f>
        <v/>
      </c>
      <c r="F4136" s="49">
        <f>TRUNC(((1+VLOOKUP(A4136,IPCA!$A$2:$C$140,3,0)))^(C4136/(EDATE(D4136-C4136,1)-(D4136-C4136))),8)</f>
        <v/>
      </c>
      <c r="G4136" s="49">
        <f>TRUNC((E4136*F4136),8)</f>
        <v/>
      </c>
      <c r="H4136" s="49">
        <f>ROUND(((1+$H$4)^(30/360))^(C4136/(EDATE(D4136-B4136,1)-(D4136-B4136))),9)</f>
        <v/>
      </c>
      <c r="I4136" s="49">
        <f>TRUNC((G4136*H4136-G4136),8)</f>
        <v/>
      </c>
      <c r="J4136" s="4">
        <f>G4136+I4136</f>
        <v/>
      </c>
      <c r="K4136" s="256" t="n"/>
      <c r="L4136" s="256" t="n"/>
      <c r="M4136" s="256" t="n"/>
      <c r="N4136" s="256" t="n"/>
      <c r="O4136" s="256" t="n"/>
      <c r="P4136" s="256" t="n"/>
      <c r="Q4136" s="256" t="n"/>
    </row>
    <row r="4137">
      <c r="A4137">
        <f>IF(DAY(D4137)=DAY($L$1+1),A4136+1,A4136)</f>
        <v/>
      </c>
      <c r="B4137" s="1">
        <f>IF(DAY(D4137)=DAY($L$1+1),1,B4136+1)</f>
        <v/>
      </c>
      <c r="C4137" s="46">
        <f>IF(DAY(D4137)=DAY($L$1+1),1,C4136+1)</f>
        <v/>
      </c>
      <c r="D4137" s="2">
        <f>D4136+1</f>
        <v/>
      </c>
      <c r="E4137" s="8">
        <f>IF(DAY(D4137)=DAY($L$1+1),TRUNC((#REF!),8),E4136)</f>
        <v/>
      </c>
      <c r="F4137" s="49">
        <f>TRUNC(((1+VLOOKUP(A4137,IPCA!$A$2:$C$140,3,0)))^(C4137/(EDATE(D4137-C4137,1)-(D4137-C4137))),8)</f>
        <v/>
      </c>
      <c r="G4137" s="49">
        <f>TRUNC((E4137*F4137),8)</f>
        <v/>
      </c>
      <c r="H4137" s="49">
        <f>ROUND(((1+$H$4)^(30/360))^(C4137/(EDATE(D4137-B4137,1)-(D4137-B4137))),9)</f>
        <v/>
      </c>
      <c r="I4137" s="49">
        <f>TRUNC((G4137*H4137-G4137),8)</f>
        <v/>
      </c>
      <c r="J4137" s="4">
        <f>G4137+I4137</f>
        <v/>
      </c>
      <c r="K4137" s="256" t="n"/>
      <c r="L4137" s="256" t="n"/>
      <c r="M4137" s="256" t="n"/>
      <c r="N4137" s="256" t="n"/>
      <c r="O4137" s="256" t="n"/>
      <c r="P4137" s="256" t="n"/>
      <c r="Q4137" s="256" t="n"/>
    </row>
    <row r="4138">
      <c r="A4138">
        <f>IF(DAY(D4138)=DAY($L$1+1),A4137+1,A4137)</f>
        <v/>
      </c>
      <c r="B4138" s="1">
        <f>IF(DAY(D4138)=DAY($L$1+1),1,B4137+1)</f>
        <v/>
      </c>
      <c r="C4138" s="46">
        <f>IF(DAY(D4138)=DAY($L$1+1),1,C4137+1)</f>
        <v/>
      </c>
      <c r="D4138" s="2">
        <f>D4137+1</f>
        <v/>
      </c>
      <c r="E4138" s="8">
        <f>IF(DAY(D4138)=DAY($L$1+1),TRUNC((#REF!),8),E4137)</f>
        <v/>
      </c>
      <c r="F4138" s="49">
        <f>TRUNC(((1+VLOOKUP(A4138,IPCA!$A$2:$C$140,3,0)))^(C4138/(EDATE(D4138-C4138,1)-(D4138-C4138))),8)</f>
        <v/>
      </c>
      <c r="G4138" s="49">
        <f>TRUNC((E4138*F4138),8)</f>
        <v/>
      </c>
      <c r="H4138" s="49">
        <f>ROUND(((1+$H$4)^(30/360))^(C4138/(EDATE(D4138-B4138,1)-(D4138-B4138))),9)</f>
        <v/>
      </c>
      <c r="I4138" s="49">
        <f>TRUNC((G4138*H4138-G4138),8)</f>
        <v/>
      </c>
      <c r="J4138" s="4">
        <f>G4138+I4138</f>
        <v/>
      </c>
      <c r="K4138" s="256" t="n"/>
      <c r="L4138" s="256" t="n"/>
      <c r="M4138" s="256" t="n"/>
      <c r="N4138" s="256" t="n"/>
      <c r="O4138" s="256" t="n"/>
      <c r="P4138" s="256" t="n"/>
      <c r="Q4138" s="256" t="n"/>
    </row>
    <row r="4139">
      <c r="A4139">
        <f>IF(DAY(D4139)=DAY($L$1+1),A4138+1,A4138)</f>
        <v/>
      </c>
      <c r="B4139" s="1">
        <f>IF(DAY(D4139)=DAY($L$1+1),1,B4138+1)</f>
        <v/>
      </c>
      <c r="C4139" s="46">
        <f>IF(DAY(D4139)=DAY($L$1+1),1,C4138+1)</f>
        <v/>
      </c>
      <c r="D4139" s="2">
        <f>D4138+1</f>
        <v/>
      </c>
      <c r="E4139" s="8">
        <f>IF(DAY(D4139)=DAY($L$1+1),TRUNC((#REF!),8),E4138)</f>
        <v/>
      </c>
      <c r="F4139" s="49">
        <f>TRUNC(((1+VLOOKUP(A4139,IPCA!$A$2:$C$140,3,0)))^(C4139/(EDATE(D4139-C4139,1)-(D4139-C4139))),8)</f>
        <v/>
      </c>
      <c r="G4139" s="49">
        <f>TRUNC((E4139*F4139),8)</f>
        <v/>
      </c>
      <c r="H4139" s="49">
        <f>ROUND(((1+$H$4)^(30/360))^(C4139/(EDATE(D4139-B4139,1)-(D4139-B4139))),9)</f>
        <v/>
      </c>
      <c r="I4139" s="49">
        <f>TRUNC((G4139*H4139-G4139),8)</f>
        <v/>
      </c>
      <c r="J4139" s="4">
        <f>G4139+I4139</f>
        <v/>
      </c>
      <c r="K4139" s="256" t="n"/>
      <c r="L4139" s="256" t="n"/>
      <c r="M4139" s="256" t="n"/>
      <c r="N4139" s="256" t="n"/>
      <c r="O4139" s="256" t="n"/>
      <c r="P4139" s="256" t="n"/>
      <c r="Q4139" s="256" t="n"/>
    </row>
    <row r="4140">
      <c r="A4140">
        <f>IF(DAY(D4140)=DAY($L$1+1),A4139+1,A4139)</f>
        <v/>
      </c>
      <c r="B4140" s="1">
        <f>IF(DAY(D4140)=DAY($L$1+1),1,B4139+1)</f>
        <v/>
      </c>
      <c r="C4140" s="46">
        <f>IF(DAY(D4140)=DAY($L$1+1),1,C4139+1)</f>
        <v/>
      </c>
      <c r="D4140" s="2">
        <f>D4139+1</f>
        <v/>
      </c>
      <c r="E4140" s="8">
        <f>IF(DAY(D4140)=DAY($L$1+1),TRUNC((#REF!),8),E4139)</f>
        <v/>
      </c>
      <c r="F4140" s="49">
        <f>TRUNC(((1+VLOOKUP(A4140,IPCA!$A$2:$C$140,3,0)))^(C4140/(EDATE(D4140-C4140,1)-(D4140-C4140))),8)</f>
        <v/>
      </c>
      <c r="G4140" s="49">
        <f>TRUNC((E4140*F4140),8)</f>
        <v/>
      </c>
      <c r="H4140" s="49">
        <f>ROUND(((1+$H$4)^(30/360))^(C4140/(EDATE(D4140-B4140,1)-(D4140-B4140))),9)</f>
        <v/>
      </c>
      <c r="I4140" s="49">
        <f>TRUNC((G4140*H4140-G4140),8)</f>
        <v/>
      </c>
      <c r="J4140" s="4">
        <f>G4140+I4140</f>
        <v/>
      </c>
      <c r="K4140" s="256" t="n"/>
      <c r="L4140" s="256" t="n"/>
      <c r="M4140" s="256" t="n"/>
      <c r="N4140" s="256" t="n"/>
      <c r="O4140" s="256" t="n"/>
      <c r="P4140" s="256" t="n"/>
      <c r="Q4140" s="256" t="n"/>
    </row>
    <row r="4141">
      <c r="A4141">
        <f>IF(DAY(D4141)=DAY($L$1+1),A4140+1,A4140)</f>
        <v/>
      </c>
      <c r="B4141" s="1">
        <f>IF(DAY(D4141)=DAY($L$1+1),1,B4140+1)</f>
        <v/>
      </c>
      <c r="C4141" s="46">
        <f>IF(DAY(D4141)=DAY($L$1+1),1,C4140+1)</f>
        <v/>
      </c>
      <c r="D4141" s="2">
        <f>D4140+1</f>
        <v/>
      </c>
      <c r="E4141" s="8">
        <f>IF(DAY(D4141)=DAY($L$1+1),TRUNC((#REF!),8),E4140)</f>
        <v/>
      </c>
      <c r="F4141" s="49">
        <f>TRUNC(((1+VLOOKUP(A4141,IPCA!$A$2:$C$140,3,0)))^(C4141/(EDATE(D4141-C4141,1)-(D4141-C4141))),8)</f>
        <v/>
      </c>
      <c r="G4141" s="49">
        <f>TRUNC((E4141*F4141),8)</f>
        <v/>
      </c>
      <c r="H4141" s="49">
        <f>ROUND(((1+$H$4)^(30/360))^(C4141/(EDATE(D4141-B4141,1)-(D4141-B4141))),9)</f>
        <v/>
      </c>
      <c r="I4141" s="49">
        <f>TRUNC((G4141*H4141-G4141),8)</f>
        <v/>
      </c>
      <c r="J4141" s="4">
        <f>G4141+I4141</f>
        <v/>
      </c>
      <c r="K4141" s="256" t="n"/>
      <c r="L4141" s="256" t="n"/>
      <c r="M4141" s="256" t="n"/>
      <c r="N4141" s="256" t="n"/>
      <c r="O4141" s="256" t="n"/>
      <c r="P4141" s="256" t="n"/>
      <c r="Q4141" s="256" t="n"/>
    </row>
    <row r="4142">
      <c r="A4142">
        <f>IF(DAY(D4142)=DAY($L$1+1),A4141+1,A4141)</f>
        <v/>
      </c>
      <c r="B4142" s="1">
        <f>IF(DAY(D4142)=DAY($L$1+1),1,B4141+1)</f>
        <v/>
      </c>
      <c r="C4142" s="46">
        <f>IF(DAY(D4142)=DAY($L$1+1),1,C4141+1)</f>
        <v/>
      </c>
      <c r="D4142" s="2">
        <f>D4141+1</f>
        <v/>
      </c>
      <c r="E4142" s="8">
        <f>IF(DAY(D4142)=DAY($L$1+1),TRUNC((#REF!),8),E4141)</f>
        <v/>
      </c>
      <c r="F4142" s="49">
        <f>TRUNC(((1+VLOOKUP(A4142,IPCA!$A$2:$C$140,3,0)))^(C4142/(EDATE(D4142-C4142,1)-(D4142-C4142))),8)</f>
        <v/>
      </c>
      <c r="G4142" s="49">
        <f>TRUNC((E4142*F4142),8)</f>
        <v/>
      </c>
      <c r="H4142" s="49">
        <f>ROUND(((1+$H$4)^(30/360))^(C4142/(EDATE(D4142-B4142,1)-(D4142-B4142))),9)</f>
        <v/>
      </c>
      <c r="I4142" s="49">
        <f>TRUNC((G4142*H4142-G4142),8)</f>
        <v/>
      </c>
      <c r="J4142" s="4">
        <f>G4142+I4142</f>
        <v/>
      </c>
      <c r="K4142" s="256" t="n"/>
      <c r="L4142" s="256" t="n"/>
      <c r="M4142" s="256" t="n"/>
      <c r="N4142" s="256" t="n"/>
      <c r="O4142" s="256" t="n"/>
      <c r="P4142" s="256" t="n"/>
      <c r="Q4142" s="256" t="n"/>
    </row>
    <row r="4143">
      <c r="A4143">
        <f>IF(DAY(D4143)=DAY($L$1+1),A4142+1,A4142)</f>
        <v/>
      </c>
      <c r="B4143" s="1">
        <f>IF(DAY(D4143)=DAY($L$1+1),1,B4142+1)</f>
        <v/>
      </c>
      <c r="C4143" s="46">
        <f>IF(DAY(D4143)=DAY($L$1+1),1,C4142+1)</f>
        <v/>
      </c>
      <c r="D4143" s="2">
        <f>D4142+1</f>
        <v/>
      </c>
      <c r="E4143" s="8">
        <f>IF(DAY(D4143)=DAY($L$1+1),TRUNC((#REF!),8),E4142)</f>
        <v/>
      </c>
      <c r="F4143" s="49">
        <f>TRUNC(((1+VLOOKUP(A4143,IPCA!$A$2:$C$140,3,0)))^(C4143/(EDATE(D4143-C4143,1)-(D4143-C4143))),8)</f>
        <v/>
      </c>
      <c r="G4143" s="49">
        <f>TRUNC((E4143*F4143),8)</f>
        <v/>
      </c>
      <c r="H4143" s="49">
        <f>ROUND(((1+$H$4)^(30/360))^(C4143/(EDATE(D4143-B4143,1)-(D4143-B4143))),9)</f>
        <v/>
      </c>
      <c r="I4143" s="49">
        <f>TRUNC((G4143*H4143-G4143),8)</f>
        <v/>
      </c>
      <c r="J4143" s="4">
        <f>G4143+I4143</f>
        <v/>
      </c>
      <c r="K4143" s="256" t="n"/>
      <c r="L4143" s="256" t="n"/>
      <c r="M4143" s="256" t="n"/>
      <c r="N4143" s="256" t="n"/>
      <c r="O4143" s="256" t="n"/>
      <c r="P4143" s="256" t="n"/>
      <c r="Q4143" s="256" t="n"/>
    </row>
    <row r="4144">
      <c r="A4144">
        <f>IF(DAY(D4144)=DAY($L$1+1),A4143+1,A4143)</f>
        <v/>
      </c>
      <c r="B4144" s="1">
        <f>IF(DAY(D4144)=DAY($L$1+1),1,B4143+1)</f>
        <v/>
      </c>
      <c r="C4144" s="46">
        <f>IF(DAY(D4144)=DAY($L$1+1),1,C4143+1)</f>
        <v/>
      </c>
      <c r="D4144" s="2">
        <f>D4143+1</f>
        <v/>
      </c>
      <c r="E4144" s="8">
        <f>IF(DAY(D4144)=DAY($L$1+1),TRUNC((#REF!),8),E4143)</f>
        <v/>
      </c>
      <c r="F4144" s="49">
        <f>TRUNC(((1+VLOOKUP(A4144,IPCA!$A$2:$C$140,3,0)))^(C4144/(EDATE(D4144-C4144,1)-(D4144-C4144))),8)</f>
        <v/>
      </c>
      <c r="G4144" s="49">
        <f>TRUNC((E4144*F4144),8)</f>
        <v/>
      </c>
      <c r="H4144" s="49">
        <f>ROUND(((1+$H$4)^(30/360))^(C4144/(EDATE(D4144-B4144,1)-(D4144-B4144))),9)</f>
        <v/>
      </c>
      <c r="I4144" s="49">
        <f>TRUNC((G4144*H4144-G4144),8)</f>
        <v/>
      </c>
      <c r="J4144" s="4">
        <f>G4144+I4144</f>
        <v/>
      </c>
      <c r="K4144" s="256" t="n"/>
      <c r="L4144" s="256" t="n"/>
      <c r="M4144" s="256" t="n"/>
      <c r="N4144" s="256" t="n"/>
      <c r="O4144" s="256" t="n"/>
      <c r="P4144" s="256" t="n"/>
      <c r="Q4144" s="256" t="n"/>
    </row>
    <row r="4145">
      <c r="A4145">
        <f>IF(DAY(D4145)=DAY($L$1+1),A4144+1,A4144)</f>
        <v/>
      </c>
      <c r="B4145" s="1">
        <f>IF(DAY(D4145)=DAY($L$1+1),1,B4144+1)</f>
        <v/>
      </c>
      <c r="C4145" s="46">
        <f>IF(DAY(D4145)=DAY($L$1+1),1,C4144+1)</f>
        <v/>
      </c>
      <c r="D4145" s="2">
        <f>D4144+1</f>
        <v/>
      </c>
      <c r="E4145" s="8">
        <f>IF(DAY(D4145)=DAY($L$1+1),TRUNC((#REF!),8),E4144)</f>
        <v/>
      </c>
      <c r="F4145" s="49">
        <f>TRUNC(((1+VLOOKUP(A4145,IPCA!$A$2:$C$140,3,0)))^(C4145/(EDATE(D4145-C4145,1)-(D4145-C4145))),8)</f>
        <v/>
      </c>
      <c r="G4145" s="49">
        <f>TRUNC((E4145*F4145),8)</f>
        <v/>
      </c>
      <c r="H4145" s="49">
        <f>ROUND(((1+$H$4)^(30/360))^(C4145/(EDATE(D4145-B4145,1)-(D4145-B4145))),9)</f>
        <v/>
      </c>
      <c r="I4145" s="49">
        <f>TRUNC((G4145*H4145-G4145),8)</f>
        <v/>
      </c>
      <c r="J4145" s="4">
        <f>G4145+I4145</f>
        <v/>
      </c>
      <c r="K4145" s="256" t="n"/>
      <c r="L4145" s="256" t="n"/>
      <c r="M4145" s="256" t="n"/>
      <c r="N4145" s="256" t="n"/>
      <c r="O4145" s="256" t="n"/>
      <c r="P4145" s="256" t="n"/>
      <c r="Q4145" s="256" t="n"/>
    </row>
    <row r="4146">
      <c r="A4146">
        <f>IF(DAY(D4146)=DAY($L$1+1),A4145+1,A4145)</f>
        <v/>
      </c>
      <c r="B4146" s="1">
        <f>IF(DAY(D4146)=DAY($L$1+1),1,B4145+1)</f>
        <v/>
      </c>
      <c r="C4146" s="46">
        <f>IF(DAY(D4146)=DAY($L$1+1),1,C4145+1)</f>
        <v/>
      </c>
      <c r="D4146" s="2">
        <f>D4145+1</f>
        <v/>
      </c>
      <c r="E4146" s="8">
        <f>IF(DAY(D4146)=DAY($L$1+1),TRUNC((#REF!),8),E4145)</f>
        <v/>
      </c>
      <c r="F4146" s="49">
        <f>TRUNC(((1+VLOOKUP(A4146,IPCA!$A$2:$C$140,3,0)))^(C4146/(EDATE(D4146-C4146,1)-(D4146-C4146))),8)</f>
        <v/>
      </c>
      <c r="G4146" s="49">
        <f>TRUNC((E4146*F4146),8)</f>
        <v/>
      </c>
      <c r="H4146" s="49">
        <f>ROUND(((1+$H$4)^(30/360))^(C4146/(EDATE(D4146-B4146,1)-(D4146-B4146))),9)</f>
        <v/>
      </c>
      <c r="I4146" s="49">
        <f>TRUNC((G4146*H4146-G4146),8)</f>
        <v/>
      </c>
      <c r="J4146" s="4">
        <f>G4146+I4146</f>
        <v/>
      </c>
      <c r="K4146" s="256" t="n"/>
      <c r="L4146" s="256" t="n"/>
      <c r="M4146" s="256" t="n"/>
      <c r="N4146" s="256" t="n"/>
      <c r="O4146" s="256" t="n"/>
      <c r="P4146" s="256" t="n"/>
      <c r="Q4146" s="256" t="n"/>
    </row>
    <row r="4147">
      <c r="A4147">
        <f>IF(DAY(D4147)=DAY($L$1+1),A4146+1,A4146)</f>
        <v/>
      </c>
      <c r="B4147" s="1">
        <f>IF(DAY(D4147)=DAY($L$1+1),1,B4146+1)</f>
        <v/>
      </c>
      <c r="C4147" s="46">
        <f>IF(DAY(D4147)=DAY($L$1+1),1,C4146+1)</f>
        <v/>
      </c>
      <c r="D4147" s="2">
        <f>D4146+1</f>
        <v/>
      </c>
      <c r="E4147" s="8">
        <f>IF(DAY(D4147)=DAY($L$1+1),TRUNC((#REF!),8),E4146)</f>
        <v/>
      </c>
      <c r="F4147" s="49">
        <f>TRUNC(((1+VLOOKUP(A4147,IPCA!$A$2:$C$140,3,0)))^(C4147/(EDATE(D4147-C4147,1)-(D4147-C4147))),8)</f>
        <v/>
      </c>
      <c r="G4147" s="49">
        <f>TRUNC((E4147*F4147),8)</f>
        <v/>
      </c>
      <c r="H4147" s="49">
        <f>ROUND(((1+$H$4)^(30/360))^(C4147/(EDATE(D4147-B4147,1)-(D4147-B4147))),9)</f>
        <v/>
      </c>
      <c r="I4147" s="49">
        <f>TRUNC((G4147*H4147-G4147),8)</f>
        <v/>
      </c>
      <c r="J4147" s="4">
        <f>G4147+I4147</f>
        <v/>
      </c>
      <c r="K4147" s="256" t="n"/>
      <c r="L4147" s="256" t="n"/>
      <c r="M4147" s="256" t="n"/>
      <c r="N4147" s="256" t="n"/>
      <c r="O4147" s="256" t="n"/>
      <c r="P4147" s="256" t="n"/>
      <c r="Q4147" s="256" t="n"/>
    </row>
    <row r="4148">
      <c r="A4148">
        <f>IF(DAY(D4148)=DAY($L$1+1),A4147+1,A4147)</f>
        <v/>
      </c>
      <c r="B4148" s="1">
        <f>IF(DAY(D4148)=DAY($L$1+1),1,B4147+1)</f>
        <v/>
      </c>
      <c r="C4148" s="46">
        <f>IF(DAY(D4148)=DAY($L$1+1),1,C4147+1)</f>
        <v/>
      </c>
      <c r="D4148" s="2">
        <f>D4147+1</f>
        <v/>
      </c>
      <c r="E4148" s="8">
        <f>IF(DAY(D4148)=DAY($L$1+1),TRUNC((#REF!),8),E4147)</f>
        <v/>
      </c>
      <c r="F4148" s="49">
        <f>TRUNC(((1+VLOOKUP(A4148,IPCA!$A$2:$C$140,3,0)))^(C4148/(EDATE(D4148-C4148,1)-(D4148-C4148))),8)</f>
        <v/>
      </c>
      <c r="G4148" s="49">
        <f>TRUNC((E4148*F4148),8)</f>
        <v/>
      </c>
      <c r="H4148" s="49">
        <f>ROUND(((1+$H$4)^(30/360))^(C4148/(EDATE(D4148-B4148,1)-(D4148-B4148))),9)</f>
        <v/>
      </c>
      <c r="I4148" s="49">
        <f>TRUNC((G4148*H4148-G4148),8)</f>
        <v/>
      </c>
      <c r="J4148" s="4">
        <f>G4148+I4148</f>
        <v/>
      </c>
      <c r="K4148" s="256" t="n"/>
      <c r="L4148" s="256" t="n"/>
      <c r="M4148" s="256" t="n"/>
      <c r="N4148" s="256" t="n"/>
      <c r="O4148" s="256" t="n"/>
      <c r="P4148" s="256" t="n"/>
      <c r="Q4148" s="256" t="n"/>
    </row>
    <row r="4149">
      <c r="A4149">
        <f>IF(DAY(D4149)=DAY($L$1+1),A4148+1,A4148)</f>
        <v/>
      </c>
      <c r="B4149" s="1">
        <f>IF(DAY(D4149)=DAY($L$1+1),1,B4148+1)</f>
        <v/>
      </c>
      <c r="C4149" s="46">
        <f>IF(DAY(D4149)=DAY($L$1+1),1,C4148+1)</f>
        <v/>
      </c>
      <c r="D4149" s="2">
        <f>D4148+1</f>
        <v/>
      </c>
      <c r="E4149" s="8">
        <f>IF(DAY(D4149)=DAY($L$1+1),TRUNC((N4148),8),E4148)</f>
        <v/>
      </c>
      <c r="F4149" s="49">
        <f>TRUNC(((1+VLOOKUP(A4149,IPCA!$A$2:$C$140,3,0)))^(C4149/(EDATE(D4149-C4149,1)-(D4149-C4149))),8)</f>
        <v/>
      </c>
      <c r="G4149" s="49">
        <f>TRUNC((E4149*F4149),8)</f>
        <v/>
      </c>
      <c r="H4149" s="49">
        <f>ROUND(((1+$H$4)^(30/360))^(C4149/(EDATE(D4149-B4149,1)-(D4149-B4149))),9)</f>
        <v/>
      </c>
      <c r="I4149" s="49">
        <f>TRUNC((G4149*H4149-G4149),8)</f>
        <v/>
      </c>
      <c r="J4149" s="4">
        <f>G4149+I4149</f>
        <v/>
      </c>
      <c r="K4149" s="256" t="n"/>
      <c r="L4149" s="256" t="n"/>
      <c r="M4149" s="256" t="n"/>
      <c r="N4149" s="256" t="n"/>
      <c r="O4149" s="256" t="n"/>
      <c r="P4149" s="256" t="n"/>
      <c r="Q4149" s="256" t="n"/>
    </row>
    <row r="4150">
      <c r="A4150">
        <f>IF(DAY(D4150)=DAY($L$1+1),A4149+1,A4149)</f>
        <v/>
      </c>
      <c r="B4150" s="1">
        <f>IF(DAY(D4150)=DAY($L$1+1),1,B4149+1)</f>
        <v/>
      </c>
      <c r="C4150" s="46">
        <f>IF(DAY(D4150)=DAY($L$1+1),1,C4149+1)</f>
        <v/>
      </c>
      <c r="D4150" s="2">
        <f>D4149+1</f>
        <v/>
      </c>
      <c r="E4150" s="8">
        <f>IF(DAY(D4150)=DAY($L$1+1),TRUNC((N4149),8),E4149)</f>
        <v/>
      </c>
      <c r="F4150" s="49">
        <f>TRUNC(((1+VLOOKUP(A4150,IPCA!$A$2:$C$140,3,0)))^(C4150/(EDATE(D4150-C4150,1)-(D4150-C4150))),8)</f>
        <v/>
      </c>
      <c r="G4150" s="49">
        <f>TRUNC((E4150*F4150),8)</f>
        <v/>
      </c>
      <c r="H4150" s="49">
        <f>ROUND(((1+$H$4)^(30/360))^(C4150/(EDATE(D4150-B4150,1)-(D4150-B4150))),9)</f>
        <v/>
      </c>
      <c r="I4150" s="49">
        <f>TRUNC((G4150*H4150-G4150),8)</f>
        <v/>
      </c>
      <c r="J4150" s="4">
        <f>G4150+I4150</f>
        <v/>
      </c>
      <c r="K4150" s="256" t="n"/>
      <c r="L4150" s="256" t="n"/>
      <c r="M4150" s="256" t="n"/>
      <c r="N4150" s="256" t="n"/>
      <c r="O4150" s="256" t="n"/>
      <c r="P4150" s="256" t="n"/>
      <c r="Q4150" s="256" t="n"/>
    </row>
    <row r="4151">
      <c r="A4151">
        <f>IF(DAY(D4151)=DAY($L$1+1),A4150+1,A4150)</f>
        <v/>
      </c>
      <c r="B4151" s="1">
        <f>IF(DAY(D4151)=DAY($L$1+1),1,B4150+1)</f>
        <v/>
      </c>
      <c r="C4151" s="46">
        <f>IF(DAY(D4151)=DAY($L$1+1),1,C4150+1)</f>
        <v/>
      </c>
      <c r="D4151" s="2">
        <f>D4150+1</f>
        <v/>
      </c>
      <c r="E4151" s="8">
        <f>IF(DAY(D4151)=DAY($L$1+1),TRUNC((N4150),8),E4150)</f>
        <v/>
      </c>
      <c r="F4151" s="49">
        <f>TRUNC(((1+VLOOKUP(A4151,IPCA!$A$2:$C$140,3,0)))^(C4151/(EDATE(D4151-C4151,1)-(D4151-C4151))),8)</f>
        <v/>
      </c>
      <c r="G4151" s="49">
        <f>TRUNC((E4151*F4151),8)</f>
        <v/>
      </c>
      <c r="H4151" s="49">
        <f>ROUND(((1+$H$4)^(30/360))^(C4151/(EDATE(D4151-B4151,1)-(D4151-B4151))),9)</f>
        <v/>
      </c>
      <c r="I4151" s="49">
        <f>TRUNC((G4151*H4151-G4151),8)</f>
        <v/>
      </c>
      <c r="J4151" s="4">
        <f>G4151+I4151</f>
        <v/>
      </c>
      <c r="K4151" s="256" t="n"/>
      <c r="L4151" s="256" t="n"/>
      <c r="M4151" s="256" t="n"/>
      <c r="N4151" s="256" t="n"/>
      <c r="O4151" s="256" t="n"/>
      <c r="P4151" s="256" t="n"/>
      <c r="Q4151" s="256" t="n"/>
    </row>
    <row r="4152">
      <c r="A4152">
        <f>IF(DAY(D4152)=DAY($L$1+1),A4151+1,A4151)</f>
        <v/>
      </c>
      <c r="B4152" s="1">
        <f>IF(DAY(D4152)=DAY($L$1+1),1,B4151+1)</f>
        <v/>
      </c>
      <c r="C4152" s="46">
        <f>IF(DAY(D4152)=DAY($L$1+1),1,C4151+1)</f>
        <v/>
      </c>
      <c r="D4152" s="2">
        <f>D4151+1</f>
        <v/>
      </c>
      <c r="E4152" s="8">
        <f>IF(DAY(D4152)=DAY($L$1+1),TRUNC((N4151),8),E4151)</f>
        <v/>
      </c>
      <c r="F4152" s="49">
        <f>TRUNC(((1+VLOOKUP(A4152,IPCA!$A$2:$C$140,3,0)))^(C4152/(EDATE(D4152-C4152,1)-(D4152-C4152))),8)</f>
        <v/>
      </c>
      <c r="G4152" s="49">
        <f>TRUNC((E4152*F4152),8)</f>
        <v/>
      </c>
      <c r="H4152" s="49">
        <f>ROUND(((1+$H$4)^(30/360))^(C4152/(EDATE(D4152-B4152,1)-(D4152-B4152))),9)</f>
        <v/>
      </c>
      <c r="I4152" s="49">
        <f>TRUNC((G4152*H4152-G4152),8)</f>
        <v/>
      </c>
      <c r="J4152" s="4">
        <f>G4152+I4152</f>
        <v/>
      </c>
      <c r="K4152" s="256" t="n"/>
      <c r="L4152" s="256" t="n"/>
      <c r="M4152" s="256" t="n"/>
      <c r="N4152" s="256" t="n"/>
      <c r="O4152" s="256" t="n"/>
      <c r="P4152" s="256" t="n"/>
      <c r="Q4152" s="256" t="n"/>
    </row>
    <row r="4153">
      <c r="A4153">
        <f>IF(DAY(D4153)=DAY($L$1+1),A4152+1,A4152)</f>
        <v/>
      </c>
      <c r="B4153" s="1">
        <f>IF(DAY(D4153)=DAY($L$1+1),1,B4152+1)</f>
        <v/>
      </c>
      <c r="C4153" s="46">
        <f>IF(DAY(D4153)=DAY($L$1+1),1,C4152+1)</f>
        <v/>
      </c>
      <c r="D4153" s="2">
        <f>D4152+1</f>
        <v/>
      </c>
      <c r="E4153" s="8">
        <f>IF(DAY(D4153)=DAY($L$1+1),TRUNC((N4152),8),E4152)</f>
        <v/>
      </c>
      <c r="F4153" s="49">
        <f>TRUNC(((1+VLOOKUP(A4153,IPCA!$A$2:$C$140,3,0)))^(C4153/(EDATE(D4153-C4153,1)-(D4153-C4153))),8)</f>
        <v/>
      </c>
      <c r="G4153" s="49">
        <f>TRUNC((E4153*F4153),8)</f>
        <v/>
      </c>
      <c r="H4153" s="49">
        <f>ROUND(((1+$H$4)^(30/360))^(C4153/(EDATE(D4153-B4153,1)-(D4153-B4153))),9)</f>
        <v/>
      </c>
      <c r="I4153" s="49">
        <f>TRUNC((G4153*H4153-G4153),8)</f>
        <v/>
      </c>
      <c r="J4153" s="4">
        <f>G4153+I4153</f>
        <v/>
      </c>
      <c r="K4153" s="256" t="n"/>
      <c r="L4153" s="256" t="n"/>
      <c r="M4153" s="256" t="n"/>
      <c r="N4153" s="256" t="n"/>
      <c r="O4153" s="256" t="n"/>
      <c r="P4153" s="256" t="n"/>
      <c r="Q4153" s="256" t="n"/>
    </row>
    <row r="4154">
      <c r="A4154">
        <f>IF(DAY(D4154)=DAY($L$1+1),A4153+1,A4153)</f>
        <v/>
      </c>
      <c r="B4154" s="1">
        <f>IF(DAY(D4154)=DAY($L$1+1),1,B4153+1)</f>
        <v/>
      </c>
      <c r="C4154" s="46">
        <f>IF(DAY(D4154)=DAY($L$1+1),1,C4153+1)</f>
        <v/>
      </c>
      <c r="D4154" s="2">
        <f>D4153+1</f>
        <v/>
      </c>
      <c r="E4154" s="8">
        <f>IF(DAY(D4154)=DAY($L$1+1),TRUNC((N4153),8),E4153)</f>
        <v/>
      </c>
      <c r="F4154" s="49">
        <f>TRUNC(((1+VLOOKUP(A4154,IPCA!$A$2:$C$140,3,0)))^(C4154/(EDATE(D4154-C4154,1)-(D4154-C4154))),8)</f>
        <v/>
      </c>
      <c r="G4154" s="49">
        <f>TRUNC((E4154*F4154),8)</f>
        <v/>
      </c>
      <c r="H4154" s="49">
        <f>ROUND(((1+$H$4)^(30/360))^(C4154/(EDATE(D4154-B4154,1)-(D4154-B4154))),9)</f>
        <v/>
      </c>
      <c r="I4154" s="49">
        <f>TRUNC((G4154*H4154-G4154),8)</f>
        <v/>
      </c>
      <c r="J4154" s="4">
        <f>G4154+I4154</f>
        <v/>
      </c>
      <c r="K4154" s="256" t="n"/>
      <c r="L4154" s="256" t="n"/>
      <c r="M4154" s="256" t="n"/>
      <c r="N4154" s="256" t="n"/>
      <c r="O4154" s="256" t="n"/>
      <c r="P4154" s="256" t="n"/>
      <c r="Q4154" s="256" t="n"/>
    </row>
    <row r="4155">
      <c r="A4155">
        <f>IF(DAY(D4155)=DAY($L$1+1),A4154+1,A4154)</f>
        <v/>
      </c>
      <c r="B4155" s="1">
        <f>IF(DAY(D4155)=DAY($L$1+1),1,B4154+1)</f>
        <v/>
      </c>
      <c r="C4155" s="46">
        <f>IF(DAY(D4155)=DAY($L$1+1),1,C4154+1)</f>
        <v/>
      </c>
      <c r="D4155" s="2">
        <f>D4154+1</f>
        <v/>
      </c>
      <c r="E4155" s="8">
        <f>IF(DAY(D4155)=DAY($L$1+1),TRUNC((N4154),8),E4154)</f>
        <v/>
      </c>
      <c r="F4155" s="49">
        <f>TRUNC(((1+VLOOKUP(A4155,IPCA!$A$2:$C$140,3,0)))^(C4155/(EDATE(D4155-C4155,1)-(D4155-C4155))),8)</f>
        <v/>
      </c>
      <c r="G4155" s="49">
        <f>TRUNC((E4155*F4155),8)</f>
        <v/>
      </c>
      <c r="H4155" s="49">
        <f>ROUND(((1+$H$4)^(30/360))^(C4155/(EDATE(D4155-B4155,1)-(D4155-B4155))),9)</f>
        <v/>
      </c>
      <c r="I4155" s="49">
        <f>TRUNC((G4155*H4155-G4155),8)</f>
        <v/>
      </c>
      <c r="J4155" s="4">
        <f>G4155+I4155</f>
        <v/>
      </c>
      <c r="K4155" s="256" t="n"/>
      <c r="L4155" s="256" t="n"/>
      <c r="M4155" s="256" t="n"/>
      <c r="N4155" s="256" t="n"/>
      <c r="O4155" s="256" t="n"/>
      <c r="P4155" s="256" t="n"/>
      <c r="Q4155" s="256" t="n"/>
    </row>
    <row r="4156">
      <c r="A4156">
        <f>IF(DAY(D4156)=DAY($L$1+1),A4155+1,A4155)</f>
        <v/>
      </c>
      <c r="B4156" s="1">
        <f>IF(DAY(D4156)=DAY($L$1+1),1,B4155+1)</f>
        <v/>
      </c>
      <c r="C4156" s="46">
        <f>IF(DAY(D4156)=DAY($L$1+1),1,C4155+1)</f>
        <v/>
      </c>
      <c r="D4156" s="2">
        <f>D4155+1</f>
        <v/>
      </c>
      <c r="E4156" s="8">
        <f>IF(DAY(D4156)=DAY($L$1+1),TRUNC((N4155),8),E4155)</f>
        <v/>
      </c>
      <c r="F4156" s="49">
        <f>TRUNC(((1+VLOOKUP(A4156,IPCA!$A$2:$C$140,3,0)))^(C4156/(EDATE(D4156-C4156,1)-(D4156-C4156))),8)</f>
        <v/>
      </c>
      <c r="G4156" s="49">
        <f>TRUNC((E4156*F4156),8)</f>
        <v/>
      </c>
      <c r="H4156" s="49">
        <f>ROUND(((1+$H$4)^(30/360))^(C4156/(EDATE(D4156-B4156,1)-(D4156-B4156))),9)</f>
        <v/>
      </c>
      <c r="I4156" s="49">
        <f>TRUNC((G4156*H4156-G4156),8)</f>
        <v/>
      </c>
      <c r="J4156" s="4">
        <f>G4156+I4156</f>
        <v/>
      </c>
      <c r="K4156" s="256" t="n"/>
      <c r="L4156" s="256" t="n"/>
      <c r="M4156" s="256" t="n"/>
      <c r="N4156" s="256" t="n"/>
      <c r="O4156" s="256" t="n"/>
      <c r="P4156" s="256" t="n"/>
      <c r="Q4156" s="256" t="n"/>
    </row>
    <row r="4157">
      <c r="A4157">
        <f>IF(DAY(D4157)=DAY($L$1+1),A4156+1,A4156)</f>
        <v/>
      </c>
      <c r="B4157" s="1">
        <f>IF(DAY(D4157)=DAY($L$1+1),1,B4156+1)</f>
        <v/>
      </c>
      <c r="C4157" s="46">
        <f>IF(DAY(D4157)=DAY($L$1+1),1,C4156+1)</f>
        <v/>
      </c>
      <c r="D4157" s="2">
        <f>D4156+1</f>
        <v/>
      </c>
      <c r="E4157" s="8">
        <f>IF(DAY(D4157)=DAY($L$1+1),TRUNC((N4156),8),E4156)</f>
        <v/>
      </c>
      <c r="F4157" s="49">
        <f>TRUNC(((1+VLOOKUP(A4157,IPCA!$A$2:$C$140,3,0)))^(C4157/(EDATE(D4157-C4157,1)-(D4157-C4157))),8)</f>
        <v/>
      </c>
      <c r="G4157" s="49">
        <f>TRUNC((E4157*F4157),8)</f>
        <v/>
      </c>
      <c r="H4157" s="49">
        <f>ROUND(((1+$H$4)^(30/360))^(C4157/(EDATE(D4157-B4157,1)-(D4157-B4157))),9)</f>
        <v/>
      </c>
      <c r="I4157" s="49">
        <f>TRUNC((G4157*H4157-G4157),8)</f>
        <v/>
      </c>
      <c r="J4157" s="4">
        <f>G4157+I4157</f>
        <v/>
      </c>
      <c r="K4157" s="256" t="n"/>
      <c r="L4157" s="256" t="n"/>
      <c r="M4157" s="256" t="n"/>
      <c r="N4157" s="256" t="n"/>
      <c r="O4157" s="256" t="n"/>
      <c r="P4157" s="256" t="n"/>
      <c r="Q4157" s="256" t="n"/>
    </row>
    <row r="4158">
      <c r="A4158">
        <f>IF(DAY(D4158)=DAY($L$1+1),A4157+1,A4157)</f>
        <v/>
      </c>
      <c r="B4158" s="1">
        <f>IF(DAY(D4158)=DAY($L$1+1),1,B4157+1)</f>
        <v/>
      </c>
      <c r="C4158" s="46">
        <f>IF(DAY(D4158)=DAY($L$1+1),1,C4157+1)</f>
        <v/>
      </c>
      <c r="D4158" s="2">
        <f>D4157+1</f>
        <v/>
      </c>
      <c r="E4158" s="8">
        <f>IF(DAY(D4158)=DAY($L$1+1),TRUNC((N4157),8),E4157)</f>
        <v/>
      </c>
      <c r="F4158" s="49">
        <f>TRUNC(((1+VLOOKUP(A4158,IPCA!$A$2:$C$140,3,0)))^(C4158/(EDATE(D4158-C4158,1)-(D4158-C4158))),8)</f>
        <v/>
      </c>
      <c r="G4158" s="49">
        <f>TRUNC((E4158*F4158),8)</f>
        <v/>
      </c>
      <c r="H4158" s="49">
        <f>ROUND(((1+$H$4)^(30/360))^(C4158/(EDATE(D4158-B4158,1)-(D4158-B4158))),9)</f>
        <v/>
      </c>
      <c r="I4158" s="49">
        <f>TRUNC((G4158*H4158-G4158),8)</f>
        <v/>
      </c>
      <c r="J4158" s="4">
        <f>G4158+I4158</f>
        <v/>
      </c>
      <c r="K4158" s="256" t="inlineStr">
        <is>
          <t>Cri Integralizado</t>
        </is>
      </c>
      <c r="L4158" s="270">
        <f>L4127</f>
        <v/>
      </c>
      <c r="M4158" s="256" t="n"/>
      <c r="N4158" s="256" t="n"/>
      <c r="O4158" s="256" t="n"/>
      <c r="P4158" s="256" t="n"/>
      <c r="Q4158" s="256" t="n"/>
    </row>
    <row r="4159">
      <c r="A4159">
        <f>IF(DAY(D4159)=DAY($L$1+1),A4158+1,A4158)</f>
        <v/>
      </c>
      <c r="B4159" s="1">
        <f>IF(DAY(D4159)=DAY($L$1+1),1,B4158+1)</f>
        <v/>
      </c>
      <c r="C4159" s="46">
        <f>IF(DAY(D4159)=DAY($L$1+1),1,C4158+1)</f>
        <v/>
      </c>
      <c r="D4159" s="2">
        <f>D4158+1</f>
        <v/>
      </c>
      <c r="E4159" s="8">
        <f>IF(DAY(D4159)=DAY($L$1+1),TRUNC((N4158),8),E4158)</f>
        <v/>
      </c>
      <c r="F4159" s="49">
        <f>TRUNC(((1+VLOOKUP(A4159,IPCA!$A$2:$C$140,3,0)))^(C4159/(EDATE(D4159-C4159,1)-(D4159-C4159))),8)</f>
        <v/>
      </c>
      <c r="G4159" s="49">
        <f>TRUNC((E4159*F4159),8)</f>
        <v/>
      </c>
      <c r="H4159" s="49">
        <f>ROUND(((1+$H$4)^(30/360))^(C4159/(EDATE(D4159-B4159,1)-(D4159-B4159))),9)</f>
        <v/>
      </c>
      <c r="I4159" s="49">
        <f>TRUNC((G4159*H4159-G4159),8)</f>
        <v/>
      </c>
      <c r="J4159" s="4">
        <f>G4159+I4159</f>
        <v/>
      </c>
      <c r="K4159" s="137" t="inlineStr">
        <is>
          <t>JUROS</t>
        </is>
      </c>
      <c r="L4159" s="118" t="inlineStr">
        <is>
          <t>AMORTIZAÇÃO</t>
        </is>
      </c>
      <c r="M4159" s="118" t="inlineStr">
        <is>
          <t>AMEX</t>
        </is>
      </c>
      <c r="N4159" s="118" t="inlineStr">
        <is>
          <t>RESIDUAL</t>
        </is>
      </c>
      <c r="O4159" s="256" t="n"/>
      <c r="P4159" s="256" t="n"/>
      <c r="Q4159" s="256" t="n"/>
    </row>
    <row r="4160">
      <c r="A4160">
        <f>IF(DAY(D4160)=DAY($L$1+1),A4159+1,A4159)</f>
        <v/>
      </c>
      <c r="B4160" s="111">
        <f>IF(DAY(D4160)=DAY($L$1+1),1,B4159+1)</f>
        <v/>
      </c>
      <c r="C4160" s="111">
        <f>IF(DAY(D4160)=DAY($L$1+1),1,C4159+1)</f>
        <v/>
      </c>
      <c r="D4160" s="112">
        <f>D4159+1</f>
        <v/>
      </c>
      <c r="E4160" s="113">
        <f>IF(DAY(D4160)=DAY($L$1+1),TRUNC((N4159),8),E4159)</f>
        <v/>
      </c>
      <c r="F4160" s="114">
        <f>TRUNC(((1+VLOOKUP(A4160,IPCA!$A$2:$C$140,3,0)))^(C4160/(EDATE(D4160-C4160,1)-(D4160-C4160))),8)</f>
        <v/>
      </c>
      <c r="G4160" s="114">
        <f>TRUNC((E4160*F4160),8)</f>
        <v/>
      </c>
      <c r="H4160" s="114">
        <f>ROUND(((1+$H$4)^(30/360))^(C4160/(EDATE(D4160-B4160,1)-(D4160-B4160))),9)</f>
        <v/>
      </c>
      <c r="I4160" s="114">
        <f>TRUNC((G4160*H4160-G4160),8)</f>
        <v/>
      </c>
      <c r="J4160" s="114">
        <f>G4160+I4160</f>
        <v/>
      </c>
      <c r="K4160" s="119">
        <f>I4160</f>
        <v/>
      </c>
      <c r="L4160" s="120">
        <f>TRUNC(G4160*VLOOKUP(D4160,'Amort TS'!$G$3:$H$140,2,0),8)</f>
        <v/>
      </c>
      <c r="M4160" s="120" t="n">
        <v>0</v>
      </c>
      <c r="N4160" s="120">
        <f>J4160-K4160-L4160-M4160</f>
        <v/>
      </c>
      <c r="O4160" s="256" t="n"/>
      <c r="P4160" s="256" t="n"/>
      <c r="Q4160" s="256" t="n"/>
    </row>
    <row r="4161">
      <c r="K4161" s="121">
        <f>K4160*L4158</f>
        <v/>
      </c>
      <c r="L4161" s="121">
        <f>L4160*L4158</f>
        <v/>
      </c>
      <c r="M4161" s="121">
        <f>M4160*L4158</f>
        <v/>
      </c>
      <c r="N4161" s="121">
        <f>N4160*L4158</f>
        <v/>
      </c>
      <c r="O4161" s="256" t="n"/>
      <c r="P4161" s="256" t="n"/>
      <c r="Q4161" s="256" t="n"/>
    </row>
    <row r="4162">
      <c r="K4162" s="256" t="n"/>
      <c r="L4162" s="256" t="n"/>
      <c r="M4162" s="256" t="n"/>
      <c r="N4162" s="256" t="n"/>
      <c r="O4162" s="256" t="n"/>
      <c r="P4162" s="256" t="n"/>
      <c r="Q4162" s="256" t="n"/>
    </row>
    <row r="4163">
      <c r="D4163" s="275" t="n">
        <v>45925</v>
      </c>
      <c r="N4163" t="n">
        <v>0.91743119</v>
      </c>
      <c r="O4163" t="inlineStr">
        <is>
          <t>04/09/2025 12:20:11</t>
        </is>
      </c>
    </row>
    <row r="4164">
      <c r="D4164" s="322" t="n">
        <v>45955</v>
      </c>
      <c r="N4164" t="n">
        <v>917431.19266055</v>
      </c>
      <c r="O4164" t="inlineStr">
        <is>
          <t>16/10/2025 09:32:39</t>
        </is>
      </c>
    </row>
    <row r="4165">
      <c r="D4165" s="322" t="n">
        <v>45986</v>
      </c>
      <c r="N4165" t="n">
        <v>917431.19266055</v>
      </c>
      <c r="O4165" t="inlineStr">
        <is>
          <t>18/11/2025 08:09:06</t>
        </is>
      </c>
    </row>
    <row r="4166">
      <c r="D4166" s="322" t="n">
        <v>46047</v>
      </c>
      <c r="N4166" t="n">
        <v>917431.19266055</v>
      </c>
      <c r="O4166" t="inlineStr">
        <is>
          <t>04/01/2026 02:07:34</t>
        </is>
      </c>
    </row>
    <row r="4167">
      <c r="D4167" s="322" t="n">
        <v>46078</v>
      </c>
      <c r="N4167" t="n">
        <v>944493.95630162</v>
      </c>
      <c r="O4167" t="inlineStr">
        <is>
          <t>20/02/2026 10:05:34</t>
        </is>
      </c>
    </row>
  </sheetData>
  <autoFilter ref="B3:J4161"/>
  <mergeCells count="8">
    <mergeCell ref="C3:C4"/>
    <mergeCell ref="B3:B4"/>
    <mergeCell ref="G3:G4"/>
    <mergeCell ref="E3:E4"/>
    <mergeCell ref="I3:I4"/>
    <mergeCell ref="F3:F4"/>
    <mergeCell ref="D3:D4"/>
    <mergeCell ref="J3:J4"/>
  </mergeCells>
  <pageMargins left="0.787401575" right="0.787401575" top="0.984251969" bottom="0.984251969" header="0.492125985" footer="0.492125985"/>
  <pageSetup orientation="portrait" paperSize="9" horizontalDpi="200" verticalDpi="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3"/>
  <sheetViews>
    <sheetView showGridLines="0" topLeftCell="F1" zoomScale="70" zoomScaleNormal="70" workbookViewId="0">
      <pane ySplit="3" topLeftCell="A13" activePane="bottomLeft" state="frozen"/>
      <selection activeCell="F1" sqref="F1"/>
      <selection pane="bottomLeft" activeCell="F37" sqref="F37:P38"/>
    </sheetView>
  </sheetViews>
  <sheetFormatPr baseColWidth="8" defaultColWidth="12.44140625" defaultRowHeight="13.8"/>
  <cols>
    <col hidden="1" width="13" customWidth="1" style="250" min="1" max="2"/>
    <col hidden="1" width="10.44140625" customWidth="1" style="250" min="3" max="3"/>
    <col hidden="1" width="12.44140625" customWidth="1" style="250" min="4" max="4"/>
    <col hidden="1" width="14.6640625" customWidth="1" style="250" min="5" max="5"/>
    <col width="8.44140625" bestFit="1" customWidth="1" style="244" min="6" max="6"/>
    <col width="12.44140625" bestFit="1" customWidth="1" style="276" min="7" max="7"/>
    <col width="18" customWidth="1" style="244" min="8" max="8"/>
    <col width="4.44140625" bestFit="1" customWidth="1" style="244" min="9" max="9"/>
    <col width="12.33203125" customWidth="1" style="244" min="10" max="10"/>
    <col width="20.33203125" bestFit="1" customWidth="1" style="249" min="11" max="11"/>
    <col width="13" bestFit="1" customWidth="1" style="244" min="12" max="12"/>
    <col width="12.33203125" customWidth="1" style="244" min="13" max="13"/>
    <col width="15.88671875" bestFit="1" customWidth="1" style="250" min="14" max="14"/>
    <col width="26.88671875" bestFit="1" customWidth="1" style="250" min="15" max="15"/>
    <col width="46" bestFit="1" customWidth="1" style="250" min="16" max="16"/>
    <col width="48.33203125" bestFit="1" customWidth="1" style="250" min="17" max="17"/>
    <col width="16" bestFit="1" customWidth="1" style="250" min="18" max="18"/>
    <col width="3.109375" customWidth="1" style="250" min="19" max="19"/>
    <col width="57.6640625" bestFit="1" customWidth="1" style="170" min="20" max="20"/>
    <col width="32.5546875" bestFit="1" customWidth="1" style="170" min="21" max="21"/>
    <col width="56.33203125" bestFit="1" customWidth="1" style="170" min="22" max="22"/>
    <col width="23.44140625" bestFit="1" customWidth="1" style="170" min="23" max="23"/>
    <col width="12.44140625" customWidth="1" style="250" min="24" max="27"/>
    <col width="12.44140625" customWidth="1" style="250" min="28" max="16384"/>
  </cols>
  <sheetData>
    <row r="1">
      <c r="F1" s="242" t="inlineStr">
        <is>
          <t xml:space="preserve">TABELA DE AMORTIZAÇÃO DOS CRI </t>
        </is>
      </c>
      <c r="J1" s="250" t="n"/>
      <c r="K1" s="141" t="n"/>
      <c r="L1" s="250" t="n"/>
      <c r="M1" s="250" t="n"/>
    </row>
    <row r="2" ht="36" customHeight="1" s="260">
      <c r="F2" s="245" t="n"/>
      <c r="G2" s="245" t="n"/>
      <c r="H2" s="245" t="n"/>
      <c r="J2" s="277" t="inlineStr">
        <is>
          <t>DADOS DA PMT</t>
        </is>
      </c>
      <c r="O2" s="152" t="n"/>
      <c r="P2" s="278" t="n"/>
      <c r="Q2" s="154" t="inlineStr">
        <is>
          <t>CONTABILIDADE</t>
        </is>
      </c>
      <c r="R2" s="279" t="inlineStr">
        <is>
          <t>CORREÇÃO</t>
        </is>
      </c>
    </row>
    <row r="3" customFormat="1" s="156">
      <c r="C3" s="156" t="inlineStr">
        <is>
          <t>TRIMESTRE</t>
        </is>
      </c>
      <c r="D3" s="156" t="inlineStr">
        <is>
          <t>MÊS</t>
        </is>
      </c>
      <c r="E3" s="156" t="inlineStr">
        <is>
          <t>ANO</t>
        </is>
      </c>
      <c r="F3" s="157" t="inlineStr">
        <is>
          <t xml:space="preserve">Evento </t>
        </is>
      </c>
      <c r="G3" s="280" t="inlineStr">
        <is>
          <t xml:space="preserve">Data </t>
        </is>
      </c>
      <c r="H3" s="157" t="inlineStr">
        <is>
          <t>Amortização</t>
        </is>
      </c>
      <c r="I3" s="159" t="n"/>
      <c r="J3" s="278" t="inlineStr">
        <is>
          <t>JUROS</t>
        </is>
      </c>
      <c r="K3" s="278" t="inlineStr">
        <is>
          <t>AMORTIZAÇÃO</t>
        </is>
      </c>
      <c r="L3" s="278" t="inlineStr">
        <is>
          <t>PMT</t>
        </is>
      </c>
      <c r="M3" s="278" t="inlineStr">
        <is>
          <t>AMEX</t>
        </is>
      </c>
      <c r="N3" s="278" t="inlineStr">
        <is>
          <t>PMT C/ AMEX</t>
        </is>
      </c>
      <c r="O3" s="281" t="inlineStr">
        <is>
          <t>CRI INTEGRALIZADO</t>
        </is>
      </c>
      <c r="P3" s="278" t="inlineStr">
        <is>
          <t>SALDO DEVEDOR (EVENTO) = AmorTs</t>
        </is>
      </c>
      <c r="Q3" s="278" t="inlineStr">
        <is>
          <t>SALDO DEVEDOR (ÚLTIMO DIA DO MÊS)</t>
        </is>
      </c>
      <c r="R3" s="241" t="n"/>
      <c r="T3" s="171" t="n"/>
      <c r="U3" s="171" t="n"/>
      <c r="V3" s="171" t="n"/>
      <c r="W3" s="171" t="n"/>
    </row>
    <row r="4">
      <c r="A4" s="250">
        <f>CONCATENATE(C4,D4,E4)</f>
        <v/>
      </c>
      <c r="B4" s="250">
        <f>CONCATENATE(D4,E4)</f>
        <v/>
      </c>
      <c r="C4" s="250">
        <f>IF(D4&gt;=1,IF(D4&lt;=3,"1",IF(D4&gt;=4,IF(D4&lt;=6,"2",IF(D4&gt;=7,IF(D4&lt;=9,"3",IF(D4&gt;=10,IF(D4&lt;=12,"4","-"))))))))</f>
        <v/>
      </c>
      <c r="D4" s="250">
        <f>MONTH(G4)</f>
        <v/>
      </c>
      <c r="E4" s="250">
        <f>YEAR(G4)</f>
        <v/>
      </c>
      <c r="F4" s="142" t="n">
        <v>1</v>
      </c>
      <c r="G4" s="282" t="n">
        <v>44767</v>
      </c>
      <c r="H4" s="143" t="n">
        <v>0</v>
      </c>
      <c r="I4" s="144" t="n">
        <v>29</v>
      </c>
      <c r="J4" s="283">
        <f>IFERROR((VLOOKUP($G4,'22F1187231'!$D$3:$N$4160,8,1))*O4,0)</f>
        <v/>
      </c>
      <c r="K4" s="283">
        <f>VLOOKUP(G4,'22F1187231'!$D$5:$L$4163,9,0)*O4</f>
        <v/>
      </c>
      <c r="L4" s="283">
        <f>SUM(J4:K4)</f>
        <v/>
      </c>
      <c r="M4" s="283">
        <f>(VLOOKUP($G4,'22F1187231'!$D$5:$N$4163,10,1))*O4</f>
        <v/>
      </c>
      <c r="N4" s="283">
        <f>SUM(L4:M4)</f>
        <v/>
      </c>
      <c r="O4" s="283" t="n">
        <v>1113210</v>
      </c>
      <c r="P4" s="283">
        <f>VLOOKUP(G4,'22F1187231'!$D$5:$J$4160,7,0)*O4-(SUM(J4:K4,M4))</f>
        <v/>
      </c>
      <c r="Q4" s="283">
        <f>(VLOOKUP(EOMONTH(G4,0),'22F1187231'!$D$5:$J$4160,7,0))*O4</f>
        <v/>
      </c>
      <c r="R4" s="283">
        <f>(VLOOKUP(G4,'22F1187231'!$D$5:$J$4160,4,0)-VLOOKUP(G4,'22F1187231'!$D$5:$J$4160,2,0))*O4</f>
        <v/>
      </c>
      <c r="T4" s="255" t="inlineStr">
        <is>
          <t>CVM / PENTAGONO</t>
        </is>
      </c>
      <c r="U4" s="256" t="n"/>
    </row>
    <row r="5">
      <c r="A5" s="250">
        <f>CONCATENATE(C5,D5,E5)</f>
        <v/>
      </c>
      <c r="B5" s="250">
        <f>CONCATENATE(D5,E5)</f>
        <v/>
      </c>
      <c r="C5" s="250">
        <f>IF(D5&gt;=1,IF(D5&lt;=3,"1",IF(D5&gt;=4,IF(D5&lt;=6,"2",IF(D5&gt;=7,IF(D5&lt;=9,"3",IF(D5&gt;=10,IF(D5&lt;=12,"4","-"))))))))</f>
        <v/>
      </c>
      <c r="D5" s="250">
        <f>MONTH(G5)</f>
        <v/>
      </c>
      <c r="E5" s="250">
        <f>YEAR(G5)</f>
        <v/>
      </c>
      <c r="F5" s="142">
        <f>F4+1</f>
        <v/>
      </c>
      <c r="G5" s="282" t="n">
        <v>44798</v>
      </c>
      <c r="H5" s="143" t="n">
        <v>0</v>
      </c>
      <c r="I5" s="144" t="n">
        <v>30</v>
      </c>
      <c r="J5" s="283">
        <f>IFERROR((VLOOKUP($G5,'22F1187231'!$D$3:$N$4160,8,1))*O5,0)</f>
        <v/>
      </c>
      <c r="K5" s="283">
        <f>VLOOKUP(G5,'22F1187231'!$D$5:$L$4163,9,0)*O5</f>
        <v/>
      </c>
      <c r="L5" s="283">
        <f>SUM(J5:K5)</f>
        <v/>
      </c>
      <c r="M5" s="283">
        <f>(VLOOKUP($G5,'22F1187231'!$D$5:$N$4163,10,1))*O5</f>
        <v/>
      </c>
      <c r="N5" s="283">
        <f>SUM(L5:M5)</f>
        <v/>
      </c>
      <c r="O5" s="283" t="n">
        <v>1113210</v>
      </c>
      <c r="P5" s="283">
        <f>VLOOKUP(G5,'22F1187231'!$D$5:$J$4160,7,0)*O5-(SUM(J5:K5,M5))</f>
        <v/>
      </c>
      <c r="Q5" s="283">
        <f>(VLOOKUP(EOMONTH(G5,0),'22F1187231'!$D$5:$J$4160,7,0))*O5</f>
        <v/>
      </c>
      <c r="R5" s="283">
        <f>(VLOOKUP(G5,'22F1187231'!$D$5:$J$4160,4,0)-VLOOKUP(G5,'22F1187231'!$D$5:$J$4160,2,0))*O5</f>
        <v/>
      </c>
      <c r="T5" s="146" t="inlineStr">
        <is>
          <t>SET/2023</t>
        </is>
      </c>
      <c r="U5" s="146" t="n"/>
    </row>
    <row r="6">
      <c r="A6" s="250">
        <f>CONCATENATE(C6,D6,E6)</f>
        <v/>
      </c>
      <c r="B6" s="250">
        <f>CONCATENATE(D6,E6)</f>
        <v/>
      </c>
      <c r="C6" s="250">
        <f>IF(D6&gt;=1,IF(D6&lt;=3,"1",IF(D6&gt;=4,IF(D6&lt;=6,"2",IF(D6&gt;=7,IF(D6&lt;=9,"3",IF(D6&gt;=10,IF(D6&lt;=12,"4","-"))))))))</f>
        <v/>
      </c>
      <c r="D6" s="250">
        <f>MONTH(G6)</f>
        <v/>
      </c>
      <c r="E6" s="250">
        <f>YEAR(G6)</f>
        <v/>
      </c>
      <c r="F6" s="142">
        <f>F5+1</f>
        <v/>
      </c>
      <c r="G6" s="282" t="n">
        <v>44829</v>
      </c>
      <c r="H6" s="143" t="n">
        <v>0</v>
      </c>
      <c r="I6" s="144" t="n">
        <v>31</v>
      </c>
      <c r="J6" s="283">
        <f>IFERROR((VLOOKUP($G6,'22F1187231'!$D$3:$N$4160,8,1))*O6,0)</f>
        <v/>
      </c>
      <c r="K6" s="283">
        <f>VLOOKUP(G6,'22F1187231'!$D$5:$L$4163,9,0)*O6</f>
        <v/>
      </c>
      <c r="L6" s="283">
        <f>SUM(J6:K6)</f>
        <v/>
      </c>
      <c r="M6" s="283">
        <f>(VLOOKUP($G6,'22F1187231'!$D$5:$N$4163,10,1))*O6</f>
        <v/>
      </c>
      <c r="N6" s="283">
        <f>SUM(L6:M6)</f>
        <v/>
      </c>
      <c r="O6" s="283" t="n">
        <v>1113210</v>
      </c>
      <c r="P6" s="283">
        <f>VLOOKUP(G6,'22F1187231'!$D$5:$J$4160,7,0)*O6-(SUM(J6:K6,M6))</f>
        <v/>
      </c>
      <c r="Q6" s="283">
        <f>(VLOOKUP(EOMONTH(G6,0),'22F1187231'!$D$5:$J$4160,7,0))*O6</f>
        <v/>
      </c>
      <c r="R6" s="283">
        <f>(VLOOKUP(G6,'22F1187231'!$D$5:$J$4160,4,0)-VLOOKUP(G6,'22F1187231'!$D$5:$J$4160,2,0))*O6</f>
        <v/>
      </c>
      <c r="T6" s="172" t="inlineStr">
        <is>
          <t xml:space="preserve">Circulante: </t>
        </is>
      </c>
      <c r="U6" s="284">
        <f>SUM(N18:N29)</f>
        <v/>
      </c>
    </row>
    <row r="7" customFormat="1" s="145">
      <c r="A7" s="145">
        <f>CONCATENATE(C7,D7,E7)</f>
        <v/>
      </c>
      <c r="B7" s="145">
        <f>CONCATENATE(D7,E7)</f>
        <v/>
      </c>
      <c r="C7" s="250">
        <f>IF(D7&gt;=1,IF(D7&lt;=3,"1",IF(D7&gt;=4,IF(D7&lt;=6,"2",IF(D7&gt;=7,IF(D7&lt;=9,"3",IF(D7&gt;=10,IF(D7&lt;=12,"4","-"))))))))</f>
        <v/>
      </c>
      <c r="D7" s="250">
        <f>MONTH(G7)</f>
        <v/>
      </c>
      <c r="E7" s="250">
        <f>YEAR(G7)</f>
        <v/>
      </c>
      <c r="F7" s="142">
        <f>F6+1</f>
        <v/>
      </c>
      <c r="G7" s="282" t="n">
        <v>44859</v>
      </c>
      <c r="H7" s="143" t="n">
        <v>0</v>
      </c>
      <c r="I7" s="144" t="n">
        <v>32</v>
      </c>
      <c r="J7" s="283">
        <f>IFERROR((VLOOKUP($G7,'22F1187231'!$D$3:$N$4160,8,1))*O7,0)</f>
        <v/>
      </c>
      <c r="K7" s="283">
        <f>VLOOKUP(G7,'22F1187231'!$D$5:$L$4163,9,0)*O7</f>
        <v/>
      </c>
      <c r="L7" s="283">
        <f>SUM(J7:K7)</f>
        <v/>
      </c>
      <c r="M7" s="283">
        <f>(VLOOKUP($G7,'22F1187231'!$D$5:$N$4163,10,1))*O7</f>
        <v/>
      </c>
      <c r="N7" s="283">
        <f>SUM(L7:M7)</f>
        <v/>
      </c>
      <c r="O7" s="283" t="n">
        <v>1113210</v>
      </c>
      <c r="P7" s="283">
        <f>VLOOKUP(G7,'22F1187231'!$D$5:$J$4160,7,0)*O7-(SUM(J7:K7,M7))</f>
        <v/>
      </c>
      <c r="Q7" s="283">
        <f>(VLOOKUP(EOMONTH(G7,0),'22F1187231'!$D$5:$J$4160,7,0))*O7</f>
        <v/>
      </c>
      <c r="R7" s="283">
        <f>(VLOOKUP(G7,'22F1187231'!$D$5:$J$4160,4,0)-VLOOKUP(G7,'22F1187231'!$D$5:$J$4160,2,0))*O7</f>
        <v/>
      </c>
      <c r="T7" s="172" t="inlineStr">
        <is>
          <t xml:space="preserve">Não Circulante: </t>
        </is>
      </c>
      <c r="U7" s="284">
        <f>P17-U6</f>
        <v/>
      </c>
      <c r="V7" s="170" t="n"/>
      <c r="W7" s="284" t="n"/>
    </row>
    <row r="8">
      <c r="A8" s="250">
        <f>CONCATENATE(C8,D8,E8)</f>
        <v/>
      </c>
      <c r="B8" s="250">
        <f>CONCATENATE(D8,E8)</f>
        <v/>
      </c>
      <c r="C8" s="250">
        <f>IF(D8&gt;=1,IF(D8&lt;=3,"1",IF(D8&gt;=4,IF(D8&lt;=6,"2",IF(D8&gt;=7,IF(D8&lt;=9,"3",IF(D8&gt;=10,IF(D8&lt;=12,"4","-"))))))))</f>
        <v/>
      </c>
      <c r="D8" s="250">
        <f>MONTH(G8)</f>
        <v/>
      </c>
      <c r="E8" s="250">
        <f>YEAR(G8)</f>
        <v/>
      </c>
      <c r="F8" s="142">
        <f>F7+1</f>
        <v/>
      </c>
      <c r="G8" s="282" t="n">
        <v>44890</v>
      </c>
      <c r="H8" s="143" t="n">
        <v>0</v>
      </c>
      <c r="I8" s="144" t="n">
        <v>33</v>
      </c>
      <c r="J8" s="283">
        <f>IFERROR((VLOOKUP($G8,'22F1187231'!$D$3:$N$4160,8,1))*O8,0)</f>
        <v/>
      </c>
      <c r="K8" s="283">
        <f>VLOOKUP(G8,'22F1187231'!$D$5:$L$4163,9,0)*O8</f>
        <v/>
      </c>
      <c r="L8" s="283">
        <f>SUM(J8:K8)</f>
        <v/>
      </c>
      <c r="M8" s="283">
        <f>(VLOOKUP($G8,'22F1187231'!$D$5:$N$4163,10,1))*O8</f>
        <v/>
      </c>
      <c r="N8" s="283">
        <f>SUM(L8:M8)</f>
        <v/>
      </c>
      <c r="O8" s="283" t="n">
        <v>1113210</v>
      </c>
      <c r="P8" s="283">
        <f>VLOOKUP(G8,'22F1187231'!$D$5:$J$4160,7,0)*O8-(SUM(J8:K8,M8))</f>
        <v/>
      </c>
      <c r="Q8" s="283">
        <f>(VLOOKUP(EOMONTH(G8,0),'22F1187231'!$D$5:$J$4160,7,0))*O8</f>
        <v/>
      </c>
      <c r="R8" s="283">
        <f>(VLOOKUP(G8,'22F1187231'!$D$5:$J$4160,4,0)-VLOOKUP(G8,'22F1187231'!$D$5:$J$4160,2,0))*O8</f>
        <v/>
      </c>
    </row>
    <row r="9" ht="14.4" customHeight="1" s="260" thickBot="1">
      <c r="A9" s="250">
        <f>CONCATENATE(C9,D9,E9)</f>
        <v/>
      </c>
      <c r="B9" s="250">
        <f>CONCATENATE(D9,E9)</f>
        <v/>
      </c>
      <c r="C9" s="250">
        <f>IF(D9&gt;=1,IF(D9&lt;=3,"1",IF(D9&gt;=4,IF(D9&lt;=6,"2",IF(D9&gt;=7,IF(D9&lt;=9,"3",IF(D9&gt;=10,IF(D9&lt;=12,"4","-"))))))))</f>
        <v/>
      </c>
      <c r="D9" s="250">
        <f>MONTH(G9)</f>
        <v/>
      </c>
      <c r="E9" s="250">
        <f>YEAR(G9)</f>
        <v/>
      </c>
      <c r="F9" s="142">
        <f>F8+1</f>
        <v/>
      </c>
      <c r="G9" s="282" t="n">
        <v>44920</v>
      </c>
      <c r="H9" s="143" t="n">
        <v>0</v>
      </c>
      <c r="I9" s="144" t="n">
        <v>34</v>
      </c>
      <c r="J9" s="283">
        <f>IFERROR((VLOOKUP($G9,'22F1187231'!$D$3:$N$4160,8,1))*O9,0)</f>
        <v/>
      </c>
      <c r="K9" s="283">
        <f>VLOOKUP(G9,'22F1187231'!$D$5:$L$4163,9,0)*O9</f>
        <v/>
      </c>
      <c r="L9" s="283">
        <f>SUM(J9:K9)</f>
        <v/>
      </c>
      <c r="M9" s="283">
        <f>(VLOOKUP($G9,'22F1187231'!$D$5:$N$4163,10,1))*O9</f>
        <v/>
      </c>
      <c r="N9" s="283">
        <f>SUM(L9:M9)</f>
        <v/>
      </c>
      <c r="O9" s="283" t="n">
        <v>1113210</v>
      </c>
      <c r="P9" s="283">
        <f>VLOOKUP(G9,'22F1187231'!$D$5:$J$4160,7,0)*O9-(SUM(J9:K9,M9))</f>
        <v/>
      </c>
      <c r="Q9" s="283">
        <f>(VLOOKUP(EOMONTH(G9,0),'22F1187231'!$D$5:$J$4160,7,0))*O9</f>
        <v/>
      </c>
      <c r="R9" s="283">
        <f>(VLOOKUP(G9,'22F1187231'!$D$5:$J$4160,4,0)-VLOOKUP(G9,'22F1187231'!$D$5:$J$4160,2,0))*O9</f>
        <v/>
      </c>
    </row>
    <row r="10" ht="14.4" customHeight="1" s="260" thickBot="1">
      <c r="A10" s="250">
        <f>CONCATENATE(C10,D10,E10)</f>
        <v/>
      </c>
      <c r="B10" s="250">
        <f>CONCATENATE(D10,E10)</f>
        <v/>
      </c>
      <c r="C10" s="250">
        <f>IF(D10&gt;=1,IF(D10&lt;=3,"1",IF(D10&gt;=4,IF(D10&lt;=6,"2",IF(D10&gt;=7,IF(D10&lt;=9,"3",IF(D10&gt;=10,IF(D10&lt;=12,"4","-"))))))))</f>
        <v/>
      </c>
      <c r="D10" s="250">
        <f>MONTH(G10)</f>
        <v/>
      </c>
      <c r="E10" s="250">
        <f>YEAR(G10)</f>
        <v/>
      </c>
      <c r="F10" s="142">
        <f>F9+1</f>
        <v/>
      </c>
      <c r="G10" s="282" t="n">
        <v>44951</v>
      </c>
      <c r="H10" s="143" t="n">
        <v>0</v>
      </c>
      <c r="I10" s="144" t="n">
        <v>35</v>
      </c>
      <c r="J10" s="283">
        <f>IFERROR((VLOOKUP($G10,'22F1187231'!$D$3:$N$4160,8,1))*O10,0)</f>
        <v/>
      </c>
      <c r="K10" s="283">
        <f>VLOOKUP(G10,'22F1187231'!$D$5:$L$4163,9,0)*O10</f>
        <v/>
      </c>
      <c r="L10" s="283">
        <f>SUM(J10:K10)</f>
        <v/>
      </c>
      <c r="M10" s="283">
        <f>(VLOOKUP($G10,'22F1187231'!$D$5:$N$4163,10,1))*O10</f>
        <v/>
      </c>
      <c r="N10" s="283">
        <f>SUM(L10:M10)</f>
        <v/>
      </c>
      <c r="O10" s="283" t="n">
        <v>1113210</v>
      </c>
      <c r="P10" s="283">
        <f>VLOOKUP(G10,'22F1187231'!$D$5:$J$4160,7,0)*O10-(SUM(J10:K10,M10))</f>
        <v/>
      </c>
      <c r="Q10" s="283">
        <f>(VLOOKUP(EOMONTH(G10,0),'22F1187231'!$D$5:$J$4160,7,0))*O10</f>
        <v/>
      </c>
      <c r="R10" s="283">
        <f>(VLOOKUP(G10,'22F1187231'!$D$5:$J$4160,4,0)-VLOOKUP(G10,'22F1187231'!$D$5:$J$4160,2,0))*O10</f>
        <v/>
      </c>
      <c r="T10" s="251" t="inlineStr">
        <is>
          <t>CONFERÊNCIA</t>
        </is>
      </c>
      <c r="U10" s="252" t="n"/>
      <c r="V10" s="252" t="n"/>
      <c r="W10" s="253" t="n"/>
    </row>
    <row r="11">
      <c r="A11" s="250">
        <f>CONCATENATE(C11,D11,E11)</f>
        <v/>
      </c>
      <c r="B11" s="250">
        <f>CONCATENATE(D11,E11)</f>
        <v/>
      </c>
      <c r="C11" s="250">
        <f>IF(D11&gt;=1,IF(D11&lt;=3,"1",IF(D11&gt;=4,IF(D11&lt;=6,"2",IF(D11&gt;=7,IF(D11&lt;=9,"3",IF(D11&gt;=10,IF(D11&lt;=12,"4","-"))))))))</f>
        <v/>
      </c>
      <c r="D11" s="250">
        <f>MONTH(G11)</f>
        <v/>
      </c>
      <c r="E11" s="250">
        <f>YEAR(G11)</f>
        <v/>
      </c>
      <c r="F11" s="142">
        <f>F10+1</f>
        <v/>
      </c>
      <c r="G11" s="282" t="n">
        <v>44982</v>
      </c>
      <c r="H11" s="143" t="n">
        <v>0</v>
      </c>
      <c r="I11" s="144" t="n">
        <v>36</v>
      </c>
      <c r="J11" s="283">
        <f>IFERROR((VLOOKUP($G11,'22F1187231'!$D$3:$N$4160,8,1))*O11,0)</f>
        <v/>
      </c>
      <c r="K11" s="283">
        <f>VLOOKUP(G11,'22F1187231'!$D$5:$L$4163,9,0)*O11</f>
        <v/>
      </c>
      <c r="L11" s="283">
        <f>SUM(J11:K11)</f>
        <v/>
      </c>
      <c r="M11" s="283">
        <f>(VLOOKUP($G11,'22F1187231'!$D$5:$N$4163,10,1))*O11</f>
        <v/>
      </c>
      <c r="N11" s="283">
        <f>SUM(L11:M11)</f>
        <v/>
      </c>
      <c r="O11" s="283" t="n">
        <v>1113210</v>
      </c>
      <c r="P11" s="283">
        <f>VLOOKUP(G11,'22F1187231'!$D$5:$J$4160,7,0)*O11-(SUM(J11:K11,M11))</f>
        <v/>
      </c>
      <c r="Q11" s="283">
        <f>(VLOOKUP(EOMONTH(G11,0),'22F1187231'!$D$5:$J$4160,7,0))*O11</f>
        <v/>
      </c>
      <c r="R11" s="283">
        <f>(VLOOKUP(G11,'22F1187231'!$D$5:$J$4160,4,0)-VLOOKUP(G11,'22F1187231'!$D$5:$J$4160,2,0))*O11</f>
        <v/>
      </c>
      <c r="S11" s="285" t="n"/>
      <c r="T11" s="199" t="inlineStr">
        <is>
          <t>PAGAMENTO</t>
        </is>
      </c>
      <c r="U11" s="200" t="inlineStr">
        <is>
          <t>INICIO PERIODO</t>
        </is>
      </c>
      <c r="V11" s="265" t="inlineStr">
        <is>
          <t>FINAL PERÍODO</t>
        </is>
      </c>
      <c r="W11" s="88" t="inlineStr">
        <is>
          <t>BUSCAR SALDO DIA</t>
        </is>
      </c>
    </row>
    <row r="12" ht="14.4" customHeight="1" s="260" thickBot="1">
      <c r="A12" s="250">
        <f>CONCATENATE(C12,D12,E12)</f>
        <v/>
      </c>
      <c r="B12" s="250">
        <f>CONCATENATE(D12,E12)</f>
        <v/>
      </c>
      <c r="C12" s="250">
        <f>IF(D12&gt;=1,IF(D12&lt;=3,"1",IF(D12&gt;=4,IF(D12&lt;=6,"2",IF(D12&gt;=7,IF(D12&lt;=9,"3",IF(D12&gt;=10,IF(D12&lt;=12,"4","-"))))))))</f>
        <v/>
      </c>
      <c r="D12" s="250">
        <f>MONTH(G12)</f>
        <v/>
      </c>
      <c r="E12" s="250">
        <f>YEAR(G12)</f>
        <v/>
      </c>
      <c r="F12" s="142">
        <f>F11+1</f>
        <v/>
      </c>
      <c r="G12" s="282" t="n">
        <v>45010</v>
      </c>
      <c r="H12" s="143" t="n">
        <v>0</v>
      </c>
      <c r="I12" s="144" t="n">
        <v>37</v>
      </c>
      <c r="J12" s="283">
        <f>IFERROR((VLOOKUP($G12,'22F1187231'!$D$3:$N$4160,8,1))*O12,0)</f>
        <v/>
      </c>
      <c r="K12" s="283">
        <f>VLOOKUP(G12,'22F1187231'!$D$5:$L$4163,9,0)*O12</f>
        <v/>
      </c>
      <c r="L12" s="283">
        <f>SUM(J12:K12)</f>
        <v/>
      </c>
      <c r="M12" s="283">
        <f>(VLOOKUP($G12,'22F1187231'!$D$5:$N$4163,10,1))*O12</f>
        <v/>
      </c>
      <c r="N12" s="283">
        <f>SUM(L12:M12)</f>
        <v/>
      </c>
      <c r="O12" s="283" t="n">
        <v>1113210</v>
      </c>
      <c r="P12" s="283">
        <f>VLOOKUP(G12,'22F1187231'!$D$5:$J$4160,7,0)*O12-(SUM(J12:K12,M12))</f>
        <v/>
      </c>
      <c r="Q12" s="283">
        <f>(VLOOKUP(EOMONTH(G12,0),'22F1187231'!$D$5:$J$4160,7,0))*O12</f>
        <v/>
      </c>
      <c r="R12" s="283">
        <f>(VLOOKUP(G12,'22F1187231'!$D$5:$J$4160,4,0)-VLOOKUP(G12,'22F1187231'!$D$5:$J$4160,2,0))*O12</f>
        <v/>
      </c>
      <c r="S12" s="285" t="n"/>
      <c r="T12" s="202" t="n"/>
      <c r="U12" s="203" t="n">
        <v>44470</v>
      </c>
      <c r="V12" s="5" t="n">
        <v>44834</v>
      </c>
      <c r="W12" s="204" t="n">
        <v>44824</v>
      </c>
    </row>
    <row r="13">
      <c r="A13" s="250">
        <f>CONCATENATE(C13,D13,E13)</f>
        <v/>
      </c>
      <c r="B13" s="250">
        <f>CONCATENATE(D13,E13)</f>
        <v/>
      </c>
      <c r="C13" s="250">
        <f>IF(D13&gt;=1,IF(D13&lt;=3,"1",IF(D13&gt;=4,IF(D13&lt;=6,"2",IF(D13&gt;=7,IF(D13&lt;=9,"3",IF(D13&gt;=10,IF(D13&lt;=12,"4","-"))))))))</f>
        <v/>
      </c>
      <c r="D13" s="250">
        <f>MONTH(G13)</f>
        <v/>
      </c>
      <c r="E13" s="250">
        <f>YEAR(G13)</f>
        <v/>
      </c>
      <c r="F13" s="142">
        <f>F12+1</f>
        <v/>
      </c>
      <c r="G13" s="282" t="n">
        <v>45041</v>
      </c>
      <c r="H13" s="143" t="n">
        <v>0</v>
      </c>
      <c r="I13" s="144" t="n">
        <v>38</v>
      </c>
      <c r="J13" s="283">
        <f>IFERROR((VLOOKUP($G13,'22F1187231'!$D$3:$N$4160,8,1))*O13,0)</f>
        <v/>
      </c>
      <c r="K13" s="283">
        <f>VLOOKUP(G13,'22F1187231'!$D$5:$L$4163,9,0)*O13</f>
        <v/>
      </c>
      <c r="L13" s="283">
        <f>SUM(J13:K13)</f>
        <v/>
      </c>
      <c r="M13" s="283">
        <f>(VLOOKUP($G13,'22F1187231'!$D$5:$N$4163,10,1))*O13</f>
        <v/>
      </c>
      <c r="N13" s="283">
        <f>SUM(L13:M13)</f>
        <v/>
      </c>
      <c r="O13" s="283" t="n">
        <v>1113210</v>
      </c>
      <c r="P13" s="283">
        <f>VLOOKUP(G13,'22F1187231'!$D$5:$J$4160,7,0)*O13-(SUM(J13:K13,M13))</f>
        <v/>
      </c>
      <c r="Q13" s="283">
        <f>(VLOOKUP(EOMONTH(G13,0),'22F1187231'!$D$5:$J$4160,7,0))*O13</f>
        <v/>
      </c>
      <c r="R13" s="283">
        <f>(VLOOKUP(G13,'22F1187231'!$D$5:$J$4160,4,0)-VLOOKUP(G13,'22F1187231'!$D$5:$J$4160,2,0))*O13</f>
        <v/>
      </c>
      <c r="S13" s="285" t="n"/>
      <c r="T13" s="205" t="inlineStr">
        <is>
          <t>Juros</t>
        </is>
      </c>
      <c r="U13" s="286">
        <f>SUMIFS(J:J,G:G,"&gt;="&amp;$U$12,G:G,"&lt;="&amp;$V$12)</f>
        <v/>
      </c>
      <c r="W13" s="63" t="n"/>
    </row>
    <row r="14">
      <c r="A14" s="250">
        <f>CONCATENATE(C14,D14,E14)</f>
        <v/>
      </c>
      <c r="B14" s="250">
        <f>CONCATENATE(D14,E14)</f>
        <v/>
      </c>
      <c r="C14" s="250">
        <f>IF(D14&gt;=1,IF(D14&lt;=3,"1",IF(D14&gt;=4,IF(D14&lt;=6,"2",IF(D14&gt;=7,IF(D14&lt;=9,"3",IF(D14&gt;=10,IF(D14&lt;=12,"4","-"))))))))</f>
        <v/>
      </c>
      <c r="D14" s="250">
        <f>MONTH(G14)</f>
        <v/>
      </c>
      <c r="E14" s="250">
        <f>YEAR(G14)</f>
        <v/>
      </c>
      <c r="F14" s="142">
        <f>F13+1</f>
        <v/>
      </c>
      <c r="G14" s="282" t="n">
        <v>45071</v>
      </c>
      <c r="H14" s="143" t="n">
        <v>0</v>
      </c>
      <c r="I14" s="144" t="n">
        <v>39</v>
      </c>
      <c r="J14" s="283">
        <f>IFERROR((VLOOKUP($G14,'22F1187231'!$D$3:$N$4160,8,1))*O14,0)</f>
        <v/>
      </c>
      <c r="K14" s="283">
        <f>VLOOKUP(G14,'22F1187231'!$D$5:$L$4163,9,0)*O14</f>
        <v/>
      </c>
      <c r="L14" s="283">
        <f>SUM(J14:K14)</f>
        <v/>
      </c>
      <c r="M14" s="283">
        <f>(VLOOKUP($G14,'22F1187231'!$D$5:$N$4163,10,1))*O14</f>
        <v/>
      </c>
      <c r="N14" s="283">
        <f>SUM(L14:M14)</f>
        <v/>
      </c>
      <c r="O14" s="283" t="n">
        <v>1113210</v>
      </c>
      <c r="P14" s="283">
        <f>VLOOKUP(G14,'22F1187231'!$D$5:$J$4160,7,0)*O14-(SUM(J14:K14,M14))</f>
        <v/>
      </c>
      <c r="Q14" s="283">
        <f>(VLOOKUP(EOMONTH(G14,0),'22F1187231'!$D$5:$J$4160,7,0))*O14</f>
        <v/>
      </c>
      <c r="R14" s="283">
        <f>(VLOOKUP(G14,'22F1187231'!$D$5:$J$4160,4,0)-VLOOKUP(G14,'22F1187231'!$D$5:$J$4160,2,0))*O14</f>
        <v/>
      </c>
      <c r="T14" s="207" t="inlineStr">
        <is>
          <t>Amortização</t>
        </is>
      </c>
      <c r="U14" s="286">
        <f>SUMIFS(K:K,G:G,"&gt;="&amp;$U$12,G:G,"&lt;="&amp;$V$12)</f>
        <v/>
      </c>
      <c r="W14" s="63" t="n"/>
    </row>
    <row r="15">
      <c r="A15" s="250">
        <f>CONCATENATE(C15,D15,E15)</f>
        <v/>
      </c>
      <c r="B15" s="250">
        <f>CONCATENATE(D15,E15)</f>
        <v/>
      </c>
      <c r="C15" s="250">
        <f>IF(D15&gt;=1,IF(D15&lt;=3,"1",IF(D15&gt;=4,IF(D15&lt;=6,"2",IF(D15&gt;=7,IF(D15&lt;=9,"3",IF(D15&gt;=10,IF(D15&lt;=12,"4","-"))))))))</f>
        <v/>
      </c>
      <c r="D15" s="250">
        <f>MONTH(G15)</f>
        <v/>
      </c>
      <c r="E15" s="250">
        <f>YEAR(G15)</f>
        <v/>
      </c>
      <c r="F15" s="142">
        <f>F14+1</f>
        <v/>
      </c>
      <c r="G15" s="282" t="n">
        <v>45102</v>
      </c>
      <c r="H15" s="143" t="n">
        <v>0</v>
      </c>
      <c r="I15" s="144" t="n">
        <v>40</v>
      </c>
      <c r="J15" s="283">
        <f>IFERROR((VLOOKUP($G15,'22F1187231'!$D$3:$N$4160,8,1))*O15,0)</f>
        <v/>
      </c>
      <c r="K15" s="283">
        <f>VLOOKUP(G15,'22F1187231'!$D$5:$L$4163,9,0)*O15</f>
        <v/>
      </c>
      <c r="L15" s="283">
        <f>SUM(J15:K15)</f>
        <v/>
      </c>
      <c r="M15" s="283">
        <f>(VLOOKUP($G15,'22F1187231'!$D$5:$N$4163,10,1))*O15</f>
        <v/>
      </c>
      <c r="N15" s="283">
        <f>SUM(L15:M15)</f>
        <v/>
      </c>
      <c r="O15" s="283" t="n">
        <v>1113210</v>
      </c>
      <c r="P15" s="283">
        <f>VLOOKUP(G15,'22F1187231'!$D$5:$J$4160,7,0)*O15-(SUM(J15:K15,M15))</f>
        <v/>
      </c>
      <c r="Q15" s="283">
        <f>(VLOOKUP(EOMONTH(G15,0),'22F1187231'!$D$5:$J$4160,7,0))*O15</f>
        <v/>
      </c>
      <c r="R15" s="283">
        <f>(VLOOKUP(G15,'22F1187231'!$D$5:$J$4160,4,0)-VLOOKUP(G15,'22F1187231'!$D$5:$J$4160,2,0))*O15</f>
        <v/>
      </c>
      <c r="T15" s="207" t="inlineStr">
        <is>
          <t>Amex</t>
        </is>
      </c>
      <c r="U15" s="286">
        <f>SUMIFS(M:M,G:G,"&gt;="&amp;$U$12,G:G,"&lt;="&amp;$V$12)</f>
        <v/>
      </c>
      <c r="W15" s="63" t="n"/>
    </row>
    <row r="16">
      <c r="A16" s="250">
        <f>CONCATENATE(C16,D16,E16)</f>
        <v/>
      </c>
      <c r="B16" s="250">
        <f>CONCATENATE(D16,E16)</f>
        <v/>
      </c>
      <c r="C16" s="250">
        <f>IF(D16&gt;=1,IF(D16&lt;=3,"1",IF(D16&gt;=4,IF(D16&lt;=6,"2",IF(D16&gt;=7,IF(D16&lt;=9,"3",IF(D16&gt;=10,IF(D16&lt;=12,"4","-"))))))))</f>
        <v/>
      </c>
      <c r="D16" s="250">
        <f>MONTH(G16)</f>
        <v/>
      </c>
      <c r="E16" s="250">
        <f>YEAR(G16)</f>
        <v/>
      </c>
      <c r="F16" s="142">
        <f>F15+1</f>
        <v/>
      </c>
      <c r="G16" s="282" t="n">
        <v>45132</v>
      </c>
      <c r="H16" s="143" t="n">
        <v>0.004083</v>
      </c>
      <c r="I16" s="144" t="n">
        <v>41</v>
      </c>
      <c r="J16" s="283">
        <f>IFERROR((VLOOKUP($G16,'22F1187231'!$D$3:$N$4160,8,1))*O16,0)</f>
        <v/>
      </c>
      <c r="K16" s="283">
        <f>VLOOKUP(G16,'22F1187231'!$D$5:$L$4163,9,0)*O16</f>
        <v/>
      </c>
      <c r="L16" s="283">
        <f>SUM(J16:K16)</f>
        <v/>
      </c>
      <c r="M16" s="283">
        <f>(VLOOKUP($G16,'22F1187231'!$D$5:$N$4163,10,1))*O16</f>
        <v/>
      </c>
      <c r="N16" s="283">
        <f>SUM(L16:M16)</f>
        <v/>
      </c>
      <c r="O16" s="283" t="n">
        <v>1113210</v>
      </c>
      <c r="P16" s="283">
        <f>VLOOKUP(G16,'22F1187231'!$D$5:$J$4160,7,0)*O16-(SUM(J16:K16,M16))</f>
        <v/>
      </c>
      <c r="Q16" s="283">
        <f>(VLOOKUP(EOMONTH(G16,0),'22F1187231'!$D$5:$J$4160,7,0))*O16</f>
        <v/>
      </c>
      <c r="R16" s="283">
        <f>(VLOOKUP(G16,'22F1187231'!$D$5:$J$4160,4,0)-VLOOKUP(G16,'22F1187231'!$D$5:$J$4160,2,0))*O16</f>
        <v/>
      </c>
      <c r="T16" s="207" t="inlineStr">
        <is>
          <t>Correcao</t>
        </is>
      </c>
      <c r="U16" s="286">
        <f>SUMIFS(R:R,G:G,"&gt;="&amp;$U$12,G:G,"&lt;="&amp;$V$12)</f>
        <v/>
      </c>
      <c r="W16" s="63" t="n"/>
    </row>
    <row r="17" ht="14.4" customHeight="1" s="260" thickBot="1">
      <c r="A17" s="250">
        <f>CONCATENATE(C17,D17,E17)</f>
        <v/>
      </c>
      <c r="B17" s="250">
        <f>CONCATENATE(D17,E17)</f>
        <v/>
      </c>
      <c r="C17" s="250">
        <f>IF(D17&gt;=1,IF(D17&lt;=3,"1",IF(D17&gt;=4,IF(D17&lt;=6,"2",IF(D17&gt;=7,IF(D17&lt;=9,"3",IF(D17&gt;=10,IF(D17&lt;=12,"4","-"))))))))</f>
        <v/>
      </c>
      <c r="D17" s="250">
        <f>MONTH(G17)</f>
        <v/>
      </c>
      <c r="E17" s="250">
        <f>YEAR(G17)</f>
        <v/>
      </c>
      <c r="F17" s="142">
        <f>F16+1</f>
        <v/>
      </c>
      <c r="G17" s="282" t="n">
        <v>45163</v>
      </c>
      <c r="H17" s="143" t="n">
        <v>0.004123</v>
      </c>
      <c r="I17" s="144" t="n">
        <v>42</v>
      </c>
      <c r="J17" s="283">
        <f>IFERROR((VLOOKUP($G17,'22F1187231'!$D$3:$N$4160,8,1))*O17,0)</f>
        <v/>
      </c>
      <c r="K17" s="283">
        <f>VLOOKUP(G17,'22F1187231'!$D$5:$L$4163,9,0)*O17</f>
        <v/>
      </c>
      <c r="L17" s="283">
        <f>SUM(J17:K17)</f>
        <v/>
      </c>
      <c r="M17" s="283">
        <f>(VLOOKUP($G17,'22F1187231'!$D$5:$N$4163,10,1))*O17</f>
        <v/>
      </c>
      <c r="N17" s="283">
        <f>SUM(L17:M17)</f>
        <v/>
      </c>
      <c r="O17" s="283" t="n">
        <v>1113210</v>
      </c>
      <c r="P17" s="283">
        <f>VLOOKUP(G17,'22F1187231'!$D$5:$J$4160,7,0)*O17-(SUM(J17:K17,M17))</f>
        <v/>
      </c>
      <c r="Q17" s="283">
        <f>(VLOOKUP(EOMONTH(G17,0),'22F1187231'!$D$5:$J$4160,7,0))*O17</f>
        <v/>
      </c>
      <c r="R17" s="283">
        <f>(VLOOKUP(G17,'22F1187231'!$D$5:$J$4160,4,0)-VLOOKUP(G17,'22F1187231'!$D$5:$J$4160,2,0))*O17</f>
        <v/>
      </c>
      <c r="T17" s="208" t="inlineStr">
        <is>
          <t>Saldo Operação</t>
        </is>
      </c>
      <c r="U17" s="287">
        <f>'22F1187231'!N82</f>
        <v/>
      </c>
      <c r="V17" s="85" t="n"/>
      <c r="W17" s="86" t="n"/>
    </row>
    <row r="18" customFormat="1" s="145">
      <c r="A18" s="145">
        <f>CONCATENATE(C18,D18,E18)</f>
        <v/>
      </c>
      <c r="B18" s="145">
        <f>CONCATENATE(D18,E18)</f>
        <v/>
      </c>
      <c r="C18" s="250">
        <f>IF(D18&gt;=1,IF(D18&lt;=3,"1",IF(D18&gt;=4,IF(D18&lt;=6,"2",IF(D18&gt;=7,IF(D18&lt;=9,"3",IF(D18&gt;=10,IF(D18&lt;=12,"4","-"))))))))</f>
        <v/>
      </c>
      <c r="D18" s="250">
        <f>MONTH(G18)</f>
        <v/>
      </c>
      <c r="E18" s="250">
        <f>YEAR(G18)</f>
        <v/>
      </c>
      <c r="F18" s="142">
        <f>F17+1</f>
        <v/>
      </c>
      <c r="G18" s="282" t="n">
        <v>45194</v>
      </c>
      <c r="H18" s="143" t="n">
        <v>0.004164</v>
      </c>
      <c r="I18" s="144" t="n">
        <v>43</v>
      </c>
      <c r="J18" s="283">
        <f>IFERROR((VLOOKUP($G18,'22F1187231'!$D$3:$N$4160,8,1))*O18,0)</f>
        <v/>
      </c>
      <c r="K18" s="283">
        <f>VLOOKUP(G18,'22F1187231'!$D$5:$L$4163,9,0)*O18</f>
        <v/>
      </c>
      <c r="L18" s="283">
        <f>SUM(J18:K18)</f>
        <v/>
      </c>
      <c r="M18" s="283">
        <f>(VLOOKUP($G18,'22F1187231'!$D$5:$N$4163,10,1))*O18</f>
        <v/>
      </c>
      <c r="N18" s="283">
        <f>SUM(L18:M18)</f>
        <v/>
      </c>
      <c r="O18" s="283" t="n">
        <v>1113210</v>
      </c>
      <c r="P18" s="283">
        <f>VLOOKUP(G18,'22F1187231'!$D$5:$J$4160,7,0)*O18-(SUM(J18:K18,M18))</f>
        <v/>
      </c>
      <c r="Q18" s="283">
        <f>(VLOOKUP(EOMONTH(G18,0),'22F1187231'!$D$5:$J$4160,7,0))*O18</f>
        <v/>
      </c>
      <c r="R18" s="283">
        <f>(VLOOKUP(G18,'22F1187231'!$D$5:$J$4160,4,0)-VLOOKUP(G18,'22F1187231'!$D$5:$J$4160,2,0))*O18</f>
        <v/>
      </c>
    </row>
    <row r="19">
      <c r="A19" s="250">
        <f>CONCATENATE(C19,D19,E19)</f>
        <v/>
      </c>
      <c r="B19" s="250">
        <f>CONCATENATE(D19,E19)</f>
        <v/>
      </c>
      <c r="C19" s="250">
        <f>IF(D19&gt;=1,IF(D19&lt;=3,"1",IF(D19&gt;=4,IF(D19&lt;=6,"2",IF(D19&gt;=7,IF(D19&lt;=9,"3",IF(D19&gt;=10,IF(D19&lt;=12,"4","-"))))))))</f>
        <v/>
      </c>
      <c r="D19" s="250">
        <f>MONTH(G19)</f>
        <v/>
      </c>
      <c r="E19" s="250">
        <f>YEAR(G19)</f>
        <v/>
      </c>
      <c r="F19" s="142">
        <f>F18+1</f>
        <v/>
      </c>
      <c r="G19" s="282" t="n">
        <v>45224</v>
      </c>
      <c r="H19" s="143" t="n">
        <v>0.004216</v>
      </c>
      <c r="I19" s="144" t="n">
        <v>44</v>
      </c>
      <c r="J19" s="283">
        <f>IFERROR((VLOOKUP($G19,'22F1187231'!$D$3:$N$4160,8,1))*O19,0)</f>
        <v/>
      </c>
      <c r="K19" s="283">
        <f>VLOOKUP(G19,'22F1187231'!$D$5:$L$4163,9,0)*O19</f>
        <v/>
      </c>
      <c r="L19" s="283">
        <f>SUM(J19:K19)</f>
        <v/>
      </c>
      <c r="M19" s="283">
        <f>(VLOOKUP($G19,'22F1187231'!$D$5:$N$4163,10,1))*O19</f>
        <v/>
      </c>
      <c r="N19" s="283">
        <f>SUM(L19:M19)</f>
        <v/>
      </c>
      <c r="O19" s="283" t="n">
        <v>1113210</v>
      </c>
      <c r="P19" s="283">
        <f>VLOOKUP(G19,'22F1187231'!$D$5:$J$4160,7,0)*O19-(SUM(J19:K19,M19))</f>
        <v/>
      </c>
      <c r="Q19" s="283">
        <f>(VLOOKUP(EOMONTH(G19,0),'22F1187231'!$D$5:$J$4160,7,0))*O19</f>
        <v/>
      </c>
      <c r="R19" s="283">
        <f>(VLOOKUP(G19,'22F1187231'!$D$5:$J$4160,4,0)-VLOOKUP(G19,'22F1187231'!$D$5:$J$4160,2,0))*O19</f>
        <v/>
      </c>
      <c r="S19" s="147" t="n"/>
    </row>
    <row r="20">
      <c r="A20" s="250">
        <f>CONCATENATE(C20,D20,E20)</f>
        <v/>
      </c>
      <c r="B20" s="250">
        <f>CONCATENATE(D20,E20)</f>
        <v/>
      </c>
      <c r="C20" s="250">
        <f>IF(D20&gt;=1,IF(D20&lt;=3,"1",IF(D20&gt;=4,IF(D20&lt;=6,"2",IF(D20&gt;=7,IF(D20&lt;=9,"3",IF(D20&gt;=10,IF(D20&lt;=12,"4","-"))))))))</f>
        <v/>
      </c>
      <c r="D20" s="250">
        <f>MONTH(G20)</f>
        <v/>
      </c>
      <c r="E20" s="250">
        <f>YEAR(G20)</f>
        <v/>
      </c>
      <c r="F20" s="142">
        <f>F19+1</f>
        <v/>
      </c>
      <c r="G20" s="282" t="n">
        <v>45255</v>
      </c>
      <c r="H20" s="143" t="n">
        <v>0.004258</v>
      </c>
      <c r="I20" s="144" t="n">
        <v>45</v>
      </c>
      <c r="J20" s="283">
        <f>IFERROR((VLOOKUP($G20,'22F1187231'!$D$3:$N$4160,8,1))*O20,0)</f>
        <v/>
      </c>
      <c r="K20" s="283">
        <f>VLOOKUP(G20,'22F1187231'!$D$5:$L$4163,9,0)*O20</f>
        <v/>
      </c>
      <c r="L20" s="283">
        <f>SUM(J20:K20)</f>
        <v/>
      </c>
      <c r="M20" s="283">
        <f>(VLOOKUP($G20,'22F1187231'!$D$5:$N$4163,10,1))*O20</f>
        <v/>
      </c>
      <c r="N20" s="283">
        <f>SUM(L20:M20)</f>
        <v/>
      </c>
      <c r="O20" s="283" t="n">
        <v>1113210</v>
      </c>
      <c r="P20" s="283">
        <f>VLOOKUP(G20,'22F1187231'!$D$5:$J$4160,7,0)*O20-(SUM(J20:K20,M20))</f>
        <v/>
      </c>
      <c r="Q20" s="283">
        <f>(VLOOKUP(EOMONTH(G20,0),'22F1187231'!$D$5:$J$4160,7,0))*O20</f>
        <v/>
      </c>
      <c r="R20" s="283">
        <f>(VLOOKUP(G20,'22F1187231'!$D$5:$J$4160,4,0)-VLOOKUP(G20,'22F1187231'!$D$5:$J$4160,2,0))*O20</f>
        <v/>
      </c>
      <c r="S20" s="147" t="n"/>
      <c r="T20" s="210" t="inlineStr">
        <is>
          <t>Curto Prazo</t>
        </is>
      </c>
      <c r="U20" s="288">
        <f>SUM(N7:N18)</f>
        <v/>
      </c>
      <c r="V20" s="212" t="inlineStr">
        <is>
          <t>Direitos Creditórios a Receber( Ativo/Passivo Circulante)</t>
        </is>
      </c>
    </row>
    <row r="21">
      <c r="A21" s="250">
        <f>CONCATENATE(C21,D21,E21)</f>
        <v/>
      </c>
      <c r="B21" s="250">
        <f>CONCATENATE(D21,E21)</f>
        <v/>
      </c>
      <c r="C21" s="250">
        <f>IF(D21&gt;=1,IF(D21&lt;=3,"1",IF(D21&gt;=4,IF(D21&lt;=6,"2",IF(D21&gt;=7,IF(D21&lt;=9,"3",IF(D21&gt;=10,IF(D21&lt;=12,"4","-"))))))))</f>
        <v/>
      </c>
      <c r="D21" s="250">
        <f>MONTH(G21)</f>
        <v/>
      </c>
      <c r="E21" s="250">
        <f>YEAR(G21)</f>
        <v/>
      </c>
      <c r="F21" s="142">
        <f>F20+1</f>
        <v/>
      </c>
      <c r="G21" s="282" t="n">
        <v>45285</v>
      </c>
      <c r="H21" s="143" t="n">
        <v>0.004388</v>
      </c>
      <c r="I21" s="144" t="n">
        <v>46</v>
      </c>
      <c r="J21" s="283">
        <f>IFERROR((VLOOKUP($G21,'22F1187231'!$D$3:$N$4160,8,1))*O21,0)</f>
        <v/>
      </c>
      <c r="K21" s="283">
        <f>VLOOKUP(G21,'22F1187231'!$D$5:$L$4163,9,0)*O21</f>
        <v/>
      </c>
      <c r="L21" s="283">
        <f>SUM(J21:K21)</f>
        <v/>
      </c>
      <c r="M21" s="283">
        <f>(VLOOKUP($G21,'22F1187231'!$D$5:$N$4163,10,1))*O21</f>
        <v/>
      </c>
      <c r="N21" s="283">
        <f>SUM(L21:M21)</f>
        <v/>
      </c>
      <c r="O21" s="283" t="n">
        <v>1113210</v>
      </c>
      <c r="P21" s="283">
        <f>VLOOKUP(G21,'22F1187231'!$D$5:$J$4160,7,0)*O21-(SUM(J21:K21,M21))</f>
        <v/>
      </c>
      <c r="Q21" s="283">
        <f>(VLOOKUP(EOMONTH(G21,0),'22F1187231'!$D$5:$J$4160,7,0))*O21</f>
        <v/>
      </c>
      <c r="R21" s="283">
        <f>(VLOOKUP(G21,'22F1187231'!$D$5:$J$4160,4,0)-VLOOKUP(G21,'22F1187231'!$D$5:$J$4160,2,0))*O21</f>
        <v/>
      </c>
      <c r="S21" s="147" t="n"/>
      <c r="T21" s="210" t="inlineStr">
        <is>
          <t>Longo Prazo</t>
        </is>
      </c>
      <c r="U21" s="288">
        <f>P6-U20</f>
        <v/>
      </c>
      <c r="V21" s="212" t="inlineStr">
        <is>
          <t>Direitos Creditórios a Receber( Ativo/Passivo Não Circulante)</t>
        </is>
      </c>
    </row>
    <row r="22">
      <c r="A22" s="250">
        <f>CONCATENATE(C22,D22,E22)</f>
        <v/>
      </c>
      <c r="B22" s="250">
        <f>CONCATENATE(D22,E22)</f>
        <v/>
      </c>
      <c r="C22" s="250">
        <f>IF(D22&gt;=1,IF(D22&lt;=3,"1",IF(D22&gt;=4,IF(D22&lt;=6,"2",IF(D22&gt;=7,IF(D22&lt;=9,"3",IF(D22&gt;=10,IF(D22&lt;=12,"4","-"))))))))</f>
        <v/>
      </c>
      <c r="D22" s="250">
        <f>MONTH(G22)</f>
        <v/>
      </c>
      <c r="E22" s="250">
        <f>YEAR(G22)</f>
        <v/>
      </c>
      <c r="F22" s="142">
        <f>F21+1</f>
        <v/>
      </c>
      <c r="G22" s="282" t="n">
        <v>45316</v>
      </c>
      <c r="H22" s="143" t="n">
        <v>0.004605</v>
      </c>
      <c r="I22" s="144" t="n">
        <v>47</v>
      </c>
      <c r="J22" s="283">
        <f>IFERROR((VLOOKUP($G22,'22F1187231'!$D$3:$N$4160,8,1))*O22,0)</f>
        <v/>
      </c>
      <c r="K22" s="283">
        <f>VLOOKUP(G22,'22F1187231'!$D$5:$L$4163,9,0)*O22</f>
        <v/>
      </c>
      <c r="L22" s="283">
        <f>SUM(J22:K22)</f>
        <v/>
      </c>
      <c r="M22" s="283">
        <f>(VLOOKUP($G22,'22F1187231'!$D$5:$N$4163,10,1))*O22</f>
        <v/>
      </c>
      <c r="N22" s="283">
        <f>SUM(L22:M22)</f>
        <v/>
      </c>
      <c r="O22" s="283" t="n">
        <v>1113210</v>
      </c>
      <c r="P22" s="283">
        <f>VLOOKUP(G22,'22F1187231'!$D$5:$J$4160,7,0)*O22-(SUM(J22:K22,M22))</f>
        <v/>
      </c>
      <c r="Q22" s="283">
        <f>(VLOOKUP(EOMONTH(G22,0),'22F1187231'!$D$5:$J$4160,7,0))*O22</f>
        <v/>
      </c>
      <c r="R22" s="283">
        <f>(VLOOKUP(G22,'22F1187231'!$D$5:$J$4160,4,0)-VLOOKUP(G22,'22F1187231'!$D$5:$J$4160,2,0))*O22</f>
        <v/>
      </c>
      <c r="S22" s="147" t="n"/>
    </row>
    <row r="23">
      <c r="A23" s="250">
        <f>CONCATENATE(C23,D23,E23)</f>
        <v/>
      </c>
      <c r="B23" s="250">
        <f>CONCATENATE(D23,E23)</f>
        <v/>
      </c>
      <c r="C23" s="250">
        <f>IF(D23&gt;=1,IF(D23&lt;=3,"1",IF(D23&gt;=4,IF(D23&lt;=6,"2",IF(D23&gt;=7,IF(D23&lt;=9,"3",IF(D23&gt;=10,IF(D23&lt;=12,"4","-"))))))))</f>
        <v/>
      </c>
      <c r="D23" s="250">
        <f>MONTH(G23)</f>
        <v/>
      </c>
      <c r="E23" s="250">
        <f>YEAR(G23)</f>
        <v/>
      </c>
      <c r="F23" s="142">
        <f>F22+1</f>
        <v/>
      </c>
      <c r="G23" s="282" t="n">
        <v>45347</v>
      </c>
      <c r="H23" s="143" t="n">
        <v>0.004686</v>
      </c>
      <c r="I23" s="144" t="n">
        <v>48</v>
      </c>
      <c r="J23" s="283">
        <f>IFERROR((VLOOKUP($G23,'22F1187231'!$D$3:$N$4160,8,1))*O23,0)</f>
        <v/>
      </c>
      <c r="K23" s="283">
        <f>VLOOKUP(G23,'22F1187231'!$D$5:$L$4163,9,0)*O23</f>
        <v/>
      </c>
      <c r="L23" s="283">
        <f>SUM(J23:K23)</f>
        <v/>
      </c>
      <c r="M23" s="283">
        <f>(VLOOKUP($G23,'22F1187231'!$D$5:$N$4163,10,1))*O23</f>
        <v/>
      </c>
      <c r="N23" s="283">
        <f>SUM(L23:M23)</f>
        <v/>
      </c>
      <c r="O23" s="283" t="n">
        <v>1113210</v>
      </c>
      <c r="P23" s="283">
        <f>VLOOKUP(G23,'22F1187231'!$D$5:$J$4160,7,0)*O23-(SUM(J23:K23,M23))</f>
        <v/>
      </c>
      <c r="Q23" s="283">
        <f>(VLOOKUP(EOMONTH(G23,0),'22F1187231'!$D$5:$J$4160,7,0))*O23</f>
        <v/>
      </c>
      <c r="R23" s="283">
        <f>(VLOOKUP(G23,'22F1187231'!$D$5:$J$4160,4,0)-VLOOKUP(G23,'22F1187231'!$D$5:$J$4160,2,0))*O23</f>
        <v/>
      </c>
      <c r="S23" s="147" t="n"/>
      <c r="T23" s="213" t="inlineStr">
        <is>
          <t>PAGAMENTO</t>
        </is>
      </c>
      <c r="U23" s="214" t="inlineStr">
        <is>
          <t>Período (01/10/20 a 30/09/21)</t>
        </is>
      </c>
    </row>
    <row r="24">
      <c r="A24" s="250">
        <f>CONCATENATE(C24,D24,E24)</f>
        <v/>
      </c>
      <c r="B24" s="250">
        <f>CONCATENATE(D24,E24)</f>
        <v/>
      </c>
      <c r="C24" s="250">
        <f>IF(D24&gt;=1,IF(D24&lt;=3,"1",IF(D24&gt;=4,IF(D24&lt;=6,"2",IF(D24&gt;=7,IF(D24&lt;=9,"3",IF(D24&gt;=10,IF(D24&lt;=12,"4","-"))))))))</f>
        <v/>
      </c>
      <c r="D24" s="250">
        <f>MONTH(G24)</f>
        <v/>
      </c>
      <c r="E24" s="250">
        <f>YEAR(G24)</f>
        <v/>
      </c>
      <c r="F24" s="142">
        <f>F23+1</f>
        <v/>
      </c>
      <c r="G24" s="282" t="n">
        <v>45376</v>
      </c>
      <c r="H24" s="143" t="n">
        <v>0.004747</v>
      </c>
      <c r="I24" s="144" t="n">
        <v>49</v>
      </c>
      <c r="J24" s="283">
        <f>IFERROR((VLOOKUP($G24,'22F1187231'!$D$3:$N$4160,8,1))*O24,0)</f>
        <v/>
      </c>
      <c r="K24" s="283">
        <f>VLOOKUP(G24,'22F1187231'!$D$5:$L$4163,9,0)*O24</f>
        <v/>
      </c>
      <c r="L24" s="283">
        <f>SUM(J24:K24)</f>
        <v/>
      </c>
      <c r="M24" s="283">
        <f>(VLOOKUP($G24,'22F1187231'!$D$5:$N$4163,10,1))*O24</f>
        <v/>
      </c>
      <c r="N24" s="283">
        <f>SUM(L24:M24)</f>
        <v/>
      </c>
      <c r="O24" s="283" t="n">
        <v>1113210</v>
      </c>
      <c r="P24" s="283">
        <f>VLOOKUP(G24,'22F1187231'!$D$5:$J$4160,7,0)*O24-(SUM(J24:K24,M24))</f>
        <v/>
      </c>
      <c r="Q24" s="283">
        <f>(VLOOKUP(EOMONTH(G24,0),'22F1187231'!$D$5:$J$4160,7,0))*O24</f>
        <v/>
      </c>
      <c r="R24" s="283">
        <f>(VLOOKUP(G24,'22F1187231'!$D$5:$J$4160,4,0)-VLOOKUP(G24,'22F1187231'!$D$5:$J$4160,2,0))*O24</f>
        <v/>
      </c>
      <c r="S24" s="147" t="n"/>
      <c r="T24" s="213" t="n"/>
      <c r="U24" s="214" t="n"/>
    </row>
    <row r="25">
      <c r="A25" s="250">
        <f>CONCATENATE(C25,D25,E25)</f>
        <v/>
      </c>
      <c r="B25" s="250">
        <f>CONCATENATE(D25,E25)</f>
        <v/>
      </c>
      <c r="C25" s="250">
        <f>IF(D25&gt;=1,IF(D25&lt;=3,"1",IF(D25&gt;=4,IF(D25&lt;=6,"2",IF(D25&gt;=7,IF(D25&lt;=9,"3",IF(D25&gt;=10,IF(D25&lt;=12,"4","-"))))))))</f>
        <v/>
      </c>
      <c r="D25" s="250">
        <f>MONTH(G25)</f>
        <v/>
      </c>
      <c r="E25" s="250">
        <f>YEAR(G25)</f>
        <v/>
      </c>
      <c r="F25" s="142">
        <f>F24+1</f>
        <v/>
      </c>
      <c r="G25" s="282" t="n">
        <v>45407</v>
      </c>
      <c r="H25" s="143" t="n">
        <v>0.004797</v>
      </c>
      <c r="I25" s="144" t="n">
        <v>50</v>
      </c>
      <c r="J25" s="283">
        <f>IFERROR((VLOOKUP($G25,'22F1187231'!$D$3:$N$4160,8,1))*O25,0)</f>
        <v/>
      </c>
      <c r="K25" s="283">
        <f>VLOOKUP(G25,'22F1187231'!$D$5:$L$4163,9,0)*O25</f>
        <v/>
      </c>
      <c r="L25" s="283">
        <f>SUM(J25:K25)</f>
        <v/>
      </c>
      <c r="M25" s="283">
        <f>(VLOOKUP($G25,'22F1187231'!$D$5:$N$4163,10,1))*O25</f>
        <v/>
      </c>
      <c r="N25" s="283">
        <f>SUM(L25:M25)</f>
        <v/>
      </c>
      <c r="O25" s="283" t="n">
        <v>1113210</v>
      </c>
      <c r="P25" s="283">
        <f>VLOOKUP(G25,'22F1187231'!$D$5:$J$4160,7,0)*O25-(SUM(J25:K25,M25))</f>
        <v/>
      </c>
      <c r="Q25" s="283">
        <f>(VLOOKUP(EOMONTH(G25,0),'22F1187231'!$D$5:$J$4160,7,0))*O25</f>
        <v/>
      </c>
      <c r="R25" s="283">
        <f>(VLOOKUP(G25,'22F1187231'!$D$5:$J$4160,4,0)-VLOOKUP(G25,'22F1187231'!$D$5:$J$4160,2,0))*O25</f>
        <v/>
      </c>
      <c r="S25" s="147" t="n"/>
      <c r="T25" s="215" t="inlineStr">
        <is>
          <t>Juros</t>
        </is>
      </c>
      <c r="U25" s="289">
        <f>SUM(J8:J19)</f>
        <v/>
      </c>
    </row>
    <row r="26">
      <c r="A26" s="250">
        <f>CONCATENATE(C26,D26,E26)</f>
        <v/>
      </c>
      <c r="B26" s="250">
        <f>CONCATENATE(D26,E26)</f>
        <v/>
      </c>
      <c r="C26" s="250">
        <f>IF(D26&gt;=1,IF(D26&lt;=3,"1",IF(D26&gt;=4,IF(D26&lt;=6,"2",IF(D26&gt;=7,IF(D26&lt;=9,"3",IF(D26&gt;=10,IF(D26&lt;=12,"4","-"))))))))</f>
        <v/>
      </c>
      <c r="D26" s="250">
        <f>MONTH(G26)</f>
        <v/>
      </c>
      <c r="E26" s="250">
        <f>YEAR(G26)</f>
        <v/>
      </c>
      <c r="F26" s="142">
        <f>F25+1</f>
        <v/>
      </c>
      <c r="G26" s="282" t="n">
        <v>45437</v>
      </c>
      <c r="H26" s="143" t="n">
        <v>0.004847</v>
      </c>
      <c r="I26" s="144" t="n">
        <v>51</v>
      </c>
      <c r="J26" s="283">
        <f>IFERROR((VLOOKUP($G26,'22F1187231'!$D$3:$N$4160,8,1))*O26,0)</f>
        <v/>
      </c>
      <c r="K26" s="283">
        <f>VLOOKUP(G26,'22F1187231'!$D$5:$L$4163,9,0)*O26</f>
        <v/>
      </c>
      <c r="L26" s="283">
        <f>SUM(J26:K26)</f>
        <v/>
      </c>
      <c r="M26" s="283">
        <f>(VLOOKUP($G26,'22F1187231'!$D$5:$N$4163,10,1))*O26</f>
        <v/>
      </c>
      <c r="N26" s="283">
        <f>SUM(L26:M26)</f>
        <v/>
      </c>
      <c r="O26" s="283" t="n">
        <v>1113210</v>
      </c>
      <c r="P26" s="283">
        <f>VLOOKUP(G26,'22F1187231'!$D$5:$J$4160,7,0)*O26-(SUM(J26:K26,M26))</f>
        <v/>
      </c>
      <c r="Q26" s="283">
        <f>(VLOOKUP(EOMONTH(G26,0),'22F1187231'!$D$5:$J$4160,7,0))*O26</f>
        <v/>
      </c>
      <c r="R26" s="283">
        <f>(VLOOKUP(G26,'22F1187231'!$D$5:$J$4160,4,0)-VLOOKUP(G26,'22F1187231'!$D$5:$J$4160,2,0))*O26</f>
        <v/>
      </c>
      <c r="S26" s="147" t="n"/>
      <c r="T26" s="217" t="inlineStr">
        <is>
          <t>Amortização</t>
        </is>
      </c>
      <c r="U26" s="290">
        <f>SUM(K8:K19)</f>
        <v/>
      </c>
    </row>
    <row r="27">
      <c r="A27" s="250">
        <f>CONCATENATE(C27,D27,E27)</f>
        <v/>
      </c>
      <c r="B27" s="250">
        <f>CONCATENATE(D27,E27)</f>
        <v/>
      </c>
      <c r="C27" s="250">
        <f>IF(D27&gt;=1,IF(D27&lt;=3,"1",IF(D27&gt;=4,IF(D27&lt;=6,"2",IF(D27&gt;=7,IF(D27&lt;=9,"3",IF(D27&gt;=10,IF(D27&lt;=12,"4","-"))))))))</f>
        <v/>
      </c>
      <c r="D27" s="250">
        <f>MONTH(G27)</f>
        <v/>
      </c>
      <c r="E27" s="250">
        <f>YEAR(G27)</f>
        <v/>
      </c>
      <c r="F27" s="142">
        <f>F26+1</f>
        <v/>
      </c>
      <c r="G27" s="282" t="n">
        <v>45468</v>
      </c>
      <c r="H27" s="143" t="n">
        <v>0.004899</v>
      </c>
      <c r="I27" s="144" t="n">
        <v>52</v>
      </c>
      <c r="J27" s="283">
        <f>IFERROR((VLOOKUP($G27,'22F1187231'!$D$3:$N$4160,8,1))*O27,0)</f>
        <v/>
      </c>
      <c r="K27" s="283">
        <f>VLOOKUP(G27,'22F1187231'!$D$5:$L$4163,9,0)*O27</f>
        <v/>
      </c>
      <c r="L27" s="283">
        <f>SUM(J27:K27)</f>
        <v/>
      </c>
      <c r="M27" s="283">
        <f>(VLOOKUP($G27,'22F1187231'!$D$5:$N$4163,10,1))*O27</f>
        <v/>
      </c>
      <c r="N27" s="283">
        <f>SUM(L27:M27)</f>
        <v/>
      </c>
      <c r="O27" s="283" t="n">
        <v>1113210</v>
      </c>
      <c r="P27" s="283">
        <f>VLOOKUP(G27,'22F1187231'!$D$5:$J$4160,7,0)*O27-(SUM(J27:K27,M27))</f>
        <v/>
      </c>
      <c r="Q27" s="283">
        <f>(VLOOKUP(EOMONTH(G27,0),'22F1187231'!$D$5:$J$4160,7,0))*O27</f>
        <v/>
      </c>
      <c r="R27" s="283">
        <f>(VLOOKUP(G27,'22F1187231'!$D$5:$J$4160,4,0)-VLOOKUP(G27,'22F1187231'!$D$5:$J$4160,2,0))*O27</f>
        <v/>
      </c>
      <c r="S27" s="147" t="n"/>
      <c r="T27" s="217" t="inlineStr">
        <is>
          <t>Amex</t>
        </is>
      </c>
      <c r="U27" s="290">
        <f>SUM(M7:M18)</f>
        <v/>
      </c>
    </row>
    <row r="28">
      <c r="A28" s="250">
        <f>CONCATENATE(C28,D28,E28)</f>
        <v/>
      </c>
      <c r="B28" s="250">
        <f>CONCATENATE(D28,E28)</f>
        <v/>
      </c>
      <c r="C28" s="250">
        <f>IF(D28&gt;=1,IF(D28&lt;=3,"1",IF(D28&gt;=4,IF(D28&lt;=6,"2",IF(D28&gt;=7,IF(D28&lt;=9,"3",IF(D28&gt;=10,IF(D28&lt;=12,"4","-"))))))))</f>
        <v/>
      </c>
      <c r="D28" s="250">
        <f>MONTH(G28)</f>
        <v/>
      </c>
      <c r="E28" s="250">
        <f>YEAR(G28)</f>
        <v/>
      </c>
      <c r="F28" s="142">
        <f>F27+1</f>
        <v/>
      </c>
      <c r="G28" s="282" t="n">
        <v>45498</v>
      </c>
      <c r="H28" s="143" t="n">
        <v>0.004951</v>
      </c>
      <c r="I28" s="144" t="n">
        <v>53</v>
      </c>
      <c r="J28" s="283">
        <f>IFERROR((VLOOKUP($G28,'22F1187231'!$D$3:$N$4160,8,1))*O28,0)</f>
        <v/>
      </c>
      <c r="K28" s="283">
        <f>VLOOKUP(G28,'22F1187231'!$D$5:$L$4163,9,0)*O28</f>
        <v/>
      </c>
      <c r="L28" s="283">
        <f>SUM(J28:K28)</f>
        <v/>
      </c>
      <c r="M28" s="283">
        <f>(VLOOKUP($G28,'22F1187231'!$D$5:$N$4163,10,1))*O28</f>
        <v/>
      </c>
      <c r="N28" s="283">
        <f>SUM(L28:M28)</f>
        <v/>
      </c>
      <c r="O28" s="283" t="n">
        <v>1113210</v>
      </c>
      <c r="P28" s="283">
        <f>VLOOKUP(G28,'22F1187231'!$D$5:$J$4160,7,0)*O28-(SUM(J28:K28,M28))</f>
        <v/>
      </c>
      <c r="Q28" s="283">
        <f>(VLOOKUP(EOMONTH(G28,0),'22F1187231'!$D$5:$J$4160,7,0))*O28</f>
        <v/>
      </c>
      <c r="R28" s="283">
        <f>(VLOOKUP(G28,'22F1187231'!$D$5:$J$4160,4,0)-VLOOKUP(G28,'22F1187231'!$D$5:$J$4160,2,0))*O28</f>
        <v/>
      </c>
      <c r="S28" s="147" t="n"/>
      <c r="T28" s="217" t="inlineStr">
        <is>
          <t>Amort + Amex</t>
        </is>
      </c>
      <c r="U28" s="290">
        <f>SUM(K8:K19)+SUM(M8:M19)</f>
        <v/>
      </c>
    </row>
    <row r="29">
      <c r="A29" s="250">
        <f>CONCATENATE(C29,D29,E29)</f>
        <v/>
      </c>
      <c r="B29" s="250">
        <f>CONCATENATE(D29,E29)</f>
        <v/>
      </c>
      <c r="C29" s="250">
        <f>IF(D29&gt;=1,IF(D29&lt;=3,"1",IF(D29&gt;=4,IF(D29&lt;=6,"2",IF(D29&gt;=7,IF(D29&lt;=9,"3",IF(D29&gt;=10,IF(D29&lt;=12,"4","-"))))))))</f>
        <v/>
      </c>
      <c r="D29" s="250">
        <f>MONTH(G29)</f>
        <v/>
      </c>
      <c r="E29" s="250">
        <f>YEAR(G29)</f>
        <v/>
      </c>
      <c r="F29" s="142">
        <f>F28+1</f>
        <v/>
      </c>
      <c r="G29" s="282" t="n">
        <v>45529</v>
      </c>
      <c r="H29" s="143" t="n">
        <v>0.005003</v>
      </c>
      <c r="I29" s="144" t="n">
        <v>54</v>
      </c>
      <c r="J29" s="283">
        <f>IFERROR((VLOOKUP($G29,'22F1187231'!$D$3:$N$4160,8,1))*O29,0)</f>
        <v/>
      </c>
      <c r="K29" s="283">
        <f>VLOOKUP(G29,'22F1187231'!$D$5:$L$4163,9,0)*O29</f>
        <v/>
      </c>
      <c r="L29" s="283">
        <f>SUM(J29:K29)</f>
        <v/>
      </c>
      <c r="M29" s="283">
        <f>(VLOOKUP($G29,'22F1187231'!$D$5:$N$4163,10,1))*O29</f>
        <v/>
      </c>
      <c r="N29" s="283">
        <f>SUM(L29:M29)</f>
        <v/>
      </c>
      <c r="O29" s="283" t="n">
        <v>1113210</v>
      </c>
      <c r="P29" s="283">
        <f>VLOOKUP(G29,'22F1187231'!$D$5:$J$4160,7,0)*O29-(SUM(J29:K29,M29))</f>
        <v/>
      </c>
      <c r="Q29" s="283">
        <f>(VLOOKUP(EOMONTH(G29,0),'22F1187231'!$D$5:$J$4160,7,0))*O29</f>
        <v/>
      </c>
      <c r="R29" s="283">
        <f>(VLOOKUP(G29,'22F1187231'!$D$5:$J$4160,4,0)-VLOOKUP(G29,'22F1187231'!$D$5:$J$4160,2,0))*O29</f>
        <v/>
      </c>
      <c r="S29" s="147" t="n"/>
      <c r="T29" s="217" t="inlineStr">
        <is>
          <t>Correção</t>
        </is>
      </c>
      <c r="U29" s="290">
        <f>SUM(R7:R18)</f>
        <v/>
      </c>
    </row>
    <row r="30">
      <c r="A30" s="250">
        <f>CONCATENATE(C30,D30,E30)</f>
        <v/>
      </c>
      <c r="B30" s="250">
        <f>CONCATENATE(D30,E30)</f>
        <v/>
      </c>
      <c r="C30" s="250">
        <f>IF(D30&gt;=1,IF(D30&lt;=3,"1",IF(D30&gt;=4,IF(D30&lt;=6,"2",IF(D30&gt;=7,IF(D30&lt;=9,"3",IF(D30&gt;=10,IF(D30&lt;=12,"4","-"))))))))</f>
        <v/>
      </c>
      <c r="D30" s="250">
        <f>MONTH(G30)</f>
        <v/>
      </c>
      <c r="E30" s="250">
        <f>YEAR(G30)</f>
        <v/>
      </c>
      <c r="F30" s="142">
        <f>F29+1</f>
        <v/>
      </c>
      <c r="G30" s="282" t="n">
        <v>45560</v>
      </c>
      <c r="H30" s="143" t="n">
        <v>0.005057</v>
      </c>
      <c r="I30" s="144" t="n">
        <v>55</v>
      </c>
      <c r="J30" s="283">
        <f>IFERROR((VLOOKUP($G30,'22F1187231'!$D$3:$N$4160,8,1))*O30,0)</f>
        <v/>
      </c>
      <c r="K30" s="283">
        <f>VLOOKUP(G30,'22F1187231'!$D$5:$L$4163,9,0)*O30</f>
        <v/>
      </c>
      <c r="L30" s="283">
        <f>SUM(J30:K30)</f>
        <v/>
      </c>
      <c r="M30" s="283">
        <f>(VLOOKUP($G30,'22F1187231'!$D$5:$N$4163,10,1))*O30</f>
        <v/>
      </c>
      <c r="N30" s="283">
        <f>SUM(L30:M30)</f>
        <v/>
      </c>
      <c r="O30" s="283" t="n">
        <v>1113210</v>
      </c>
      <c r="P30" s="283">
        <f>VLOOKUP(G30,'22F1187231'!$D$5:$J$4160,7,0)*O30-(SUM(J30:K30,M30))</f>
        <v/>
      </c>
      <c r="Q30" s="283">
        <f>(VLOOKUP(EOMONTH(G30,0),'22F1187231'!$D$5:$J$4160,7,0))*O30</f>
        <v/>
      </c>
      <c r="R30" s="283">
        <f>(VLOOKUP(G30,'22F1187231'!$D$5:$J$4160,4,0)-VLOOKUP(G30,'22F1187231'!$D$5:$J$4160,2,0))*O30</f>
        <v/>
      </c>
      <c r="S30" s="147" t="n"/>
    </row>
    <row r="31">
      <c r="A31" s="250">
        <f>CONCATENATE(C31,D31,E31)</f>
        <v/>
      </c>
      <c r="B31" s="250">
        <f>CONCATENATE(D31,E31)</f>
        <v/>
      </c>
      <c r="C31" s="250">
        <f>IF(D31&gt;=1,IF(D31&lt;=3,"1",IF(D31&gt;=4,IF(D31&lt;=6,"2",IF(D31&gt;=7,IF(D31&lt;=9,"3",IF(D31&gt;=10,IF(D31&lt;=12,"4","-"))))))))</f>
        <v/>
      </c>
      <c r="D31" s="250">
        <f>MONTH(G31)</f>
        <v/>
      </c>
      <c r="E31" s="250">
        <f>YEAR(G31)</f>
        <v/>
      </c>
      <c r="F31" s="142" t="n">
        <v>56</v>
      </c>
      <c r="G31" s="282" t="n">
        <v>45590</v>
      </c>
      <c r="H31" s="143" t="n">
        <v>0.005124</v>
      </c>
      <c r="I31" s="144" t="n">
        <v>56</v>
      </c>
      <c r="J31" s="283">
        <f>IFERROR((VLOOKUP($G31,'22F1187231'!$D$3:$N$4160,8,1))*O31,0)</f>
        <v/>
      </c>
      <c r="K31" s="283">
        <f>VLOOKUP(G31,'22F1187231'!$D$5:$L$4163,9,0)*O31</f>
        <v/>
      </c>
      <c r="L31" s="283">
        <f>SUM(J31:K31)</f>
        <v/>
      </c>
      <c r="M31" s="283">
        <f>(VLOOKUP($G31,'22F1187231'!$D$5:$N$4163,10,1))*O31</f>
        <v/>
      </c>
      <c r="N31" s="283">
        <f>SUM(L31:M31)</f>
        <v/>
      </c>
      <c r="O31" s="283" t="n">
        <v>1113210</v>
      </c>
      <c r="P31" s="283">
        <f>VLOOKUP(G31,'22F1187231'!$D$5:$J$4160,7,0)*O31-(SUM(J31:K31,M31))</f>
        <v/>
      </c>
      <c r="Q31" s="283">
        <f>(VLOOKUP(EOMONTH(G31,0),'22F1187231'!$D$5:$J$4160,7,0))*O31</f>
        <v/>
      </c>
      <c r="R31" s="283">
        <f>(VLOOKUP(G31,'22F1187231'!$D$5:$J$4160,4,0)-VLOOKUP(G31,'22F1187231'!$D$5:$J$4160,2,0))*O31</f>
        <v/>
      </c>
      <c r="S31" s="147" t="n"/>
    </row>
    <row r="32">
      <c r="A32" s="250">
        <f>CONCATENATE(C32,D32,E32)</f>
        <v/>
      </c>
      <c r="B32" s="250">
        <f>CONCATENATE(D32,E32)</f>
        <v/>
      </c>
      <c r="C32" s="250">
        <f>IF(D32&gt;=1,IF(D32&lt;=3,"1",IF(D32&gt;=4,IF(D32&lt;=6,"2",IF(D32&gt;=7,IF(D32&lt;=9,"3",IF(D32&gt;=10,IF(D32&lt;=12,"4","-"))))))))</f>
        <v/>
      </c>
      <c r="D32" s="250">
        <f>MONTH(G32)</f>
        <v/>
      </c>
      <c r="E32" s="250">
        <f>YEAR(G32)</f>
        <v/>
      </c>
      <c r="F32" s="142">
        <f>F31+1</f>
        <v/>
      </c>
      <c r="G32" s="282" t="n">
        <v>45621</v>
      </c>
      <c r="H32" s="143" t="n">
        <v>0.005179</v>
      </c>
      <c r="I32" s="144" t="n">
        <v>57</v>
      </c>
      <c r="J32" s="283">
        <f>IFERROR((VLOOKUP($G32,'22F1187231'!$D$3:$N$4160,8,1))*O32,0)</f>
        <v/>
      </c>
      <c r="K32" s="283">
        <f>VLOOKUP(G32,'22F1187231'!$D$5:$L$4163,9,0)*O32</f>
        <v/>
      </c>
      <c r="L32" s="283">
        <f>SUM(J32:K32)</f>
        <v/>
      </c>
      <c r="M32" s="283">
        <f>(VLOOKUP($G32,'22F1187231'!$D$5:$N$4163,10,1))*O32</f>
        <v/>
      </c>
      <c r="N32" s="283">
        <f>SUM(L32:M32)</f>
        <v/>
      </c>
      <c r="O32" s="283" t="n">
        <v>1113210</v>
      </c>
      <c r="P32" s="283">
        <f>VLOOKUP(G32,'22F1187231'!$D$5:$J$4160,7,0)*O32-(SUM(J32:K32,M32))</f>
        <v/>
      </c>
      <c r="Q32" s="283">
        <f>(VLOOKUP(EOMONTH(G32,0),'22F1187231'!$D$5:$J$4160,7,0))*O32</f>
        <v/>
      </c>
      <c r="R32" s="283">
        <f>(VLOOKUP(G32,'22F1187231'!$D$5:$J$4160,4,0)-VLOOKUP(G32,'22F1187231'!$D$5:$J$4160,2,0))*O32</f>
        <v/>
      </c>
      <c r="S32" s="147" t="n"/>
    </row>
    <row r="33" ht="14.4" customHeight="1" s="260" thickBot="1">
      <c r="A33" s="250">
        <f>CONCATENATE(C33,D33,E33)</f>
        <v/>
      </c>
      <c r="B33" s="250">
        <f>CONCATENATE(D33,E33)</f>
        <v/>
      </c>
      <c r="C33" s="250">
        <f>IF(D33&gt;=1,IF(D33&lt;=3,"1",IF(D33&gt;=4,IF(D33&lt;=6,"2",IF(D33&gt;=7,IF(D33&lt;=9,"3",IF(D33&gt;=10,IF(D33&lt;=12,"4","-"))))))))</f>
        <v/>
      </c>
      <c r="D33" s="250">
        <f>MONTH(G5)</f>
        <v/>
      </c>
      <c r="E33" s="250">
        <f>YEAR(G5)</f>
        <v/>
      </c>
      <c r="F33" s="142">
        <f>F32+1</f>
        <v/>
      </c>
      <c r="G33" s="282" t="n">
        <v>45651</v>
      </c>
      <c r="H33" s="143" t="n">
        <v>0.005331</v>
      </c>
      <c r="I33" s="144" t="n">
        <v>58</v>
      </c>
      <c r="J33" s="283">
        <f>IFERROR((VLOOKUP($G33,'22F1187231'!$D$3:$N$4160,8,1))*O33,0)</f>
        <v/>
      </c>
      <c r="K33" s="283">
        <f>VLOOKUP(G33,'22F1187231'!$D$5:$L$4163,9,0)*O33</f>
        <v/>
      </c>
      <c r="L33" s="283">
        <f>SUM(J33:K33)</f>
        <v/>
      </c>
      <c r="M33" s="283">
        <f>(VLOOKUP($G33,'22F1187231'!$D$5:$N$4163,10,1))*O33</f>
        <v/>
      </c>
      <c r="N33" s="283">
        <f>SUM(L33:M33)</f>
        <v/>
      </c>
      <c r="O33" s="283" t="n">
        <v>1113210</v>
      </c>
      <c r="P33" s="283">
        <f>VLOOKUP(G33,'22F1187231'!$D$5:$J$4160,7,0)*O33-(SUM(J33:K33,M33))</f>
        <v/>
      </c>
      <c r="Q33" s="283">
        <f>(VLOOKUP(EOMONTH(G33,0),'22F1187231'!$D$5:$J$4160,7,0))*O33</f>
        <v/>
      </c>
      <c r="R33" s="283">
        <f>(VLOOKUP(G33,'22F1187231'!$D$5:$J$4160,4,0)-VLOOKUP(G33,'22F1187231'!$D$5:$J$4160,2,0))*O33</f>
        <v/>
      </c>
      <c r="S33" s="147" t="n"/>
      <c r="T33" s="170" t="inlineStr">
        <is>
          <t>*preencher apenas as células em amarelo para informe trimestral</t>
        </is>
      </c>
    </row>
    <row r="34">
      <c r="A34" s="250">
        <f>CONCATENATE(C34,D34,E34)</f>
        <v/>
      </c>
      <c r="B34" s="250">
        <f>CONCATENATE(D34,E34)</f>
        <v/>
      </c>
      <c r="C34" s="250">
        <f>IF(D34&gt;=1,IF(D34&lt;=3,"1",IF(D34&gt;=4,IF(D34&lt;=6,"2",IF(D34&gt;=7,IF(D34&lt;=9,"3",IF(D34&gt;=10,IF(D34&lt;=12,"4","-"))))))))</f>
        <v/>
      </c>
      <c r="D34" s="250">
        <f>MONTH(G6)</f>
        <v/>
      </c>
      <c r="E34" s="250">
        <f>YEAR(G6)</f>
        <v/>
      </c>
      <c r="F34" s="142">
        <f>F33+1</f>
        <v/>
      </c>
      <c r="G34" s="282" t="n">
        <v>45682</v>
      </c>
      <c r="H34" s="143" t="n">
        <v>0.005578</v>
      </c>
      <c r="I34" s="144" t="n">
        <v>59</v>
      </c>
      <c r="J34" s="283">
        <f>IFERROR((VLOOKUP($G34,'22F1187231'!$D$3:$N$4160,8,1))*O34,0)</f>
        <v/>
      </c>
      <c r="K34" s="283">
        <f>VLOOKUP(G34,'22F1187231'!$D$5:$L$4163,9,0)*O34</f>
        <v/>
      </c>
      <c r="L34" s="283">
        <f>SUM(J34:K34)</f>
        <v/>
      </c>
      <c r="M34" s="283">
        <f>(VLOOKUP($G34,'22F1187231'!$D$5:$N$4163,10,1))*O34</f>
        <v/>
      </c>
      <c r="N34" s="283">
        <f>SUM(L34:M34)</f>
        <v/>
      </c>
      <c r="O34" s="283" t="n">
        <v>1113210</v>
      </c>
      <c r="P34" s="283">
        <f>VLOOKUP(G34,'22F1187231'!$D$5:$J$4160,7,0)*O34-(SUM(J34:K34,M34))</f>
        <v/>
      </c>
      <c r="Q34" s="283">
        <f>(VLOOKUP(EOMONTH(G34,0),'22F1187231'!$D$5:$J$4160,7,0))*O34</f>
        <v/>
      </c>
      <c r="R34" s="283">
        <f>(VLOOKUP(G34,'22F1187231'!$D$5:$J$4160,4,0)-VLOOKUP(G34,'22F1187231'!$D$5:$J$4160,2,0))*O34</f>
        <v/>
      </c>
      <c r="S34" s="147" t="n"/>
      <c r="T34" s="246" t="inlineStr">
        <is>
          <t>PAGAMENTO</t>
        </is>
      </c>
      <c r="U34" s="174" t="inlineStr">
        <is>
          <t>TRIMESTRE</t>
        </is>
      </c>
      <c r="V34" s="175" t="inlineStr">
        <is>
          <t>ANO</t>
        </is>
      </c>
      <c r="W34" s="176" t="inlineStr">
        <is>
          <t>MÊS FECHAMENTO</t>
        </is>
      </c>
    </row>
    <row r="35" ht="14.4" customHeight="1" s="260" thickBot="1">
      <c r="A35" s="250">
        <f>CONCATENATE(C35,D35,E35)</f>
        <v/>
      </c>
      <c r="B35" s="250">
        <f>CONCATENATE(D35,E35)</f>
        <v/>
      </c>
      <c r="C35" s="250">
        <f>IF(D35&gt;=1,IF(D35&lt;=3,"1",IF(D35&gt;=4,IF(D35&lt;=6,"2",IF(D35&gt;=7,IF(D35&lt;=9,"3",IF(D35&gt;=10,IF(D35&lt;=12,"4","-"))))))))</f>
        <v/>
      </c>
      <c r="D35" s="250">
        <f>MONTH(G7)</f>
        <v/>
      </c>
      <c r="E35" s="250">
        <f>YEAR(G7)</f>
        <v/>
      </c>
      <c r="F35" s="142">
        <f>F34+1</f>
        <v/>
      </c>
      <c r="G35" s="282" t="n">
        <v>45713</v>
      </c>
      <c r="H35" s="143" t="n">
        <v>0.005677</v>
      </c>
      <c r="I35" s="144" t="n">
        <v>60</v>
      </c>
      <c r="J35" s="283">
        <f>IFERROR((VLOOKUP($G35,'22F1187231'!$D$3:$N$4160,8,1))*O35,0)</f>
        <v/>
      </c>
      <c r="K35" s="283">
        <f>VLOOKUP(G35,'22F1187231'!$D$5:$L$4163,9,0)*O35</f>
        <v/>
      </c>
      <c r="L35" s="283">
        <f>SUM(J35:K35)</f>
        <v/>
      </c>
      <c r="M35" s="283">
        <f>(VLOOKUP($G35,'22F1187231'!$D$5:$N$4163,10,1))*O35</f>
        <v/>
      </c>
      <c r="N35" s="283">
        <f>SUM(L35:M35)</f>
        <v/>
      </c>
      <c r="O35" s="283" t="n">
        <v>1113210</v>
      </c>
      <c r="P35" s="283">
        <f>VLOOKUP(G35,'22F1187231'!$D$5:$J$4160,7,0)*O35-(SUM(J35:K35,M35))</f>
        <v/>
      </c>
      <c r="Q35" s="283">
        <f>(VLOOKUP(EOMONTH(G35,0),'22F1187231'!$D$5:$J$4160,7,0))*O35</f>
        <v/>
      </c>
      <c r="R35" s="283">
        <f>(VLOOKUP(G35,'22F1187231'!$D$5:$J$4160,4,0)-VLOOKUP(G35,'22F1187231'!$D$5:$J$4160,2,0))*O35</f>
        <v/>
      </c>
      <c r="S35" s="147" t="n"/>
      <c r="T35" s="247" t="n"/>
      <c r="U35" s="177" t="n">
        <v>3</v>
      </c>
      <c r="V35" s="178" t="n">
        <v>2022</v>
      </c>
      <c r="W35" s="179">
        <f>U35*2</f>
        <v/>
      </c>
    </row>
    <row r="36">
      <c r="A36" s="250">
        <f>CONCATENATE(C36,D36,E36)</f>
        <v/>
      </c>
      <c r="B36" s="250">
        <f>CONCATENATE(D36,E36)</f>
        <v/>
      </c>
      <c r="C36" s="250">
        <f>IF(D36&gt;=1,IF(D36&lt;=3,"1",IF(D36&gt;=4,IF(D36&lt;=6,"2",IF(D36&gt;=7,IF(D36&lt;=9,"3",IF(D36&gt;=10,IF(D36&lt;=12,"4","-"))))))))</f>
        <v/>
      </c>
      <c r="D36" s="250">
        <f>MONTH(G8)</f>
        <v/>
      </c>
      <c r="E36" s="250">
        <f>YEAR(G8)</f>
        <v/>
      </c>
      <c r="F36" s="142">
        <f>F35+1</f>
        <v/>
      </c>
      <c r="G36" s="282" t="n">
        <v>45741</v>
      </c>
      <c r="H36" s="143" t="n">
        <v>0.005756</v>
      </c>
      <c r="I36" s="144" t="n">
        <v>61</v>
      </c>
      <c r="J36" s="283">
        <f>IFERROR((VLOOKUP($G36,'22F1187231'!$D$3:$N$4160,8,1))*O36,0)</f>
        <v/>
      </c>
      <c r="K36" s="283">
        <f>VLOOKUP(G36,'22F1187231'!$D$5:$L$4163,9,0)*O36</f>
        <v/>
      </c>
      <c r="L36" s="283">
        <f>SUM(J36:K36)</f>
        <v/>
      </c>
      <c r="M36" s="283">
        <f>(VLOOKUP($G36,'22F1187231'!$D$5:$N$4163,10,1))*O36</f>
        <v/>
      </c>
      <c r="N36" s="283">
        <f>SUM(L36:M36)</f>
        <v/>
      </c>
      <c r="O36" s="283" t="n">
        <v>1113210</v>
      </c>
      <c r="P36" s="283">
        <f>VLOOKUP(G36,'22F1187231'!$D$5:$J$4160,7,0)*O36-(SUM(J36:K36,M36))</f>
        <v/>
      </c>
      <c r="Q36" s="283">
        <f>(VLOOKUP(EOMONTH(G36,0),'22F1187231'!$D$5:$J$4160,7,0))*O36</f>
        <v/>
      </c>
      <c r="R36" s="283">
        <f>(VLOOKUP(G36,'22F1187231'!$D$5:$J$4160,4,0)-VLOOKUP(G36,'22F1187231'!$D$5:$J$4160,2,0))*O36</f>
        <v/>
      </c>
      <c r="S36" s="147" t="n"/>
      <c r="T36" s="180" t="inlineStr">
        <is>
          <t>Juros</t>
        </is>
      </c>
      <c r="U36" s="291">
        <f>SUMIFS($J$1:$J$140,$C$1:$C$140,$U$35,E1:E140,$V$35)</f>
        <v/>
      </c>
      <c r="V36" s="182" t="n"/>
      <c r="W36" s="292" t="n"/>
    </row>
    <row r="37">
      <c r="A37" s="250">
        <f>CONCATENATE(C37,D37,E37)</f>
        <v/>
      </c>
      <c r="B37" s="250">
        <f>CONCATENATE(D37,E37)</f>
        <v/>
      </c>
      <c r="C37" s="250">
        <f>IF(D37&gt;=1,IF(D37&lt;=3,"1",IF(D37&gt;=4,IF(D37&lt;=6,"2",IF(D37&gt;=7,IF(D37&lt;=9,"3",IF(D37&gt;=10,IF(D37&lt;=12,"4","-"))))))))</f>
        <v/>
      </c>
      <c r="D37" s="250">
        <f>MONTH(G9)</f>
        <v/>
      </c>
      <c r="E37" s="250">
        <f>YEAR(G9)</f>
        <v/>
      </c>
      <c r="F37" s="142">
        <f>F36+1</f>
        <v/>
      </c>
      <c r="G37" s="282" t="n">
        <v>45772</v>
      </c>
      <c r="H37" s="143" t="n">
        <v>0.005822</v>
      </c>
      <c r="I37" s="144" t="n">
        <v>62</v>
      </c>
      <c r="J37" s="283">
        <f>IFERROR((VLOOKUP($G37,'22F1187231'!$D$3:$N$4160,8,1))*O37,0)</f>
        <v/>
      </c>
      <c r="K37" s="283">
        <f>VLOOKUP(G37,'22F1187231'!$D$5:$L$4163,9,0)*O37</f>
        <v/>
      </c>
      <c r="L37" s="283">
        <f>SUM(J37:K37)</f>
        <v/>
      </c>
      <c r="M37" s="283">
        <f>(VLOOKUP($G37,'22F1187231'!$D$5:$N$4163,10,1))*O37</f>
        <v/>
      </c>
      <c r="N37" s="283">
        <f>SUM(L37:M37)</f>
        <v/>
      </c>
      <c r="O37" s="283" t="n">
        <v>1113210</v>
      </c>
      <c r="P37" s="283">
        <f>VLOOKUP(G37,'22F1187231'!$D$5:$J$4160,7,0)*O37-(SUM(J37:K37,M37))</f>
        <v/>
      </c>
      <c r="Q37" s="283">
        <f>(VLOOKUP(EOMONTH(G37,0),'22F1187231'!$D$5:$J$4160,7,0))*O37</f>
        <v/>
      </c>
      <c r="R37" s="283">
        <f>(VLOOKUP(G37,'22F1187231'!$D$5:$J$4160,4,0)-VLOOKUP(G37,'22F1187231'!$D$5:$J$4160,2,0))*O37</f>
        <v/>
      </c>
      <c r="S37" s="147" t="n"/>
      <c r="T37" s="184" t="inlineStr">
        <is>
          <t>Amortização</t>
        </is>
      </c>
      <c r="U37" s="292">
        <f>SUMIFS($K$4:$K$140,$C$4:$C$140,$U$35,E4:E140,$V$35)</f>
        <v/>
      </c>
      <c r="V37" s="185" t="n"/>
      <c r="W37" s="292" t="n"/>
    </row>
    <row r="38">
      <c r="A38" s="250">
        <f>CONCATENATE(C38,D38,E38)</f>
        <v/>
      </c>
      <c r="B38" s="250">
        <f>CONCATENATE(D38,E38)</f>
        <v/>
      </c>
      <c r="C38" s="250">
        <f>IF(D38&gt;=1,IF(D38&lt;=3,"1",IF(D38&gt;=4,IF(D38&lt;=6,"2",IF(D38&gt;=7,IF(D38&lt;=9,"3",IF(D38&gt;=10,IF(D38&lt;=12,"4","-"))))))))</f>
        <v/>
      </c>
      <c r="D38" s="250">
        <f>MONTH(G10)</f>
        <v/>
      </c>
      <c r="E38" s="250">
        <f>YEAR(G10)</f>
        <v/>
      </c>
      <c r="F38" s="189">
        <f>F37+1</f>
        <v/>
      </c>
      <c r="G38" s="293" t="n">
        <v>45802</v>
      </c>
      <c r="H38" s="149" t="n">
        <v>0.005889</v>
      </c>
      <c r="I38" s="144" t="n">
        <v>63</v>
      </c>
      <c r="J38" s="283">
        <f>IFERROR((VLOOKUP($G38,'22F1187231'!$D$3:$N$4160,8,1))*O38,0)</f>
        <v/>
      </c>
      <c r="K38" s="294">
        <f>VLOOKUP(G38,'22F1187231'!$D$5:$L$4163,9,0)*O38</f>
        <v/>
      </c>
      <c r="L38" s="294">
        <f>SUM(J38:K38)</f>
        <v/>
      </c>
      <c r="M38" s="294">
        <f>(VLOOKUP($G38,'22F1187231'!$D$5:$N$4163,10,1))*O38</f>
        <v/>
      </c>
      <c r="N38" s="294">
        <f>SUM(L38:M38)</f>
        <v/>
      </c>
      <c r="O38" s="294" t="n">
        <v>1113210</v>
      </c>
      <c r="P38" s="294">
        <f>VLOOKUP(G38,'22F1187231'!$D$5:$J$4160,7,0)*O38-(SUM(J38:K38,M38))</f>
        <v/>
      </c>
      <c r="Q38" s="283">
        <f>(VLOOKUP(EOMONTH(G38,0),'22F1187231'!$D$5:$J$4160,7,0))*O38</f>
        <v/>
      </c>
      <c r="R38" s="283">
        <f>(VLOOKUP(G38,'22F1187231'!$D$5:$J$4160,4,0)-VLOOKUP(G38,'22F1187231'!$D$5:$J$4160,2,0))*O38</f>
        <v/>
      </c>
      <c r="S38" s="147" t="n"/>
      <c r="T38" s="184" t="inlineStr">
        <is>
          <t>Amex</t>
        </is>
      </c>
      <c r="U38" s="292">
        <f>SUMIFS($M$3:$M$140,$C$3:$C$140,$U$35,E3:E140,$V$35)</f>
        <v/>
      </c>
      <c r="V38" s="185" t="n"/>
      <c r="W38" s="292" t="n"/>
    </row>
    <row r="39">
      <c r="A39" s="250">
        <f>CONCATENATE(C39,D39,E39)</f>
        <v/>
      </c>
      <c r="B39" s="250">
        <f>CONCATENATE(D39,E39)</f>
        <v/>
      </c>
      <c r="C39" s="250">
        <f>IF(D39&gt;=1,IF(D39&lt;=3,"1",IF(D39&gt;=4,IF(D39&lt;=6,"2",IF(D39&gt;=7,IF(D39&lt;=9,"3",IF(D39&gt;=10,IF(D39&lt;=12,"4","-"))))))))</f>
        <v/>
      </c>
      <c r="D39" s="250">
        <f>MONTH(G11)</f>
        <v/>
      </c>
      <c r="E39" s="250">
        <f>YEAR(G11)</f>
        <v/>
      </c>
      <c r="F39" s="142">
        <f>F38+1</f>
        <v/>
      </c>
      <c r="G39" s="282" t="n">
        <v>45833</v>
      </c>
      <c r="H39" s="143" t="n">
        <v>0.005957</v>
      </c>
      <c r="I39" s="144" t="n">
        <v>64</v>
      </c>
      <c r="J39" s="283">
        <f>IFERROR((VLOOKUP($G39,'22F1187231'!$D$3:$N$4160,8,1))*O39,0)</f>
        <v/>
      </c>
      <c r="K39" s="283">
        <f>VLOOKUP(G39,'22F1187231'!$D$5:$L$4163,9,0)*O39</f>
        <v/>
      </c>
      <c r="L39" s="283">
        <f>SUM(J39:K39)</f>
        <v/>
      </c>
      <c r="M39" s="283">
        <f>(VLOOKUP($G39,'22F1187231'!$D$5:$N$4163,10,1))*O39</f>
        <v/>
      </c>
      <c r="N39" s="283">
        <f>SUM(L39:M39)</f>
        <v/>
      </c>
      <c r="O39" s="283" t="n">
        <v>1113210</v>
      </c>
      <c r="P39" s="283">
        <f>VLOOKUP(G39,'22F1187231'!$D$5:$J$4160,7,0)*O39-(SUM(J39:K39,M39))</f>
        <v/>
      </c>
      <c r="Q39" s="283">
        <f>(VLOOKUP(EOMONTH(G39,0),'22F1187231'!$D$5:$J$4160,7,0))*O39</f>
        <v/>
      </c>
      <c r="R39" s="283">
        <f>(VLOOKUP(G39,'22F1187231'!$D$5:$J$4160,4,0)-VLOOKUP(G39,'22F1187231'!$D$5:$J$4160,2,0))*O39</f>
        <v/>
      </c>
      <c r="S39" s="147" t="n"/>
      <c r="T39" s="184" t="inlineStr">
        <is>
          <t>Amort + Amex</t>
        </is>
      </c>
      <c r="U39" s="292">
        <f>SUM(U37:U38)</f>
        <v/>
      </c>
    </row>
    <row r="40">
      <c r="A40" s="250">
        <f>CONCATENATE(C40,D40,E40)</f>
        <v/>
      </c>
      <c r="B40" s="250">
        <f>CONCATENATE(D40,E40)</f>
        <v/>
      </c>
      <c r="C40" s="250">
        <f>IF(D40&gt;=1,IF(D40&lt;=3,"1",IF(D40&gt;=4,IF(D40&lt;=6,"2",IF(D40&gt;=7,IF(D40&lt;=9,"3",IF(D40&gt;=10,IF(D40&lt;=12,"4","-"))))))))</f>
        <v/>
      </c>
      <c r="D40" s="250">
        <f>MONTH(G12)</f>
        <v/>
      </c>
      <c r="E40" s="250">
        <f>YEAR(G12)</f>
        <v/>
      </c>
      <c r="F40" s="142">
        <f>F39+1</f>
        <v/>
      </c>
      <c r="G40" s="282" t="n">
        <v>45863</v>
      </c>
      <c r="H40" s="143" t="n">
        <v>0.006027</v>
      </c>
      <c r="I40" s="144" t="n">
        <v>65</v>
      </c>
      <c r="J40" s="283">
        <f>IFERROR((VLOOKUP($G40,'22F1187231'!$D$3:$N$4160,8,1))*O40,0)</f>
        <v/>
      </c>
      <c r="K40" s="283">
        <f>VLOOKUP(G40,'22F1187231'!$D$5:$L$4163,9,0)*O40</f>
        <v/>
      </c>
      <c r="L40" s="283">
        <f>SUM(J40:K40)</f>
        <v/>
      </c>
      <c r="M40" s="283">
        <f>(VLOOKUP($G40,'22F1187231'!$D$5:$N$4163,10,1))*O40</f>
        <v/>
      </c>
      <c r="N40" s="283">
        <f>SUM(L40:M40)</f>
        <v/>
      </c>
      <c r="O40" s="283" t="n">
        <v>1113210</v>
      </c>
      <c r="P40" s="283">
        <f>VLOOKUP(G40,'22F1187231'!$D$5:$J$4160,7,0)*O40-(SUM(J40:K40,M40))</f>
        <v/>
      </c>
      <c r="Q40" s="283">
        <f>(VLOOKUP(EOMONTH(G40,0),'22F1187231'!$D$5:$J$4160,7,0))*O40</f>
        <v/>
      </c>
      <c r="R40" s="283">
        <f>(VLOOKUP(G40,'22F1187231'!$D$5:$J$4160,4,0)-VLOOKUP(G40,'22F1187231'!$D$5:$J$4160,2,0))*O40</f>
        <v/>
      </c>
      <c r="S40" s="147" t="n"/>
      <c r="T40" s="184" t="inlineStr">
        <is>
          <t>Saldo Operação</t>
        </is>
      </c>
      <c r="U40" s="292">
        <f>IFERROR(VLOOKUP(CONCATENATE(U35,W35,V35),$A$3:$R$999,15,0),"-")</f>
        <v/>
      </c>
    </row>
    <row r="41">
      <c r="A41" s="250">
        <f>CONCATENATE(C41,D41,E41)</f>
        <v/>
      </c>
      <c r="B41" s="250">
        <f>CONCATENATE(D41,E41)</f>
        <v/>
      </c>
      <c r="C41" s="250">
        <f>IF(D41&gt;=1,IF(D41&lt;=3,"1",IF(D41&gt;=4,IF(D41&lt;=6,"2",IF(D41&gt;=7,IF(D41&lt;=9,"3",IF(D41&gt;=10,IF(D41&lt;=12,"4","-"))))))))</f>
        <v/>
      </c>
      <c r="D41" s="250">
        <f>MONTH(G13)</f>
        <v/>
      </c>
      <c r="E41" s="250">
        <f>YEAR(G13)</f>
        <v/>
      </c>
      <c r="F41" s="142">
        <f>F40+1</f>
        <v/>
      </c>
      <c r="G41" s="282" t="n">
        <v>45894</v>
      </c>
      <c r="H41" s="143" t="n">
        <v>0.006098</v>
      </c>
      <c r="I41" s="144" t="n">
        <v>66</v>
      </c>
      <c r="J41" s="283">
        <f>IFERROR((VLOOKUP($G41,'22F1187231'!$D$3:$N$4160,8,1))*O41,0)</f>
        <v/>
      </c>
      <c r="K41" s="283">
        <f>VLOOKUP(G41,'22F1187231'!$D$5:$L$4163,9,0)*O41</f>
        <v/>
      </c>
      <c r="L41" s="283">
        <f>SUM(J41:K41)</f>
        <v/>
      </c>
      <c r="M41" s="283">
        <f>(VLOOKUP($G41,'22F1187231'!$D$5:$N$4163,10,1))*O41</f>
        <v/>
      </c>
      <c r="N41" s="283">
        <f>SUM(L41:M41)</f>
        <v/>
      </c>
      <c r="O41" s="283" t="n">
        <v>1113210</v>
      </c>
      <c r="P41" s="283">
        <f>VLOOKUP(G41,'22F1187231'!$D$5:$J$4160,7,0)*O41-(SUM(J41:K41,M41))</f>
        <v/>
      </c>
      <c r="Q41" s="283">
        <f>(VLOOKUP(EOMONTH(G41,0),'22F1187231'!$D$5:$J$4160,7,0))*O41</f>
        <v/>
      </c>
      <c r="R41" s="283">
        <f>(VLOOKUP(G41,'22F1187231'!$D$5:$J$4160,4,0)-VLOOKUP(G41,'22F1187231'!$D$5:$J$4160,2,0))*O41</f>
        <v/>
      </c>
      <c r="S41" s="147" t="n"/>
    </row>
    <row r="42" ht="14.4" customHeight="1" s="260" thickBot="1">
      <c r="A42" s="250">
        <f>CONCATENATE(C42,D42,E42)</f>
        <v/>
      </c>
      <c r="B42" s="250">
        <f>CONCATENATE(D42,E42)</f>
        <v/>
      </c>
      <c r="C42" s="250">
        <f>IF(D42&gt;=1,IF(D42&lt;=3,"1",IF(D42&gt;=4,IF(D42&lt;=6,"2",IF(D42&gt;=7,IF(D42&lt;=9,"3",IF(D42&gt;=10,IF(D42&lt;=12,"4","-"))))))))</f>
        <v/>
      </c>
      <c r="D42" s="250">
        <f>MONTH(G14)</f>
        <v/>
      </c>
      <c r="E42" s="250">
        <f>YEAR(G14)</f>
        <v/>
      </c>
      <c r="F42" s="142">
        <f>F41+1</f>
        <v/>
      </c>
      <c r="G42" s="282" t="n">
        <v>45925</v>
      </c>
      <c r="H42" s="143" t="n">
        <v>0.00617</v>
      </c>
      <c r="I42" s="144" t="n">
        <v>67</v>
      </c>
      <c r="J42" s="283">
        <f>IFERROR((VLOOKUP($G42,'22F1187231'!$D$3:$N$4160,8,1))*O42,0)</f>
        <v/>
      </c>
      <c r="K42" s="283">
        <f>VLOOKUP(G42,'22F1187231'!$D$5:$L$4163,9,0)*O42</f>
        <v/>
      </c>
      <c r="L42" s="283">
        <f>SUM(J42:K42)</f>
        <v/>
      </c>
      <c r="M42" s="283">
        <f>(VLOOKUP($G42,'22F1187231'!$D$5:$N$4163,10,1))*O42</f>
        <v/>
      </c>
      <c r="N42" s="283">
        <f>SUM(L42:M42)</f>
        <v/>
      </c>
      <c r="O42" s="283" t="n">
        <v>1113210</v>
      </c>
      <c r="P42" s="283">
        <f>VLOOKUP(G42,'22F1187231'!$D$5:$J$4160,7,0)*O42-(SUM(J42:K42,M42))</f>
        <v/>
      </c>
      <c r="Q42" s="283">
        <f>(VLOOKUP(EOMONTH(G42,0),'22F1187231'!$D$5:$J$4160,7,0))*O42</f>
        <v/>
      </c>
      <c r="R42" s="283">
        <f>(VLOOKUP(G42,'22F1187231'!$D$5:$J$4160,4,0)-VLOOKUP(G42,'22F1187231'!$D$5:$J$4160,2,0))*O42</f>
        <v/>
      </c>
      <c r="S42" s="147" t="n"/>
      <c r="T42" s="170" t="inlineStr">
        <is>
          <t>*preencher apenas as células em amarelo para informe anual</t>
        </is>
      </c>
    </row>
    <row r="43">
      <c r="A43" s="250">
        <f>CONCATENATE(C43,D43,E43)</f>
        <v/>
      </c>
      <c r="B43" s="250">
        <f>CONCATENATE(D43,E43)</f>
        <v/>
      </c>
      <c r="C43" s="250">
        <f>IF(D43&gt;=1,IF(D43&lt;=3,"1",IF(D43&gt;=4,IF(D43&lt;=6,"2",IF(D43&gt;=7,IF(D43&lt;=9,"3",IF(D43&gt;=10,IF(D43&lt;=12,"4","-"))))))))</f>
        <v/>
      </c>
      <c r="D43" s="250">
        <f>MONTH(G15)</f>
        <v/>
      </c>
      <c r="E43" s="250">
        <f>YEAR(G15)</f>
        <v/>
      </c>
      <c r="F43" s="142">
        <f>F42+1</f>
        <v/>
      </c>
      <c r="G43" s="282" t="n">
        <v>45955</v>
      </c>
      <c r="H43" s="143" t="n">
        <v>0.006257</v>
      </c>
      <c r="I43" s="144" t="n">
        <v>68</v>
      </c>
      <c r="J43" s="283">
        <f>IFERROR((VLOOKUP($G43,'22F1187231'!$D$3:$N$4160,8,1))*O43,0)</f>
        <v/>
      </c>
      <c r="K43" s="283">
        <f>VLOOKUP(G43,'22F1187231'!$D$5:$L$4163,9,0)*O43</f>
        <v/>
      </c>
      <c r="L43" s="283">
        <f>SUM(J43:K43)</f>
        <v/>
      </c>
      <c r="M43" s="283">
        <f>(VLOOKUP($G43,'22F1187231'!$D$5:$N$4163,10,1))*O43</f>
        <v/>
      </c>
      <c r="N43" s="283">
        <f>SUM(L43:M43)</f>
        <v/>
      </c>
      <c r="O43" s="283" t="n">
        <v>1113210</v>
      </c>
      <c r="P43" s="283">
        <f>VLOOKUP(G43,'22F1187231'!$D$5:$J$4160,7,0)*O43-(SUM(J43:K43,M43))</f>
        <v/>
      </c>
      <c r="Q43" s="283">
        <f>(VLOOKUP(EOMONTH(G43,0),'22F1187231'!$D$5:$J$4160,7,0))*O43</f>
        <v/>
      </c>
      <c r="R43" s="283">
        <f>(VLOOKUP(G43,'22F1187231'!$D$5:$J$4160,4,0)-VLOOKUP(G43,'22F1187231'!$D$5:$J$4160,2,0))*O43</f>
        <v/>
      </c>
      <c r="S43" s="147" t="n"/>
      <c r="T43" s="246" t="inlineStr">
        <is>
          <t>PAGAMENTO</t>
        </is>
      </c>
      <c r="U43" s="186" t="inlineStr">
        <is>
          <t>ANO</t>
        </is>
      </c>
    </row>
    <row r="44" ht="14.4" customHeight="1" s="260" thickBot="1">
      <c r="A44" s="250">
        <f>CONCATENATE(C44,D44,E44)</f>
        <v/>
      </c>
      <c r="B44" s="250">
        <f>CONCATENATE(D44,E44)</f>
        <v/>
      </c>
      <c r="C44" s="250">
        <f>IF(D44&gt;=1,IF(D44&lt;=3,"1",IF(D44&gt;=4,IF(D44&lt;=6,"2",IF(D44&gt;=7,IF(D44&lt;=9,"3",IF(D44&gt;=10,IF(D44&lt;=12,"4","-"))))))))</f>
        <v/>
      </c>
      <c r="D44" s="250">
        <f>MONTH(G16)</f>
        <v/>
      </c>
      <c r="E44" s="250">
        <f>YEAR(G16)</f>
        <v/>
      </c>
      <c r="F44" s="142">
        <f>F43+1</f>
        <v/>
      </c>
      <c r="G44" s="282" t="n">
        <v>45986</v>
      </c>
      <c r="H44" s="143" t="n">
        <v>0.006332</v>
      </c>
      <c r="I44" s="144" t="n">
        <v>69</v>
      </c>
      <c r="J44" s="283">
        <f>IFERROR((VLOOKUP($G44,'22F1187231'!$D$3:$N$4160,8,1))*O44,0)</f>
        <v/>
      </c>
      <c r="K44" s="283">
        <f>VLOOKUP(G44,'22F1187231'!$D$5:$L$4163,9,0)*O44</f>
        <v/>
      </c>
      <c r="L44" s="283">
        <f>SUM(J44:K44)</f>
        <v/>
      </c>
      <c r="M44" s="283">
        <f>(VLOOKUP($G44,'22F1187231'!$D$5:$N$4163,10,1))*O44</f>
        <v/>
      </c>
      <c r="N44" s="283">
        <f>SUM(L44:M44)</f>
        <v/>
      </c>
      <c r="O44" s="283" t="n">
        <v>1113210</v>
      </c>
      <c r="P44" s="283">
        <f>VLOOKUP(G44,'22F1187231'!$D$5:$J$4160,7,0)*O44-(SUM(J44:K44,M44))</f>
        <v/>
      </c>
      <c r="Q44" s="283">
        <f>(VLOOKUP(EOMONTH(G44,0),'22F1187231'!$D$5:$J$4160,7,0))*O44</f>
        <v/>
      </c>
      <c r="R44" s="283">
        <f>(VLOOKUP(G44,'22F1187231'!$D$5:$J$4160,4,0)-VLOOKUP(G44,'22F1187231'!$D$5:$J$4160,2,0))*O44</f>
        <v/>
      </c>
      <c r="S44" s="147" t="n"/>
      <c r="T44" s="247" t="n"/>
      <c r="U44" s="187" t="n">
        <v>2022</v>
      </c>
      <c r="V44" s="188" t="n">
        <v>12</v>
      </c>
    </row>
    <row r="45">
      <c r="A45" s="250">
        <f>CONCATENATE(C45,D45,E45)</f>
        <v/>
      </c>
      <c r="B45" s="250">
        <f>CONCATENATE(D45,E45)</f>
        <v/>
      </c>
      <c r="C45" s="250">
        <f>IF(D45&gt;=1,IF(D45&lt;=3,"1",IF(D45&gt;=4,IF(D45&lt;=6,"2",IF(D45&gt;=7,IF(D45&lt;=9,"3",IF(D45&gt;=10,IF(D45&lt;=12,"4","-"))))))))</f>
        <v/>
      </c>
      <c r="D45" s="250">
        <f>MONTH(G17)</f>
        <v/>
      </c>
      <c r="E45" s="250">
        <f>YEAR(G17)</f>
        <v/>
      </c>
      <c r="F45" s="142">
        <f>F44+1</f>
        <v/>
      </c>
      <c r="G45" s="282" t="n">
        <v>46016</v>
      </c>
      <c r="H45" s="143" t="n">
        <v>0.006513</v>
      </c>
      <c r="I45" s="144" t="n">
        <v>70</v>
      </c>
      <c r="J45" s="283">
        <f>IFERROR((VLOOKUP($G45,'22F1187231'!$D$3:$N$4160,8,1))*O45,0)</f>
        <v/>
      </c>
      <c r="K45" s="283">
        <f>VLOOKUP(G45,'22F1187231'!$D$5:$L$4163,9,0)*O45</f>
        <v/>
      </c>
      <c r="L45" s="283">
        <f>SUM(J45:K45)</f>
        <v/>
      </c>
      <c r="M45" s="283">
        <f>(VLOOKUP($G45,'22F1187231'!$D$5:$N$4163,10,1))*O45</f>
        <v/>
      </c>
      <c r="N45" s="283">
        <f>SUM(L45:M45)</f>
        <v/>
      </c>
      <c r="O45" s="283" t="n">
        <v>1113210</v>
      </c>
      <c r="P45" s="283">
        <f>VLOOKUP(G45,'22F1187231'!$D$5:$J$4160,7,0)*O45-(SUM(J45:K45,M45))</f>
        <v/>
      </c>
      <c r="Q45" s="283">
        <f>(VLOOKUP(EOMONTH(G45,0),'22F1187231'!$D$5:$J$4160,7,0))*O45</f>
        <v/>
      </c>
      <c r="R45" s="283">
        <f>(VLOOKUP(G45,'22F1187231'!$D$5:$J$4160,4,0)-VLOOKUP(G45,'22F1187231'!$D$5:$J$4160,2,0))*O45</f>
        <v/>
      </c>
      <c r="S45" s="147" t="n"/>
      <c r="T45" s="180" t="inlineStr">
        <is>
          <t>Juros</t>
        </is>
      </c>
      <c r="U45" s="291">
        <f>SUMIF($E$3:$E$121,$U$44,$J$3:$J$93)</f>
        <v/>
      </c>
    </row>
    <row r="46">
      <c r="A46" s="250">
        <f>CONCATENATE(C46,D46,E46)</f>
        <v/>
      </c>
      <c r="B46" s="250">
        <f>CONCATENATE(D46,E46)</f>
        <v/>
      </c>
      <c r="C46" s="250">
        <f>IF(D46&gt;=1,IF(D46&lt;=3,"1",IF(D46&gt;=4,IF(D46&lt;=6,"2",IF(D46&gt;=7,IF(D46&lt;=9,"3",IF(D46&gt;=10,IF(D46&lt;=12,"4","-"))))))))</f>
        <v/>
      </c>
      <c r="D46" s="250">
        <f>MONTH(G18)</f>
        <v/>
      </c>
      <c r="E46" s="250">
        <f>YEAR(G18)</f>
        <v/>
      </c>
      <c r="F46" s="142">
        <f>F45+1</f>
        <v/>
      </c>
      <c r="G46" s="282" t="n">
        <v>46047</v>
      </c>
      <c r="H46" s="143" t="n">
        <v>0.0068</v>
      </c>
      <c r="I46" s="144" t="n">
        <v>71</v>
      </c>
      <c r="J46" s="283">
        <f>IFERROR((VLOOKUP($G46,'22F1187231'!$D$3:$N$4160,8,1))*O46,0)</f>
        <v/>
      </c>
      <c r="K46" s="283">
        <f>VLOOKUP(G46,'22F1187231'!$D$5:$L$4163,9,0)*O46</f>
        <v/>
      </c>
      <c r="L46" s="283">
        <f>SUM(J46:K46)</f>
        <v/>
      </c>
      <c r="M46" s="283">
        <f>(VLOOKUP($G46,'22F1187231'!$D$5:$N$4163,10,1))*O46</f>
        <v/>
      </c>
      <c r="N46" s="283">
        <f>SUM(L46:M46)</f>
        <v/>
      </c>
      <c r="O46" s="283" t="n">
        <v>1113210</v>
      </c>
      <c r="P46" s="283">
        <f>VLOOKUP(G46,'22F1187231'!$D$5:$J$4160,7,0)*O46-(SUM(J46:K46,M46))</f>
        <v/>
      </c>
      <c r="Q46" s="283">
        <f>(VLOOKUP(EOMONTH(G46,0),'22F1187231'!$D$5:$J$4160,7,0))*O46</f>
        <v/>
      </c>
      <c r="R46" s="283">
        <f>(VLOOKUP(G46,'22F1187231'!$D$5:$J$4160,4,0)-VLOOKUP(G46,'22F1187231'!$D$5:$J$4160,2,0))*O46</f>
        <v/>
      </c>
      <c r="S46" s="147" t="n"/>
      <c r="T46" s="184" t="inlineStr">
        <is>
          <t>Amortização</t>
        </is>
      </c>
      <c r="U46" s="291">
        <f>SUMIF($E$3:$E$121,$U$44,$K$3:$K$93)</f>
        <v/>
      </c>
    </row>
    <row r="47">
      <c r="A47" s="250">
        <f>CONCATENATE(C47,D47,E47)</f>
        <v/>
      </c>
      <c r="B47" s="250">
        <f>CONCATENATE(D47,E47)</f>
        <v/>
      </c>
      <c r="C47" s="250">
        <f>IF(D47&gt;=1,IF(D47&lt;=3,"1",IF(D47&gt;=4,IF(D47&lt;=6,"2",IF(D47&gt;=7,IF(D47&lt;=9,"3",IF(D47&gt;=10,IF(D47&lt;=12,"4","-"))))))))</f>
        <v/>
      </c>
      <c r="D47" s="250">
        <f>MONTH(G19)</f>
        <v/>
      </c>
      <c r="E47" s="250">
        <f>YEAR(G19)</f>
        <v/>
      </c>
      <c r="F47" s="142">
        <f>F46+1</f>
        <v/>
      </c>
      <c r="G47" s="282" t="n">
        <v>46078</v>
      </c>
      <c r="H47" s="143" t="n">
        <v>0.006925</v>
      </c>
      <c r="I47" s="144" t="n">
        <v>72</v>
      </c>
      <c r="J47" s="283">
        <f>IFERROR((VLOOKUP($G47,'22F1187231'!$D$3:$N$4160,8,1))*O47,0)</f>
        <v/>
      </c>
      <c r="K47" s="283">
        <f>VLOOKUP(G47,'22F1187231'!$D$5:$L$4163,9,0)*O47</f>
        <v/>
      </c>
      <c r="L47" s="283">
        <f>SUM(J47:K47)</f>
        <v/>
      </c>
      <c r="M47" s="283">
        <f>(VLOOKUP($G47,'22F1187231'!$D$5:$N$4163,10,1))*O47</f>
        <v/>
      </c>
      <c r="N47" s="283">
        <f>SUM(L47:M47)</f>
        <v/>
      </c>
      <c r="O47" s="283" t="n">
        <v>1113210</v>
      </c>
      <c r="P47" s="283">
        <f>VLOOKUP(G47,'22F1187231'!$D$5:$J$4160,7,0)*O47-(SUM(J47:K47,M47))</f>
        <v/>
      </c>
      <c r="Q47" s="283">
        <f>(VLOOKUP(EOMONTH(G47,0),'22F1187231'!$D$5:$J$4160,7,0))*O47</f>
        <v/>
      </c>
      <c r="R47" s="283">
        <f>(VLOOKUP(G47,'22F1187231'!$D$5:$J$4160,4,0)-VLOOKUP(G47,'22F1187231'!$D$5:$J$4160,2,0))*O47</f>
        <v/>
      </c>
      <c r="S47" s="147" t="n"/>
      <c r="T47" s="184" t="inlineStr">
        <is>
          <t>Amex</t>
        </is>
      </c>
      <c r="U47" s="291">
        <f>SUMIF($E$3:$E$121,$U$44,$M$3:$M$93)</f>
        <v/>
      </c>
    </row>
    <row r="48">
      <c r="A48" s="250">
        <f>CONCATENATE(C48,D48,E48)</f>
        <v/>
      </c>
      <c r="B48" s="250">
        <f>CONCATENATE(D48,E48)</f>
        <v/>
      </c>
      <c r="C48" s="250">
        <f>IF(D48&gt;=1,IF(D48&lt;=3,"1",IF(D48&gt;=4,IF(D48&lt;=6,"2",IF(D48&gt;=7,IF(D48&lt;=9,"3",IF(D48&gt;=10,IF(D48&lt;=12,"4","-"))))))))</f>
        <v/>
      </c>
      <c r="D48" s="250">
        <f>MONTH(G20)</f>
        <v/>
      </c>
      <c r="E48" s="250">
        <f>YEAR(G20)</f>
        <v/>
      </c>
      <c r="F48" s="142">
        <f>F47+1</f>
        <v/>
      </c>
      <c r="G48" s="282" t="n">
        <v>46106</v>
      </c>
      <c r="H48" s="143" t="n">
        <v>0.007028</v>
      </c>
      <c r="I48" s="144" t="n">
        <v>73</v>
      </c>
      <c r="J48" s="283">
        <f>IFERROR((VLOOKUP($G48,'22F1187231'!$D$3:$N$4160,8,1))*O48,0)</f>
        <v/>
      </c>
      <c r="K48" s="283">
        <f>VLOOKUP(G48,'22F1187231'!$D$5:$L$4163,9,0)*O48</f>
        <v/>
      </c>
      <c r="L48" s="283">
        <f>SUM(J48:K48)</f>
        <v/>
      </c>
      <c r="M48" s="283">
        <f>(VLOOKUP($G48,'22F1187231'!$D$5:$N$4163,10,1))*O48</f>
        <v/>
      </c>
      <c r="N48" s="283">
        <f>SUM(L48:M48)</f>
        <v/>
      </c>
      <c r="O48" s="283" t="n">
        <v>1113210</v>
      </c>
      <c r="P48" s="283">
        <f>VLOOKUP(G48,'22F1187231'!$D$5:$J$4160,7,0)*O48-(SUM(J48:K48,M48))</f>
        <v/>
      </c>
      <c r="Q48" s="283">
        <f>(VLOOKUP(EOMONTH(G48,0),'22F1187231'!$D$5:$J$4160,7,0))*O48</f>
        <v/>
      </c>
      <c r="R48" s="283">
        <f>(VLOOKUP(G48,'22F1187231'!$D$5:$J$4160,4,0)-VLOOKUP(G48,'22F1187231'!$D$5:$J$4160,2,0))*O48</f>
        <v/>
      </c>
      <c r="S48" s="147" t="n"/>
      <c r="T48" s="184" t="inlineStr">
        <is>
          <t>Saldo Operação</t>
        </is>
      </c>
      <c r="U48" s="292">
        <f>IFERROR(VLOOKUP(CONCATENATE(V44,U44),$B$3:$R$999,14,0),"-")</f>
        <v/>
      </c>
    </row>
    <row r="49">
      <c r="A49" s="250">
        <f>CONCATENATE(C49,D49,E49)</f>
        <v/>
      </c>
      <c r="B49" s="250">
        <f>CONCATENATE(D49,E49)</f>
        <v/>
      </c>
      <c r="C49" s="250">
        <f>IF(D49&gt;=1,IF(D49&lt;=3,"1",IF(D49&gt;=4,IF(D49&lt;=6,"2",IF(D49&gt;=7,IF(D49&lt;=9,"3",IF(D49&gt;=10,IF(D49&lt;=12,"4","-"))))))))</f>
        <v/>
      </c>
      <c r="D49" s="250">
        <f>MONTH(G21)</f>
        <v/>
      </c>
      <c r="E49" s="250">
        <f>YEAR(G21)</f>
        <v/>
      </c>
      <c r="F49" s="142">
        <f>F48+1</f>
        <v/>
      </c>
      <c r="G49" s="282" t="n">
        <v>46137</v>
      </c>
      <c r="H49" s="143" t="n">
        <v>0.007118</v>
      </c>
      <c r="I49" s="144" t="n">
        <v>74</v>
      </c>
      <c r="J49" s="283">
        <f>IFERROR((VLOOKUP($G49,'22F1187231'!$D$3:$N$4160,8,1))*O49,0)</f>
        <v/>
      </c>
      <c r="K49" s="283">
        <f>VLOOKUP(G49,'22F1187231'!$D$5:$L$4163,9,0)*O49</f>
        <v/>
      </c>
      <c r="L49" s="283">
        <f>SUM(J49:K49)</f>
        <v/>
      </c>
      <c r="M49" s="283">
        <f>(VLOOKUP($G49,'22F1187231'!$D$5:$N$4163,10,1))*O49</f>
        <v/>
      </c>
      <c r="N49" s="283">
        <f>SUM(L49:M49)</f>
        <v/>
      </c>
      <c r="O49" s="283" t="n">
        <v>1113210</v>
      </c>
      <c r="P49" s="283">
        <f>VLOOKUP(G49,'22F1187231'!$D$5:$J$4160,7,0)*O49-(SUM(J49:K49,M49))</f>
        <v/>
      </c>
      <c r="Q49" s="283">
        <f>(VLOOKUP(EOMONTH(G49,0),'22F1187231'!$D$5:$J$4160,7,0))*O49</f>
        <v/>
      </c>
      <c r="R49" s="283">
        <f>(VLOOKUP(G49,'22F1187231'!$D$5:$J$4160,4,0)-VLOOKUP(G49,'22F1187231'!$D$5:$J$4160,2,0))*O49</f>
        <v/>
      </c>
      <c r="S49" s="147" t="n"/>
    </row>
    <row r="50">
      <c r="A50" s="250">
        <f>CONCATENATE(C50,D50,E50)</f>
        <v/>
      </c>
      <c r="B50" s="250">
        <f>CONCATENATE(D50,E50)</f>
        <v/>
      </c>
      <c r="C50" s="250">
        <f>IF(D50&gt;=1,IF(D50&lt;=3,"1",IF(D50&gt;=4,IF(D50&lt;=6,"2",IF(D50&gt;=7,IF(D50&lt;=9,"3",IF(D50&gt;=10,IF(D50&lt;=12,"4","-"))))))))</f>
        <v/>
      </c>
      <c r="D50" s="250">
        <f>MONTH(G22)</f>
        <v/>
      </c>
      <c r="E50" s="250">
        <f>YEAR(G22)</f>
        <v/>
      </c>
      <c r="F50" s="142">
        <f>F49+1</f>
        <v/>
      </c>
      <c r="G50" s="282" t="n">
        <v>46167</v>
      </c>
      <c r="H50" s="143" t="n">
        <v>0.007209</v>
      </c>
      <c r="I50" s="144" t="n">
        <v>75</v>
      </c>
      <c r="J50" s="283">
        <f>IFERROR((VLOOKUP($G50,'22F1187231'!$D$3:$N$4160,8,1))*O50,0)</f>
        <v/>
      </c>
      <c r="K50" s="283">
        <f>VLOOKUP(G50,'22F1187231'!$D$5:$L$4163,9,0)*O50</f>
        <v/>
      </c>
      <c r="L50" s="283">
        <f>SUM(J50:K50)</f>
        <v/>
      </c>
      <c r="M50" s="283">
        <f>(VLOOKUP($G50,'22F1187231'!$D$5:$N$4163,10,1))*O50</f>
        <v/>
      </c>
      <c r="N50" s="283">
        <f>SUM(L50:M50)</f>
        <v/>
      </c>
      <c r="O50" s="283" t="n">
        <v>1113210</v>
      </c>
      <c r="P50" s="283">
        <f>VLOOKUP(G50,'22F1187231'!$D$5:$J$4160,7,0)*O50-(SUM(J50:K50,M50))</f>
        <v/>
      </c>
      <c r="Q50" s="283">
        <f>(VLOOKUP(EOMONTH(G50,0),'22F1187231'!$D$5:$J$4160,7,0))*O50</f>
        <v/>
      </c>
      <c r="R50" s="283">
        <f>(VLOOKUP(G50,'22F1187231'!$D$5:$J$4160,4,0)-VLOOKUP(G50,'22F1187231'!$D$5:$J$4160,2,0))*O50</f>
        <v/>
      </c>
      <c r="S50" s="147" t="n"/>
    </row>
    <row r="51">
      <c r="A51" s="250">
        <f>CONCATENATE(C51,D51,E51)</f>
        <v/>
      </c>
      <c r="B51" s="250">
        <f>CONCATENATE(D51,E51)</f>
        <v/>
      </c>
      <c r="C51" s="250">
        <f>IF(D51&gt;=1,IF(D51&lt;=3,"1",IF(D51&gt;=4,IF(D51&lt;=6,"2",IF(D51&gt;=7,IF(D51&lt;=9,"3",IF(D51&gt;=10,IF(D51&lt;=12,"4","-"))))))))</f>
        <v/>
      </c>
      <c r="D51" s="250">
        <f>MONTH(G23)</f>
        <v/>
      </c>
      <c r="E51" s="250">
        <f>YEAR(G23)</f>
        <v/>
      </c>
      <c r="F51" s="142">
        <f>F50+1</f>
        <v/>
      </c>
      <c r="G51" s="282" t="n">
        <v>46198</v>
      </c>
      <c r="H51" s="143" t="n">
        <v>0.007303</v>
      </c>
      <c r="I51" s="144" t="n">
        <v>76</v>
      </c>
      <c r="J51" s="283">
        <f>IFERROR((VLOOKUP($G51,'22F1187231'!$D$3:$N$4160,8,1))*O51,0)</f>
        <v/>
      </c>
      <c r="K51" s="283">
        <f>VLOOKUP(G51,'22F1187231'!$D$5:$L$4163,9,0)*O51</f>
        <v/>
      </c>
      <c r="L51" s="283">
        <f>SUM(J51:K51)</f>
        <v/>
      </c>
      <c r="M51" s="283">
        <f>(VLOOKUP($G51,'22F1187231'!$D$5:$N$4163,10,1))*O51</f>
        <v/>
      </c>
      <c r="N51" s="283">
        <f>SUM(L51:M51)</f>
        <v/>
      </c>
      <c r="O51" s="283" t="n">
        <v>1113210</v>
      </c>
      <c r="P51" s="283">
        <f>VLOOKUP(G51,'22F1187231'!$D$5:$J$4160,7,0)*O51-(SUM(J51:K51,M51))</f>
        <v/>
      </c>
      <c r="Q51" s="283">
        <f>(VLOOKUP(EOMONTH(G51,0),'22F1187231'!$D$5:$J$4160,7,0))*O51</f>
        <v/>
      </c>
      <c r="R51" s="283">
        <f>(VLOOKUP(G51,'22F1187231'!$D$5:$J$4160,4,0)-VLOOKUP(G51,'22F1187231'!$D$5:$J$4160,2,0))*O51</f>
        <v/>
      </c>
      <c r="S51" s="147" t="n"/>
    </row>
    <row r="52">
      <c r="A52" s="250">
        <f>CONCATENATE(C52,D52,E52)</f>
        <v/>
      </c>
      <c r="B52" s="250">
        <f>CONCATENATE(D52,E52)</f>
        <v/>
      </c>
      <c r="C52" s="250">
        <f>IF(D52&gt;=1,IF(D52&lt;=3,"1",IF(D52&gt;=4,IF(D52&lt;=6,"2",IF(D52&gt;=7,IF(D52&lt;=9,"3",IF(D52&gt;=10,IF(D52&lt;=12,"4","-"))))))))</f>
        <v/>
      </c>
      <c r="D52" s="250">
        <f>MONTH(G24)</f>
        <v/>
      </c>
      <c r="E52" s="250">
        <f>YEAR(G24)</f>
        <v/>
      </c>
      <c r="F52" s="142">
        <f>F51+1</f>
        <v/>
      </c>
      <c r="G52" s="282" t="n">
        <v>46228</v>
      </c>
      <c r="H52" s="143" t="n">
        <v>0.007398</v>
      </c>
      <c r="I52" s="144" t="n">
        <v>77</v>
      </c>
      <c r="J52" s="283">
        <f>IFERROR((VLOOKUP($G52,'22F1187231'!$D$3:$N$4160,8,1))*O52,0)</f>
        <v/>
      </c>
      <c r="K52" s="283">
        <f>VLOOKUP(G52,'22F1187231'!$D$5:$L$4163,9,0)*O52</f>
        <v/>
      </c>
      <c r="L52" s="283">
        <f>SUM(J52:K52)</f>
        <v/>
      </c>
      <c r="M52" s="283">
        <f>(VLOOKUP($G52,'22F1187231'!$D$5:$N$4163,10,1))*O52</f>
        <v/>
      </c>
      <c r="N52" s="283">
        <f>SUM(L52:M52)</f>
        <v/>
      </c>
      <c r="O52" s="283" t="n">
        <v>1113210</v>
      </c>
      <c r="P52" s="283">
        <f>VLOOKUP(G52,'22F1187231'!$D$5:$J$4160,7,0)*O52-(SUM(J52:K52,M52))</f>
        <v/>
      </c>
      <c r="Q52" s="283">
        <f>(VLOOKUP(EOMONTH(G52,0),'22F1187231'!$D$5:$J$4160,7,0))*O52</f>
        <v/>
      </c>
      <c r="R52" s="283">
        <f>(VLOOKUP(G52,'22F1187231'!$D$5:$J$4160,4,0)-VLOOKUP(G52,'22F1187231'!$D$5:$J$4160,2,0))*O52</f>
        <v/>
      </c>
      <c r="S52" s="147" t="n"/>
    </row>
    <row r="53">
      <c r="A53" s="250">
        <f>CONCATENATE(C53,D53,E53)</f>
        <v/>
      </c>
      <c r="B53" s="250">
        <f>CONCATENATE(D53,E53)</f>
        <v/>
      </c>
      <c r="C53" s="250">
        <f>IF(D53&gt;=1,IF(D53&lt;=3,"1",IF(D53&gt;=4,IF(D53&lt;=6,"2",IF(D53&gt;=7,IF(D53&lt;=9,"3",IF(D53&gt;=10,IF(D53&lt;=12,"4","-"))))))))</f>
        <v/>
      </c>
      <c r="D53" s="250">
        <f>MONTH(G25)</f>
        <v/>
      </c>
      <c r="E53" s="250">
        <f>YEAR(G25)</f>
        <v/>
      </c>
      <c r="F53" s="142">
        <f>F52+1</f>
        <v/>
      </c>
      <c r="G53" s="282" t="n">
        <v>46259</v>
      </c>
      <c r="H53" s="143" t="n">
        <v>0.007495</v>
      </c>
      <c r="I53" s="144" t="n">
        <v>78</v>
      </c>
      <c r="J53" s="283">
        <f>IFERROR((VLOOKUP($G53,'22F1187231'!$D$3:$N$4160,8,1))*O53,0)</f>
        <v/>
      </c>
      <c r="K53" s="283">
        <f>VLOOKUP(G53,'22F1187231'!$D$5:$L$4163,9,0)*O53</f>
        <v/>
      </c>
      <c r="L53" s="283">
        <f>SUM(J53:K53)</f>
        <v/>
      </c>
      <c r="M53" s="283">
        <f>(VLOOKUP($G53,'22F1187231'!$D$5:$N$4163,10,1))*O53</f>
        <v/>
      </c>
      <c r="N53" s="283">
        <f>SUM(L53:M53)</f>
        <v/>
      </c>
      <c r="O53" s="283" t="n">
        <v>1113210</v>
      </c>
      <c r="P53" s="283">
        <f>VLOOKUP(G53,'22F1187231'!$D$5:$J$4160,7,0)*O53-(SUM(J53:K53,M53))</f>
        <v/>
      </c>
      <c r="Q53" s="283">
        <f>(VLOOKUP(EOMONTH(G53,0),'22F1187231'!$D$5:$J$4160,7,0))*O53</f>
        <v/>
      </c>
      <c r="R53" s="283">
        <f>(VLOOKUP(G53,'22F1187231'!$D$5:$J$4160,4,0)-VLOOKUP(G53,'22F1187231'!$D$5:$J$4160,2,0))*O53</f>
        <v/>
      </c>
      <c r="S53" s="147" t="n"/>
    </row>
    <row r="54">
      <c r="A54" s="250">
        <f>CONCATENATE(C54,D54,E54)</f>
        <v/>
      </c>
      <c r="B54" s="250">
        <f>CONCATENATE(D54,E54)</f>
        <v/>
      </c>
      <c r="C54" s="250">
        <f>IF(D54&gt;=1,IF(D54&lt;=3,"1",IF(D54&gt;=4,IF(D54&lt;=6,"2",IF(D54&gt;=7,IF(D54&lt;=9,"3",IF(D54&gt;=10,IF(D54&lt;=12,"4","-"))))))))</f>
        <v/>
      </c>
      <c r="D54" s="250">
        <f>MONTH(G26)</f>
        <v/>
      </c>
      <c r="E54" s="250">
        <f>YEAR(G26)</f>
        <v/>
      </c>
      <c r="F54" s="142">
        <f>F53+1</f>
        <v/>
      </c>
      <c r="G54" s="282" t="n">
        <v>46290</v>
      </c>
      <c r="H54" s="143" t="n">
        <v>0.007595</v>
      </c>
      <c r="I54" s="144" t="n">
        <v>79</v>
      </c>
      <c r="J54" s="283">
        <f>IFERROR((VLOOKUP($G54,'22F1187231'!$D$3:$N$4160,8,1))*O54,0)</f>
        <v/>
      </c>
      <c r="K54" s="283">
        <f>VLOOKUP(G54,'22F1187231'!$D$5:$L$4163,9,0)*O54</f>
        <v/>
      </c>
      <c r="L54" s="283">
        <f>SUM(J54:K54)</f>
        <v/>
      </c>
      <c r="M54" s="283">
        <f>(VLOOKUP($G54,'22F1187231'!$D$5:$N$4163,10,1))*O54</f>
        <v/>
      </c>
      <c r="N54" s="283">
        <f>SUM(L54:M54)</f>
        <v/>
      </c>
      <c r="O54" s="283" t="n">
        <v>1113210</v>
      </c>
      <c r="P54" s="283">
        <f>VLOOKUP(G54,'22F1187231'!$D$5:$J$4160,7,0)*O54-(SUM(J54:K54,M54))</f>
        <v/>
      </c>
      <c r="Q54" s="283">
        <f>(VLOOKUP(EOMONTH(G54,0),'22F1187231'!$D$5:$J$4160,7,0))*O54</f>
        <v/>
      </c>
      <c r="R54" s="283">
        <f>(VLOOKUP(G54,'22F1187231'!$D$5:$J$4160,4,0)-VLOOKUP(G54,'22F1187231'!$D$5:$J$4160,2,0))*O54</f>
        <v/>
      </c>
      <c r="S54" s="147" t="n"/>
    </row>
    <row r="55">
      <c r="A55" s="250">
        <f>CONCATENATE(C55,D55,E55)</f>
        <v/>
      </c>
      <c r="B55" s="250">
        <f>CONCATENATE(D55,E55)</f>
        <v/>
      </c>
      <c r="C55" s="250">
        <f>IF(D55&gt;=1,IF(D55&lt;=3,"1",IF(D55&gt;=4,IF(D55&lt;=6,"2",IF(D55&gt;=7,IF(D55&lt;=9,"3",IF(D55&gt;=10,IF(D55&lt;=12,"4","-"))))))))</f>
        <v/>
      </c>
      <c r="D55" s="250">
        <f>MONTH(G27)</f>
        <v/>
      </c>
      <c r="E55" s="250">
        <f>YEAR(G27)</f>
        <v/>
      </c>
      <c r="F55" s="142">
        <f>F54+1</f>
        <v/>
      </c>
      <c r="G55" s="282" t="n">
        <v>46320</v>
      </c>
      <c r="H55" s="143" t="n">
        <v>0.007711</v>
      </c>
      <c r="I55" s="144" t="n">
        <v>80</v>
      </c>
      <c r="J55" s="283">
        <f>IFERROR((VLOOKUP($G55,'22F1187231'!$D$3:$N$4160,8,1))*O55,0)</f>
        <v/>
      </c>
      <c r="K55" s="283">
        <f>VLOOKUP(G55,'22F1187231'!$D$5:$L$4163,9,0)*O55</f>
        <v/>
      </c>
      <c r="L55" s="283">
        <f>SUM(J55:K55)</f>
        <v/>
      </c>
      <c r="M55" s="283">
        <f>(VLOOKUP($G55,'22F1187231'!$D$5:$N$4163,10,1))*O55</f>
        <v/>
      </c>
      <c r="N55" s="283">
        <f>SUM(L55:M55)</f>
        <v/>
      </c>
      <c r="O55" s="283" t="n">
        <v>1113210</v>
      </c>
      <c r="P55" s="283">
        <f>VLOOKUP(G55,'22F1187231'!$D$5:$J$4160,7,0)*O55-(SUM(J55:K55,M55))</f>
        <v/>
      </c>
      <c r="Q55" s="283">
        <f>(VLOOKUP(EOMONTH(G55,0),'22F1187231'!$D$5:$J$4160,7,0))*O55</f>
        <v/>
      </c>
      <c r="R55" s="283">
        <f>(VLOOKUP(G55,'22F1187231'!$D$5:$J$4160,4,0)-VLOOKUP(G55,'22F1187231'!$D$5:$J$4160,2,0))*O55</f>
        <v/>
      </c>
      <c r="S55" s="147" t="n"/>
    </row>
    <row r="56">
      <c r="A56" s="250">
        <f>CONCATENATE(C56,D56,E56)</f>
        <v/>
      </c>
      <c r="B56" s="250">
        <f>CONCATENATE(D56,E56)</f>
        <v/>
      </c>
      <c r="C56" s="250">
        <f>IF(D56&gt;=1,IF(D56&lt;=3,"1",IF(D56&gt;=4,IF(D56&lt;=6,"2",IF(D56&gt;=7,IF(D56&lt;=9,"3",IF(D56&gt;=10,IF(D56&lt;=12,"4","-"))))))))</f>
        <v/>
      </c>
      <c r="D56" s="250">
        <f>MONTH(G28)</f>
        <v/>
      </c>
      <c r="E56" s="250">
        <f>YEAR(G28)</f>
        <v/>
      </c>
      <c r="F56" s="142">
        <f>F55+1</f>
        <v/>
      </c>
      <c r="G56" s="282" t="n">
        <v>46351</v>
      </c>
      <c r="H56" s="143" t="n">
        <v>0.007815000000000001</v>
      </c>
      <c r="I56" s="144" t="n">
        <v>81</v>
      </c>
      <c r="J56" s="283">
        <f>IFERROR((VLOOKUP($G56,'22F1187231'!$D$3:$N$4160,8,1))*O56,0)</f>
        <v/>
      </c>
      <c r="K56" s="283">
        <f>VLOOKUP(G56,'22F1187231'!$D$5:$L$4163,9,0)*O56</f>
        <v/>
      </c>
      <c r="L56" s="283">
        <f>SUM(J56:K56)</f>
        <v/>
      </c>
      <c r="M56" s="283">
        <f>(VLOOKUP($G56,'22F1187231'!$D$5:$N$4163,10,1))*O56</f>
        <v/>
      </c>
      <c r="N56" s="283">
        <f>SUM(L56:M56)</f>
        <v/>
      </c>
      <c r="O56" s="283" t="n">
        <v>1113210</v>
      </c>
      <c r="P56" s="283">
        <f>VLOOKUP(G56,'22F1187231'!$D$5:$J$4160,7,0)*O56-(SUM(J56:K56,M56))</f>
        <v/>
      </c>
      <c r="Q56" s="283">
        <f>(VLOOKUP(EOMONTH(G56,0),'22F1187231'!$D$5:$J$4160,7,0))*O56</f>
        <v/>
      </c>
      <c r="R56" s="283">
        <f>(VLOOKUP(G56,'22F1187231'!$D$5:$J$4160,4,0)-VLOOKUP(G56,'22F1187231'!$D$5:$J$4160,2,0))*O56</f>
        <v/>
      </c>
      <c r="S56" s="147" t="n"/>
    </row>
    <row r="57">
      <c r="A57" s="250">
        <f>CONCATENATE(C57,D57,E57)</f>
        <v/>
      </c>
      <c r="B57" s="250">
        <f>CONCATENATE(D57,E57)</f>
        <v/>
      </c>
      <c r="C57" s="250">
        <f>IF(D57&gt;=1,IF(D57&lt;=3,"1",IF(D57&gt;=4,IF(D57&lt;=6,"2",IF(D57&gt;=7,IF(D57&lt;=9,"3",IF(D57&gt;=10,IF(D57&lt;=12,"4","-"))))))))</f>
        <v/>
      </c>
      <c r="D57" s="250">
        <f>MONTH(G29)</f>
        <v/>
      </c>
      <c r="E57" s="250">
        <f>YEAR(G29)</f>
        <v/>
      </c>
      <c r="F57" s="142">
        <f>F56+1</f>
        <v/>
      </c>
      <c r="G57" s="282" t="n">
        <v>46381</v>
      </c>
      <c r="H57" s="143" t="n">
        <v>0.008038</v>
      </c>
      <c r="I57" s="144" t="n">
        <v>82</v>
      </c>
      <c r="J57" s="283">
        <f>IFERROR((VLOOKUP($G57,'22F1187231'!$D$3:$N$4160,8,1))*O57,0)</f>
        <v/>
      </c>
      <c r="K57" s="283">
        <f>VLOOKUP(G57,'22F1187231'!$D$5:$L$4163,9,0)*O57</f>
        <v/>
      </c>
      <c r="L57" s="283">
        <f>SUM(J57:K57)</f>
        <v/>
      </c>
      <c r="M57" s="283">
        <f>(VLOOKUP($G57,'22F1187231'!$D$5:$N$4163,10,1))*O57</f>
        <v/>
      </c>
      <c r="N57" s="283">
        <f>SUM(L57:M57)</f>
        <v/>
      </c>
      <c r="O57" s="283" t="n">
        <v>1113210</v>
      </c>
      <c r="P57" s="283">
        <f>VLOOKUP(G57,'22F1187231'!$D$5:$J$4160,7,0)*O57-(SUM(J57:K57,M57))</f>
        <v/>
      </c>
      <c r="Q57" s="283">
        <f>(VLOOKUP(EOMONTH(G57,0),'22F1187231'!$D$5:$J$4160,7,0))*O57</f>
        <v/>
      </c>
      <c r="R57" s="283">
        <f>(VLOOKUP(G57,'22F1187231'!$D$5:$J$4160,4,0)-VLOOKUP(G57,'22F1187231'!$D$5:$J$4160,2,0))*O57</f>
        <v/>
      </c>
      <c r="S57" s="147" t="n"/>
    </row>
    <row r="58">
      <c r="A58" s="250">
        <f>CONCATENATE(C58,D58,E58)</f>
        <v/>
      </c>
      <c r="B58" s="250">
        <f>CONCATENATE(D58,E58)</f>
        <v/>
      </c>
      <c r="C58" s="250">
        <f>IF(D58&gt;=1,IF(D58&lt;=3,"1",IF(D58&gt;=4,IF(D58&lt;=6,"2",IF(D58&gt;=7,IF(D58&lt;=9,"3",IF(D58&gt;=10,IF(D58&lt;=12,"4","-"))))))))</f>
        <v/>
      </c>
      <c r="D58" s="250">
        <f>MONTH(G30)</f>
        <v/>
      </c>
      <c r="E58" s="250">
        <f>YEAR(G30)</f>
        <v/>
      </c>
      <c r="F58" s="142">
        <f>F57+1</f>
        <v/>
      </c>
      <c r="G58" s="282" t="n">
        <v>46412</v>
      </c>
      <c r="H58" s="143" t="n">
        <v>0.008381</v>
      </c>
      <c r="I58" s="144" t="n">
        <v>83</v>
      </c>
      <c r="J58" s="283">
        <f>IFERROR((VLOOKUP($G58,'22F1187231'!$D$3:$N$4160,8,1))*O58,0)</f>
        <v/>
      </c>
      <c r="K58" s="283">
        <f>VLOOKUP(G58,'22F1187231'!$D$5:$L$4163,9,0)*O58</f>
        <v/>
      </c>
      <c r="L58" s="283">
        <f>SUM(J58:K58)</f>
        <v/>
      </c>
      <c r="M58" s="283">
        <f>(VLOOKUP($G58,'22F1187231'!$D$5:$N$4163,10,1))*O58</f>
        <v/>
      </c>
      <c r="N58" s="283">
        <f>SUM(L58:M58)</f>
        <v/>
      </c>
      <c r="O58" s="283" t="n">
        <v>1113210</v>
      </c>
      <c r="P58" s="283">
        <f>VLOOKUP(G58,'22F1187231'!$D$5:$J$4160,7,0)*O58-(SUM(J58:K58,M58))</f>
        <v/>
      </c>
      <c r="Q58" s="283">
        <f>(VLOOKUP(EOMONTH(G58,0),'22F1187231'!$D$5:$J$4160,7,0))*O58</f>
        <v/>
      </c>
      <c r="R58" s="283">
        <f>(VLOOKUP(G58,'22F1187231'!$D$5:$J$4160,4,0)-VLOOKUP(G58,'22F1187231'!$D$5:$J$4160,2,0))*O58</f>
        <v/>
      </c>
      <c r="S58" s="147" t="n"/>
    </row>
    <row r="59">
      <c r="A59" s="250">
        <f>CONCATENATE(C59,D59,E59)</f>
        <v/>
      </c>
      <c r="B59" s="250">
        <f>CONCATENATE(D59,E59)</f>
        <v/>
      </c>
      <c r="C59" s="250">
        <f>IF(D59&gt;=1,IF(D59&lt;=3,"1",IF(D59&gt;=4,IF(D59&lt;=6,"2",IF(D59&gt;=7,IF(D59&lt;=9,"3",IF(D59&gt;=10,IF(D59&lt;=12,"4","-"))))))))</f>
        <v/>
      </c>
      <c r="D59" s="250">
        <f>MONTH(G31)</f>
        <v/>
      </c>
      <c r="E59" s="250">
        <f>YEAR(G31)</f>
        <v/>
      </c>
      <c r="F59" s="142">
        <f>F58+1</f>
        <v/>
      </c>
      <c r="G59" s="282" t="n">
        <v>46443</v>
      </c>
      <c r="H59" s="143" t="n">
        <v>0.008544</v>
      </c>
      <c r="I59" s="144" t="n">
        <v>84</v>
      </c>
      <c r="J59" s="283">
        <f>IFERROR((VLOOKUP($G59,'22F1187231'!$D$3:$N$4160,8,1))*O59,0)</f>
        <v/>
      </c>
      <c r="K59" s="283">
        <f>VLOOKUP(G59,'22F1187231'!$D$5:$L$4163,9,0)*O59</f>
        <v/>
      </c>
      <c r="L59" s="283">
        <f>SUM(J59:K59)</f>
        <v/>
      </c>
      <c r="M59" s="283">
        <f>(VLOOKUP($G59,'22F1187231'!$D$5:$N$4163,10,1))*O59</f>
        <v/>
      </c>
      <c r="N59" s="283">
        <f>SUM(L59:M59)</f>
        <v/>
      </c>
      <c r="O59" s="283" t="n">
        <v>1113210</v>
      </c>
      <c r="P59" s="283">
        <f>VLOOKUP(G59,'22F1187231'!$D$5:$J$4160,7,0)*O59-(SUM(J59:K59,M59))</f>
        <v/>
      </c>
      <c r="Q59" s="283">
        <f>(VLOOKUP(EOMONTH(G59,0),'22F1187231'!$D$5:$J$4160,7,0))*O59</f>
        <v/>
      </c>
      <c r="R59" s="283">
        <f>(VLOOKUP(G59,'22F1187231'!$D$5:$J$4160,4,0)-VLOOKUP(G59,'22F1187231'!$D$5:$J$4160,2,0))*O59</f>
        <v/>
      </c>
      <c r="S59" s="147" t="n"/>
    </row>
    <row r="60">
      <c r="A60" s="250">
        <f>CONCATENATE(C60,D60,E60)</f>
        <v/>
      </c>
      <c r="B60" s="250">
        <f>CONCATENATE(D60,E60)</f>
        <v/>
      </c>
      <c r="C60" s="250">
        <f>IF(D60&gt;=1,IF(D60&lt;=3,"1",IF(D60&gt;=4,IF(D60&lt;=6,"2",IF(D60&gt;=7,IF(D60&lt;=9,"3",IF(D60&gt;=10,IF(D60&lt;=12,"4","-"))))))))</f>
        <v/>
      </c>
      <c r="D60" s="250">
        <f>MONTH(G32)</f>
        <v/>
      </c>
      <c r="E60" s="250">
        <f>YEAR(G32)</f>
        <v/>
      </c>
      <c r="F60" s="142">
        <f>F59+1</f>
        <v/>
      </c>
      <c r="G60" s="282" t="n">
        <v>46471</v>
      </c>
      <c r="H60" s="143" t="n">
        <v>0.008684000000000001</v>
      </c>
      <c r="I60" s="144" t="n">
        <v>85</v>
      </c>
      <c r="J60" s="283">
        <f>IFERROR((VLOOKUP($G60,'22F1187231'!$D$3:$N$4160,8,1))*O60,0)</f>
        <v/>
      </c>
      <c r="K60" s="283">
        <f>VLOOKUP(G60,'22F1187231'!$D$5:$L$4163,9,0)*O60</f>
        <v/>
      </c>
      <c r="L60" s="283">
        <f>SUM(J60:K60)</f>
        <v/>
      </c>
      <c r="M60" s="283">
        <f>(VLOOKUP($G60,'22F1187231'!$D$5:$N$4163,10,1))*O60</f>
        <v/>
      </c>
      <c r="N60" s="283">
        <f>SUM(L60:M60)</f>
        <v/>
      </c>
      <c r="O60" s="283" t="n">
        <v>1113210</v>
      </c>
      <c r="P60" s="283">
        <f>VLOOKUP(G60,'22F1187231'!$D$5:$J$4160,7,0)*O60-(SUM(J60:K60,M60))</f>
        <v/>
      </c>
      <c r="Q60" s="283">
        <f>(VLOOKUP(EOMONTH(G60,0),'22F1187231'!$D$5:$J$4160,7,0))*O60</f>
        <v/>
      </c>
      <c r="R60" s="283">
        <f>(VLOOKUP(G60,'22F1187231'!$D$5:$J$4160,4,0)-VLOOKUP(G60,'22F1187231'!$D$5:$J$4160,2,0))*O60</f>
        <v/>
      </c>
      <c r="S60" s="147" t="n"/>
    </row>
    <row r="61">
      <c r="A61" s="250">
        <f>CONCATENATE(C61,D61,E61)</f>
        <v/>
      </c>
      <c r="B61" s="250">
        <f>CONCATENATE(D61,E61)</f>
        <v/>
      </c>
      <c r="C61" s="250">
        <f>IF(D61&gt;=1,IF(D61&lt;=3,"1",IF(D61&gt;=4,IF(D61&lt;=6,"2",IF(D61&gt;=7,IF(D61&lt;=9,"3",IF(D61&gt;=10,IF(D61&lt;=12,"4","-"))))))))</f>
        <v/>
      </c>
      <c r="D61" s="250">
        <f>MONTH(G33)</f>
        <v/>
      </c>
      <c r="E61" s="250">
        <f>YEAR(G33)</f>
        <v/>
      </c>
      <c r="F61" s="142">
        <f>F60+1</f>
        <v/>
      </c>
      <c r="G61" s="282" t="n">
        <v>46502</v>
      </c>
      <c r="H61" s="143" t="n">
        <v>0.00881</v>
      </c>
      <c r="I61" s="144" t="n">
        <v>86</v>
      </c>
      <c r="J61" s="283">
        <f>IFERROR((VLOOKUP($G61,'22F1187231'!$D$3:$N$4160,8,1))*O61,0)</f>
        <v/>
      </c>
      <c r="K61" s="283">
        <f>VLOOKUP(G61,'22F1187231'!$D$5:$L$4163,9,0)*O61</f>
        <v/>
      </c>
      <c r="L61" s="283">
        <f>SUM(J61:K61)</f>
        <v/>
      </c>
      <c r="M61" s="283">
        <f>(VLOOKUP($G61,'22F1187231'!$D$5:$N$4163,10,1))*O61</f>
        <v/>
      </c>
      <c r="N61" s="283">
        <f>SUM(L61:M61)</f>
        <v/>
      </c>
      <c r="O61" s="283" t="n">
        <v>1113210</v>
      </c>
      <c r="P61" s="283">
        <f>VLOOKUP(G61,'22F1187231'!$D$5:$J$4160,7,0)*O61-(SUM(J61:K61,M61))</f>
        <v/>
      </c>
      <c r="Q61" s="283">
        <f>(VLOOKUP(EOMONTH(G61,0),'22F1187231'!$D$5:$J$4160,7,0))*O61</f>
        <v/>
      </c>
      <c r="R61" s="283">
        <f>(VLOOKUP(G61,'22F1187231'!$D$5:$J$4160,4,0)-VLOOKUP(G61,'22F1187231'!$D$5:$J$4160,2,0))*O61</f>
        <v/>
      </c>
      <c r="S61" s="147" t="n"/>
    </row>
    <row r="62">
      <c r="A62" s="250">
        <f>CONCATENATE(C62,D62,E62)</f>
        <v/>
      </c>
      <c r="B62" s="250">
        <f>CONCATENATE(D62,E62)</f>
        <v/>
      </c>
      <c r="C62" s="250">
        <f>IF(D62&gt;=1,IF(D62&lt;=3,"1",IF(D62&gt;=4,IF(D62&lt;=6,"2",IF(D62&gt;=7,IF(D62&lt;=9,"3",IF(D62&gt;=10,IF(D62&lt;=12,"4","-"))))))))</f>
        <v/>
      </c>
      <c r="D62" s="250">
        <f>MONTH(G34)</f>
        <v/>
      </c>
      <c r="E62" s="250">
        <f>YEAR(G34)</f>
        <v/>
      </c>
      <c r="F62" s="142">
        <f>F61+1</f>
        <v/>
      </c>
      <c r="G62" s="282" t="n">
        <v>46532</v>
      </c>
      <c r="H62" s="143" t="n">
        <v>0.008938</v>
      </c>
      <c r="I62" s="144" t="n">
        <v>87</v>
      </c>
      <c r="J62" s="283">
        <f>IFERROR((VLOOKUP($G62,'22F1187231'!$D$3:$N$4160,8,1))*O62,0)</f>
        <v/>
      </c>
      <c r="K62" s="283">
        <f>VLOOKUP(G62,'22F1187231'!$D$5:$L$4163,9,0)*O62</f>
        <v/>
      </c>
      <c r="L62" s="283">
        <f>SUM(J62:K62)</f>
        <v/>
      </c>
      <c r="M62" s="283">
        <f>(VLOOKUP($G62,'22F1187231'!$D$5:$N$4163,10,1))*O62</f>
        <v/>
      </c>
      <c r="N62" s="283">
        <f>SUM(L62:M62)</f>
        <v/>
      </c>
      <c r="O62" s="283" t="n">
        <v>1113210</v>
      </c>
      <c r="P62" s="283">
        <f>VLOOKUP(G62,'22F1187231'!$D$5:$J$4160,7,0)*O62-(SUM(J62:K62,M62))</f>
        <v/>
      </c>
      <c r="Q62" s="283">
        <f>(VLOOKUP(EOMONTH(G62,0),'22F1187231'!$D$5:$J$4160,7,0))*O62</f>
        <v/>
      </c>
      <c r="R62" s="283">
        <f>(VLOOKUP(G62,'22F1187231'!$D$5:$J$4160,4,0)-VLOOKUP(G62,'22F1187231'!$D$5:$J$4160,2,0))*O62</f>
        <v/>
      </c>
      <c r="S62" s="147" t="n"/>
    </row>
    <row r="63">
      <c r="A63" s="250">
        <f>CONCATENATE(C63,D63,E63)</f>
        <v/>
      </c>
      <c r="B63" s="250">
        <f>CONCATENATE(D63,E63)</f>
        <v/>
      </c>
      <c r="C63" s="250">
        <f>IF(D63&gt;=1,IF(D63&lt;=3,"1",IF(D63&gt;=4,IF(D63&lt;=6,"2",IF(D63&gt;=7,IF(D63&lt;=9,"3",IF(D63&gt;=10,IF(D63&lt;=12,"4","-"))))))))</f>
        <v/>
      </c>
      <c r="D63" s="250">
        <f>MONTH(G35)</f>
        <v/>
      </c>
      <c r="E63" s="250">
        <f>YEAR(G35)</f>
        <v/>
      </c>
      <c r="F63" s="142">
        <f>F62+1</f>
        <v/>
      </c>
      <c r="G63" s="282" t="n">
        <v>46563</v>
      </c>
      <c r="H63" s="143" t="n">
        <v>0.00907</v>
      </c>
      <c r="I63" s="144" t="n">
        <v>88</v>
      </c>
      <c r="J63" s="283">
        <f>IFERROR((VLOOKUP($G63,'22F1187231'!$D$3:$N$4160,8,1))*O63,0)</f>
        <v/>
      </c>
      <c r="K63" s="283">
        <f>VLOOKUP(G63,'22F1187231'!$D$5:$L$4163,9,0)*O63</f>
        <v/>
      </c>
      <c r="L63" s="283">
        <f>SUM(J63:K63)</f>
        <v/>
      </c>
      <c r="M63" s="283">
        <f>(VLOOKUP($G63,'22F1187231'!$D$5:$N$4163,10,1))*O63</f>
        <v/>
      </c>
      <c r="N63" s="283">
        <f>SUM(L63:M63)</f>
        <v/>
      </c>
      <c r="O63" s="283" t="n">
        <v>1113210</v>
      </c>
      <c r="P63" s="283">
        <f>VLOOKUP(G63,'22F1187231'!$D$5:$J$4160,7,0)*O63-(SUM(J63:K63,M63))</f>
        <v/>
      </c>
      <c r="Q63" s="283">
        <f>(VLOOKUP(EOMONTH(G63,0),'22F1187231'!$D$5:$J$4160,7,0))*O63</f>
        <v/>
      </c>
      <c r="R63" s="283">
        <f>(VLOOKUP(G63,'22F1187231'!$D$5:$J$4160,4,0)-VLOOKUP(G63,'22F1187231'!$D$5:$J$4160,2,0))*O63</f>
        <v/>
      </c>
      <c r="S63" s="147" t="n"/>
    </row>
    <row r="64">
      <c r="A64" s="250">
        <f>CONCATENATE(C64,D64,E64)</f>
        <v/>
      </c>
      <c r="B64" s="250">
        <f>CONCATENATE(D64,E64)</f>
        <v/>
      </c>
      <c r="C64" s="250">
        <f>IF(D64&gt;=1,IF(D64&lt;=3,"1",IF(D64&gt;=4,IF(D64&lt;=6,"2",IF(D64&gt;=7,IF(D64&lt;=9,"3",IF(D64&gt;=10,IF(D64&lt;=12,"4","-"))))))))</f>
        <v/>
      </c>
      <c r="D64" s="250">
        <f>MONTH(G36)</f>
        <v/>
      </c>
      <c r="E64" s="250">
        <f>YEAR(G36)</f>
        <v/>
      </c>
      <c r="F64" s="142">
        <f>F63+1</f>
        <v/>
      </c>
      <c r="G64" s="282" t="n">
        <v>46593</v>
      </c>
      <c r="H64" s="143" t="n">
        <v>0.009205</v>
      </c>
      <c r="I64" s="144" t="n">
        <v>89</v>
      </c>
      <c r="J64" s="283">
        <f>IFERROR((VLOOKUP($G64,'22F1187231'!$D$3:$N$4160,8,1))*O64,0)</f>
        <v/>
      </c>
      <c r="K64" s="283">
        <f>VLOOKUP(G64,'22F1187231'!$D$5:$L$4163,9,0)*O64</f>
        <v/>
      </c>
      <c r="L64" s="283">
        <f>SUM(J64:K64)</f>
        <v/>
      </c>
      <c r="M64" s="283">
        <f>(VLOOKUP($G64,'22F1187231'!$D$5:$N$4163,10,1))*O64</f>
        <v/>
      </c>
      <c r="N64" s="283">
        <f>SUM(L64:M64)</f>
        <v/>
      </c>
      <c r="O64" s="283" t="n">
        <v>1113210</v>
      </c>
      <c r="P64" s="283">
        <f>VLOOKUP(G64,'22F1187231'!$D$5:$J$4160,7,0)*O64-(SUM(J64:K64,M64))</f>
        <v/>
      </c>
      <c r="Q64" s="283">
        <f>(VLOOKUP(EOMONTH(G64,0),'22F1187231'!$D$5:$J$4160,7,0))*O64</f>
        <v/>
      </c>
      <c r="R64" s="283">
        <f>(VLOOKUP(G64,'22F1187231'!$D$5:$J$4160,4,0)-VLOOKUP(G64,'22F1187231'!$D$5:$J$4160,2,0))*O64</f>
        <v/>
      </c>
      <c r="S64" s="147" t="n"/>
    </row>
    <row r="65">
      <c r="A65" s="250">
        <f>CONCATENATE(C65,D65,E65)</f>
        <v/>
      </c>
      <c r="B65" s="250">
        <f>CONCATENATE(D65,E65)</f>
        <v/>
      </c>
      <c r="C65" s="250">
        <f>IF(D65&gt;=1,IF(D65&lt;=3,"1",IF(D65&gt;=4,IF(D65&lt;=6,"2",IF(D65&gt;=7,IF(D65&lt;=9,"3",IF(D65&gt;=10,IF(D65&lt;=12,"4","-"))))))))</f>
        <v/>
      </c>
      <c r="D65" s="250">
        <f>MONTH(G37)</f>
        <v/>
      </c>
      <c r="E65" s="250">
        <f>YEAR(G37)</f>
        <v/>
      </c>
      <c r="F65" s="142">
        <f>F64+1</f>
        <v/>
      </c>
      <c r="G65" s="282" t="n">
        <v>46624</v>
      </c>
      <c r="H65" s="143" t="n">
        <v>0.009343000000000001</v>
      </c>
      <c r="I65" s="144" t="n">
        <v>90</v>
      </c>
      <c r="J65" s="283">
        <f>IFERROR((VLOOKUP($G65,'22F1187231'!$D$3:$N$4160,8,1))*O65,0)</f>
        <v/>
      </c>
      <c r="K65" s="283">
        <f>VLOOKUP(G65,'22F1187231'!$D$5:$L$4163,9,0)*O65</f>
        <v/>
      </c>
      <c r="L65" s="283">
        <f>SUM(J65:K65)</f>
        <v/>
      </c>
      <c r="M65" s="283">
        <f>(VLOOKUP($G65,'22F1187231'!$D$5:$N$4163,10,1))*O65</f>
        <v/>
      </c>
      <c r="N65" s="283">
        <f>SUM(L65:M65)</f>
        <v/>
      </c>
      <c r="O65" s="283" t="n">
        <v>1113210</v>
      </c>
      <c r="P65" s="283">
        <f>VLOOKUP(G65,'22F1187231'!$D$5:$J$4160,7,0)*O65-(SUM(J65:K65,M65))</f>
        <v/>
      </c>
      <c r="Q65" s="283">
        <f>(VLOOKUP(EOMONTH(G65,0),'22F1187231'!$D$5:$J$4160,7,0))*O65</f>
        <v/>
      </c>
      <c r="R65" s="283">
        <f>(VLOOKUP(G65,'22F1187231'!$D$5:$J$4160,4,0)-VLOOKUP(G65,'22F1187231'!$D$5:$J$4160,2,0))*O65</f>
        <v/>
      </c>
      <c r="S65" s="147" t="n"/>
    </row>
    <row r="66">
      <c r="A66" s="250">
        <f>CONCATENATE(C66,D66,E66)</f>
        <v/>
      </c>
      <c r="B66" s="250">
        <f>CONCATENATE(D66,E66)</f>
        <v/>
      </c>
      <c r="C66" s="250">
        <f>IF(D66&gt;=1,IF(D66&lt;=3,"1",IF(D66&gt;=4,IF(D66&lt;=6,"2",IF(D66&gt;=7,IF(D66&lt;=9,"3",IF(D66&gt;=10,IF(D66&lt;=12,"4","-"))))))))</f>
        <v/>
      </c>
      <c r="D66" s="250">
        <f>MONTH(G38)</f>
        <v/>
      </c>
      <c r="E66" s="250">
        <f>YEAR(G38)</f>
        <v/>
      </c>
      <c r="F66" s="142">
        <f>F65+1</f>
        <v/>
      </c>
      <c r="G66" s="282" t="n">
        <v>46655</v>
      </c>
      <c r="H66" s="143" t="n">
        <v>0.009483999999999999</v>
      </c>
      <c r="I66" s="144" t="n">
        <v>91</v>
      </c>
      <c r="J66" s="283">
        <f>IFERROR((VLOOKUP($G66,'22F1187231'!$D$3:$N$4160,8,1))*O66,0)</f>
        <v/>
      </c>
      <c r="K66" s="283">
        <f>VLOOKUP(G66,'22F1187231'!$D$5:$L$4163,9,0)*O66</f>
        <v/>
      </c>
      <c r="L66" s="283">
        <f>SUM(J66:K66)</f>
        <v/>
      </c>
      <c r="M66" s="283">
        <f>(VLOOKUP($G66,'22F1187231'!$D$5:$N$4163,10,1))*O66</f>
        <v/>
      </c>
      <c r="N66" s="283">
        <f>SUM(L66:M66)</f>
        <v/>
      </c>
      <c r="O66" s="283" t="n">
        <v>1113210</v>
      </c>
      <c r="P66" s="283">
        <f>VLOOKUP(G66,'22F1187231'!$D$5:$J$4160,7,0)*O66-(SUM(J66:K66,M66))</f>
        <v/>
      </c>
      <c r="Q66" s="283">
        <f>(VLOOKUP(EOMONTH(G66,0),'22F1187231'!$D$5:$J$4160,7,0))*O66</f>
        <v/>
      </c>
      <c r="R66" s="283">
        <f>(VLOOKUP(G66,'22F1187231'!$D$5:$J$4160,4,0)-VLOOKUP(G66,'22F1187231'!$D$5:$J$4160,2,0))*O66</f>
        <v/>
      </c>
      <c r="S66" s="147" t="n"/>
    </row>
    <row r="67">
      <c r="A67" s="250">
        <f>CONCATENATE(C67,D67,E67)</f>
        <v/>
      </c>
      <c r="B67" s="250">
        <f>CONCATENATE(D67,E67)</f>
        <v/>
      </c>
      <c r="C67" s="250">
        <f>IF(D67&gt;=1,IF(D67&lt;=3,"1",IF(D67&gt;=4,IF(D67&lt;=6,"2",IF(D67&gt;=7,IF(D67&lt;=9,"3",IF(D67&gt;=10,IF(D67&lt;=12,"4","-"))))))))</f>
        <v/>
      </c>
      <c r="D67" s="250">
        <f>MONTH(G39)</f>
        <v/>
      </c>
      <c r="E67" s="250">
        <f>YEAR(G39)</f>
        <v/>
      </c>
      <c r="F67" s="142">
        <f>F66+1</f>
        <v/>
      </c>
      <c r="G67" s="282" t="n">
        <v>46685</v>
      </c>
      <c r="H67" s="143" t="n">
        <v>0.009646</v>
      </c>
      <c r="I67" s="144" t="n">
        <v>92</v>
      </c>
      <c r="J67" s="283">
        <f>IFERROR((VLOOKUP($G67,'22F1187231'!$D$3:$N$4160,8,1))*O67,0)</f>
        <v/>
      </c>
      <c r="K67" s="283">
        <f>VLOOKUP(G67,'22F1187231'!$D$5:$L$4163,9,0)*O67</f>
        <v/>
      </c>
      <c r="L67" s="283">
        <f>SUM(J67:K67)</f>
        <v/>
      </c>
      <c r="M67" s="283">
        <f>(VLOOKUP($G67,'22F1187231'!$D$5:$N$4163,10,1))*O67</f>
        <v/>
      </c>
      <c r="N67" s="283">
        <f>SUM(L67:M67)</f>
        <v/>
      </c>
      <c r="O67" s="283" t="n">
        <v>1113210</v>
      </c>
      <c r="P67" s="283">
        <f>VLOOKUP(G67,'22F1187231'!$D$5:$J$4160,7,0)*O67-(SUM(J67:K67,M67))</f>
        <v/>
      </c>
      <c r="Q67" s="283">
        <f>(VLOOKUP(EOMONTH(G67,0),'22F1187231'!$D$5:$J$4160,7,0))*O67</f>
        <v/>
      </c>
      <c r="R67" s="283">
        <f>(VLOOKUP(G67,'22F1187231'!$D$5:$J$4160,4,0)-VLOOKUP(G67,'22F1187231'!$D$5:$J$4160,2,0))*O67</f>
        <v/>
      </c>
      <c r="S67" s="147" t="n"/>
    </row>
    <row r="68">
      <c r="A68" s="250">
        <f>CONCATENATE(C68,D68,E68)</f>
        <v/>
      </c>
      <c r="B68" s="250">
        <f>CONCATENATE(D68,E68)</f>
        <v/>
      </c>
      <c r="C68" s="250">
        <f>IF(D68&gt;=1,IF(D68&lt;=3,"1",IF(D68&gt;=4,IF(D68&lt;=6,"2",IF(D68&gt;=7,IF(D68&lt;=9,"3",IF(D68&gt;=10,IF(D68&lt;=12,"4","-"))))))))</f>
        <v/>
      </c>
      <c r="D68" s="250">
        <f>MONTH(G40)</f>
        <v/>
      </c>
      <c r="E68" s="250">
        <f>YEAR(G40)</f>
        <v/>
      </c>
      <c r="F68" s="142">
        <f>F67+1</f>
        <v/>
      </c>
      <c r="G68" s="282" t="n">
        <v>46716</v>
      </c>
      <c r="H68" s="143" t="n">
        <v>0.009795999999999999</v>
      </c>
      <c r="I68" s="144" t="n">
        <v>93</v>
      </c>
      <c r="J68" s="283">
        <f>IFERROR((VLOOKUP($G68,'22F1187231'!$D$3:$N$4160,8,1))*O68,0)</f>
        <v/>
      </c>
      <c r="K68" s="283">
        <f>VLOOKUP(G68,'22F1187231'!$D$5:$L$4163,9,0)*O68</f>
        <v/>
      </c>
      <c r="L68" s="283">
        <f>SUM(J68:K68)</f>
        <v/>
      </c>
      <c r="M68" s="283">
        <f>(VLOOKUP($G68,'22F1187231'!$D$5:$N$4163,10,1))*O68</f>
        <v/>
      </c>
      <c r="N68" s="283">
        <f>SUM(L68:M68)</f>
        <v/>
      </c>
      <c r="O68" s="283" t="n">
        <v>1113210</v>
      </c>
      <c r="P68" s="283">
        <f>VLOOKUP(G68,'22F1187231'!$D$5:$J$4160,7,0)*O68-(SUM(J68:K68,M68))</f>
        <v/>
      </c>
      <c r="Q68" s="283">
        <f>(VLOOKUP(EOMONTH(G68,0),'22F1187231'!$D$5:$J$4160,7,0))*O68</f>
        <v/>
      </c>
      <c r="R68" s="283">
        <f>(VLOOKUP(G68,'22F1187231'!$D$5:$J$4160,4,0)-VLOOKUP(G68,'22F1187231'!$D$5:$J$4160,2,0))*O68</f>
        <v/>
      </c>
      <c r="S68" s="147" t="n"/>
    </row>
    <row r="69">
      <c r="A69" s="250">
        <f>CONCATENATE(C69,D69,E69)</f>
        <v/>
      </c>
      <c r="B69" s="250">
        <f>CONCATENATE(D69,E69)</f>
        <v/>
      </c>
      <c r="C69" s="250">
        <f>IF(D69&gt;=1,IF(D69&lt;=3,"1",IF(D69&gt;=4,IF(D69&lt;=6,"2",IF(D69&gt;=7,IF(D69&lt;=9,"3",IF(D69&gt;=10,IF(D69&lt;=12,"4","-"))))))))</f>
        <v/>
      </c>
      <c r="D69" s="250">
        <f>MONTH(G41)</f>
        <v/>
      </c>
      <c r="E69" s="250">
        <f>YEAR(G41)</f>
        <v/>
      </c>
      <c r="F69" s="142">
        <f>F68+1</f>
        <v/>
      </c>
      <c r="G69" s="282" t="n">
        <v>46746</v>
      </c>
      <c r="H69" s="143" t="n">
        <v>0.010082</v>
      </c>
      <c r="I69" s="144" t="n">
        <v>94</v>
      </c>
      <c r="J69" s="283">
        <f>IFERROR((VLOOKUP($G69,'22F1187231'!$D$3:$N$4160,8,1))*O69,0)</f>
        <v/>
      </c>
      <c r="K69" s="283">
        <f>VLOOKUP(G69,'22F1187231'!$D$5:$L$4163,9,0)*O69</f>
        <v/>
      </c>
      <c r="L69" s="283">
        <f>SUM(J69:K69)</f>
        <v/>
      </c>
      <c r="M69" s="283">
        <f>(VLOOKUP($G69,'22F1187231'!$D$5:$N$4163,10,1))*O69</f>
        <v/>
      </c>
      <c r="N69" s="283">
        <f>SUM(L69:M69)</f>
        <v/>
      </c>
      <c r="O69" s="283" t="n">
        <v>1113210</v>
      </c>
      <c r="P69" s="283">
        <f>VLOOKUP(G69,'22F1187231'!$D$5:$J$4160,7,0)*O69-(SUM(J69:K69,M69))</f>
        <v/>
      </c>
      <c r="Q69" s="283">
        <f>(VLOOKUP(EOMONTH(G69,0),'22F1187231'!$D$5:$J$4160,7,0))*O69</f>
        <v/>
      </c>
      <c r="R69" s="283">
        <f>(VLOOKUP(G69,'22F1187231'!$D$5:$J$4160,4,0)-VLOOKUP(G69,'22F1187231'!$D$5:$J$4160,2,0))*O69</f>
        <v/>
      </c>
      <c r="S69" s="147" t="n"/>
    </row>
    <row r="70">
      <c r="A70" s="250">
        <f>CONCATENATE(C70,D70,E70)</f>
        <v/>
      </c>
      <c r="B70" s="250">
        <f>CONCATENATE(D70,E70)</f>
        <v/>
      </c>
      <c r="C70" s="250">
        <f>IF(D70&gt;=1,IF(D70&lt;=3,"1",IF(D70&gt;=4,IF(D70&lt;=6,"2",IF(D70&gt;=7,IF(D70&lt;=9,"3",IF(D70&gt;=10,IF(D70&lt;=12,"4","-"))))))))</f>
        <v/>
      </c>
      <c r="D70" s="250">
        <f>MONTH(G42)</f>
        <v/>
      </c>
      <c r="E70" s="250">
        <f>YEAR(G42)</f>
        <v/>
      </c>
      <c r="F70" s="142">
        <f>F69+1</f>
        <v/>
      </c>
      <c r="G70" s="282" t="n">
        <v>46777</v>
      </c>
      <c r="H70" s="143" t="n">
        <v>0.010507</v>
      </c>
      <c r="I70" s="144" t="n">
        <v>95</v>
      </c>
      <c r="J70" s="283">
        <f>IFERROR((VLOOKUP($G70,'22F1187231'!$D$3:$N$4160,8,1))*O70,0)</f>
        <v/>
      </c>
      <c r="K70" s="283">
        <f>VLOOKUP(G70,'22F1187231'!$D$5:$L$4163,9,0)*O70</f>
        <v/>
      </c>
      <c r="L70" s="283">
        <f>SUM(J70:K70)</f>
        <v/>
      </c>
      <c r="M70" s="283">
        <f>(VLOOKUP($G70,'22F1187231'!$D$5:$N$4163,10,1))*O70</f>
        <v/>
      </c>
      <c r="N70" s="283">
        <f>SUM(L70:M70)</f>
        <v/>
      </c>
      <c r="O70" s="283" t="n">
        <v>1113210</v>
      </c>
      <c r="P70" s="283">
        <f>VLOOKUP(G70,'22F1187231'!$D$5:$J$4160,7,0)*O70-(SUM(J70:K70,M70))</f>
        <v/>
      </c>
      <c r="Q70" s="283">
        <f>(VLOOKUP(EOMONTH(G70,0),'22F1187231'!$D$5:$J$4160,7,0))*O70</f>
        <v/>
      </c>
      <c r="R70" s="283">
        <f>(VLOOKUP(G70,'22F1187231'!$D$5:$J$4160,4,0)-VLOOKUP(G70,'22F1187231'!$D$5:$J$4160,2,0))*O70</f>
        <v/>
      </c>
      <c r="S70" s="147" t="n"/>
    </row>
    <row r="71">
      <c r="A71" s="250">
        <f>CONCATENATE(C71,D71,E71)</f>
        <v/>
      </c>
      <c r="B71" s="250">
        <f>CONCATENATE(D71,E71)</f>
        <v/>
      </c>
      <c r="C71" s="250">
        <f>IF(D71&gt;=1,IF(D71&lt;=3,"1",IF(D71&gt;=4,IF(D71&lt;=6,"2",IF(D71&gt;=7,IF(D71&lt;=9,"3",IF(D71&gt;=10,IF(D71&lt;=12,"4","-"))))))))</f>
        <v/>
      </c>
      <c r="D71" s="250">
        <f>MONTH(G43)</f>
        <v/>
      </c>
      <c r="E71" s="250">
        <f>YEAR(G43)</f>
        <v/>
      </c>
      <c r="F71" s="142">
        <f>F70+1</f>
        <v/>
      </c>
      <c r="G71" s="282" t="n">
        <v>46808</v>
      </c>
      <c r="H71" s="143" t="n">
        <v>0.01073</v>
      </c>
      <c r="I71" s="144" t="n">
        <v>96</v>
      </c>
      <c r="J71" s="283">
        <f>IFERROR((VLOOKUP($G71,'22F1187231'!$D$3:$N$4160,8,1))*O71,0)</f>
        <v/>
      </c>
      <c r="K71" s="283">
        <f>VLOOKUP(G71,'22F1187231'!$D$5:$L$4163,9,0)*O71</f>
        <v/>
      </c>
      <c r="L71" s="283">
        <f>SUM(J71:K71)</f>
        <v/>
      </c>
      <c r="M71" s="283">
        <f>(VLOOKUP($G71,'22F1187231'!$D$5:$N$4163,10,1))*O71</f>
        <v/>
      </c>
      <c r="N71" s="283">
        <f>SUM(L71:M71)</f>
        <v/>
      </c>
      <c r="O71" s="283" t="n">
        <v>1113210</v>
      </c>
      <c r="P71" s="283">
        <f>VLOOKUP(G71,'22F1187231'!$D$5:$J$4160,7,0)*O71-(SUM(J71:K71,M71))</f>
        <v/>
      </c>
      <c r="Q71" s="283">
        <f>(VLOOKUP(EOMONTH(G71,0),'22F1187231'!$D$5:$J$4160,7,0))*O71</f>
        <v/>
      </c>
      <c r="R71" s="283">
        <f>(VLOOKUP(G71,'22F1187231'!$D$5:$J$4160,4,0)-VLOOKUP(G71,'22F1187231'!$D$5:$J$4160,2,0))*O71</f>
        <v/>
      </c>
      <c r="S71" s="147" t="n"/>
    </row>
    <row r="72">
      <c r="A72" s="250">
        <f>CONCATENATE(C72,D72,E72)</f>
        <v/>
      </c>
      <c r="B72" s="250">
        <f>CONCATENATE(D72,E72)</f>
        <v/>
      </c>
      <c r="C72" s="250">
        <f>IF(D72&gt;=1,IF(D72&lt;=3,"1",IF(D72&gt;=4,IF(D72&lt;=6,"2",IF(D72&gt;=7,IF(D72&lt;=9,"3",IF(D72&gt;=10,IF(D72&lt;=12,"4","-"))))))))</f>
        <v/>
      </c>
      <c r="D72" s="250">
        <f>MONTH(G44)</f>
        <v/>
      </c>
      <c r="E72" s="250">
        <f>YEAR(G44)</f>
        <v/>
      </c>
      <c r="F72" s="142">
        <f>F71+1</f>
        <v/>
      </c>
      <c r="G72" s="282" t="n">
        <v>46837</v>
      </c>
      <c r="H72" s="143" t="n">
        <v>0.010928</v>
      </c>
      <c r="I72" s="144" t="n">
        <v>97</v>
      </c>
      <c r="J72" s="283">
        <f>IFERROR((VLOOKUP($G72,'22F1187231'!$D$3:$N$4160,8,1))*O72,0)</f>
        <v/>
      </c>
      <c r="K72" s="283">
        <f>VLOOKUP(G72,'22F1187231'!$D$5:$L$4163,9,0)*O72</f>
        <v/>
      </c>
      <c r="L72" s="283">
        <f>SUM(J72:K72)</f>
        <v/>
      </c>
      <c r="M72" s="283">
        <f>(VLOOKUP($G72,'22F1187231'!$D$5:$N$4163,10,1))*O72</f>
        <v/>
      </c>
      <c r="N72" s="283">
        <f>SUM(L72:M72)</f>
        <v/>
      </c>
      <c r="O72" s="283" t="n">
        <v>1113210</v>
      </c>
      <c r="P72" s="283">
        <f>VLOOKUP(G72,'22F1187231'!$D$5:$J$4160,7,0)*O72-(SUM(J72:K72,M72))</f>
        <v/>
      </c>
      <c r="Q72" s="283">
        <f>(VLOOKUP(EOMONTH(G72,0),'22F1187231'!$D$5:$J$4160,7,0))*O72</f>
        <v/>
      </c>
      <c r="R72" s="283">
        <f>(VLOOKUP(G72,'22F1187231'!$D$5:$J$4160,4,0)-VLOOKUP(G72,'22F1187231'!$D$5:$J$4160,2,0))*O72</f>
        <v/>
      </c>
      <c r="S72" s="147" t="n"/>
    </row>
    <row r="73">
      <c r="A73" s="250">
        <f>CONCATENATE(C73,D73,E73)</f>
        <v/>
      </c>
      <c r="B73" s="250">
        <f>CONCATENATE(D73,E73)</f>
        <v/>
      </c>
      <c r="C73" s="250">
        <f>IF(D73&gt;=1,IF(D73&lt;=3,"1",IF(D73&gt;=4,IF(D73&lt;=6,"2",IF(D73&gt;=7,IF(D73&lt;=9,"3",IF(D73&gt;=10,IF(D73&lt;=12,"4","-"))))))))</f>
        <v/>
      </c>
      <c r="D73" s="250">
        <f>MONTH(G45)</f>
        <v/>
      </c>
      <c r="E73" s="250">
        <f>YEAR(G45)</f>
        <v/>
      </c>
      <c r="F73" s="142">
        <f>F72+1</f>
        <v/>
      </c>
      <c r="G73" s="282" t="n">
        <v>46868</v>
      </c>
      <c r="H73" s="143" t="n">
        <v>0.011111</v>
      </c>
      <c r="I73" s="144" t="n">
        <v>98</v>
      </c>
      <c r="J73" s="283">
        <f>IFERROR((VLOOKUP($G73,'22F1187231'!$D$3:$N$4160,8,1))*O73,0)</f>
        <v/>
      </c>
      <c r="K73" s="283">
        <f>VLOOKUP(G73,'22F1187231'!$D$5:$L$4163,9,0)*O73</f>
        <v/>
      </c>
      <c r="L73" s="283">
        <f>SUM(J73:K73)</f>
        <v/>
      </c>
      <c r="M73" s="283">
        <f>(VLOOKUP($G73,'22F1187231'!$D$5:$N$4163,10,1))*O73</f>
        <v/>
      </c>
      <c r="N73" s="283">
        <f>SUM(L73:M73)</f>
        <v/>
      </c>
      <c r="O73" s="283" t="n">
        <v>1113210</v>
      </c>
      <c r="P73" s="283">
        <f>VLOOKUP(G73,'22F1187231'!$D$5:$J$4160,7,0)*O73-(SUM(J73:K73,M73))</f>
        <v/>
      </c>
      <c r="Q73" s="283">
        <f>(VLOOKUP(EOMONTH(G73,0),'22F1187231'!$D$5:$J$4160,7,0))*O73</f>
        <v/>
      </c>
      <c r="R73" s="283">
        <f>(VLOOKUP(G73,'22F1187231'!$D$5:$J$4160,4,0)-VLOOKUP(G73,'22F1187231'!$D$5:$J$4160,2,0))*O73</f>
        <v/>
      </c>
      <c r="S73" s="147" t="n"/>
    </row>
    <row r="74">
      <c r="A74" s="250">
        <f>CONCATENATE(C74,D74,E74)</f>
        <v/>
      </c>
      <c r="B74" s="250">
        <f>CONCATENATE(D74,E74)</f>
        <v/>
      </c>
      <c r="C74" s="250">
        <f>IF(D74&gt;=1,IF(D74&lt;=3,"1",IF(D74&gt;=4,IF(D74&lt;=6,"2",IF(D74&gt;=7,IF(D74&lt;=9,"3",IF(D74&gt;=10,IF(D74&lt;=12,"4","-"))))))))</f>
        <v/>
      </c>
      <c r="D74" s="250">
        <f>MONTH(G46)</f>
        <v/>
      </c>
      <c r="E74" s="250">
        <f>YEAR(G46)</f>
        <v/>
      </c>
      <c r="F74" s="142">
        <f>F73+1</f>
        <v/>
      </c>
      <c r="G74" s="282" t="n">
        <v>46898</v>
      </c>
      <c r="H74" s="143" t="n">
        <v>0.011299</v>
      </c>
      <c r="I74" s="144" t="n">
        <v>99</v>
      </c>
      <c r="J74" s="283">
        <f>IFERROR((VLOOKUP($G74,'22F1187231'!$D$3:$N$4160,8,1))*O74,0)</f>
        <v/>
      </c>
      <c r="K74" s="283">
        <f>VLOOKUP(G74,'22F1187231'!$D$5:$L$4163,9,0)*O74</f>
        <v/>
      </c>
      <c r="L74" s="283">
        <f>SUM(J74:K74)</f>
        <v/>
      </c>
      <c r="M74" s="283">
        <f>(VLOOKUP($G74,'22F1187231'!$D$5:$N$4163,10,1))*O74</f>
        <v/>
      </c>
      <c r="N74" s="283">
        <f>SUM(L74:M74)</f>
        <v/>
      </c>
      <c r="O74" s="283" t="n">
        <v>1113210</v>
      </c>
      <c r="P74" s="283">
        <f>VLOOKUP(G74,'22F1187231'!$D$5:$J$4160,7,0)*O74-(SUM(J74:K74,M74))</f>
        <v/>
      </c>
      <c r="Q74" s="283">
        <f>(VLOOKUP(EOMONTH(G74,0),'22F1187231'!$D$5:$J$4160,7,0))*O74</f>
        <v/>
      </c>
      <c r="R74" s="283">
        <f>(VLOOKUP(G74,'22F1187231'!$D$5:$J$4160,4,0)-VLOOKUP(G74,'22F1187231'!$D$5:$J$4160,2,0))*O74</f>
        <v/>
      </c>
      <c r="S74" s="147" t="n"/>
    </row>
    <row r="75">
      <c r="A75" s="250">
        <f>CONCATENATE(C75,D75,E75)</f>
        <v/>
      </c>
      <c r="B75" s="250">
        <f>CONCATENATE(D75,E75)</f>
        <v/>
      </c>
      <c r="C75" s="250">
        <f>IF(D75&gt;=1,IF(D75&lt;=3,"1",IF(D75&gt;=4,IF(D75&lt;=6,"2",IF(D75&gt;=7,IF(D75&lt;=9,"3",IF(D75&gt;=10,IF(D75&lt;=12,"4","-"))))))))</f>
        <v/>
      </c>
      <c r="D75" s="250">
        <f>MONTH(G47)</f>
        <v/>
      </c>
      <c r="E75" s="250">
        <f>YEAR(G47)</f>
        <v/>
      </c>
      <c r="F75" s="142">
        <f>F74+1</f>
        <v/>
      </c>
      <c r="G75" s="282" t="n">
        <v>46929</v>
      </c>
      <c r="H75" s="143" t="n">
        <v>0.011493</v>
      </c>
      <c r="I75" s="144" t="n">
        <v>100</v>
      </c>
      <c r="J75" s="283">
        <f>IFERROR((VLOOKUP($G75,'22F1187231'!$D$3:$N$4160,8,1))*O75,0)</f>
        <v/>
      </c>
      <c r="K75" s="283">
        <f>VLOOKUP(G75,'22F1187231'!$D$5:$L$4163,9,0)*O75</f>
        <v/>
      </c>
      <c r="L75" s="283">
        <f>SUM(J75:K75)</f>
        <v/>
      </c>
      <c r="M75" s="283">
        <f>(VLOOKUP($G75,'22F1187231'!$D$5:$N$4163,10,1))*O75</f>
        <v/>
      </c>
      <c r="N75" s="283">
        <f>SUM(L75:M75)</f>
        <v/>
      </c>
      <c r="O75" s="283" t="n">
        <v>1113210</v>
      </c>
      <c r="P75" s="283">
        <f>VLOOKUP(G75,'22F1187231'!$D$5:$J$4160,7,0)*O75-(SUM(J75:K75,M75))</f>
        <v/>
      </c>
      <c r="Q75" s="283">
        <f>(VLOOKUP(EOMONTH(G75,0),'22F1187231'!$D$5:$J$4160,7,0))*O75</f>
        <v/>
      </c>
      <c r="R75" s="283">
        <f>(VLOOKUP(G75,'22F1187231'!$D$5:$J$4160,4,0)-VLOOKUP(G75,'22F1187231'!$D$5:$J$4160,2,0))*O75</f>
        <v/>
      </c>
      <c r="S75" s="147" t="n"/>
    </row>
    <row r="76">
      <c r="A76" s="250">
        <f>CONCATENATE(C76,D76,E76)</f>
        <v/>
      </c>
      <c r="B76" s="250">
        <f>CONCATENATE(D76,E76)</f>
        <v/>
      </c>
      <c r="C76" s="250">
        <f>IF(D76&gt;=1,IF(D76&lt;=3,"1",IF(D76&gt;=4,IF(D76&lt;=6,"2",IF(D76&gt;=7,IF(D76&lt;=9,"3",IF(D76&gt;=10,IF(D76&lt;=12,"4","-"))))))))</f>
        <v/>
      </c>
      <c r="D76" s="250">
        <f>MONTH(G48)</f>
        <v/>
      </c>
      <c r="E76" s="250">
        <f>YEAR(G48)</f>
        <v/>
      </c>
      <c r="F76" s="142">
        <f>F75+1</f>
        <v/>
      </c>
      <c r="G76" s="282" t="n">
        <v>46959</v>
      </c>
      <c r="H76" s="143" t="n">
        <v>0.011692</v>
      </c>
      <c r="I76" s="144" t="n">
        <v>101</v>
      </c>
      <c r="J76" s="283">
        <f>IFERROR((VLOOKUP($G76,'22F1187231'!$D$3:$N$4160,8,1))*O76,0)</f>
        <v/>
      </c>
      <c r="K76" s="283">
        <f>VLOOKUP(G76,'22F1187231'!$D$5:$L$4163,9,0)*O76</f>
        <v/>
      </c>
      <c r="L76" s="283">
        <f>SUM(J76:K76)</f>
        <v/>
      </c>
      <c r="M76" s="283">
        <f>(VLOOKUP($G76,'22F1187231'!$D$5:$N$4163,10,1))*O76</f>
        <v/>
      </c>
      <c r="N76" s="283">
        <f>SUM(L76:M76)</f>
        <v/>
      </c>
      <c r="O76" s="283" t="n">
        <v>1113210</v>
      </c>
      <c r="P76" s="283">
        <f>VLOOKUP(G76,'22F1187231'!$D$5:$J$4160,7,0)*O76-(SUM(J76:K76,M76))</f>
        <v/>
      </c>
      <c r="Q76" s="283">
        <f>(VLOOKUP(EOMONTH(G76,0),'22F1187231'!$D$5:$J$4160,7,0))*O76</f>
        <v/>
      </c>
      <c r="R76" s="283">
        <f>(VLOOKUP(G76,'22F1187231'!$D$5:$J$4160,4,0)-VLOOKUP(G76,'22F1187231'!$D$5:$J$4160,2,0))*O76</f>
        <v/>
      </c>
      <c r="S76" s="147" t="n"/>
    </row>
    <row r="77">
      <c r="A77" s="250">
        <f>CONCATENATE(C77,D77,E77)</f>
        <v/>
      </c>
      <c r="B77" s="250">
        <f>CONCATENATE(D77,E77)</f>
        <v/>
      </c>
      <c r="C77" s="250">
        <f>IF(D77&gt;=1,IF(D77&lt;=3,"1",IF(D77&gt;=4,IF(D77&lt;=6,"2",IF(D77&gt;=7,IF(D77&lt;=9,"3",IF(D77&gt;=10,IF(D77&lt;=12,"4","-"))))))))</f>
        <v/>
      </c>
      <c r="D77" s="250">
        <f>MONTH(G49)</f>
        <v/>
      </c>
      <c r="E77" s="250">
        <f>YEAR(G49)</f>
        <v/>
      </c>
      <c r="F77" s="142">
        <f>F76+1</f>
        <v/>
      </c>
      <c r="G77" s="282" t="n">
        <v>46990</v>
      </c>
      <c r="H77" s="143" t="n">
        <v>0.011898</v>
      </c>
      <c r="I77" s="144" t="n">
        <v>102</v>
      </c>
      <c r="J77" s="283">
        <f>IFERROR((VLOOKUP($G77,'22F1187231'!$D$3:$N$4160,8,1))*O77,0)</f>
        <v/>
      </c>
      <c r="K77" s="283">
        <f>VLOOKUP(G77,'22F1187231'!$D$5:$L$4163,9,0)*O77</f>
        <v/>
      </c>
      <c r="L77" s="283">
        <f>SUM(J77:K77)</f>
        <v/>
      </c>
      <c r="M77" s="283">
        <f>(VLOOKUP($G77,'22F1187231'!$D$5:$N$4163,10,1))*O77</f>
        <v/>
      </c>
      <c r="N77" s="283">
        <f>SUM(L77:M77)</f>
        <v/>
      </c>
      <c r="O77" s="283" t="n">
        <v>1113210</v>
      </c>
      <c r="P77" s="283">
        <f>VLOOKUP(G77,'22F1187231'!$D$5:$J$4160,7,0)*O77-(SUM(J77:K77,M77))</f>
        <v/>
      </c>
      <c r="Q77" s="283">
        <f>(VLOOKUP(EOMONTH(G77,0),'22F1187231'!$D$5:$J$4160,7,0))*O77</f>
        <v/>
      </c>
      <c r="R77" s="283">
        <f>(VLOOKUP(G77,'22F1187231'!$D$5:$J$4160,4,0)-VLOOKUP(G77,'22F1187231'!$D$5:$J$4160,2,0))*O77</f>
        <v/>
      </c>
      <c r="S77" s="147" t="n"/>
    </row>
    <row r="78">
      <c r="A78" s="250">
        <f>CONCATENATE(C78,D78,E78)</f>
        <v/>
      </c>
      <c r="B78" s="250">
        <f>CONCATENATE(D78,E78)</f>
        <v/>
      </c>
      <c r="C78" s="250">
        <f>IF(D78&gt;=1,IF(D78&lt;=3,"1",IF(D78&gt;=4,IF(D78&lt;=6,"2",IF(D78&gt;=7,IF(D78&lt;=9,"3",IF(D78&gt;=10,IF(D78&lt;=12,"4","-"))))))))</f>
        <v/>
      </c>
      <c r="D78" s="250">
        <f>MONTH(G50)</f>
        <v/>
      </c>
      <c r="E78" s="250">
        <f>YEAR(G50)</f>
        <v/>
      </c>
      <c r="F78" s="142">
        <f>F77+1</f>
        <v/>
      </c>
      <c r="G78" s="282" t="n">
        <v>47021</v>
      </c>
      <c r="H78" s="143" t="n">
        <v>0.012109</v>
      </c>
      <c r="I78" s="144" t="n">
        <v>103</v>
      </c>
      <c r="J78" s="283">
        <f>IFERROR((VLOOKUP($G78,'22F1187231'!$D$3:$N$4160,8,1))*O78,0)</f>
        <v/>
      </c>
      <c r="K78" s="283">
        <f>VLOOKUP(G78,'22F1187231'!$D$5:$L$4163,9,0)*O78</f>
        <v/>
      </c>
      <c r="L78" s="283">
        <f>SUM(J78:K78)</f>
        <v/>
      </c>
      <c r="M78" s="283">
        <f>(VLOOKUP($G78,'22F1187231'!$D$5:$N$4163,10,1))*O78</f>
        <v/>
      </c>
      <c r="N78" s="283">
        <f>SUM(L78:M78)</f>
        <v/>
      </c>
      <c r="O78" s="283" t="n">
        <v>1113210</v>
      </c>
      <c r="P78" s="283">
        <f>VLOOKUP(G78,'22F1187231'!$D$5:$J$4160,7,0)*O78-(SUM(J78:K78,M78))</f>
        <v/>
      </c>
      <c r="Q78" s="283">
        <f>(VLOOKUP(EOMONTH(G78,0),'22F1187231'!$D$5:$J$4160,7,0))*O78</f>
        <v/>
      </c>
      <c r="R78" s="283">
        <f>(VLOOKUP(G78,'22F1187231'!$D$5:$J$4160,4,0)-VLOOKUP(G78,'22F1187231'!$D$5:$J$4160,2,0))*O78</f>
        <v/>
      </c>
      <c r="S78" s="147" t="n"/>
    </row>
    <row r="79">
      <c r="A79" s="250">
        <f>CONCATENATE(C79,D79,E79)</f>
        <v/>
      </c>
      <c r="B79" s="250">
        <f>CONCATENATE(D79,E79)</f>
        <v/>
      </c>
      <c r="C79" s="250">
        <f>IF(D79&gt;=1,IF(D79&lt;=3,"1",IF(D79&gt;=4,IF(D79&lt;=6,"2",IF(D79&gt;=7,IF(D79&lt;=9,"3",IF(D79&gt;=10,IF(D79&lt;=12,"4","-"))))))))</f>
        <v/>
      </c>
      <c r="D79" s="250">
        <f>MONTH(G51)</f>
        <v/>
      </c>
      <c r="E79" s="250">
        <f>YEAR(G51)</f>
        <v/>
      </c>
      <c r="F79" s="142">
        <f>F78+1</f>
        <v/>
      </c>
      <c r="G79" s="282" t="n">
        <v>47051</v>
      </c>
      <c r="H79" s="143" t="n">
        <v>0.012347</v>
      </c>
      <c r="I79" s="144" t="n">
        <v>104</v>
      </c>
      <c r="J79" s="283">
        <f>IFERROR((VLOOKUP($G79,'22F1187231'!$D$3:$N$4160,8,1))*O79,0)</f>
        <v/>
      </c>
      <c r="K79" s="283">
        <f>VLOOKUP(G79,'22F1187231'!$D$5:$L$4163,9,0)*O79</f>
        <v/>
      </c>
      <c r="L79" s="283">
        <f>SUM(J79:K79)</f>
        <v/>
      </c>
      <c r="M79" s="283">
        <f>(VLOOKUP($G79,'22F1187231'!$D$5:$N$4163,10,1))*O79</f>
        <v/>
      </c>
      <c r="N79" s="283">
        <f>SUM(L79:M79)</f>
        <v/>
      </c>
      <c r="O79" s="283" t="n">
        <v>1113210</v>
      </c>
      <c r="P79" s="283">
        <f>VLOOKUP(G79,'22F1187231'!$D$5:$J$4160,7,0)*O79-(SUM(J79:K79,M79))</f>
        <v/>
      </c>
      <c r="Q79" s="283">
        <f>(VLOOKUP(EOMONTH(G79,0),'22F1187231'!$D$5:$J$4160,7,0))*O79</f>
        <v/>
      </c>
      <c r="R79" s="283">
        <f>(VLOOKUP(G79,'22F1187231'!$D$5:$J$4160,4,0)-VLOOKUP(G79,'22F1187231'!$D$5:$J$4160,2,0))*O79</f>
        <v/>
      </c>
      <c r="S79" s="147" t="n"/>
    </row>
    <row r="80">
      <c r="A80" s="250">
        <f>CONCATENATE(C80,D80,E80)</f>
        <v/>
      </c>
      <c r="B80" s="250">
        <f>CONCATENATE(D80,E80)</f>
        <v/>
      </c>
      <c r="C80" s="250">
        <f>IF(D80&gt;=1,IF(D80&lt;=3,"1",IF(D80&gt;=4,IF(D80&lt;=6,"2",IF(D80&gt;=7,IF(D80&lt;=9,"3",IF(D80&gt;=10,IF(D80&lt;=12,"4","-"))))))))</f>
        <v/>
      </c>
      <c r="D80" s="250">
        <f>MONTH(G52)</f>
        <v/>
      </c>
      <c r="E80" s="250">
        <f>YEAR(G52)</f>
        <v/>
      </c>
      <c r="F80" s="142">
        <f>F79+1</f>
        <v/>
      </c>
      <c r="G80" s="282" t="n">
        <v>47082</v>
      </c>
      <c r="H80" s="143" t="n">
        <v>0.012572</v>
      </c>
      <c r="I80" s="144" t="n">
        <v>105</v>
      </c>
      <c r="J80" s="283">
        <f>IFERROR((VLOOKUP($G80,'22F1187231'!$D$3:$N$4160,8,1))*O80,0)</f>
        <v/>
      </c>
      <c r="K80" s="283">
        <f>VLOOKUP(G80,'22F1187231'!$D$5:$L$4163,9,0)*O80</f>
        <v/>
      </c>
      <c r="L80" s="283">
        <f>SUM(J80:K80)</f>
        <v/>
      </c>
      <c r="M80" s="283">
        <f>(VLOOKUP($G80,'22F1187231'!$D$5:$N$4163,10,1))*O80</f>
        <v/>
      </c>
      <c r="N80" s="283">
        <f>SUM(L80:M80)</f>
        <v/>
      </c>
      <c r="O80" s="283" t="n">
        <v>1113210</v>
      </c>
      <c r="P80" s="283">
        <f>VLOOKUP(G80,'22F1187231'!$D$5:$J$4160,7,0)*O80-(SUM(J80:K80,M80))</f>
        <v/>
      </c>
      <c r="Q80" s="283">
        <f>(VLOOKUP(EOMONTH(G80,0),'22F1187231'!$D$5:$J$4160,7,0))*O80</f>
        <v/>
      </c>
      <c r="R80" s="283">
        <f>(VLOOKUP(G80,'22F1187231'!$D$5:$J$4160,4,0)-VLOOKUP(G80,'22F1187231'!$D$5:$J$4160,2,0))*O80</f>
        <v/>
      </c>
      <c r="S80" s="147" t="n"/>
    </row>
    <row r="81">
      <c r="A81" s="250">
        <f>CONCATENATE(C81,D81,E81)</f>
        <v/>
      </c>
      <c r="B81" s="250">
        <f>CONCATENATE(D81,E81)</f>
        <v/>
      </c>
      <c r="C81" s="250">
        <f>IF(D81&gt;=1,IF(D81&lt;=3,"1",IF(D81&gt;=4,IF(D81&lt;=6,"2",IF(D81&gt;=7,IF(D81&lt;=9,"3",IF(D81&gt;=10,IF(D81&lt;=12,"4","-"))))))))</f>
        <v/>
      </c>
      <c r="D81" s="250">
        <f>MONTH(G53)</f>
        <v/>
      </c>
      <c r="E81" s="250">
        <f>YEAR(G53)</f>
        <v/>
      </c>
      <c r="F81" s="142">
        <f>F80+1</f>
        <v/>
      </c>
      <c r="G81" s="282" t="n">
        <v>47112</v>
      </c>
      <c r="H81" s="143" t="n">
        <v>0.012961</v>
      </c>
      <c r="I81" s="144" t="n">
        <v>106</v>
      </c>
      <c r="J81" s="283">
        <f>IFERROR((VLOOKUP($G81,'22F1187231'!$D$3:$N$4160,8,1))*O81,0)</f>
        <v/>
      </c>
      <c r="K81" s="283">
        <f>VLOOKUP(G81,'22F1187231'!$D$5:$L$4163,9,0)*O81</f>
        <v/>
      </c>
      <c r="L81" s="283">
        <f>SUM(J81:K81)</f>
        <v/>
      </c>
      <c r="M81" s="283">
        <f>(VLOOKUP($G81,'22F1187231'!$D$5:$N$4163,10,1))*O81</f>
        <v/>
      </c>
      <c r="N81" s="283">
        <f>SUM(L81:M81)</f>
        <v/>
      </c>
      <c r="O81" s="283" t="n">
        <v>1113210</v>
      </c>
      <c r="P81" s="283">
        <f>VLOOKUP(G81,'22F1187231'!$D$5:$J$4160,7,0)*O81-(SUM(J81:K81,M81))</f>
        <v/>
      </c>
      <c r="Q81" s="283">
        <f>(VLOOKUP(EOMONTH(G81,0),'22F1187231'!$D$5:$J$4160,7,0))*O81</f>
        <v/>
      </c>
      <c r="R81" s="283">
        <f>(VLOOKUP(G81,'22F1187231'!$D$5:$J$4160,4,0)-VLOOKUP(G81,'22F1187231'!$D$5:$J$4160,2,0))*O81</f>
        <v/>
      </c>
      <c r="S81" s="147" t="n"/>
    </row>
    <row r="82">
      <c r="A82" s="250">
        <f>CONCATENATE(C82,D82,E82)</f>
        <v/>
      </c>
      <c r="B82" s="250">
        <f>CONCATENATE(D82,E82)</f>
        <v/>
      </c>
      <c r="C82" s="250">
        <f>IF(D82&gt;=1,IF(D82&lt;=3,"1",IF(D82&gt;=4,IF(D82&lt;=6,"2",IF(D82&gt;=7,IF(D82&lt;=9,"3",IF(D82&gt;=10,IF(D82&lt;=12,"4","-"))))))))</f>
        <v/>
      </c>
      <c r="D82" s="250">
        <f>MONTH(G54)</f>
        <v/>
      </c>
      <c r="E82" s="250">
        <f>YEAR(G54)</f>
        <v/>
      </c>
      <c r="F82" s="142">
        <f>F81+1</f>
        <v/>
      </c>
      <c r="G82" s="282" t="n">
        <v>47143</v>
      </c>
      <c r="H82" s="143" t="n">
        <v>0.013518</v>
      </c>
      <c r="I82" s="144" t="n">
        <v>107</v>
      </c>
      <c r="J82" s="283">
        <f>IFERROR((VLOOKUP($G82,'22F1187231'!$D$3:$N$4160,8,1))*O82,0)</f>
        <v/>
      </c>
      <c r="K82" s="283">
        <f>VLOOKUP(G82,'22F1187231'!$D$5:$L$4163,9,0)*O82</f>
        <v/>
      </c>
      <c r="L82" s="283">
        <f>SUM(J82:K82)</f>
        <v/>
      </c>
      <c r="M82" s="283">
        <f>(VLOOKUP($G82,'22F1187231'!$D$5:$N$4163,10,1))*O82</f>
        <v/>
      </c>
      <c r="N82" s="283">
        <f>SUM(L82:M82)</f>
        <v/>
      </c>
      <c r="O82" s="283" t="n">
        <v>1113210</v>
      </c>
      <c r="P82" s="283">
        <f>VLOOKUP(G82,'22F1187231'!$D$5:$J$4160,7,0)*O82-(SUM(J82:K82,M82))</f>
        <v/>
      </c>
      <c r="Q82" s="283">
        <f>(VLOOKUP(EOMONTH(G82,0),'22F1187231'!$D$5:$J$4160,7,0))*O82</f>
        <v/>
      </c>
      <c r="R82" s="283">
        <f>(VLOOKUP(G82,'22F1187231'!$D$5:$J$4160,4,0)-VLOOKUP(G82,'22F1187231'!$D$5:$J$4160,2,0))*O82</f>
        <v/>
      </c>
      <c r="S82" s="147" t="n"/>
    </row>
    <row r="83">
      <c r="A83" s="250">
        <f>CONCATENATE(C83,D83,E83)</f>
        <v/>
      </c>
      <c r="B83" s="250">
        <f>CONCATENATE(D83,E83)</f>
        <v/>
      </c>
      <c r="C83" s="250">
        <f>IF(D83&gt;=1,IF(D83&lt;=3,"1",IF(D83&gt;=4,IF(D83&lt;=6,"2",IF(D83&gt;=7,IF(D83&lt;=9,"3",IF(D83&gt;=10,IF(D83&lt;=12,"4","-"))))))))</f>
        <v/>
      </c>
      <c r="D83" s="250">
        <f>MONTH(G55)</f>
        <v/>
      </c>
      <c r="E83" s="250">
        <f>YEAR(G55)</f>
        <v/>
      </c>
      <c r="F83" s="142">
        <f>F82+1</f>
        <v/>
      </c>
      <c r="G83" s="282" t="n">
        <v>47174</v>
      </c>
      <c r="H83" s="143" t="n">
        <v>0.013841</v>
      </c>
      <c r="I83" s="144" t="n">
        <v>108</v>
      </c>
      <c r="J83" s="283">
        <f>IFERROR((VLOOKUP($G83,'22F1187231'!$D$3:$N$4160,8,1))*O83,0)</f>
        <v/>
      </c>
      <c r="K83" s="283">
        <f>VLOOKUP(G83,'22F1187231'!$D$5:$L$4163,9,0)*O83</f>
        <v/>
      </c>
      <c r="L83" s="283">
        <f>SUM(J83:K83)</f>
        <v/>
      </c>
      <c r="M83" s="283">
        <f>(VLOOKUP($G83,'22F1187231'!$D$5:$N$4163,10,1))*O83</f>
        <v/>
      </c>
      <c r="N83" s="283">
        <f>SUM(L83:M83)</f>
        <v/>
      </c>
      <c r="O83" s="283" t="n">
        <v>1113210</v>
      </c>
      <c r="P83" s="283">
        <f>VLOOKUP(G83,'22F1187231'!$D$5:$J$4160,7,0)*O83-(SUM(J83:K83,M83))</f>
        <v/>
      </c>
      <c r="Q83" s="283">
        <f>(VLOOKUP(EOMONTH(G83,0),'22F1187231'!$D$5:$J$4160,7,0))*O83</f>
        <v/>
      </c>
      <c r="R83" s="283">
        <f>(VLOOKUP(G83,'22F1187231'!$D$5:$J$4160,4,0)-VLOOKUP(G83,'22F1187231'!$D$5:$J$4160,2,0))*O83</f>
        <v/>
      </c>
      <c r="S83" s="147" t="n"/>
    </row>
    <row r="84">
      <c r="A84" s="250">
        <f>CONCATENATE(C84,D84,E84)</f>
        <v/>
      </c>
      <c r="B84" s="250">
        <f>CONCATENATE(D84,E84)</f>
        <v/>
      </c>
      <c r="C84" s="250">
        <f>IF(D84&gt;=1,IF(D84&lt;=3,"1",IF(D84&gt;=4,IF(D84&lt;=6,"2",IF(D84&gt;=7,IF(D84&lt;=9,"3",IF(D84&gt;=10,IF(D84&lt;=12,"4","-"))))))))</f>
        <v/>
      </c>
      <c r="D84" s="250">
        <f>MONTH(G56)</f>
        <v/>
      </c>
      <c r="E84" s="250">
        <f>YEAR(G56)</f>
        <v/>
      </c>
      <c r="F84" s="142">
        <f>F83+1</f>
        <v/>
      </c>
      <c r="G84" s="282" t="n">
        <v>47202</v>
      </c>
      <c r="H84" s="143" t="n">
        <v>0.014139</v>
      </c>
      <c r="I84" s="144" t="n">
        <v>109</v>
      </c>
      <c r="J84" s="283">
        <f>IFERROR((VLOOKUP($G84,'22F1187231'!$D$3:$N$4160,8,1))*O84,0)</f>
        <v/>
      </c>
      <c r="K84" s="283">
        <f>VLOOKUP(G84,'22F1187231'!$D$5:$L$4163,9,0)*O84</f>
        <v/>
      </c>
      <c r="L84" s="283">
        <f>SUM(J84:K84)</f>
        <v/>
      </c>
      <c r="M84" s="283">
        <f>(VLOOKUP($G84,'22F1187231'!$D$5:$N$4163,10,1))*O84</f>
        <v/>
      </c>
      <c r="N84" s="283">
        <f>SUM(L84:M84)</f>
        <v/>
      </c>
      <c r="O84" s="283" t="n">
        <v>1113210</v>
      </c>
      <c r="P84" s="283">
        <f>VLOOKUP(G84,'22F1187231'!$D$5:$J$4160,7,0)*O84-(SUM(J84:K84,M84))</f>
        <v/>
      </c>
      <c r="Q84" s="283">
        <f>(VLOOKUP(EOMONTH(G84,0),'22F1187231'!$D$5:$J$4160,7,0))*O84</f>
        <v/>
      </c>
      <c r="R84" s="283">
        <f>(VLOOKUP(G84,'22F1187231'!$D$5:$J$4160,4,0)-VLOOKUP(G84,'22F1187231'!$D$5:$J$4160,2,0))*O84</f>
        <v/>
      </c>
      <c r="S84" s="147" t="n"/>
    </row>
    <row r="85">
      <c r="A85" s="250">
        <f>CONCATENATE(C85,D85,E85)</f>
        <v/>
      </c>
      <c r="B85" s="250">
        <f>CONCATENATE(D85,E85)</f>
        <v/>
      </c>
      <c r="C85" s="250">
        <f>IF(D85&gt;=1,IF(D85&lt;=3,"1",IF(D85&gt;=4,IF(D85&lt;=6,"2",IF(D85&gt;=7,IF(D85&lt;=9,"3",IF(D85&gt;=10,IF(D85&lt;=12,"4","-"))))))))</f>
        <v/>
      </c>
      <c r="D85" s="250">
        <f>MONTH(G57)</f>
        <v/>
      </c>
      <c r="E85" s="250">
        <f>YEAR(G57)</f>
        <v/>
      </c>
      <c r="F85" s="142">
        <f>F84+1</f>
        <v/>
      </c>
      <c r="G85" s="282" t="n">
        <v>47233</v>
      </c>
      <c r="H85" s="143" t="n">
        <v>0.014422</v>
      </c>
      <c r="I85" s="144" t="n">
        <v>110</v>
      </c>
      <c r="J85" s="283">
        <f>IFERROR((VLOOKUP($G85,'22F1187231'!$D$3:$N$4160,8,1))*O85,0)</f>
        <v/>
      </c>
      <c r="K85" s="283">
        <f>VLOOKUP(G85,'22F1187231'!$D$5:$L$4163,9,0)*O85</f>
        <v/>
      </c>
      <c r="L85" s="283">
        <f>SUM(J85:K85)</f>
        <v/>
      </c>
      <c r="M85" s="283">
        <f>(VLOOKUP($G85,'22F1187231'!$D$5:$N$4163,10,1))*O85</f>
        <v/>
      </c>
      <c r="N85" s="283">
        <f>SUM(L85:M85)</f>
        <v/>
      </c>
      <c r="O85" s="283" t="n">
        <v>1113210</v>
      </c>
      <c r="P85" s="283">
        <f>VLOOKUP(G85,'22F1187231'!$D$5:$J$4160,7,0)*O85-(SUM(J85:K85,M85))</f>
        <v/>
      </c>
      <c r="Q85" s="283">
        <f>(VLOOKUP(EOMONTH(G85,0),'22F1187231'!$D$5:$J$4160,7,0))*O85</f>
        <v/>
      </c>
      <c r="R85" s="283">
        <f>(VLOOKUP(G85,'22F1187231'!$D$5:$J$4160,4,0)-VLOOKUP(G85,'22F1187231'!$D$5:$J$4160,2,0))*O85</f>
        <v/>
      </c>
      <c r="S85" s="147" t="n"/>
    </row>
    <row r="86">
      <c r="A86" s="250">
        <f>CONCATENATE(C86,D86,E86)</f>
        <v/>
      </c>
      <c r="B86" s="250">
        <f>CONCATENATE(D86,E86)</f>
        <v/>
      </c>
      <c r="C86" s="250">
        <f>IF(D86&gt;=1,IF(D86&lt;=3,"1",IF(D86&gt;=4,IF(D86&lt;=6,"2",IF(D86&gt;=7,IF(D86&lt;=9,"3",IF(D86&gt;=10,IF(D86&lt;=12,"4","-"))))))))</f>
        <v/>
      </c>
      <c r="D86" s="250">
        <f>MONTH(G58)</f>
        <v/>
      </c>
      <c r="E86" s="250">
        <f>YEAR(G58)</f>
        <v/>
      </c>
      <c r="F86" s="142">
        <f>F85+1</f>
        <v/>
      </c>
      <c r="G86" s="282" t="n">
        <v>47263</v>
      </c>
      <c r="H86" s="143" t="n">
        <v>0.014716</v>
      </c>
      <c r="I86" s="144" t="n">
        <v>111</v>
      </c>
      <c r="J86" s="283">
        <f>IFERROR((VLOOKUP($G86,'22F1187231'!$D$3:$N$4160,8,1))*O86,0)</f>
        <v/>
      </c>
      <c r="K86" s="283">
        <f>VLOOKUP(G86,'22F1187231'!$D$5:$L$4163,9,0)*O86</f>
        <v/>
      </c>
      <c r="L86" s="283">
        <f>SUM(J86:K86)</f>
        <v/>
      </c>
      <c r="M86" s="283">
        <f>(VLOOKUP($G86,'22F1187231'!$D$5:$N$4163,10,1))*O86</f>
        <v/>
      </c>
      <c r="N86" s="283">
        <f>SUM(L86:M86)</f>
        <v/>
      </c>
      <c r="O86" s="283" t="n">
        <v>1113210</v>
      </c>
      <c r="P86" s="283">
        <f>VLOOKUP(G86,'22F1187231'!$D$5:$J$4160,7,0)*O86-(SUM(J86:K86,M86))</f>
        <v/>
      </c>
      <c r="Q86" s="283">
        <f>(VLOOKUP(EOMONTH(G86,0),'22F1187231'!$D$5:$J$4160,7,0))*O86</f>
        <v/>
      </c>
      <c r="R86" s="283">
        <f>(VLOOKUP(G86,'22F1187231'!$D$5:$J$4160,4,0)-VLOOKUP(G86,'22F1187231'!$D$5:$J$4160,2,0))*O86</f>
        <v/>
      </c>
      <c r="S86" s="147" t="n"/>
    </row>
    <row r="87">
      <c r="A87" s="250">
        <f>CONCATENATE(C87,D87,E87)</f>
        <v/>
      </c>
      <c r="B87" s="250">
        <f>CONCATENATE(D87,E87)</f>
        <v/>
      </c>
      <c r="C87" s="250">
        <f>IF(D87&gt;=1,IF(D87&lt;=3,"1",IF(D87&gt;=4,IF(D87&lt;=6,"2",IF(D87&gt;=7,IF(D87&lt;=9,"3",IF(D87&gt;=10,IF(D87&lt;=12,"4","-"))))))))</f>
        <v/>
      </c>
      <c r="D87" s="250">
        <f>MONTH(G59)</f>
        <v/>
      </c>
      <c r="E87" s="250">
        <f>YEAR(G59)</f>
        <v/>
      </c>
      <c r="F87" s="142">
        <f>F86+1</f>
        <v/>
      </c>
      <c r="G87" s="282" t="n">
        <v>47294</v>
      </c>
      <c r="H87" s="143" t="n">
        <v>0.01502</v>
      </c>
      <c r="I87" s="144" t="n">
        <v>112</v>
      </c>
      <c r="J87" s="283">
        <f>IFERROR((VLOOKUP($G87,'22F1187231'!$D$3:$N$4160,8,1))*O87,0)</f>
        <v/>
      </c>
      <c r="K87" s="283">
        <f>VLOOKUP(G87,'22F1187231'!$D$5:$L$4163,9,0)*O87</f>
        <v/>
      </c>
      <c r="L87" s="283">
        <f>SUM(J87:K87)</f>
        <v/>
      </c>
      <c r="M87" s="283">
        <f>(VLOOKUP($G87,'22F1187231'!$D$5:$N$4163,10,1))*O87</f>
        <v/>
      </c>
      <c r="N87" s="283">
        <f>SUM(L87:M87)</f>
        <v/>
      </c>
      <c r="O87" s="283" t="n">
        <v>1113210</v>
      </c>
      <c r="P87" s="283">
        <f>VLOOKUP(G87,'22F1187231'!$D$5:$J$4160,7,0)*O87-(SUM(J87:K87,M87))</f>
        <v/>
      </c>
      <c r="Q87" s="283">
        <f>(VLOOKUP(EOMONTH(G87,0),'22F1187231'!$D$5:$J$4160,7,0))*O87</f>
        <v/>
      </c>
      <c r="R87" s="283">
        <f>(VLOOKUP(G87,'22F1187231'!$D$5:$J$4160,4,0)-VLOOKUP(G87,'22F1187231'!$D$5:$J$4160,2,0))*O87</f>
        <v/>
      </c>
      <c r="S87" s="147" t="n"/>
    </row>
    <row r="88">
      <c r="A88" s="250">
        <f>CONCATENATE(C88,D88,E88)</f>
        <v/>
      </c>
      <c r="B88" s="250">
        <f>CONCATENATE(D88,E88)</f>
        <v/>
      </c>
      <c r="C88" s="250">
        <f>IF(D88&gt;=1,IF(D88&lt;=3,"1",IF(D88&gt;=4,IF(D88&lt;=6,"2",IF(D88&gt;=7,IF(D88&lt;=9,"3",IF(D88&gt;=10,IF(D88&lt;=12,"4","-"))))))))</f>
        <v/>
      </c>
      <c r="D88" s="250">
        <f>MONTH(G60)</f>
        <v/>
      </c>
      <c r="E88" s="250">
        <f>YEAR(G60)</f>
        <v/>
      </c>
      <c r="F88" s="142">
        <f>F87+1</f>
        <v/>
      </c>
      <c r="G88" s="282" t="n">
        <v>47324</v>
      </c>
      <c r="H88" s="143" t="n">
        <v>0.015336</v>
      </c>
      <c r="I88" s="144" t="n">
        <v>113</v>
      </c>
      <c r="J88" s="283">
        <f>IFERROR((VLOOKUP($G88,'22F1187231'!$D$3:$N$4160,8,1))*O88,0)</f>
        <v/>
      </c>
      <c r="K88" s="283">
        <f>VLOOKUP(G88,'22F1187231'!$D$5:$L$4163,9,0)*O88</f>
        <v/>
      </c>
      <c r="L88" s="283">
        <f>SUM(J88:K88)</f>
        <v/>
      </c>
      <c r="M88" s="283">
        <f>(VLOOKUP($G88,'22F1187231'!$D$5:$N$4163,10,1))*O88</f>
        <v/>
      </c>
      <c r="N88" s="283">
        <f>SUM(L88:M88)</f>
        <v/>
      </c>
      <c r="O88" s="283" t="n">
        <v>1113210</v>
      </c>
      <c r="P88" s="283">
        <f>VLOOKUP(G88,'22F1187231'!$D$5:$J$4160,7,0)*O88-(SUM(J88:K88,M88))</f>
        <v/>
      </c>
      <c r="Q88" s="283">
        <f>(VLOOKUP(EOMONTH(G88,0),'22F1187231'!$D$5:$J$4160,7,0))*O88</f>
        <v/>
      </c>
      <c r="R88" s="283">
        <f>(VLOOKUP(G88,'22F1187231'!$D$5:$J$4160,4,0)-VLOOKUP(G88,'22F1187231'!$D$5:$J$4160,2,0))*O88</f>
        <v/>
      </c>
      <c r="S88" s="147" t="n"/>
    </row>
    <row r="89">
      <c r="A89" s="250">
        <f>CONCATENATE(C89,D89,E89)</f>
        <v/>
      </c>
      <c r="B89" s="250">
        <f>CONCATENATE(D89,E89)</f>
        <v/>
      </c>
      <c r="C89" s="250">
        <f>IF(D89&gt;=1,IF(D89&lt;=3,"1",IF(D89&gt;=4,IF(D89&lt;=6,"2",IF(D89&gt;=7,IF(D89&lt;=9,"3",IF(D89&gt;=10,IF(D89&lt;=12,"4","-"))))))))</f>
        <v/>
      </c>
      <c r="D89" s="250">
        <f>MONTH(G61)</f>
        <v/>
      </c>
      <c r="E89" s="250">
        <f>YEAR(G61)</f>
        <v/>
      </c>
      <c r="F89" s="142">
        <f>F88+1</f>
        <v/>
      </c>
      <c r="G89" s="282" t="n">
        <v>47355</v>
      </c>
      <c r="H89" s="143" t="n">
        <v>0.015663</v>
      </c>
      <c r="I89" s="144" t="n">
        <v>114</v>
      </c>
      <c r="J89" s="283">
        <f>IFERROR((VLOOKUP($G89,'22F1187231'!$D$3:$N$4160,8,1))*O89,0)</f>
        <v/>
      </c>
      <c r="K89" s="283">
        <f>VLOOKUP(G89,'22F1187231'!$D$5:$L$4163,9,0)*O89</f>
        <v/>
      </c>
      <c r="L89" s="283">
        <f>SUM(J89:K89)</f>
        <v/>
      </c>
      <c r="M89" s="283">
        <f>(VLOOKUP($G89,'22F1187231'!$D$5:$N$4163,10,1))*O89</f>
        <v/>
      </c>
      <c r="N89" s="283">
        <f>SUM(L89:M89)</f>
        <v/>
      </c>
      <c r="O89" s="283" t="n">
        <v>1113210</v>
      </c>
      <c r="P89" s="283">
        <f>VLOOKUP(G89,'22F1187231'!$D$5:$J$4160,7,0)*O89-(SUM(J89:K89,M89))</f>
        <v/>
      </c>
      <c r="Q89" s="283">
        <f>(VLOOKUP(EOMONTH(G89,0),'22F1187231'!$D$5:$J$4160,7,0))*O89</f>
        <v/>
      </c>
      <c r="R89" s="283">
        <f>(VLOOKUP(G89,'22F1187231'!$D$5:$J$4160,4,0)-VLOOKUP(G89,'22F1187231'!$D$5:$J$4160,2,0))*O89</f>
        <v/>
      </c>
      <c r="S89" s="147" t="n"/>
    </row>
    <row r="90">
      <c r="A90" s="250">
        <f>CONCATENATE(C90,D90,E90)</f>
        <v/>
      </c>
      <c r="B90" s="250">
        <f>CONCATENATE(D90,E90)</f>
        <v/>
      </c>
      <c r="C90" s="250">
        <f>IF(D90&gt;=1,IF(D90&lt;=3,"1",IF(D90&gt;=4,IF(D90&lt;=6,"2",IF(D90&gt;=7,IF(D90&lt;=9,"3",IF(D90&gt;=10,IF(D90&lt;=12,"4","-"))))))))</f>
        <v/>
      </c>
      <c r="D90" s="250">
        <f>MONTH(G62)</f>
        <v/>
      </c>
      <c r="E90" s="250">
        <f>YEAR(G62)</f>
        <v/>
      </c>
      <c r="F90" s="142">
        <f>F89+1</f>
        <v/>
      </c>
      <c r="G90" s="282" t="n">
        <v>47386</v>
      </c>
      <c r="H90" s="143" t="n">
        <v>0.016002</v>
      </c>
      <c r="I90" s="144" t="n">
        <v>115</v>
      </c>
      <c r="J90" s="283">
        <f>IFERROR((VLOOKUP($G90,'22F1187231'!$D$3:$N$4160,8,1))*O90,0)</f>
        <v/>
      </c>
      <c r="K90" s="283">
        <f>VLOOKUP(G90,'22F1187231'!$D$5:$L$4163,9,0)*O90</f>
        <v/>
      </c>
      <c r="L90" s="283">
        <f>SUM(J90:K90)</f>
        <v/>
      </c>
      <c r="M90" s="283">
        <f>(VLOOKUP($G90,'22F1187231'!$D$5:$N$4163,10,1))*O90</f>
        <v/>
      </c>
      <c r="N90" s="283">
        <f>SUM(L90:M90)</f>
        <v/>
      </c>
      <c r="O90" s="283" t="n">
        <v>1113210</v>
      </c>
      <c r="P90" s="283">
        <f>VLOOKUP(G90,'22F1187231'!$D$5:$J$4160,7,0)*O90-(SUM(J90:K90,M90))</f>
        <v/>
      </c>
      <c r="Q90" s="283">
        <f>(VLOOKUP(EOMONTH(G90,0),'22F1187231'!$D$5:$J$4160,7,0))*O90</f>
        <v/>
      </c>
      <c r="R90" s="283">
        <f>(VLOOKUP(G90,'22F1187231'!$D$5:$J$4160,4,0)-VLOOKUP(G90,'22F1187231'!$D$5:$J$4160,2,0))*O90</f>
        <v/>
      </c>
      <c r="S90" s="147" t="n"/>
    </row>
    <row r="91">
      <c r="A91" s="250">
        <f>CONCATENATE(C91,D91,E91)</f>
        <v/>
      </c>
      <c r="B91" s="250">
        <f>CONCATENATE(D91,E91)</f>
        <v/>
      </c>
      <c r="C91" s="250">
        <f>IF(D91&gt;=1,IF(D91&lt;=3,"1",IF(D91&gt;=4,IF(D91&lt;=6,"2",IF(D91&gt;=7,IF(D91&lt;=9,"3",IF(D91&gt;=10,IF(D91&lt;=12,"4","-"))))))))</f>
        <v/>
      </c>
      <c r="D91" s="250">
        <f>MONTH(G63)</f>
        <v/>
      </c>
      <c r="E91" s="250">
        <f>YEAR(G63)</f>
        <v/>
      </c>
      <c r="F91" s="142">
        <f>F90+1</f>
        <v/>
      </c>
      <c r="G91" s="282" t="n">
        <v>47416</v>
      </c>
      <c r="H91" s="143" t="n">
        <v>0.016379</v>
      </c>
      <c r="I91" s="144" t="n">
        <v>116</v>
      </c>
      <c r="J91" s="283">
        <f>IFERROR((VLOOKUP($G91,'22F1187231'!$D$3:$N$4160,8,1))*O91,0)</f>
        <v/>
      </c>
      <c r="K91" s="283">
        <f>VLOOKUP(G91,'22F1187231'!$D$5:$L$4163,9,0)*O91</f>
        <v/>
      </c>
      <c r="L91" s="283">
        <f>SUM(J91:K91)</f>
        <v/>
      </c>
      <c r="M91" s="283">
        <f>(VLOOKUP($G91,'22F1187231'!$D$5:$N$4163,10,1))*O91</f>
        <v/>
      </c>
      <c r="N91" s="283">
        <f>SUM(L91:M91)</f>
        <v/>
      </c>
      <c r="O91" s="283" t="n">
        <v>1113210</v>
      </c>
      <c r="P91" s="283">
        <f>VLOOKUP(G91,'22F1187231'!$D$5:$J$4160,7,0)*O91-(SUM(J91:K91,M91))</f>
        <v/>
      </c>
      <c r="Q91" s="283">
        <f>(VLOOKUP(EOMONTH(G91,0),'22F1187231'!$D$5:$J$4160,7,0))*O91</f>
        <v/>
      </c>
      <c r="R91" s="283">
        <f>(VLOOKUP(G91,'22F1187231'!$D$5:$J$4160,4,0)-VLOOKUP(G91,'22F1187231'!$D$5:$J$4160,2,0))*O91</f>
        <v/>
      </c>
      <c r="S91" s="147" t="n"/>
    </row>
    <row r="92">
      <c r="A92" s="250">
        <f>CONCATENATE(C92,D92,E92)</f>
        <v/>
      </c>
      <c r="B92" s="250">
        <f>CONCATENATE(D92,E92)</f>
        <v/>
      </c>
      <c r="C92" s="250">
        <f>IF(D92&gt;=1,IF(D92&lt;=3,"1",IF(D92&gt;=4,IF(D92&lt;=6,"2",IF(D92&gt;=7,IF(D92&lt;=9,"3",IF(D92&gt;=10,IF(D92&lt;=12,"4","-"))))))))</f>
        <v/>
      </c>
      <c r="D92" s="250">
        <f>MONTH(G64)</f>
        <v/>
      </c>
      <c r="E92" s="250">
        <f>YEAR(G64)</f>
        <v/>
      </c>
      <c r="F92" s="142">
        <f>F91+1</f>
        <v/>
      </c>
      <c r="G92" s="282" t="n">
        <v>47447</v>
      </c>
      <c r="H92" s="143" t="n">
        <v>0.016746</v>
      </c>
      <c r="I92" s="144" t="n">
        <v>117</v>
      </c>
      <c r="J92" s="283">
        <f>IFERROR((VLOOKUP($G92,'22F1187231'!$D$3:$N$4160,8,1))*O92,0)</f>
        <v/>
      </c>
      <c r="K92" s="283">
        <f>VLOOKUP(G92,'22F1187231'!$D$5:$L$4163,9,0)*O92</f>
        <v/>
      </c>
      <c r="L92" s="283">
        <f>SUM(J92:K92)</f>
        <v/>
      </c>
      <c r="M92" s="283">
        <f>(VLOOKUP($G92,'22F1187231'!$D$5:$N$4163,10,1))*O92</f>
        <v/>
      </c>
      <c r="N92" s="283">
        <f>SUM(L92:M92)</f>
        <v/>
      </c>
      <c r="O92" s="283" t="n">
        <v>1113210</v>
      </c>
      <c r="P92" s="283">
        <f>VLOOKUP(G92,'22F1187231'!$D$5:$J$4160,7,0)*O92-(SUM(J92:K92,M92))</f>
        <v/>
      </c>
      <c r="Q92" s="283">
        <f>(VLOOKUP(EOMONTH(G92,0),'22F1187231'!$D$5:$J$4160,7,0))*O92</f>
        <v/>
      </c>
      <c r="R92" s="283">
        <f>(VLOOKUP(G92,'22F1187231'!$D$5:$J$4160,4,0)-VLOOKUP(G92,'22F1187231'!$D$5:$J$4160,2,0))*O92</f>
        <v/>
      </c>
      <c r="S92" s="147" t="n"/>
    </row>
    <row r="93">
      <c r="A93" s="250">
        <f>CONCATENATE(C93,D93,E93)</f>
        <v/>
      </c>
      <c r="B93" s="250">
        <f>CONCATENATE(D93,E93)</f>
        <v/>
      </c>
      <c r="C93" s="250">
        <f>IF(D93&gt;=1,IF(D93&lt;=3,"1",IF(D93&gt;=4,IF(D93&lt;=6,"2",IF(D93&gt;=7,IF(D93&lt;=9,"3",IF(D93&gt;=10,IF(D93&lt;=12,"4","-"))))))))</f>
        <v/>
      </c>
      <c r="D93" s="250">
        <f>MONTH(G65)</f>
        <v/>
      </c>
      <c r="E93" s="250">
        <f>YEAR(G65)</f>
        <v/>
      </c>
      <c r="F93" s="142">
        <f>F92+1</f>
        <v/>
      </c>
      <c r="G93" s="282" t="n">
        <v>47477</v>
      </c>
      <c r="H93" s="143" t="n">
        <v>0.017319</v>
      </c>
      <c r="I93" s="144" t="n">
        <v>118</v>
      </c>
      <c r="J93" s="283">
        <f>IFERROR((VLOOKUP($G93,'22F1187231'!$D$3:$N$4160,8,1))*O93,0)</f>
        <v/>
      </c>
      <c r="K93" s="283">
        <f>VLOOKUP(G93,'22F1187231'!$D$5:$L$4163,9,0)*O93</f>
        <v/>
      </c>
      <c r="L93" s="283">
        <f>SUM(J93:K93)</f>
        <v/>
      </c>
      <c r="M93" s="283">
        <f>(VLOOKUP($G93,'22F1187231'!$D$5:$N$4163,10,1))*O93</f>
        <v/>
      </c>
      <c r="N93" s="283">
        <f>SUM(L93:M93)</f>
        <v/>
      </c>
      <c r="O93" s="283" t="n">
        <v>1113210</v>
      </c>
      <c r="P93" s="283">
        <f>VLOOKUP(G93,'22F1187231'!$D$5:$J$4160,7,0)*O93-(SUM(J93:K93,M93))</f>
        <v/>
      </c>
      <c r="Q93" s="283">
        <f>(VLOOKUP(EOMONTH(G93,0),'22F1187231'!$D$5:$J$4160,7,0))*O93</f>
        <v/>
      </c>
      <c r="R93" s="283">
        <f>(VLOOKUP(G93,'22F1187231'!$D$5:$J$4160,4,0)-VLOOKUP(G93,'22F1187231'!$D$5:$J$4160,2,0))*O93</f>
        <v/>
      </c>
      <c r="S93" s="147" t="n"/>
    </row>
    <row r="94">
      <c r="A94" s="250">
        <f>CONCATENATE(C94,D94,E94)</f>
        <v/>
      </c>
      <c r="B94" s="250">
        <f>CONCATENATE(D94,E94)</f>
        <v/>
      </c>
      <c r="C94" s="250">
        <f>IF(D94&gt;=1,IF(D94&lt;=3,"1",IF(D94&gt;=4,IF(D94&lt;=6,"2",IF(D94&gt;=7,IF(D94&lt;=9,"3",IF(D94&gt;=10,IF(D94&lt;=12,"4","-"))))))))</f>
        <v/>
      </c>
      <c r="D94" s="250">
        <f>MONTH(G66)</f>
        <v/>
      </c>
      <c r="E94" s="250">
        <f>YEAR(G66)</f>
        <v/>
      </c>
      <c r="F94" s="142">
        <f>F93+1</f>
        <v/>
      </c>
      <c r="G94" s="282" t="n">
        <v>47508</v>
      </c>
      <c r="H94" s="143" t="n">
        <v>0.018109</v>
      </c>
      <c r="I94" s="144" t="n">
        <v>119</v>
      </c>
      <c r="J94" s="283">
        <f>IFERROR((VLOOKUP($G94,'22F1187231'!$D$3:$N$4160,8,1))*O94,0)</f>
        <v/>
      </c>
      <c r="K94" s="283">
        <f>VLOOKUP(G94,'22F1187231'!$D$5:$L$4163,9,0)*O94</f>
        <v/>
      </c>
      <c r="L94" s="283">
        <f>SUM(J94:K94)</f>
        <v/>
      </c>
      <c r="M94" s="283">
        <f>(VLOOKUP($G94,'22F1187231'!$D$5:$N$4163,10,1))*O94</f>
        <v/>
      </c>
      <c r="N94" s="283">
        <f>SUM(L94:M94)</f>
        <v/>
      </c>
      <c r="O94" s="283" t="n">
        <v>1113210</v>
      </c>
      <c r="P94" s="283">
        <f>VLOOKUP(G94,'22F1187231'!$D$5:$J$4160,7,0)*O94-(SUM(J94:K94,M94))</f>
        <v/>
      </c>
      <c r="Q94" s="283">
        <f>(VLOOKUP(EOMONTH(G94,0),'22F1187231'!$D$5:$J$4160,7,0))*O94</f>
        <v/>
      </c>
      <c r="R94" s="283">
        <f>(VLOOKUP(G94,'22F1187231'!$D$5:$J$4160,4,0)-VLOOKUP(G94,'22F1187231'!$D$5:$J$4160,2,0))*O94</f>
        <v/>
      </c>
      <c r="S94" s="147" t="n"/>
    </row>
    <row r="95">
      <c r="A95" s="250">
        <f>CONCATENATE(C95,D95,E95)</f>
        <v/>
      </c>
      <c r="B95" s="250">
        <f>CONCATENATE(D95,E95)</f>
        <v/>
      </c>
      <c r="C95" s="250">
        <f>IF(D95&gt;=1,IF(D95&lt;=3,"1",IF(D95&gt;=4,IF(D95&lt;=6,"2",IF(D95&gt;=7,IF(D95&lt;=9,"3",IF(D95&gt;=10,IF(D95&lt;=12,"4","-"))))))))</f>
        <v/>
      </c>
      <c r="D95" s="250">
        <f>MONTH(G67)</f>
        <v/>
      </c>
      <c r="E95" s="250">
        <f>YEAR(G67)</f>
        <v/>
      </c>
      <c r="F95" s="142">
        <f>F94+1</f>
        <v/>
      </c>
      <c r="G95" s="282" t="n">
        <v>47539</v>
      </c>
      <c r="H95" s="143" t="n">
        <v>0.018623</v>
      </c>
      <c r="I95" s="144" t="n">
        <v>120</v>
      </c>
      <c r="J95" s="283">
        <f>IFERROR((VLOOKUP($G95,'22F1187231'!$D$3:$N$4160,8,1))*O95,0)</f>
        <v/>
      </c>
      <c r="K95" s="283">
        <f>VLOOKUP(G95,'22F1187231'!$D$5:$L$4163,9,0)*O95</f>
        <v/>
      </c>
      <c r="L95" s="283">
        <f>SUM(J95:K95)</f>
        <v/>
      </c>
      <c r="M95" s="283">
        <f>(VLOOKUP($G95,'22F1187231'!$D$5:$N$4163,10,1))*O95</f>
        <v/>
      </c>
      <c r="N95" s="283">
        <f>SUM(L95:M95)</f>
        <v/>
      </c>
      <c r="O95" s="283" t="n">
        <v>1113210</v>
      </c>
      <c r="P95" s="283">
        <f>VLOOKUP(G95,'22F1187231'!$D$5:$J$4160,7,0)*O95-(SUM(J95:K95,M95))</f>
        <v/>
      </c>
      <c r="Q95" s="283">
        <f>(VLOOKUP(EOMONTH(G95,0),'22F1187231'!$D$5:$J$4160,7,0))*O95</f>
        <v/>
      </c>
      <c r="R95" s="283">
        <f>(VLOOKUP(G95,'22F1187231'!$D$5:$J$4160,4,0)-VLOOKUP(G95,'22F1187231'!$D$5:$J$4160,2,0))*O95</f>
        <v/>
      </c>
      <c r="S95" s="147" t="n"/>
    </row>
    <row r="96">
      <c r="A96" s="250">
        <f>CONCATENATE(C96,D96,E96)</f>
        <v/>
      </c>
      <c r="B96" s="250">
        <f>CONCATENATE(D96,E96)</f>
        <v/>
      </c>
      <c r="C96" s="250">
        <f>IF(D96&gt;=1,IF(D96&lt;=3,"1",IF(D96&gt;=4,IF(D96&lt;=6,"2",IF(D96&gt;=7,IF(D96&lt;=9,"3",IF(D96&gt;=10,IF(D96&lt;=12,"4","-"))))))))</f>
        <v/>
      </c>
      <c r="D96" s="250">
        <f>MONTH(G68)</f>
        <v/>
      </c>
      <c r="E96" s="250">
        <f>YEAR(G68)</f>
        <v/>
      </c>
      <c r="F96" s="142">
        <f>F95+1</f>
        <v/>
      </c>
      <c r="G96" s="282" t="n">
        <v>47567</v>
      </c>
      <c r="H96" s="143" t="n">
        <v>0.019113</v>
      </c>
      <c r="I96" s="144" t="n">
        <v>121</v>
      </c>
      <c r="J96" s="283">
        <f>IFERROR((VLOOKUP($G96,'22F1187231'!$D$3:$N$4160,8,1))*O96,0)</f>
        <v/>
      </c>
      <c r="K96" s="283">
        <f>VLOOKUP(G96,'22F1187231'!$D$5:$L$4163,9,0)*O96</f>
        <v/>
      </c>
      <c r="L96" s="283">
        <f>SUM(J96:K96)</f>
        <v/>
      </c>
      <c r="M96" s="283">
        <f>(VLOOKUP($G96,'22F1187231'!$D$5:$N$4163,10,1))*O96</f>
        <v/>
      </c>
      <c r="N96" s="283">
        <f>SUM(L96:M96)</f>
        <v/>
      </c>
      <c r="O96" s="283" t="n">
        <v>1113210</v>
      </c>
      <c r="P96" s="283">
        <f>VLOOKUP(G96,'22F1187231'!$D$5:$J$4160,7,0)*O96-(SUM(J96:K96,M96))</f>
        <v/>
      </c>
      <c r="Q96" s="283">
        <f>(VLOOKUP(EOMONTH(G96,0),'22F1187231'!$D$5:$J$4160,7,0))*O96</f>
        <v/>
      </c>
      <c r="R96" s="283">
        <f>(VLOOKUP(G96,'22F1187231'!$D$5:$J$4160,4,0)-VLOOKUP(G96,'22F1187231'!$D$5:$J$4160,2,0))*O96</f>
        <v/>
      </c>
      <c r="S96" s="147" t="n"/>
    </row>
    <row r="97">
      <c r="A97" s="250">
        <f>CONCATENATE(C97,D97,E97)</f>
        <v/>
      </c>
      <c r="B97" s="250">
        <f>CONCATENATE(D97,E97)</f>
        <v/>
      </c>
      <c r="C97" s="250">
        <f>IF(D97&gt;=1,IF(D97&lt;=3,"1",IF(D97&gt;=4,IF(D97&lt;=6,"2",IF(D97&gt;=7,IF(D97&lt;=9,"3",IF(D97&gt;=10,IF(D97&lt;=12,"4","-"))))))))</f>
        <v/>
      </c>
      <c r="D97" s="250">
        <f>MONTH(G69)</f>
        <v/>
      </c>
      <c r="E97" s="250">
        <f>YEAR(G69)</f>
        <v/>
      </c>
      <c r="F97" s="142">
        <f>F96+1</f>
        <v/>
      </c>
      <c r="G97" s="282" t="n">
        <v>47598</v>
      </c>
      <c r="H97" s="143" t="n">
        <v>0.019595</v>
      </c>
      <c r="I97" s="144" t="n">
        <v>122</v>
      </c>
      <c r="J97" s="283">
        <f>IFERROR((VLOOKUP($G97,'22F1187231'!$D$3:$N$4160,8,1))*O97,0)</f>
        <v/>
      </c>
      <c r="K97" s="283">
        <f>VLOOKUP(G97,'22F1187231'!$D$5:$L$4163,9,0)*O97</f>
        <v/>
      </c>
      <c r="L97" s="283">
        <f>SUM(J97:K97)</f>
        <v/>
      </c>
      <c r="M97" s="283">
        <f>(VLOOKUP($G97,'22F1187231'!$D$5:$N$4163,10,1))*O97</f>
        <v/>
      </c>
      <c r="N97" s="283">
        <f>SUM(L97:M97)</f>
        <v/>
      </c>
      <c r="O97" s="283" t="n">
        <v>1113210</v>
      </c>
      <c r="P97" s="283">
        <f>VLOOKUP(G97,'22F1187231'!$D$5:$J$4160,7,0)*O97-(SUM(J97:K97,M97))</f>
        <v/>
      </c>
      <c r="Q97" s="283">
        <f>(VLOOKUP(EOMONTH(G97,0),'22F1187231'!$D$5:$J$4160,7,0))*O97</f>
        <v/>
      </c>
      <c r="R97" s="283">
        <f>(VLOOKUP(G97,'22F1187231'!$D$5:$J$4160,4,0)-VLOOKUP(G97,'22F1187231'!$D$5:$J$4160,2,0))*O97</f>
        <v/>
      </c>
      <c r="S97" s="147" t="n"/>
    </row>
    <row r="98">
      <c r="A98" s="250">
        <f>CONCATENATE(C98,D98,E98)</f>
        <v/>
      </c>
      <c r="B98" s="250">
        <f>CONCATENATE(D98,E98)</f>
        <v/>
      </c>
      <c r="C98" s="250">
        <f>IF(D98&gt;=1,IF(D98&lt;=3,"1",IF(D98&gt;=4,IF(D98&lt;=6,"2",IF(D98&gt;=7,IF(D98&lt;=9,"3",IF(D98&gt;=10,IF(D98&lt;=12,"4","-"))))))))</f>
        <v/>
      </c>
      <c r="D98" s="250">
        <f>MONTH(G70)</f>
        <v/>
      </c>
      <c r="E98" s="250">
        <f>YEAR(G70)</f>
        <v/>
      </c>
      <c r="F98" s="142">
        <f>F97+1</f>
        <v/>
      </c>
      <c r="G98" s="282" t="n">
        <v>47628</v>
      </c>
      <c r="H98" s="143" t="n">
        <v>0.0201</v>
      </c>
      <c r="I98" s="144" t="n">
        <v>123</v>
      </c>
      <c r="J98" s="283">
        <f>IFERROR((VLOOKUP($G98,'22F1187231'!$D$3:$N$4160,8,1))*O98,0)</f>
        <v/>
      </c>
      <c r="K98" s="283">
        <f>VLOOKUP(G98,'22F1187231'!$D$5:$L$4163,9,0)*O98</f>
        <v/>
      </c>
      <c r="L98" s="283">
        <f>SUM(J98:K98)</f>
        <v/>
      </c>
      <c r="M98" s="283">
        <f>(VLOOKUP($G98,'22F1187231'!$D$5:$N$4163,10,1))*O98</f>
        <v/>
      </c>
      <c r="N98" s="283">
        <f>SUM(L98:M98)</f>
        <v/>
      </c>
      <c r="O98" s="283" t="n">
        <v>1113210</v>
      </c>
      <c r="P98" s="283">
        <f>VLOOKUP(G98,'22F1187231'!$D$5:$J$4160,7,0)*O98-(SUM(J98:K98,M98))</f>
        <v/>
      </c>
      <c r="Q98" s="283">
        <f>(VLOOKUP(EOMONTH(G98,0),'22F1187231'!$D$5:$J$4160,7,0))*O98</f>
        <v/>
      </c>
      <c r="R98" s="283">
        <f>(VLOOKUP(G98,'22F1187231'!$D$5:$J$4160,4,0)-VLOOKUP(G98,'22F1187231'!$D$5:$J$4160,2,0))*O98</f>
        <v/>
      </c>
      <c r="S98" s="147" t="n"/>
    </row>
    <row r="99">
      <c r="A99" s="250">
        <f>CONCATENATE(C99,D99,E99)</f>
        <v/>
      </c>
      <c r="B99" s="250">
        <f>CONCATENATE(D99,E99)</f>
        <v/>
      </c>
      <c r="C99" s="250">
        <f>IF(D99&gt;=1,IF(D99&lt;=3,"1",IF(D99&gt;=4,IF(D99&lt;=6,"2",IF(D99&gt;=7,IF(D99&lt;=9,"3",IF(D99&gt;=10,IF(D99&lt;=12,"4","-"))))))))</f>
        <v/>
      </c>
      <c r="D99" s="250">
        <f>MONTH(G71)</f>
        <v/>
      </c>
      <c r="E99" s="250">
        <f>YEAR(G71)</f>
        <v/>
      </c>
      <c r="F99" s="142">
        <f>F98+1</f>
        <v/>
      </c>
      <c r="G99" s="282" t="n">
        <v>47659</v>
      </c>
      <c r="H99" s="143" t="n">
        <v>0.020628</v>
      </c>
      <c r="I99" s="144" t="n">
        <v>124</v>
      </c>
      <c r="J99" s="283">
        <f>IFERROR((VLOOKUP($G99,'22F1187231'!$D$3:$N$4160,8,1))*O99,0)</f>
        <v/>
      </c>
      <c r="K99" s="283">
        <f>VLOOKUP(G99,'22F1187231'!$D$5:$L$4163,9,0)*O99</f>
        <v/>
      </c>
      <c r="L99" s="283">
        <f>SUM(J99:K99)</f>
        <v/>
      </c>
      <c r="M99" s="283">
        <f>(VLOOKUP($G99,'22F1187231'!$D$5:$N$4163,10,1))*O99</f>
        <v/>
      </c>
      <c r="N99" s="283">
        <f>SUM(L99:M99)</f>
        <v/>
      </c>
      <c r="O99" s="283" t="n">
        <v>1113210</v>
      </c>
      <c r="P99" s="283">
        <f>VLOOKUP(G99,'22F1187231'!$D$5:$J$4160,7,0)*O99-(SUM(J99:K99,M99))</f>
        <v/>
      </c>
      <c r="Q99" s="283">
        <f>(VLOOKUP(EOMONTH(G99,0),'22F1187231'!$D$5:$J$4160,7,0))*O99</f>
        <v/>
      </c>
      <c r="R99" s="283">
        <f>(VLOOKUP(G99,'22F1187231'!$D$5:$J$4160,4,0)-VLOOKUP(G99,'22F1187231'!$D$5:$J$4160,2,0))*O99</f>
        <v/>
      </c>
      <c r="S99" s="147" t="n"/>
    </row>
    <row r="100">
      <c r="A100" s="250">
        <f>CONCATENATE(C100,D100,E100)</f>
        <v/>
      </c>
      <c r="B100" s="250">
        <f>CONCATENATE(D100,E100)</f>
        <v/>
      </c>
      <c r="C100" s="250">
        <f>IF(D100&gt;=1,IF(D100&lt;=3,"1",IF(D100&gt;=4,IF(D100&lt;=6,"2",IF(D100&gt;=7,IF(D100&lt;=9,"3",IF(D100&gt;=10,IF(D100&lt;=12,"4","-"))))))))</f>
        <v/>
      </c>
      <c r="D100" s="250">
        <f>MONTH(G72)</f>
        <v/>
      </c>
      <c r="E100" s="250">
        <f>YEAR(G72)</f>
        <v/>
      </c>
      <c r="F100" s="142">
        <f>F99+1</f>
        <v/>
      </c>
      <c r="G100" s="282" t="n">
        <v>47689</v>
      </c>
      <c r="H100" s="143" t="n">
        <v>0.021182</v>
      </c>
      <c r="I100" s="144" t="n">
        <v>125</v>
      </c>
      <c r="J100" s="283">
        <f>IFERROR((VLOOKUP($G100,'22F1187231'!$D$3:$N$4160,8,1))*O100,0)</f>
        <v/>
      </c>
      <c r="K100" s="283">
        <f>VLOOKUP(G100,'22F1187231'!$D$5:$L$4163,9,0)*O100</f>
        <v/>
      </c>
      <c r="L100" s="283">
        <f>SUM(J100:K100)</f>
        <v/>
      </c>
      <c r="M100" s="283">
        <f>(VLOOKUP($G100,'22F1187231'!$D$5:$N$4163,10,1))*O100</f>
        <v/>
      </c>
      <c r="N100" s="283">
        <f>SUM(L100:M100)</f>
        <v/>
      </c>
      <c r="O100" s="283" t="n">
        <v>1113210</v>
      </c>
      <c r="P100" s="283">
        <f>VLOOKUP(G100,'22F1187231'!$D$5:$J$4160,7,0)*O100-(SUM(J100:K100,M100))</f>
        <v/>
      </c>
      <c r="Q100" s="283">
        <f>(VLOOKUP(EOMONTH(G100,0),'22F1187231'!$D$5:$J$4160,7,0))*O100</f>
        <v/>
      </c>
      <c r="R100" s="283">
        <f>(VLOOKUP(G100,'22F1187231'!$D$5:$J$4160,4,0)-VLOOKUP(G100,'22F1187231'!$D$5:$J$4160,2,0))*O100</f>
        <v/>
      </c>
      <c r="S100" s="147" t="n"/>
    </row>
    <row r="101">
      <c r="A101" s="250">
        <f>CONCATENATE(C101,D101,E101)</f>
        <v/>
      </c>
      <c r="B101" s="250">
        <f>CONCATENATE(D101,E101)</f>
        <v/>
      </c>
      <c r="C101" s="250">
        <f>IF(D101&gt;=1,IF(D101&lt;=3,"1",IF(D101&gt;=4,IF(D101&lt;=6,"2",IF(D101&gt;=7,IF(D101&lt;=9,"3",IF(D101&gt;=10,IF(D101&lt;=12,"4","-"))))))))</f>
        <v/>
      </c>
      <c r="D101" s="250">
        <f>MONTH(G73)</f>
        <v/>
      </c>
      <c r="E101" s="250">
        <f>YEAR(G73)</f>
        <v/>
      </c>
      <c r="F101" s="142">
        <f>F100+1</f>
        <v/>
      </c>
      <c r="G101" s="282" t="n">
        <v>47720</v>
      </c>
      <c r="H101" s="143" t="n">
        <v>0.021763</v>
      </c>
      <c r="I101" s="144" t="n">
        <v>126</v>
      </c>
      <c r="J101" s="283">
        <f>IFERROR((VLOOKUP($G101,'22F1187231'!$D$3:$N$4160,8,1))*O101,0)</f>
        <v/>
      </c>
      <c r="K101" s="283">
        <f>VLOOKUP(G101,'22F1187231'!$D$5:$L$4163,9,0)*O101</f>
        <v/>
      </c>
      <c r="L101" s="283">
        <f>SUM(J101:K101)</f>
        <v/>
      </c>
      <c r="M101" s="283">
        <f>(VLOOKUP($G101,'22F1187231'!$D$5:$N$4163,10,1))*O101</f>
        <v/>
      </c>
      <c r="N101" s="283">
        <f>SUM(L101:M101)</f>
        <v/>
      </c>
      <c r="O101" s="283" t="n">
        <v>1113210</v>
      </c>
      <c r="P101" s="283">
        <f>VLOOKUP(G101,'22F1187231'!$D$5:$J$4160,7,0)*O101-(SUM(J101:K101,M101))</f>
        <v/>
      </c>
      <c r="Q101" s="283">
        <f>(VLOOKUP(EOMONTH(G101,0),'22F1187231'!$D$5:$J$4160,7,0))*O101</f>
        <v/>
      </c>
      <c r="R101" s="283">
        <f>(VLOOKUP(G101,'22F1187231'!$D$5:$J$4160,4,0)-VLOOKUP(G101,'22F1187231'!$D$5:$J$4160,2,0))*O101</f>
        <v/>
      </c>
      <c r="S101" s="147" t="n"/>
    </row>
    <row r="102">
      <c r="A102" s="250">
        <f>CONCATENATE(C102,D102,E102)</f>
        <v/>
      </c>
      <c r="B102" s="250">
        <f>CONCATENATE(D102,E102)</f>
        <v/>
      </c>
      <c r="C102" s="250">
        <f>IF(D102&gt;=1,IF(D102&lt;=3,"1",IF(D102&gt;=4,IF(D102&lt;=6,"2",IF(D102&gt;=7,IF(D102&lt;=9,"3",IF(D102&gt;=10,IF(D102&lt;=12,"4","-"))))))))</f>
        <v/>
      </c>
      <c r="D102" s="250">
        <f>MONTH(G74)</f>
        <v/>
      </c>
      <c r="E102" s="250">
        <f>YEAR(G74)</f>
        <v/>
      </c>
      <c r="F102" s="142">
        <f>F101+1</f>
        <v/>
      </c>
      <c r="G102" s="282" t="n">
        <v>47751</v>
      </c>
      <c r="H102" s="143" t="n">
        <v>0.022373</v>
      </c>
      <c r="I102" s="144" t="n">
        <v>127</v>
      </c>
      <c r="J102" s="283">
        <f>IFERROR((VLOOKUP($G102,'22F1187231'!$D$3:$N$4160,8,1))*O102,0)</f>
        <v/>
      </c>
      <c r="K102" s="283">
        <f>VLOOKUP(G102,'22F1187231'!$D$5:$L$4163,9,0)*O102</f>
        <v/>
      </c>
      <c r="L102" s="283">
        <f>SUM(J102:K102)</f>
        <v/>
      </c>
      <c r="M102" s="283">
        <f>(VLOOKUP($G102,'22F1187231'!$D$5:$N$4163,10,1))*O102</f>
        <v/>
      </c>
      <c r="N102" s="283">
        <f>SUM(L102:M102)</f>
        <v/>
      </c>
      <c r="O102" s="283" t="n">
        <v>1113210</v>
      </c>
      <c r="P102" s="283">
        <f>VLOOKUP(G102,'22F1187231'!$D$5:$J$4160,7,0)*O102-(SUM(J102:K102,M102))</f>
        <v/>
      </c>
      <c r="Q102" s="283">
        <f>(VLOOKUP(EOMONTH(G102,0),'22F1187231'!$D$5:$J$4160,7,0))*O102</f>
        <v/>
      </c>
      <c r="R102" s="283">
        <f>(VLOOKUP(G102,'22F1187231'!$D$5:$J$4160,4,0)-VLOOKUP(G102,'22F1187231'!$D$5:$J$4160,2,0))*O102</f>
        <v/>
      </c>
      <c r="S102" s="147" t="n"/>
    </row>
    <row r="103">
      <c r="A103" s="250">
        <f>CONCATENATE(C103,D103,E103)</f>
        <v/>
      </c>
      <c r="B103" s="250">
        <f>CONCATENATE(D103,E103)</f>
        <v/>
      </c>
      <c r="C103" s="250">
        <f>IF(D103&gt;=1,IF(D103&lt;=3,"1",IF(D103&gt;=4,IF(D103&lt;=6,"2",IF(D103&gt;=7,IF(D103&lt;=9,"3",IF(D103&gt;=10,IF(D103&lt;=12,"4","-"))))))))</f>
        <v/>
      </c>
      <c r="D103" s="250">
        <f>MONTH(G75)</f>
        <v/>
      </c>
      <c r="E103" s="250">
        <f>YEAR(G75)</f>
        <v/>
      </c>
      <c r="F103" s="142">
        <f>F102+1</f>
        <v/>
      </c>
      <c r="G103" s="282" t="n">
        <v>47781</v>
      </c>
      <c r="H103" s="143" t="n">
        <v>0.023046</v>
      </c>
      <c r="I103" s="144" t="n">
        <v>128</v>
      </c>
      <c r="J103" s="283">
        <f>IFERROR((VLOOKUP($G103,'22F1187231'!$D$3:$N$4160,8,1))*O103,0)</f>
        <v/>
      </c>
      <c r="K103" s="283">
        <f>VLOOKUP(G103,'22F1187231'!$D$5:$L$4163,9,0)*O103</f>
        <v/>
      </c>
      <c r="L103" s="283">
        <f>SUM(J103:K103)</f>
        <v/>
      </c>
      <c r="M103" s="283">
        <f>(VLOOKUP($G103,'22F1187231'!$D$5:$N$4163,10,1))*O103</f>
        <v/>
      </c>
      <c r="N103" s="283">
        <f>SUM(L103:M103)</f>
        <v/>
      </c>
      <c r="O103" s="283" t="n">
        <v>1113210</v>
      </c>
      <c r="P103" s="283">
        <f>VLOOKUP(G103,'22F1187231'!$D$5:$J$4160,7,0)*O103-(SUM(J103:K103,M103))</f>
        <v/>
      </c>
      <c r="Q103" s="283">
        <f>(VLOOKUP(EOMONTH(G103,0),'22F1187231'!$D$5:$J$4160,7,0))*O103</f>
        <v/>
      </c>
      <c r="R103" s="283">
        <f>(VLOOKUP(G103,'22F1187231'!$D$5:$J$4160,4,0)-VLOOKUP(G103,'22F1187231'!$D$5:$J$4160,2,0))*O103</f>
        <v/>
      </c>
      <c r="S103" s="147" t="n"/>
    </row>
    <row r="104">
      <c r="A104" s="250">
        <f>CONCATENATE(C104,D104,E104)</f>
        <v/>
      </c>
      <c r="B104" s="250">
        <f>CONCATENATE(D104,E104)</f>
        <v/>
      </c>
      <c r="C104" s="250">
        <f>IF(D104&gt;=1,IF(D104&lt;=3,"1",IF(D104&gt;=4,IF(D104&lt;=6,"2",IF(D104&gt;=7,IF(D104&lt;=9,"3",IF(D104&gt;=10,IF(D104&lt;=12,"4","-"))))))))</f>
        <v/>
      </c>
      <c r="D104" s="250">
        <f>MONTH(G76)</f>
        <v/>
      </c>
      <c r="E104" s="250">
        <f>YEAR(G76)</f>
        <v/>
      </c>
      <c r="F104" s="142">
        <f>F103+1</f>
        <v/>
      </c>
      <c r="G104" s="282" t="n">
        <v>47812</v>
      </c>
      <c r="H104" s="143" t="n">
        <v>0.023723</v>
      </c>
      <c r="I104" s="144" t="n">
        <v>129</v>
      </c>
      <c r="J104" s="283">
        <f>IFERROR((VLOOKUP($G104,'22F1187231'!$D$3:$N$4160,8,1))*O104,0)</f>
        <v/>
      </c>
      <c r="K104" s="283">
        <f>VLOOKUP(G104,'22F1187231'!$D$5:$L$4163,9,0)*O104</f>
        <v/>
      </c>
      <c r="L104" s="283">
        <f>SUM(J104:K104)</f>
        <v/>
      </c>
      <c r="M104" s="283">
        <f>(VLOOKUP($G104,'22F1187231'!$D$5:$N$4163,10,1))*O104</f>
        <v/>
      </c>
      <c r="N104" s="283">
        <f>SUM(L104:M104)</f>
        <v/>
      </c>
      <c r="O104" s="283" t="n">
        <v>1113210</v>
      </c>
      <c r="P104" s="283">
        <f>VLOOKUP(G104,'22F1187231'!$D$5:$J$4160,7,0)*O104-(SUM(J104:K104,M104))</f>
        <v/>
      </c>
      <c r="Q104" s="283">
        <f>(VLOOKUP(EOMONTH(G104,0),'22F1187231'!$D$5:$J$4160,7,0))*O104</f>
        <v/>
      </c>
      <c r="R104" s="283">
        <f>(VLOOKUP(G104,'22F1187231'!$D$5:$J$4160,4,0)-VLOOKUP(G104,'22F1187231'!$D$5:$J$4160,2,0))*O104</f>
        <v/>
      </c>
      <c r="S104" s="147" t="n"/>
    </row>
    <row r="105">
      <c r="A105" s="250">
        <f>CONCATENATE(C105,D105,E105)</f>
        <v/>
      </c>
      <c r="B105" s="250">
        <f>CONCATENATE(D105,E105)</f>
        <v/>
      </c>
      <c r="C105" s="250">
        <f>IF(D105&gt;=1,IF(D105&lt;=3,"1",IF(D105&gt;=4,IF(D105&lt;=6,"2",IF(D105&gt;=7,IF(D105&lt;=9,"3",IF(D105&gt;=10,IF(D105&lt;=12,"4","-"))))))))</f>
        <v/>
      </c>
      <c r="D105" s="250">
        <f>MONTH(G77)</f>
        <v/>
      </c>
      <c r="E105" s="250">
        <f>YEAR(G77)</f>
        <v/>
      </c>
      <c r="F105" s="142">
        <f>F104+1</f>
        <v/>
      </c>
      <c r="G105" s="282" t="n">
        <v>47842</v>
      </c>
      <c r="H105" s="143" t="n">
        <v>0.024689</v>
      </c>
      <c r="I105" s="144" t="n">
        <v>130</v>
      </c>
      <c r="J105" s="283">
        <f>IFERROR((VLOOKUP($G105,'22F1187231'!$D$3:$N$4160,8,1))*O105,0)</f>
        <v/>
      </c>
      <c r="K105" s="283">
        <f>VLOOKUP(G105,'22F1187231'!$D$5:$L$4163,9,0)*O105</f>
        <v/>
      </c>
      <c r="L105" s="283">
        <f>SUM(J105:K105)</f>
        <v/>
      </c>
      <c r="M105" s="283">
        <f>(VLOOKUP($G105,'22F1187231'!$D$5:$N$4163,10,1))*O105</f>
        <v/>
      </c>
      <c r="N105" s="283">
        <f>SUM(L105:M105)</f>
        <v/>
      </c>
      <c r="O105" s="283" t="n">
        <v>1113210</v>
      </c>
      <c r="P105" s="283">
        <f>VLOOKUP(G105,'22F1187231'!$D$5:$J$4160,7,0)*O105-(SUM(J105:K105,M105))</f>
        <v/>
      </c>
      <c r="Q105" s="283">
        <f>(VLOOKUP(EOMONTH(G105,0),'22F1187231'!$D$5:$J$4160,7,0))*O105</f>
        <v/>
      </c>
      <c r="R105" s="283">
        <f>(VLOOKUP(G105,'22F1187231'!$D$5:$J$4160,4,0)-VLOOKUP(G105,'22F1187231'!$D$5:$J$4160,2,0))*O105</f>
        <v/>
      </c>
      <c r="S105" s="147" t="n"/>
    </row>
    <row r="106">
      <c r="A106" s="250">
        <f>CONCATENATE(C106,D106,E106)</f>
        <v/>
      </c>
      <c r="B106" s="250">
        <f>CONCATENATE(D106,E106)</f>
        <v/>
      </c>
      <c r="C106" s="250">
        <f>IF(D106&gt;=1,IF(D106&lt;=3,"1",IF(D106&gt;=4,IF(D106&lt;=6,"2",IF(D106&gt;=7,IF(D106&lt;=9,"3",IF(D106&gt;=10,IF(D106&lt;=12,"4","-"))))))))</f>
        <v/>
      </c>
      <c r="D106" s="250">
        <f>MONTH(G78)</f>
        <v/>
      </c>
      <c r="E106" s="250">
        <f>YEAR(G78)</f>
        <v/>
      </c>
      <c r="F106" s="142">
        <f>F105+1</f>
        <v/>
      </c>
      <c r="G106" s="282" t="n">
        <v>47873</v>
      </c>
      <c r="H106" s="143" t="n">
        <v>0.025966</v>
      </c>
      <c r="I106" s="144" t="n">
        <v>131</v>
      </c>
      <c r="J106" s="283">
        <f>IFERROR((VLOOKUP($G106,'22F1187231'!$D$3:$N$4160,8,1))*O106,0)</f>
        <v/>
      </c>
      <c r="K106" s="283">
        <f>VLOOKUP(G106,'22F1187231'!$D$5:$L$4163,9,0)*O106</f>
        <v/>
      </c>
      <c r="L106" s="283">
        <f>SUM(J106:K106)</f>
        <v/>
      </c>
      <c r="M106" s="283">
        <f>(VLOOKUP($G106,'22F1187231'!$D$5:$N$4163,10,1))*O106</f>
        <v/>
      </c>
      <c r="N106" s="283">
        <f>SUM(L106:M106)</f>
        <v/>
      </c>
      <c r="O106" s="283" t="n">
        <v>1113210</v>
      </c>
      <c r="P106" s="283">
        <f>VLOOKUP(G106,'22F1187231'!$D$5:$J$4160,7,0)*O106-(SUM(J106:K106,M106))</f>
        <v/>
      </c>
      <c r="Q106" s="283">
        <f>(VLOOKUP(EOMONTH(G106,0),'22F1187231'!$D$5:$J$4160,7,0))*O106</f>
        <v/>
      </c>
      <c r="R106" s="283">
        <f>(VLOOKUP(G106,'22F1187231'!$D$5:$J$4160,4,0)-VLOOKUP(G106,'22F1187231'!$D$5:$J$4160,2,0))*O106</f>
        <v/>
      </c>
      <c r="S106" s="147" t="n"/>
    </row>
    <row r="107">
      <c r="A107" s="250">
        <f>CONCATENATE(C107,D107,E107)</f>
        <v/>
      </c>
      <c r="B107" s="250">
        <f>CONCATENATE(D107,E107)</f>
        <v/>
      </c>
      <c r="C107" s="250">
        <f>IF(D107&gt;=1,IF(D107&lt;=3,"1",IF(D107&gt;=4,IF(D107&lt;=6,"2",IF(D107&gt;=7,IF(D107&lt;=9,"3",IF(D107&gt;=10,IF(D107&lt;=12,"4","-"))))))))</f>
        <v/>
      </c>
      <c r="D107" s="250">
        <f>MONTH(G79)</f>
        <v/>
      </c>
      <c r="E107" s="250">
        <f>YEAR(G79)</f>
        <v/>
      </c>
      <c r="F107" s="142">
        <f>F106+1</f>
        <v/>
      </c>
      <c r="G107" s="282" t="n">
        <v>47904</v>
      </c>
      <c r="H107" s="143" t="n">
        <v>0.026909</v>
      </c>
      <c r="I107" s="144" t="n">
        <v>132</v>
      </c>
      <c r="J107" s="283">
        <f>IFERROR((VLOOKUP($G107,'22F1187231'!$D$3:$N$4160,8,1))*O107,0)</f>
        <v/>
      </c>
      <c r="K107" s="283">
        <f>VLOOKUP(G107,'22F1187231'!$D$5:$L$4163,9,0)*O107</f>
        <v/>
      </c>
      <c r="L107" s="283">
        <f>SUM(J107:K107)</f>
        <v/>
      </c>
      <c r="M107" s="283">
        <f>(VLOOKUP($G107,'22F1187231'!$D$5:$N$4163,10,1))*O107</f>
        <v/>
      </c>
      <c r="N107" s="283">
        <f>SUM(L107:M107)</f>
        <v/>
      </c>
      <c r="O107" s="283" t="n">
        <v>1113210</v>
      </c>
      <c r="P107" s="283">
        <f>VLOOKUP(G107,'22F1187231'!$D$5:$J$4160,7,0)*O107-(SUM(J107:K107,M107))</f>
        <v/>
      </c>
      <c r="Q107" s="283">
        <f>(VLOOKUP(EOMONTH(G107,0),'22F1187231'!$D$5:$J$4160,7,0))*O107</f>
        <v/>
      </c>
      <c r="R107" s="283">
        <f>(VLOOKUP(G107,'22F1187231'!$D$5:$J$4160,4,0)-VLOOKUP(G107,'22F1187231'!$D$5:$J$4160,2,0))*O107</f>
        <v/>
      </c>
    </row>
    <row r="108">
      <c r="A108" s="250">
        <f>CONCATENATE(C108,D108,E108)</f>
        <v/>
      </c>
      <c r="B108" s="250">
        <f>CONCATENATE(D108,E108)</f>
        <v/>
      </c>
      <c r="C108" s="250">
        <f>IF(D108&gt;=1,IF(D108&lt;=3,"1",IF(D108&gt;=4,IF(D108&lt;=6,"2",IF(D108&gt;=7,IF(D108&lt;=9,"3",IF(D108&gt;=10,IF(D108&lt;=12,"4","-"))))))))</f>
        <v/>
      </c>
      <c r="D108" s="250">
        <f>MONTH(G80)</f>
        <v/>
      </c>
      <c r="E108" s="250">
        <f>YEAR(G80)</f>
        <v/>
      </c>
      <c r="F108" s="142">
        <f>F107+1</f>
        <v/>
      </c>
      <c r="G108" s="282" t="n">
        <v>47932</v>
      </c>
      <c r="H108" s="143" t="n">
        <v>0.02785</v>
      </c>
      <c r="I108" s="144" t="n">
        <v>133</v>
      </c>
      <c r="J108" s="283">
        <f>IFERROR((VLOOKUP($G108,'22F1187231'!$D$3:$N$4160,8,1))*O108,0)</f>
        <v/>
      </c>
      <c r="K108" s="283">
        <f>VLOOKUP(G108,'22F1187231'!$D$5:$L$4163,9,0)*O108</f>
        <v/>
      </c>
      <c r="L108" s="283">
        <f>SUM(J108:K108)</f>
        <v/>
      </c>
      <c r="M108" s="283">
        <f>(VLOOKUP($G108,'22F1187231'!$D$5:$N$4163,10,1))*O108</f>
        <v/>
      </c>
      <c r="N108" s="283">
        <f>SUM(L108:M108)</f>
        <v/>
      </c>
      <c r="O108" s="283" t="n">
        <v>1113210</v>
      </c>
      <c r="P108" s="283">
        <f>VLOOKUP(G108,'22F1187231'!$D$5:$J$4160,7,0)*O108-(SUM(J108:K108,M108))</f>
        <v/>
      </c>
      <c r="Q108" s="283">
        <f>(VLOOKUP(EOMONTH(G108,0),'22F1187231'!$D$5:$J$4160,7,0))*O108</f>
        <v/>
      </c>
      <c r="R108" s="283">
        <f>(VLOOKUP(G108,'22F1187231'!$D$5:$J$4160,4,0)-VLOOKUP(G108,'22F1187231'!$D$5:$J$4160,2,0))*O108</f>
        <v/>
      </c>
    </row>
    <row r="109">
      <c r="A109" s="250">
        <f>CONCATENATE(C109,D109,E109)</f>
        <v/>
      </c>
      <c r="B109" s="250">
        <f>CONCATENATE(D109,E109)</f>
        <v/>
      </c>
      <c r="C109" s="250">
        <f>IF(D109&gt;=1,IF(D109&lt;=3,"1",IF(D109&gt;=4,IF(D109&lt;=6,"2",IF(D109&gt;=7,IF(D109&lt;=9,"3",IF(D109&gt;=10,IF(D109&lt;=12,"4","-"))))))))</f>
        <v/>
      </c>
      <c r="D109" s="250">
        <f>MONTH(G81)</f>
        <v/>
      </c>
      <c r="E109" s="250">
        <f>YEAR(G81)</f>
        <v/>
      </c>
      <c r="F109" s="142">
        <f>F108+1</f>
        <v/>
      </c>
      <c r="G109" s="282" t="n">
        <v>47963</v>
      </c>
      <c r="H109" s="143" t="n">
        <v>0.028593</v>
      </c>
      <c r="I109" s="144" t="n">
        <v>134</v>
      </c>
      <c r="J109" s="283">
        <f>IFERROR((VLOOKUP($G109,'22F1187231'!$D$3:$N$4160,8,1))*O109,0)</f>
        <v/>
      </c>
      <c r="K109" s="283">
        <f>VLOOKUP(G109,'22F1187231'!$D$5:$L$4163,9,0)*O109</f>
        <v/>
      </c>
      <c r="L109" s="283">
        <f>SUM(J109:K109)</f>
        <v/>
      </c>
      <c r="M109" s="283">
        <f>(VLOOKUP($G109,'22F1187231'!$D$5:$N$4163,10,1))*O109</f>
        <v/>
      </c>
      <c r="N109" s="283">
        <f>SUM(L109:M109)</f>
        <v/>
      </c>
      <c r="O109" s="283" t="n">
        <v>1113210</v>
      </c>
      <c r="P109" s="283">
        <f>VLOOKUP(G109,'22F1187231'!$D$5:$J$4160,7,0)*O109-(SUM(J109:K109,M109))</f>
        <v/>
      </c>
      <c r="Q109" s="283">
        <f>(VLOOKUP(EOMONTH(G109,0),'22F1187231'!$D$5:$J$4160,7,0))*O109</f>
        <v/>
      </c>
      <c r="R109" s="283">
        <f>(VLOOKUP(G109,'22F1187231'!$D$5:$J$4160,4,0)-VLOOKUP(G109,'22F1187231'!$D$5:$J$4160,2,0))*O109</f>
        <v/>
      </c>
    </row>
    <row r="110">
      <c r="A110" s="250">
        <f>CONCATENATE(C110,D110,E110)</f>
        <v/>
      </c>
      <c r="B110" s="250">
        <f>CONCATENATE(D110,E110)</f>
        <v/>
      </c>
      <c r="C110" s="250">
        <f>IF(D110&gt;=1,IF(D110&lt;=3,"1",IF(D110&gt;=4,IF(D110&lt;=6,"2",IF(D110&gt;=7,IF(D110&lt;=9,"3",IF(D110&gt;=10,IF(D110&lt;=12,"4","-"))))))))</f>
        <v/>
      </c>
      <c r="D110" s="250">
        <f>MONTH(G82)</f>
        <v/>
      </c>
      <c r="E110" s="250">
        <f>YEAR(G82)</f>
        <v/>
      </c>
      <c r="F110" s="142">
        <f>F109+1</f>
        <v/>
      </c>
      <c r="G110" s="282" t="n">
        <v>47993</v>
      </c>
      <c r="H110" s="143" t="n">
        <v>0.029824</v>
      </c>
      <c r="I110" s="144" t="n">
        <v>135</v>
      </c>
      <c r="J110" s="283">
        <f>IFERROR((VLOOKUP($G110,'22F1187231'!$D$3:$N$4160,8,1))*O110,0)</f>
        <v/>
      </c>
      <c r="K110" s="283">
        <f>VLOOKUP(G110,'22F1187231'!$D$5:$L$4163,9,0)*O110</f>
        <v/>
      </c>
      <c r="L110" s="283">
        <f>SUM(J110:K110)</f>
        <v/>
      </c>
      <c r="M110" s="283">
        <f>(VLOOKUP($G110,'22F1187231'!$D$5:$N$4163,10,1))*O110</f>
        <v/>
      </c>
      <c r="N110" s="283">
        <f>SUM(L110:M110)</f>
        <v/>
      </c>
      <c r="O110" s="283" t="n">
        <v>1113210</v>
      </c>
      <c r="P110" s="283">
        <f>VLOOKUP(G110,'22F1187231'!$D$5:$J$4160,7,0)*O110-(SUM(J110:K110,M110))</f>
        <v/>
      </c>
      <c r="Q110" s="283">
        <f>(VLOOKUP(EOMONTH(G110,0),'22F1187231'!$D$5:$J$4160,7,0))*O110</f>
        <v/>
      </c>
      <c r="R110" s="283">
        <f>(VLOOKUP(G110,'22F1187231'!$D$5:$J$4160,4,0)-VLOOKUP(G110,'22F1187231'!$D$5:$J$4160,2,0))*O110</f>
        <v/>
      </c>
    </row>
    <row r="111">
      <c r="A111" s="250">
        <f>CONCATENATE(C111,D111,E111)</f>
        <v/>
      </c>
      <c r="B111" s="250">
        <f>CONCATENATE(D111,E111)</f>
        <v/>
      </c>
      <c r="C111" s="250">
        <f>IF(D111&gt;=1,IF(D111&lt;=3,"1",IF(D111&gt;=4,IF(D111&lt;=6,"2",IF(D111&gt;=7,IF(D111&lt;=9,"3",IF(D111&gt;=10,IF(D111&lt;=12,"4","-"))))))))</f>
        <v/>
      </c>
      <c r="D111" s="250">
        <f>MONTH(G83)</f>
        <v/>
      </c>
      <c r="E111" s="250">
        <f>YEAR(G83)</f>
        <v/>
      </c>
      <c r="F111" s="142">
        <f>F110+1</f>
        <v/>
      </c>
      <c r="G111" s="282" t="n">
        <v>48024</v>
      </c>
      <c r="H111" s="143" t="n">
        <v>0.030915</v>
      </c>
      <c r="I111" s="144" t="n">
        <v>136</v>
      </c>
      <c r="J111" s="283">
        <f>IFERROR((VLOOKUP($G111,'22F1187231'!$D$3:$N$4160,8,1))*O111,0)</f>
        <v/>
      </c>
      <c r="K111" s="283">
        <f>VLOOKUP(G111,'22F1187231'!$D$5:$L$4163,9,0)*O111</f>
        <v/>
      </c>
      <c r="L111" s="283">
        <f>SUM(J111:K111)</f>
        <v/>
      </c>
      <c r="M111" s="283">
        <f>(VLOOKUP($G111,'22F1187231'!$D$5:$N$4163,10,1))*O111</f>
        <v/>
      </c>
      <c r="N111" s="283">
        <f>SUM(L111:M111)</f>
        <v/>
      </c>
      <c r="O111" s="283" t="n">
        <v>1113210</v>
      </c>
      <c r="P111" s="283">
        <f>VLOOKUP(G111,'22F1187231'!$D$5:$J$4160,7,0)*O111-(SUM(J111:K111,M111))</f>
        <v/>
      </c>
      <c r="Q111" s="283">
        <f>(VLOOKUP(EOMONTH(G111,0),'22F1187231'!$D$5:$J$4160,7,0))*O111</f>
        <v/>
      </c>
      <c r="R111" s="283">
        <f>(VLOOKUP(G111,'22F1187231'!$D$5:$J$4160,4,0)-VLOOKUP(G111,'22F1187231'!$D$5:$J$4160,2,0))*O111</f>
        <v/>
      </c>
    </row>
    <row r="112">
      <c r="A112" s="250">
        <f>CONCATENATE(C112,D112,E112)</f>
        <v/>
      </c>
      <c r="B112" s="250">
        <f>CONCATENATE(D112,E112)</f>
        <v/>
      </c>
      <c r="C112" s="250">
        <f>IF(D112&gt;=1,IF(D112&lt;=3,"1",IF(D112&gt;=4,IF(D112&lt;=6,"2",IF(D112&gt;=7,IF(D112&lt;=9,"3",IF(D112&gt;=10,IF(D112&lt;=12,"4","-"))))))))</f>
        <v/>
      </c>
      <c r="D112" s="250">
        <f>MONTH(G84)</f>
        <v/>
      </c>
      <c r="E112" s="250">
        <f>YEAR(G84)</f>
        <v/>
      </c>
      <c r="F112" s="142">
        <f>F111+1</f>
        <v/>
      </c>
      <c r="G112" s="282" t="n">
        <v>48054</v>
      </c>
      <c r="H112" s="143" t="n">
        <v>0.032081</v>
      </c>
      <c r="I112" s="144" t="n">
        <v>137</v>
      </c>
      <c r="J112" s="283">
        <f>IFERROR((VLOOKUP($G112,'22F1187231'!$D$3:$N$4160,8,1))*O112,0)</f>
        <v/>
      </c>
      <c r="K112" s="283">
        <f>VLOOKUP(G112,'22F1187231'!$D$5:$L$4163,9,0)*O112</f>
        <v/>
      </c>
      <c r="L112" s="283">
        <f>SUM(J112:K112)</f>
        <v/>
      </c>
      <c r="M112" s="283">
        <f>(VLOOKUP($G112,'22F1187231'!$D$5:$N$4163,10,1))*O112</f>
        <v/>
      </c>
      <c r="N112" s="283">
        <f>SUM(L112:M112)</f>
        <v/>
      </c>
      <c r="O112" s="283" t="n">
        <v>1113210</v>
      </c>
      <c r="P112" s="283">
        <f>VLOOKUP(G112,'22F1187231'!$D$5:$J$4160,7,0)*O112-(SUM(J112:K112,M112))</f>
        <v/>
      </c>
      <c r="Q112" s="283">
        <f>(VLOOKUP(EOMONTH(G112,0),'22F1187231'!$D$5:$J$4160,7,0))*O112</f>
        <v/>
      </c>
      <c r="R112" s="283">
        <f>(VLOOKUP(G112,'22F1187231'!$D$5:$J$4160,4,0)-VLOOKUP(G112,'22F1187231'!$D$5:$J$4160,2,0))*O112</f>
        <v/>
      </c>
    </row>
    <row r="113">
      <c r="A113" s="250">
        <f>CONCATENATE(C113,D113,E113)</f>
        <v/>
      </c>
      <c r="B113" s="250">
        <f>CONCATENATE(D113,E113)</f>
        <v/>
      </c>
      <c r="C113" s="250">
        <f>IF(D113&gt;=1,IF(D113&lt;=3,"1",IF(D113&gt;=4,IF(D113&lt;=6,"2",IF(D113&gt;=7,IF(D113&lt;=9,"3",IF(D113&gt;=10,IF(D113&lt;=12,"4","-"))))))))</f>
        <v/>
      </c>
      <c r="D113" s="250">
        <f>MONTH(G85)</f>
        <v/>
      </c>
      <c r="E113" s="250">
        <f>YEAR(G85)</f>
        <v/>
      </c>
      <c r="F113" s="142">
        <f>F112+1</f>
        <v/>
      </c>
      <c r="G113" s="282" t="n">
        <v>48085</v>
      </c>
      <c r="H113" s="143" t="n">
        <v>0.033332</v>
      </c>
      <c r="I113" s="144" t="n">
        <v>138</v>
      </c>
      <c r="J113" s="283">
        <f>IFERROR((VLOOKUP($G113,'22F1187231'!$D$3:$N$4160,8,1))*O113,0)</f>
        <v/>
      </c>
      <c r="K113" s="283">
        <f>VLOOKUP(G113,'22F1187231'!$D$5:$L$4163,9,0)*O113</f>
        <v/>
      </c>
      <c r="L113" s="283">
        <f>SUM(J113:K113)</f>
        <v/>
      </c>
      <c r="M113" s="283">
        <f>(VLOOKUP($G113,'22F1187231'!$D$5:$N$4163,10,1))*O113</f>
        <v/>
      </c>
      <c r="N113" s="283">
        <f>SUM(L113:M113)</f>
        <v/>
      </c>
      <c r="O113" s="283" t="n">
        <v>1113210</v>
      </c>
      <c r="P113" s="283">
        <f>VLOOKUP(G113,'22F1187231'!$D$5:$J$4160,7,0)*O113-(SUM(J113:K113,M113))</f>
        <v/>
      </c>
      <c r="Q113" s="283">
        <f>(VLOOKUP(EOMONTH(G113,0),'22F1187231'!$D$5:$J$4160,7,0))*O113</f>
        <v/>
      </c>
      <c r="R113" s="283">
        <f>(VLOOKUP(G113,'22F1187231'!$D$5:$J$4160,4,0)-VLOOKUP(G113,'22F1187231'!$D$5:$J$4160,2,0))*O113</f>
        <v/>
      </c>
    </row>
    <row r="114">
      <c r="A114" s="250">
        <f>CONCATENATE(C114,D114,E114)</f>
        <v/>
      </c>
      <c r="B114" s="250">
        <f>CONCATENATE(D114,E114)</f>
        <v/>
      </c>
      <c r="C114" s="250">
        <f>IF(D114&gt;=1,IF(D114&lt;=3,"1",IF(D114&gt;=4,IF(D114&lt;=6,"2",IF(D114&gt;=7,IF(D114&lt;=9,"3",IF(D114&gt;=10,IF(D114&lt;=12,"4","-"))))))))</f>
        <v/>
      </c>
      <c r="D114" s="250">
        <f>MONTH(G86)</f>
        <v/>
      </c>
      <c r="E114" s="250">
        <f>YEAR(G86)</f>
        <v/>
      </c>
      <c r="F114" s="142">
        <f>F113+1</f>
        <v/>
      </c>
      <c r="G114" s="282" t="n">
        <v>48116</v>
      </c>
      <c r="H114" s="143" t="n">
        <v>0.034676</v>
      </c>
      <c r="I114" s="144" t="n">
        <v>139</v>
      </c>
      <c r="J114" s="283">
        <f>IFERROR((VLOOKUP($G114,'22F1187231'!$D$3:$N$4160,8,1))*O114,0)</f>
        <v/>
      </c>
      <c r="K114" s="283">
        <f>VLOOKUP(G114,'22F1187231'!$D$5:$L$4163,9,0)*O114</f>
        <v/>
      </c>
      <c r="L114" s="283">
        <f>SUM(J114:K114)</f>
        <v/>
      </c>
      <c r="M114" s="283">
        <f>(VLOOKUP($G114,'22F1187231'!$D$5:$N$4163,10,1))*O114</f>
        <v/>
      </c>
      <c r="N114" s="283">
        <f>SUM(L114:M114)</f>
        <v/>
      </c>
      <c r="O114" s="283" t="n">
        <v>1113210</v>
      </c>
      <c r="P114" s="283">
        <f>VLOOKUP(G114,'22F1187231'!$D$5:$J$4160,7,0)*O114-(SUM(J114:K114,M114))</f>
        <v/>
      </c>
      <c r="Q114" s="283">
        <f>(VLOOKUP(EOMONTH(G114,0),'22F1187231'!$D$5:$J$4160,7,0))*O114</f>
        <v/>
      </c>
      <c r="R114" s="283">
        <f>(VLOOKUP(G114,'22F1187231'!$D$5:$J$4160,4,0)-VLOOKUP(G114,'22F1187231'!$D$5:$J$4160,2,0))*O114</f>
        <v/>
      </c>
    </row>
    <row r="115">
      <c r="A115" s="250">
        <f>CONCATENATE(C115,D115,E115)</f>
        <v/>
      </c>
      <c r="B115" s="250">
        <f>CONCATENATE(D115,E115)</f>
        <v/>
      </c>
      <c r="C115" s="250">
        <f>IF(D115&gt;=1,IF(D115&lt;=3,"1",IF(D115&gt;=4,IF(D115&lt;=6,"2",IF(D115&gt;=7,IF(D115&lt;=9,"3",IF(D115&gt;=10,IF(D115&lt;=12,"4","-"))))))))</f>
        <v/>
      </c>
      <c r="D115" s="250">
        <f>MONTH(G87)</f>
        <v/>
      </c>
      <c r="E115" s="250">
        <f>YEAR(G87)</f>
        <v/>
      </c>
      <c r="F115" s="142">
        <f>F114+1</f>
        <v/>
      </c>
      <c r="G115" s="282" t="n">
        <v>48146</v>
      </c>
      <c r="H115" s="143" t="n">
        <v>0.036171</v>
      </c>
      <c r="I115" s="144" t="n">
        <v>140</v>
      </c>
      <c r="J115" s="283">
        <f>IFERROR((VLOOKUP($G115,'22F1187231'!$D$3:$N$4160,8,1))*O115,0)</f>
        <v/>
      </c>
      <c r="K115" s="283">
        <f>VLOOKUP(G115,'22F1187231'!$D$5:$L$4163,9,0)*O115</f>
        <v/>
      </c>
      <c r="L115" s="283">
        <f>SUM(J115:K115)</f>
        <v/>
      </c>
      <c r="M115" s="283">
        <f>(VLOOKUP($G115,'22F1187231'!$D$5:$N$4163,10,1))*O115</f>
        <v/>
      </c>
      <c r="N115" s="283">
        <f>SUM(L115:M115)</f>
        <v/>
      </c>
      <c r="O115" s="283" t="n">
        <v>1113210</v>
      </c>
      <c r="P115" s="283">
        <f>VLOOKUP(G115,'22F1187231'!$D$5:$J$4160,7,0)*O115-(SUM(J115:K115,M115))</f>
        <v/>
      </c>
      <c r="Q115" s="283">
        <f>(VLOOKUP(EOMONTH(G115,0),'22F1187231'!$D$5:$J$4160,7,0))*O115</f>
        <v/>
      </c>
      <c r="R115" s="283">
        <f>(VLOOKUP(G115,'22F1187231'!$D$5:$J$4160,4,0)-VLOOKUP(G115,'22F1187231'!$D$5:$J$4160,2,0))*O115</f>
        <v/>
      </c>
    </row>
    <row r="116">
      <c r="A116" s="250">
        <f>CONCATENATE(C116,D116,E116)</f>
        <v/>
      </c>
      <c r="B116" s="250">
        <f>CONCATENATE(D116,E116)</f>
        <v/>
      </c>
      <c r="C116" s="250">
        <f>IF(D116&gt;=1,IF(D116&lt;=3,"1",IF(D116&gt;=4,IF(D116&lt;=6,"2",IF(D116&gt;=7,IF(D116&lt;=9,"3",IF(D116&gt;=10,IF(D116&lt;=12,"4","-"))))))))</f>
        <v/>
      </c>
      <c r="D116" s="250">
        <f>MONTH(G88)</f>
        <v/>
      </c>
      <c r="E116" s="250">
        <f>YEAR(G88)</f>
        <v/>
      </c>
      <c r="F116" s="142">
        <f>F115+1</f>
        <v/>
      </c>
      <c r="G116" s="282" t="n">
        <v>48177</v>
      </c>
      <c r="H116" s="143" t="n">
        <v>0.037789</v>
      </c>
      <c r="I116" s="144" t="n">
        <v>141</v>
      </c>
      <c r="J116" s="283">
        <f>IFERROR((VLOOKUP($G116,'22F1187231'!$D$3:$N$4160,8,1))*O116,0)</f>
        <v/>
      </c>
      <c r="K116" s="283">
        <f>VLOOKUP(G116,'22F1187231'!$D$5:$L$4163,9,0)*O116</f>
        <v/>
      </c>
      <c r="L116" s="283">
        <f>SUM(J116:K116)</f>
        <v/>
      </c>
      <c r="M116" s="283">
        <f>(VLOOKUP($G116,'22F1187231'!$D$5:$N$4163,10,1))*O116</f>
        <v/>
      </c>
      <c r="N116" s="283">
        <f>SUM(L116:M116)</f>
        <v/>
      </c>
      <c r="O116" s="283" t="n">
        <v>1113210</v>
      </c>
      <c r="P116" s="283">
        <f>VLOOKUP(G116,'22F1187231'!$D$5:$J$4160,7,0)*O116-(SUM(J116:K116,M116))</f>
        <v/>
      </c>
      <c r="Q116" s="283">
        <f>(VLOOKUP(EOMONTH(G116,0),'22F1187231'!$D$5:$J$4160,7,0))*O116</f>
        <v/>
      </c>
      <c r="R116" s="283">
        <f>(VLOOKUP(G116,'22F1187231'!$D$5:$J$4160,4,0)-VLOOKUP(G116,'22F1187231'!$D$5:$J$4160,2,0))*O116</f>
        <v/>
      </c>
    </row>
    <row r="117">
      <c r="A117" s="250">
        <f>CONCATENATE(C117,D117,E117)</f>
        <v/>
      </c>
      <c r="B117" s="250">
        <f>CONCATENATE(D117,E117)</f>
        <v/>
      </c>
      <c r="C117" s="250">
        <f>IF(D117&gt;=1,IF(D117&lt;=3,"1",IF(D117&gt;=4,IF(D117&lt;=6,"2",IF(D117&gt;=7,IF(D117&lt;=9,"3",IF(D117&gt;=10,IF(D117&lt;=12,"4","-"))))))))</f>
        <v/>
      </c>
      <c r="D117" s="250">
        <f>MONTH(G89)</f>
        <v/>
      </c>
      <c r="E117" s="250">
        <f>YEAR(G89)</f>
        <v/>
      </c>
      <c r="F117" s="142">
        <f>F116+1</f>
        <v/>
      </c>
      <c r="G117" s="282" t="n">
        <v>48207</v>
      </c>
      <c r="H117" s="143" t="n">
        <v>0.039545</v>
      </c>
      <c r="I117" s="144" t="n">
        <v>142</v>
      </c>
      <c r="J117" s="283">
        <f>IFERROR((VLOOKUP($G117,'22F1187231'!$D$3:$N$4160,8,1))*O117,0)</f>
        <v/>
      </c>
      <c r="K117" s="283">
        <f>VLOOKUP(G117,'22F1187231'!$D$5:$L$4163,9,0)*O117</f>
        <v/>
      </c>
      <c r="L117" s="283">
        <f>SUM(J117:K117)</f>
        <v/>
      </c>
      <c r="M117" s="283">
        <f>(VLOOKUP($G117,'22F1187231'!$D$5:$N$4163,10,1))*O117</f>
        <v/>
      </c>
      <c r="N117" s="283">
        <f>SUM(L117:M117)</f>
        <v/>
      </c>
      <c r="O117" s="283" t="n">
        <v>1113210</v>
      </c>
      <c r="P117" s="283">
        <f>VLOOKUP(G117,'22F1187231'!$D$5:$J$4160,7,0)*O117-(SUM(J117:K117,M117))</f>
        <v/>
      </c>
      <c r="Q117" s="283">
        <f>(VLOOKUP(EOMONTH(G117,0),'22F1187231'!$D$5:$J$4160,7,0))*O117</f>
        <v/>
      </c>
      <c r="R117" s="283">
        <f>(VLOOKUP(G117,'22F1187231'!$D$5:$J$4160,4,0)-VLOOKUP(G117,'22F1187231'!$D$5:$J$4160,2,0))*O117</f>
        <v/>
      </c>
    </row>
    <row r="118">
      <c r="A118" s="250">
        <f>CONCATENATE(C118,D118,E118)</f>
        <v/>
      </c>
      <c r="B118" s="250">
        <f>CONCATENATE(D118,E118)</f>
        <v/>
      </c>
      <c r="C118" s="250">
        <f>IF(D118&gt;=1,IF(D118&lt;=3,"1",IF(D118&gt;=4,IF(D118&lt;=6,"2",IF(D118&gt;=7,IF(D118&lt;=9,"3",IF(D118&gt;=10,IF(D118&lt;=12,"4","-"))))))))</f>
        <v/>
      </c>
      <c r="D118" s="250">
        <f>MONTH(G90)</f>
        <v/>
      </c>
      <c r="E118" s="250">
        <f>YEAR(G90)</f>
        <v/>
      </c>
      <c r="F118" s="142">
        <f>F117+1</f>
        <v/>
      </c>
      <c r="G118" s="282" t="n">
        <v>48238</v>
      </c>
      <c r="H118" s="143" t="n">
        <v>0.041458</v>
      </c>
      <c r="I118" s="144" t="n">
        <v>143</v>
      </c>
      <c r="J118" s="283">
        <f>IFERROR((VLOOKUP($G118,'22F1187231'!$D$3:$N$4160,8,1))*O118,0)</f>
        <v/>
      </c>
      <c r="K118" s="283">
        <f>VLOOKUP(G118,'22F1187231'!$D$5:$L$4163,9,0)*O118</f>
        <v/>
      </c>
      <c r="L118" s="283">
        <f>SUM(J118:K118)</f>
        <v/>
      </c>
      <c r="M118" s="283">
        <f>(VLOOKUP($G118,'22F1187231'!$D$5:$N$4163,10,1))*O118</f>
        <v/>
      </c>
      <c r="N118" s="283">
        <f>SUM(L118:M118)</f>
        <v/>
      </c>
      <c r="O118" s="283" t="n">
        <v>1113210</v>
      </c>
      <c r="P118" s="283">
        <f>VLOOKUP(G118,'22F1187231'!$D$5:$J$4160,7,0)*O118-(SUM(J118:K118,M118))</f>
        <v/>
      </c>
      <c r="Q118" s="283">
        <f>(VLOOKUP(EOMONTH(G118,0),'22F1187231'!$D$5:$J$4160,7,0))*O118</f>
        <v/>
      </c>
      <c r="R118" s="283">
        <f>(VLOOKUP(G118,'22F1187231'!$D$5:$J$4160,4,0)-VLOOKUP(G118,'22F1187231'!$D$5:$J$4160,2,0))*O118</f>
        <v/>
      </c>
    </row>
    <row r="119">
      <c r="A119" s="250">
        <f>CONCATENATE(C119,D119,E119)</f>
        <v/>
      </c>
      <c r="B119" s="250">
        <f>CONCATENATE(D119,E119)</f>
        <v/>
      </c>
      <c r="C119" s="250">
        <f>IF(D119&gt;=1,IF(D119&lt;=3,"1",IF(D119&gt;=4,IF(D119&lt;=6,"2",IF(D119&gt;=7,IF(D119&lt;=9,"3",IF(D119&gt;=10,IF(D119&lt;=12,"4","-"))))))))</f>
        <v/>
      </c>
      <c r="D119" s="250">
        <f>MONTH(G91)</f>
        <v/>
      </c>
      <c r="E119" s="250">
        <f>YEAR(G91)</f>
        <v/>
      </c>
      <c r="F119" s="142">
        <f>F118+1</f>
        <v/>
      </c>
      <c r="G119" s="282" t="n">
        <v>48269</v>
      </c>
      <c r="H119" s="143" t="n">
        <v>0.04355</v>
      </c>
      <c r="I119" s="144" t="n">
        <v>144</v>
      </c>
      <c r="J119" s="283">
        <f>IFERROR((VLOOKUP($G119,'22F1187231'!$D$3:$N$4160,8,1))*O119,0)</f>
        <v/>
      </c>
      <c r="K119" s="283">
        <f>VLOOKUP(G119,'22F1187231'!$D$5:$L$4163,9,0)*O119</f>
        <v/>
      </c>
      <c r="L119" s="283">
        <f>SUM(J119:K119)</f>
        <v/>
      </c>
      <c r="M119" s="283">
        <f>(VLOOKUP($G119,'22F1187231'!$D$5:$N$4163,10,1))*O119</f>
        <v/>
      </c>
      <c r="N119" s="283">
        <f>SUM(L119:M119)</f>
        <v/>
      </c>
      <c r="O119" s="283" t="n">
        <v>1113210</v>
      </c>
      <c r="P119" s="283">
        <f>VLOOKUP(G119,'22F1187231'!$D$5:$J$4160,7,0)*O119-(SUM(J119:K119,M119))</f>
        <v/>
      </c>
      <c r="Q119" s="283">
        <f>(VLOOKUP(EOMONTH(G119,0),'22F1187231'!$D$5:$J$4160,7,0))*O119</f>
        <v/>
      </c>
      <c r="R119" s="283">
        <f>(VLOOKUP(G119,'22F1187231'!$D$5:$J$4160,4,0)-VLOOKUP(G119,'22F1187231'!$D$5:$J$4160,2,0))*O119</f>
        <v/>
      </c>
    </row>
    <row r="120">
      <c r="A120" s="250">
        <f>CONCATENATE(C120,D120,E120)</f>
        <v/>
      </c>
      <c r="B120" s="250">
        <f>CONCATENATE(D120,E120)</f>
        <v/>
      </c>
      <c r="C120" s="250">
        <f>IF(D120&gt;=1,IF(D120&lt;=3,"1",IF(D120&gt;=4,IF(D120&lt;=6,"2",IF(D120&gt;=7,IF(D120&lt;=9,"3",IF(D120&gt;=10,IF(D120&lt;=12,"4","-"))))))))</f>
        <v/>
      </c>
      <c r="D120" s="250">
        <f>MONTH(G92)</f>
        <v/>
      </c>
      <c r="E120" s="250">
        <f>YEAR(G92)</f>
        <v/>
      </c>
      <c r="F120" s="142">
        <f>F119+1</f>
        <v/>
      </c>
      <c r="G120" s="282" t="n">
        <v>48298</v>
      </c>
      <c r="H120" s="143" t="n">
        <v>0.045847</v>
      </c>
      <c r="I120" s="144" t="n">
        <v>145</v>
      </c>
      <c r="J120" s="283">
        <f>IFERROR((VLOOKUP($G120,'22F1187231'!$D$3:$N$4160,8,1))*O120,0)</f>
        <v/>
      </c>
      <c r="K120" s="283">
        <f>VLOOKUP(G120,'22F1187231'!$D$5:$L$4163,9,0)*O120</f>
        <v/>
      </c>
      <c r="L120" s="283">
        <f>SUM(J120:K120)</f>
        <v/>
      </c>
      <c r="M120" s="283">
        <f>(VLOOKUP($G120,'22F1187231'!$D$5:$N$4163,10,1))*O120</f>
        <v/>
      </c>
      <c r="N120" s="283">
        <f>SUM(L120:M120)</f>
        <v/>
      </c>
      <c r="O120" s="283" t="n">
        <v>1113210</v>
      </c>
      <c r="P120" s="283">
        <f>VLOOKUP(G120,'22F1187231'!$D$5:$J$4160,7,0)*O120-(SUM(J120:K120,M120))</f>
        <v/>
      </c>
      <c r="Q120" s="283">
        <f>(VLOOKUP(EOMONTH(G120,0),'22F1187231'!$D$5:$J$4160,7,0))*O120</f>
        <v/>
      </c>
      <c r="R120" s="283">
        <f>(VLOOKUP(G120,'22F1187231'!$D$5:$J$4160,4,0)-VLOOKUP(G120,'22F1187231'!$D$5:$J$4160,2,0))*O120</f>
        <v/>
      </c>
    </row>
    <row r="121">
      <c r="A121" s="250">
        <f>CONCATENATE(C121,D121,E121)</f>
        <v/>
      </c>
      <c r="B121" s="250">
        <f>CONCATENATE(D121,E121)</f>
        <v/>
      </c>
      <c r="C121" s="250">
        <f>IF(D121&gt;=1,IF(D121&lt;=3,"1",IF(D121&gt;=4,IF(D121&lt;=6,"2",IF(D121&gt;=7,IF(D121&lt;=9,"3",IF(D121&gt;=10,IF(D121&lt;=12,"4","-"))))))))</f>
        <v/>
      </c>
      <c r="D121" s="250">
        <f>MONTH(G93)</f>
        <v/>
      </c>
      <c r="E121" s="250">
        <f>YEAR(G93)</f>
        <v/>
      </c>
      <c r="F121" s="142">
        <f>F120+1</f>
        <v/>
      </c>
      <c r="G121" s="282" t="n">
        <v>48329</v>
      </c>
      <c r="H121" s="143" t="n">
        <v>0.048381</v>
      </c>
      <c r="I121" s="144" t="n">
        <v>146</v>
      </c>
      <c r="J121" s="283">
        <f>IFERROR((VLOOKUP($G121,'22F1187231'!$D$3:$N$4160,8,1))*O121,0)</f>
        <v/>
      </c>
      <c r="K121" s="283">
        <f>VLOOKUP(G121,'22F1187231'!$D$5:$L$4163,9,0)*O121</f>
        <v/>
      </c>
      <c r="L121" s="283">
        <f>SUM(J121:K121)</f>
        <v/>
      </c>
      <c r="M121" s="283">
        <f>(VLOOKUP($G121,'22F1187231'!$D$5:$N$4163,10,1))*O121</f>
        <v/>
      </c>
      <c r="N121" s="283">
        <f>SUM(L121:M121)</f>
        <v/>
      </c>
      <c r="O121" s="283" t="n">
        <v>1113210</v>
      </c>
      <c r="P121" s="283">
        <f>VLOOKUP(G121,'22F1187231'!$D$5:$J$4160,7,0)*O121-(SUM(J121:K121,M121))</f>
        <v/>
      </c>
      <c r="Q121" s="283">
        <f>(VLOOKUP(EOMONTH(G121,0),'22F1187231'!$D$5:$J$4160,7,0))*O121</f>
        <v/>
      </c>
      <c r="R121" s="283">
        <f>(VLOOKUP(G121,'22F1187231'!$D$5:$J$4160,4,0)-VLOOKUP(G121,'22F1187231'!$D$5:$J$4160,2,0))*O121</f>
        <v/>
      </c>
    </row>
    <row r="122">
      <c r="A122" s="250">
        <f>CONCATENATE(C122,D122,E122)</f>
        <v/>
      </c>
      <c r="B122" s="250">
        <f>CONCATENATE(D122,E122)</f>
        <v/>
      </c>
      <c r="C122" s="250">
        <f>IF(D122&gt;=1,IF(D122&lt;=3,"1",IF(D122&gt;=4,IF(D122&lt;=6,"2",IF(D122&gt;=7,IF(D122&lt;=9,"3",IF(D122&gt;=10,IF(D122&lt;=12,"4","-"))))))))</f>
        <v/>
      </c>
      <c r="D122" s="250">
        <f>MONTH(G94)</f>
        <v/>
      </c>
      <c r="E122" s="250">
        <f>YEAR(G94)</f>
        <v/>
      </c>
      <c r="F122" s="142">
        <f>F121+1</f>
        <v/>
      </c>
      <c r="G122" s="282" t="n">
        <v>48359</v>
      </c>
      <c r="H122" s="143" t="n">
        <v>0.051191</v>
      </c>
      <c r="I122" s="144" t="n">
        <v>147</v>
      </c>
      <c r="J122" s="283">
        <f>IFERROR((VLOOKUP($G122,'22F1187231'!$D$3:$N$4160,8,1))*O122,0)</f>
        <v/>
      </c>
      <c r="K122" s="283">
        <f>VLOOKUP(G122,'22F1187231'!$D$5:$L$4163,9,0)*O122</f>
        <v/>
      </c>
      <c r="L122" s="283">
        <f>SUM(J122:K122)</f>
        <v/>
      </c>
      <c r="M122" s="283">
        <f>(VLOOKUP($G122,'22F1187231'!$D$5:$N$4163,10,1))*O122</f>
        <v/>
      </c>
      <c r="N122" s="283">
        <f>SUM(L122:M122)</f>
        <v/>
      </c>
      <c r="O122" s="283" t="n">
        <v>1113210</v>
      </c>
      <c r="P122" s="283">
        <f>VLOOKUP(G122,'22F1187231'!$D$5:$J$4160,7,0)*O122-(SUM(J122:K122,M122))</f>
        <v/>
      </c>
      <c r="Q122" s="283">
        <f>(VLOOKUP(EOMONTH(G122,0),'22F1187231'!$D$5:$J$4160,7,0))*O122</f>
        <v/>
      </c>
      <c r="R122" s="283">
        <f>(VLOOKUP(G122,'22F1187231'!$D$5:$J$4160,4,0)-VLOOKUP(G122,'22F1187231'!$D$5:$J$4160,2,0))*O122</f>
        <v/>
      </c>
    </row>
    <row r="123">
      <c r="A123" s="250">
        <f>CONCATENATE(C123,D123,E123)</f>
        <v/>
      </c>
      <c r="B123" s="250">
        <f>CONCATENATE(D123,E123)</f>
        <v/>
      </c>
      <c r="C123" s="250">
        <f>IF(D123&gt;=1,IF(D123&lt;=3,"1",IF(D123&gt;=4,IF(D123&lt;=6,"2",IF(D123&gt;=7,IF(D123&lt;=9,"3",IF(D123&gt;=10,IF(D123&lt;=12,"4","-"))))))))</f>
        <v/>
      </c>
      <c r="D123" s="250">
        <f>MONTH(G95)</f>
        <v/>
      </c>
      <c r="E123" s="250">
        <f>YEAR(G95)</f>
        <v/>
      </c>
      <c r="F123" s="142">
        <f>F122+1</f>
        <v/>
      </c>
      <c r="G123" s="282" t="n">
        <v>48390</v>
      </c>
      <c r="H123" s="143" t="n">
        <v>0.054324</v>
      </c>
      <c r="I123" s="144" t="n">
        <v>148</v>
      </c>
      <c r="J123" s="283">
        <f>IFERROR((VLOOKUP($G123,'22F1187231'!$D$3:$N$4160,8,1))*O123,0)</f>
        <v/>
      </c>
      <c r="K123" s="283">
        <f>VLOOKUP(G123,'22F1187231'!$D$5:$L$4163,9,0)*O123</f>
        <v/>
      </c>
      <c r="L123" s="283">
        <f>SUM(J123:K123)</f>
        <v/>
      </c>
      <c r="M123" s="283">
        <f>(VLOOKUP($G123,'22F1187231'!$D$5:$N$4163,10,1))*O123</f>
        <v/>
      </c>
      <c r="N123" s="283">
        <f>SUM(L123:M123)</f>
        <v/>
      </c>
      <c r="O123" s="283" t="n">
        <v>1113210</v>
      </c>
      <c r="P123" s="283">
        <f>VLOOKUP(G123,'22F1187231'!$D$5:$J$4160,7,0)*O123-(SUM(J123:K123,M123))</f>
        <v/>
      </c>
      <c r="Q123" s="283">
        <f>(VLOOKUP(EOMONTH(G123,0),'22F1187231'!$D$5:$J$4160,7,0))*O123</f>
        <v/>
      </c>
      <c r="R123" s="283">
        <f>(VLOOKUP(G123,'22F1187231'!$D$5:$J$4160,4,0)-VLOOKUP(G123,'22F1187231'!$D$5:$J$4160,2,0))*O123</f>
        <v/>
      </c>
    </row>
    <row r="124">
      <c r="A124" s="250">
        <f>CONCATENATE(C124,D124,E124)</f>
        <v/>
      </c>
      <c r="B124" s="250">
        <f>CONCATENATE(D124,E124)</f>
        <v/>
      </c>
      <c r="C124" s="250">
        <f>IF(D124&gt;=1,IF(D124&lt;=3,"1",IF(D124&gt;=4,IF(D124&lt;=6,"2",IF(D124&gt;=7,IF(D124&lt;=9,"3",IF(D124&gt;=10,IF(D124&lt;=12,"4","-"))))))))</f>
        <v/>
      </c>
      <c r="D124" s="250">
        <f>MONTH(G96)</f>
        <v/>
      </c>
      <c r="E124" s="250">
        <f>YEAR(G96)</f>
        <v/>
      </c>
      <c r="F124" s="142">
        <f>F123+1</f>
        <v/>
      </c>
      <c r="G124" s="282" t="n">
        <v>48420</v>
      </c>
      <c r="H124" s="143" t="n">
        <v>0.057839</v>
      </c>
      <c r="I124" s="144" t="n">
        <v>149</v>
      </c>
      <c r="J124" s="283">
        <f>IFERROR((VLOOKUP($G124,'22F1187231'!$D$3:$N$4160,8,1))*O124,0)</f>
        <v/>
      </c>
      <c r="K124" s="283">
        <f>VLOOKUP(G124,'22F1187231'!$D$5:$L$4163,9,0)*O124</f>
        <v/>
      </c>
      <c r="L124" s="283">
        <f>SUM(J124:K124)</f>
        <v/>
      </c>
      <c r="M124" s="283">
        <f>(VLOOKUP($G124,'22F1187231'!$D$5:$N$4163,10,1))*O124</f>
        <v/>
      </c>
      <c r="N124" s="283">
        <f>SUM(L124:M124)</f>
        <v/>
      </c>
      <c r="O124" s="283" t="n">
        <v>1113210</v>
      </c>
      <c r="P124" s="283">
        <f>VLOOKUP(G124,'22F1187231'!$D$5:$J$4160,7,0)*O124-(SUM(J124:K124,M124))</f>
        <v/>
      </c>
      <c r="Q124" s="283">
        <f>(VLOOKUP(EOMONTH(G124,0),'22F1187231'!$D$5:$J$4160,7,0))*O124</f>
        <v/>
      </c>
      <c r="R124" s="283">
        <f>(VLOOKUP(G124,'22F1187231'!$D$5:$J$4160,4,0)-VLOOKUP(G124,'22F1187231'!$D$5:$J$4160,2,0))*O124</f>
        <v/>
      </c>
    </row>
    <row r="125">
      <c r="A125" s="250">
        <f>CONCATENATE(C125,D125,E125)</f>
        <v/>
      </c>
      <c r="B125" s="250">
        <f>CONCATENATE(D125,E125)</f>
        <v/>
      </c>
      <c r="C125" s="250">
        <f>IF(D125&gt;=1,IF(D125&lt;=3,"1",IF(D125&gt;=4,IF(D125&lt;=6,"2",IF(D125&gt;=7,IF(D125&lt;=9,"3",IF(D125&gt;=10,IF(D125&lt;=12,"4","-"))))))))</f>
        <v/>
      </c>
      <c r="D125" s="250">
        <f>MONTH(G97)</f>
        <v/>
      </c>
      <c r="E125" s="250">
        <f>YEAR(G97)</f>
        <v/>
      </c>
      <c r="F125" s="142">
        <f>F124+1</f>
        <v/>
      </c>
      <c r="G125" s="282" t="n">
        <v>48451</v>
      </c>
      <c r="H125" s="143" t="n">
        <v>0.06181</v>
      </c>
      <c r="I125" s="144" t="n">
        <v>150</v>
      </c>
      <c r="J125" s="283">
        <f>IFERROR((VLOOKUP($G125,'22F1187231'!$D$3:$N$4160,8,1))*O125,0)</f>
        <v/>
      </c>
      <c r="K125" s="283">
        <f>VLOOKUP(G125,'22F1187231'!$D$5:$L$4163,9,0)*O125</f>
        <v/>
      </c>
      <c r="L125" s="283">
        <f>SUM(J125:K125)</f>
        <v/>
      </c>
      <c r="M125" s="283">
        <f>(VLOOKUP($G125,'22F1187231'!$D$5:$N$4163,10,1))*O125</f>
        <v/>
      </c>
      <c r="N125" s="283">
        <f>SUM(L125:M125)</f>
        <v/>
      </c>
      <c r="O125" s="283" t="n">
        <v>1113210</v>
      </c>
      <c r="P125" s="283">
        <f>VLOOKUP(G125,'22F1187231'!$D$5:$J$4160,7,0)*O125-(SUM(J125:K125,M125))</f>
        <v/>
      </c>
      <c r="Q125" s="283">
        <f>(VLOOKUP(EOMONTH(G125,0),'22F1187231'!$D$5:$J$4160,7,0))*O125</f>
        <v/>
      </c>
      <c r="R125" s="283">
        <f>(VLOOKUP(G125,'22F1187231'!$D$5:$J$4160,4,0)-VLOOKUP(G125,'22F1187231'!$D$5:$J$4160,2,0))*O125</f>
        <v/>
      </c>
    </row>
    <row r="126">
      <c r="A126" s="250">
        <f>CONCATENATE(C126,D126,E126)</f>
        <v/>
      </c>
      <c r="B126" s="250">
        <f>CONCATENATE(D126,E126)</f>
        <v/>
      </c>
      <c r="C126" s="250">
        <f>IF(D126&gt;=1,IF(D126&lt;=3,"1",IF(D126&gt;=4,IF(D126&lt;=6,"2",IF(D126&gt;=7,IF(D126&lt;=9,"3",IF(D126&gt;=10,IF(D126&lt;=12,"4","-"))))))))</f>
        <v/>
      </c>
      <c r="D126" s="250">
        <f>MONTH(G98)</f>
        <v/>
      </c>
      <c r="E126" s="250">
        <f>YEAR(G98)</f>
        <v/>
      </c>
      <c r="F126" s="142">
        <f>F125+1</f>
        <v/>
      </c>
      <c r="G126" s="282" t="n">
        <v>48482</v>
      </c>
      <c r="H126" s="143" t="n">
        <v>0.066334</v>
      </c>
      <c r="I126" s="144" t="n">
        <v>151</v>
      </c>
      <c r="J126" s="283">
        <f>IFERROR((VLOOKUP($G126,'22F1187231'!$D$3:$N$4160,8,1))*O126,0)</f>
        <v/>
      </c>
      <c r="K126" s="283">
        <f>VLOOKUP(G126,'22F1187231'!$D$5:$L$4163,9,0)*O126</f>
        <v/>
      </c>
      <c r="L126" s="283">
        <f>SUM(J126:K126)</f>
        <v/>
      </c>
      <c r="M126" s="283">
        <f>(VLOOKUP($G126,'22F1187231'!$D$5:$N$4163,10,1))*O126</f>
        <v/>
      </c>
      <c r="N126" s="283">
        <f>SUM(L126:M126)</f>
        <v/>
      </c>
      <c r="O126" s="283" t="n">
        <v>1113210</v>
      </c>
      <c r="P126" s="283">
        <f>VLOOKUP(G126,'22F1187231'!$D$5:$J$4160,7,0)*O126-(SUM(J126:K126,M126))</f>
        <v/>
      </c>
      <c r="Q126" s="283">
        <f>(VLOOKUP(EOMONTH(G126,0),'22F1187231'!$D$5:$J$4160,7,0))*O126</f>
        <v/>
      </c>
      <c r="R126" s="283">
        <f>(VLOOKUP(G126,'22F1187231'!$D$5:$J$4160,4,0)-VLOOKUP(G126,'22F1187231'!$D$5:$J$4160,2,0))*O126</f>
        <v/>
      </c>
    </row>
    <row r="127">
      <c r="A127" s="250">
        <f>CONCATENATE(C127,D127,E127)</f>
        <v/>
      </c>
      <c r="B127" s="250">
        <f>CONCATENATE(D127,E127)</f>
        <v/>
      </c>
      <c r="C127" s="250">
        <f>IF(D127&gt;=1,IF(D127&lt;=3,"1",IF(D127&gt;=4,IF(D127&lt;=6,"2",IF(D127&gt;=7,IF(D127&lt;=9,"3",IF(D127&gt;=10,IF(D127&lt;=12,"4","-"))))))))</f>
        <v/>
      </c>
      <c r="D127" s="250">
        <f>MONTH(G99)</f>
        <v/>
      </c>
      <c r="E127" s="250">
        <f>YEAR(G99)</f>
        <v/>
      </c>
      <c r="F127" s="142">
        <f>F126+1</f>
        <v/>
      </c>
      <c r="G127" s="282" t="n">
        <v>48512</v>
      </c>
      <c r="H127" s="143" t="n">
        <v>0.071533</v>
      </c>
      <c r="I127" s="144" t="n">
        <v>152</v>
      </c>
      <c r="J127" s="283">
        <f>IFERROR((VLOOKUP($G127,'22F1187231'!$D$3:$N$4160,8,1))*O127,0)</f>
        <v/>
      </c>
      <c r="K127" s="283">
        <f>VLOOKUP(G127,'22F1187231'!$D$5:$L$4163,9,0)*O127</f>
        <v/>
      </c>
      <c r="L127" s="283">
        <f>SUM(J127:K127)</f>
        <v/>
      </c>
      <c r="M127" s="283">
        <f>(VLOOKUP($G127,'22F1187231'!$D$5:$N$4163,10,1))*O127</f>
        <v/>
      </c>
      <c r="N127" s="283">
        <f>SUM(L127:M127)</f>
        <v/>
      </c>
      <c r="O127" s="283" t="n">
        <v>1113210</v>
      </c>
      <c r="P127" s="283">
        <f>VLOOKUP(G127,'22F1187231'!$D$5:$J$4160,7,0)*O127-(SUM(J127:K127,M127))</f>
        <v/>
      </c>
      <c r="Q127" s="283">
        <f>(VLOOKUP(EOMONTH(G127,0),'22F1187231'!$D$5:$J$4160,7,0))*O127</f>
        <v/>
      </c>
      <c r="R127" s="283">
        <f>(VLOOKUP(G127,'22F1187231'!$D$5:$J$4160,4,0)-VLOOKUP(G127,'22F1187231'!$D$5:$J$4160,2,0))*O127</f>
        <v/>
      </c>
    </row>
    <row r="128">
      <c r="A128" s="250">
        <f>CONCATENATE(C128,D128,E128)</f>
        <v/>
      </c>
      <c r="B128" s="250">
        <f>CONCATENATE(D128,E128)</f>
        <v/>
      </c>
      <c r="C128" s="250">
        <f>IF(D128&gt;=1,IF(D128&lt;=3,"1",IF(D128&gt;=4,IF(D128&lt;=6,"2",IF(D128&gt;=7,IF(D128&lt;=9,"3",IF(D128&gt;=10,IF(D128&lt;=12,"4","-"))))))))</f>
        <v/>
      </c>
      <c r="D128" s="250">
        <f>MONTH(G100)</f>
        <v/>
      </c>
      <c r="E128" s="250">
        <f>YEAR(G100)</f>
        <v/>
      </c>
      <c r="F128" s="142">
        <f>F127+1</f>
        <v/>
      </c>
      <c r="G128" s="282" t="n">
        <v>48543</v>
      </c>
      <c r="H128" s="143" t="n">
        <v>0.077571</v>
      </c>
      <c r="I128" s="144" t="n">
        <v>153</v>
      </c>
      <c r="J128" s="283">
        <f>IFERROR((VLOOKUP($G128,'22F1187231'!$D$3:$N$4160,8,1))*O128,0)</f>
        <v/>
      </c>
      <c r="K128" s="283">
        <f>VLOOKUP(G128,'22F1187231'!$D$5:$L$4163,9,0)*O128</f>
        <v/>
      </c>
      <c r="L128" s="283">
        <f>SUM(J128:K128)</f>
        <v/>
      </c>
      <c r="M128" s="283">
        <f>(VLOOKUP($G128,'22F1187231'!$D$5:$N$4163,10,1))*O128</f>
        <v/>
      </c>
      <c r="N128" s="283">
        <f>SUM(L128:M128)</f>
        <v/>
      </c>
      <c r="O128" s="283" t="n">
        <v>1113210</v>
      </c>
      <c r="P128" s="283">
        <f>VLOOKUP(G128,'22F1187231'!$D$5:$J$4160,7,0)*O128-(SUM(J128:K128,M128))</f>
        <v/>
      </c>
      <c r="Q128" s="283">
        <f>(VLOOKUP(EOMONTH(G128,0),'22F1187231'!$D$5:$J$4160,7,0))*O128</f>
        <v/>
      </c>
      <c r="R128" s="283">
        <f>(VLOOKUP(G128,'22F1187231'!$D$5:$J$4160,4,0)-VLOOKUP(G128,'22F1187231'!$D$5:$J$4160,2,0))*O128</f>
        <v/>
      </c>
    </row>
    <row r="129">
      <c r="A129" s="250">
        <f>CONCATENATE(C129,D129,E129)</f>
        <v/>
      </c>
      <c r="B129" s="250">
        <f>CONCATENATE(D129,E129)</f>
        <v/>
      </c>
      <c r="C129" s="250">
        <f>IF(D129&gt;=1,IF(D129&lt;=3,"1",IF(D129&gt;=4,IF(D129&lt;=6,"2",IF(D129&gt;=7,IF(D129&lt;=9,"3",IF(D129&gt;=10,IF(D129&lt;=12,"4","-"))))))))</f>
        <v/>
      </c>
      <c r="D129" s="250">
        <f>MONTH(G101)</f>
        <v/>
      </c>
      <c r="E129" s="250">
        <f>YEAR(G101)</f>
        <v/>
      </c>
      <c r="F129" s="142">
        <f>F128+1</f>
        <v/>
      </c>
      <c r="G129" s="282" t="n">
        <v>48573</v>
      </c>
      <c r="H129" s="143" t="n">
        <v>0.08466799999999999</v>
      </c>
      <c r="I129" s="144" t="n">
        <v>154</v>
      </c>
      <c r="J129" s="283">
        <f>IFERROR((VLOOKUP($G129,'22F1187231'!$D$3:$N$4160,8,1))*O129,0)</f>
        <v/>
      </c>
      <c r="K129" s="283">
        <f>VLOOKUP(G129,'22F1187231'!$D$5:$L$4163,9,0)*O129</f>
        <v/>
      </c>
      <c r="L129" s="283">
        <f>SUM(J129:K129)</f>
        <v/>
      </c>
      <c r="M129" s="283">
        <f>(VLOOKUP($G129,'22F1187231'!$D$5:$N$4163,10,1))*O129</f>
        <v/>
      </c>
      <c r="N129" s="283">
        <f>SUM(L129:M129)</f>
        <v/>
      </c>
      <c r="O129" s="283" t="n">
        <v>1113210</v>
      </c>
      <c r="P129" s="283">
        <f>VLOOKUP(G129,'22F1187231'!$D$5:$J$4160,7,0)*O129-(SUM(J129:K129,M129))</f>
        <v/>
      </c>
      <c r="Q129" s="283">
        <f>(VLOOKUP(EOMONTH(G129,0),'22F1187231'!$D$5:$J$4160,7,0))*O129</f>
        <v/>
      </c>
      <c r="R129" s="283">
        <f>(VLOOKUP(G129,'22F1187231'!$D$5:$J$4160,4,0)-VLOOKUP(G129,'22F1187231'!$D$5:$J$4160,2,0))*O129</f>
        <v/>
      </c>
    </row>
    <row r="130">
      <c r="A130" s="250">
        <f>CONCATENATE(C130,D130,E130)</f>
        <v/>
      </c>
      <c r="B130" s="250">
        <f>CONCATENATE(D130,E130)</f>
        <v/>
      </c>
      <c r="C130" s="250">
        <f>IF(D130&gt;=1,IF(D130&lt;=3,"1",IF(D130&gt;=4,IF(D130&lt;=6,"2",IF(D130&gt;=7,IF(D130&lt;=9,"3",IF(D130&gt;=10,IF(D130&lt;=12,"4","-"))))))))</f>
        <v/>
      </c>
      <c r="D130" s="250">
        <f>MONTH(G102)</f>
        <v/>
      </c>
      <c r="E130" s="250">
        <f>YEAR(G102)</f>
        <v/>
      </c>
      <c r="F130" s="142">
        <f>F129+1</f>
        <v/>
      </c>
      <c r="G130" s="282" t="n">
        <v>48604</v>
      </c>
      <c r="H130" s="143" t="n">
        <v>0.09313</v>
      </c>
      <c r="I130" s="144" t="n">
        <v>155</v>
      </c>
      <c r="J130" s="283">
        <f>IFERROR((VLOOKUP($G130,'22F1187231'!$D$3:$N$4160,8,1))*O130,0)</f>
        <v/>
      </c>
      <c r="K130" s="283">
        <f>VLOOKUP(G130,'22F1187231'!$D$5:$L$4163,9,0)*O130</f>
        <v/>
      </c>
      <c r="L130" s="283">
        <f>SUM(J130:K130)</f>
        <v/>
      </c>
      <c r="M130" s="283">
        <f>(VLOOKUP($G130,'22F1187231'!$D$5:$N$4163,10,1))*O130</f>
        <v/>
      </c>
      <c r="N130" s="283">
        <f>SUM(L130:M130)</f>
        <v/>
      </c>
      <c r="O130" s="283" t="n">
        <v>1113210</v>
      </c>
      <c r="P130" s="283">
        <f>VLOOKUP(G130,'22F1187231'!$D$5:$J$4160,7,0)*O130-(SUM(J130:K130,M130))</f>
        <v/>
      </c>
      <c r="Q130" s="283">
        <f>(VLOOKUP(EOMONTH(G130,0),'22F1187231'!$D$5:$J$4160,7,0))*O130</f>
        <v/>
      </c>
      <c r="R130" s="283">
        <f>(VLOOKUP(G130,'22F1187231'!$D$5:$J$4160,4,0)-VLOOKUP(G130,'22F1187231'!$D$5:$J$4160,2,0))*O130</f>
        <v/>
      </c>
    </row>
    <row r="131">
      <c r="A131" s="250">
        <f>CONCATENATE(C131,D131,E131)</f>
        <v/>
      </c>
      <c r="B131" s="250">
        <f>CONCATENATE(D131,E131)</f>
        <v/>
      </c>
      <c r="C131" s="250">
        <f>IF(D131&gt;=1,IF(D131&lt;=3,"1",IF(D131&gt;=4,IF(D131&lt;=6,"2",IF(D131&gt;=7,IF(D131&lt;=9,"3",IF(D131&gt;=10,IF(D131&lt;=12,"4","-"))))))))</f>
        <v/>
      </c>
      <c r="D131" s="250">
        <f>MONTH(G103)</f>
        <v/>
      </c>
      <c r="E131" s="250">
        <f>YEAR(G103)</f>
        <v/>
      </c>
      <c r="F131" s="142">
        <f>F130+1</f>
        <v/>
      </c>
      <c r="G131" s="282" t="n">
        <v>48635</v>
      </c>
      <c r="H131" s="143" t="n">
        <v>0.103393</v>
      </c>
      <c r="I131" s="144" t="n">
        <v>156</v>
      </c>
      <c r="J131" s="283">
        <f>IFERROR((VLOOKUP($G131,'22F1187231'!$D$3:$N$4160,8,1))*O131,0)</f>
        <v/>
      </c>
      <c r="K131" s="283">
        <f>VLOOKUP(G131,'22F1187231'!$D$5:$L$4163,9,0)*O131</f>
        <v/>
      </c>
      <c r="L131" s="283">
        <f>SUM(J131:K131)</f>
        <v/>
      </c>
      <c r="M131" s="283">
        <f>(VLOOKUP($G131,'22F1187231'!$D$5:$N$4163,10,1))*O131</f>
        <v/>
      </c>
      <c r="N131" s="283">
        <f>SUM(L131:M131)</f>
        <v/>
      </c>
      <c r="O131" s="283" t="n">
        <v>1113210</v>
      </c>
      <c r="P131" s="283">
        <f>VLOOKUP(G131,'22F1187231'!$D$5:$J$4160,7,0)*O131-(SUM(J131:K131,M131))</f>
        <v/>
      </c>
      <c r="Q131" s="283">
        <f>(VLOOKUP(EOMONTH(G131,0),'22F1187231'!$D$5:$J$4160,7,0))*O131</f>
        <v/>
      </c>
      <c r="R131" s="283">
        <f>(VLOOKUP(G131,'22F1187231'!$D$5:$J$4160,4,0)-VLOOKUP(G131,'22F1187231'!$D$5:$J$4160,2,0))*O131</f>
        <v/>
      </c>
    </row>
    <row r="132">
      <c r="A132" s="250">
        <f>CONCATENATE(C132,D132,E132)</f>
        <v/>
      </c>
      <c r="B132" s="250">
        <f>CONCATENATE(D132,E132)</f>
        <v/>
      </c>
      <c r="C132" s="250">
        <f>IF(D132&gt;=1,IF(D132&lt;=3,"1",IF(D132&gt;=4,IF(D132&lt;=6,"2",IF(D132&gt;=7,IF(D132&lt;=9,"3",IF(D132&gt;=10,IF(D132&lt;=12,"4","-"))))))))</f>
        <v/>
      </c>
      <c r="D132" s="250">
        <f>MONTH(G104)</f>
        <v/>
      </c>
      <c r="E132" s="250">
        <f>YEAR(G104)</f>
        <v/>
      </c>
      <c r="F132" s="142">
        <f>F131+1</f>
        <v/>
      </c>
      <c r="G132" s="282" t="n">
        <v>48663</v>
      </c>
      <c r="H132" s="143" t="n">
        <v>0.116101</v>
      </c>
      <c r="I132" s="144" t="n">
        <v>157</v>
      </c>
      <c r="J132" s="283">
        <f>IFERROR((VLOOKUP($G132,'22F1187231'!$D$3:$N$4160,8,1))*O132,0)</f>
        <v/>
      </c>
      <c r="K132" s="283">
        <f>VLOOKUP(G132,'22F1187231'!$D$5:$L$4163,9,0)*O132</f>
        <v/>
      </c>
      <c r="L132" s="283">
        <f>SUM(J132:K132)</f>
        <v/>
      </c>
      <c r="M132" s="283">
        <f>(VLOOKUP($G132,'22F1187231'!$D$5:$N$4163,10,1))*O132</f>
        <v/>
      </c>
      <c r="N132" s="283">
        <f>SUM(L132:M132)</f>
        <v/>
      </c>
      <c r="O132" s="283" t="n">
        <v>1113210</v>
      </c>
      <c r="P132" s="283">
        <f>VLOOKUP(G132,'22F1187231'!$D$5:$J$4160,7,0)*O132-(SUM(J132:K132,M132))</f>
        <v/>
      </c>
      <c r="Q132" s="283">
        <f>(VLOOKUP(EOMONTH(G132,0),'22F1187231'!$D$5:$J$4160,7,0))*O132</f>
        <v/>
      </c>
      <c r="R132" s="283">
        <f>(VLOOKUP(G132,'22F1187231'!$D$5:$J$4160,4,0)-VLOOKUP(G132,'22F1187231'!$D$5:$J$4160,2,0))*O132</f>
        <v/>
      </c>
    </row>
    <row r="133">
      <c r="A133" s="250">
        <f>CONCATENATE(C133,D133,E133)</f>
        <v/>
      </c>
      <c r="B133" s="250">
        <f>CONCATENATE(D133,E133)</f>
        <v/>
      </c>
      <c r="C133" s="250">
        <f>IF(D133&gt;=1,IF(D133&lt;=3,"1",IF(D133&gt;=4,IF(D133&lt;=6,"2",IF(D133&gt;=7,IF(D133&lt;=9,"3",IF(D133&gt;=10,IF(D133&lt;=12,"4","-"))))))))</f>
        <v/>
      </c>
      <c r="D133" s="250">
        <f>MONTH(G105)</f>
        <v/>
      </c>
      <c r="E133" s="250">
        <f>YEAR(G105)</f>
        <v/>
      </c>
      <c r="F133" s="142">
        <f>F132+1</f>
        <v/>
      </c>
      <c r="G133" s="282" t="n">
        <v>48694</v>
      </c>
      <c r="H133" s="143" t="n">
        <v>0.132243</v>
      </c>
      <c r="I133" s="144" t="n">
        <v>158</v>
      </c>
      <c r="J133" s="283">
        <f>IFERROR((VLOOKUP($G133,'22F1187231'!$D$3:$N$4160,8,1))*O133,0)</f>
        <v/>
      </c>
      <c r="K133" s="283">
        <f>VLOOKUP(G133,'22F1187231'!$D$5:$L$4163,9,0)*O133</f>
        <v/>
      </c>
      <c r="L133" s="283">
        <f>SUM(J133:K133)</f>
        <v/>
      </c>
      <c r="M133" s="283">
        <f>(VLOOKUP($G133,'22F1187231'!$D$5:$N$4163,10,1))*O133</f>
        <v/>
      </c>
      <c r="N133" s="283">
        <f>SUM(L133:M133)</f>
        <v/>
      </c>
      <c r="O133" s="283" t="n">
        <v>1113210</v>
      </c>
      <c r="P133" s="283">
        <f>VLOOKUP(G133,'22F1187231'!$D$5:$J$4160,7,0)*O133-(SUM(J133:K133,M133))</f>
        <v/>
      </c>
      <c r="Q133" s="283">
        <f>(VLOOKUP(EOMONTH(G133,0),'22F1187231'!$D$5:$J$4160,7,0))*O133</f>
        <v/>
      </c>
      <c r="R133" s="283">
        <f>(VLOOKUP(G133,'22F1187231'!$D$5:$J$4160,4,0)-VLOOKUP(G133,'22F1187231'!$D$5:$J$4160,2,0))*O133</f>
        <v/>
      </c>
    </row>
    <row r="134">
      <c r="A134" s="250">
        <f>CONCATENATE(C134,D134,E134)</f>
        <v/>
      </c>
      <c r="B134" s="250">
        <f>CONCATENATE(D134,E134)</f>
        <v/>
      </c>
      <c r="C134" s="250">
        <f>IF(D134&gt;=1,IF(D134&lt;=3,"1",IF(D134&gt;=4,IF(D134&lt;=6,"2",IF(D134&gt;=7,IF(D134&lt;=9,"3",IF(D134&gt;=10,IF(D134&lt;=12,"4","-"))))))))</f>
        <v/>
      </c>
      <c r="D134" s="250">
        <f>MONTH(G106)</f>
        <v/>
      </c>
      <c r="E134" s="250">
        <f>YEAR(G106)</f>
        <v/>
      </c>
      <c r="F134" s="142">
        <f>F133+1</f>
        <v/>
      </c>
      <c r="G134" s="282" t="n">
        <v>48724</v>
      </c>
      <c r="H134" s="143" t="n">
        <v>0.153431</v>
      </c>
      <c r="I134" s="144" t="n">
        <v>159</v>
      </c>
      <c r="J134" s="283">
        <f>IFERROR((VLOOKUP($G134,'22F1187231'!$D$3:$N$4160,8,1))*O134,0)</f>
        <v/>
      </c>
      <c r="K134" s="283">
        <f>VLOOKUP(G134,'22F1187231'!$D$5:$L$4163,9,0)*O134</f>
        <v/>
      </c>
      <c r="L134" s="283">
        <f>SUM(J134:K134)</f>
        <v/>
      </c>
      <c r="M134" s="283">
        <f>(VLOOKUP($G134,'22F1187231'!$D$5:$N$4163,10,1))*O134</f>
        <v/>
      </c>
      <c r="N134" s="283">
        <f>SUM(L134:M134)</f>
        <v/>
      </c>
      <c r="O134" s="283" t="n">
        <v>1113210</v>
      </c>
      <c r="P134" s="283">
        <f>VLOOKUP(G134,'22F1187231'!$D$5:$J$4160,7,0)*O134-(SUM(J134:K134,M134))</f>
        <v/>
      </c>
      <c r="Q134" s="283">
        <f>(VLOOKUP(EOMONTH(G134,0),'22F1187231'!$D$5:$J$4160,7,0))*O134</f>
        <v/>
      </c>
      <c r="R134" s="283">
        <f>(VLOOKUP(G134,'22F1187231'!$D$5:$J$4160,4,0)-VLOOKUP(G134,'22F1187231'!$D$5:$J$4160,2,0))*O134</f>
        <v/>
      </c>
    </row>
    <row r="135">
      <c r="A135" s="250">
        <f>CONCATENATE(C135,D135,E135)</f>
        <v/>
      </c>
      <c r="B135" s="250">
        <f>CONCATENATE(D135,E135)</f>
        <v/>
      </c>
      <c r="C135" s="250">
        <f>IF(D135&gt;=1,IF(D135&lt;=3,"1",IF(D135&gt;=4,IF(D135&lt;=6,"2",IF(D135&gt;=7,IF(D135&lt;=9,"3",IF(D135&gt;=10,IF(D135&lt;=12,"4","-"))))))))</f>
        <v/>
      </c>
      <c r="D135" s="250">
        <f>MONTH(G107)</f>
        <v/>
      </c>
      <c r="E135" s="250">
        <f>YEAR(G107)</f>
        <v/>
      </c>
      <c r="F135" s="142">
        <f>F134+1</f>
        <v/>
      </c>
      <c r="G135" s="282" t="n">
        <v>48755</v>
      </c>
      <c r="H135" s="143" t="n">
        <v>0.182467</v>
      </c>
      <c r="I135" s="144" t="n">
        <v>160</v>
      </c>
      <c r="J135" s="283">
        <f>IFERROR((VLOOKUP($G135,'22F1187231'!$D$3:$N$4160,8,1))*O135,0)</f>
        <v/>
      </c>
      <c r="K135" s="283">
        <f>VLOOKUP(G135,'22F1187231'!$D$5:$L$4163,9,0)*O135</f>
        <v/>
      </c>
      <c r="L135" s="283">
        <f>SUM(J135:K135)</f>
        <v/>
      </c>
      <c r="M135" s="283">
        <f>(VLOOKUP($G135,'22F1187231'!$D$5:$N$4163,10,1))*O135</f>
        <v/>
      </c>
      <c r="N135" s="283">
        <f>SUM(L135:M135)</f>
        <v/>
      </c>
      <c r="O135" s="283" t="n">
        <v>1113210</v>
      </c>
      <c r="P135" s="283">
        <f>VLOOKUP(G135,'22F1187231'!$D$5:$J$4160,7,0)*O135-(SUM(J135:K135,M135))</f>
        <v/>
      </c>
      <c r="Q135" s="283">
        <f>(VLOOKUP(EOMONTH(G135,0),'22F1187231'!$D$5:$J$4160,7,0))*O135</f>
        <v/>
      </c>
      <c r="R135" s="283">
        <f>(VLOOKUP(G135,'22F1187231'!$D$5:$J$4160,4,0)-VLOOKUP(G135,'22F1187231'!$D$5:$J$4160,2,0))*O135</f>
        <v/>
      </c>
    </row>
    <row r="136">
      <c r="A136" s="250">
        <f>CONCATENATE(C136,D136,E136)</f>
        <v/>
      </c>
      <c r="B136" s="250">
        <f>CONCATENATE(D136,E136)</f>
        <v/>
      </c>
      <c r="C136" s="250">
        <f>IF(D136&gt;=1,IF(D136&lt;=3,"1",IF(D136&gt;=4,IF(D136&lt;=6,"2",IF(D136&gt;=7,IF(D136&lt;=9,"3",IF(D136&gt;=10,IF(D136&lt;=12,"4","-"))))))))</f>
        <v/>
      </c>
      <c r="D136" s="250">
        <f>MONTH(G108)</f>
        <v/>
      </c>
      <c r="E136" s="250">
        <f>YEAR(G108)</f>
        <v/>
      </c>
      <c r="F136" s="142">
        <f>F135+1</f>
        <v/>
      </c>
      <c r="G136" s="282" t="n">
        <v>48785</v>
      </c>
      <c r="H136" s="143" t="n">
        <v>0.224704</v>
      </c>
      <c r="I136" s="144" t="n">
        <v>161</v>
      </c>
      <c r="J136" s="283">
        <f>IFERROR((VLOOKUP($G136,'22F1187231'!$D$3:$N$4160,8,1))*O136,0)</f>
        <v/>
      </c>
      <c r="K136" s="283">
        <f>VLOOKUP(G136,'22F1187231'!$D$5:$L$4163,9,0)*O136</f>
        <v/>
      </c>
      <c r="L136" s="283">
        <f>SUM(J136:K136)</f>
        <v/>
      </c>
      <c r="M136" s="283">
        <f>(VLOOKUP($G136,'22F1187231'!$D$5:$N$4163,10,1))*O136</f>
        <v/>
      </c>
      <c r="N136" s="283">
        <f>SUM(L136:M136)</f>
        <v/>
      </c>
      <c r="O136" s="283" t="n">
        <v>1113210</v>
      </c>
      <c r="P136" s="283">
        <f>VLOOKUP(G136,'22F1187231'!$D$5:$J$4160,7,0)*O136-(SUM(J136:K136,M136))</f>
        <v/>
      </c>
      <c r="Q136" s="283">
        <f>(VLOOKUP(EOMONTH(G136,0),'22F1187231'!$D$5:$J$4160,7,0))*O136</f>
        <v/>
      </c>
      <c r="R136" s="283">
        <f>(VLOOKUP(G136,'22F1187231'!$D$5:$J$4160,4,0)-VLOOKUP(G136,'22F1187231'!$D$5:$J$4160,2,0))*O136</f>
        <v/>
      </c>
    </row>
    <row r="137">
      <c r="A137" s="250">
        <f>CONCATENATE(C137,D137,E137)</f>
        <v/>
      </c>
      <c r="B137" s="250">
        <f>CONCATENATE(D137,E137)</f>
        <v/>
      </c>
      <c r="C137" s="250">
        <f>IF(D137&gt;=1,IF(D137&lt;=3,"1",IF(D137&gt;=4,IF(D137&lt;=6,"2",IF(D137&gt;=7,IF(D137&lt;=9,"3",IF(D137&gt;=10,IF(D137&lt;=12,"4","-"))))))))</f>
        <v/>
      </c>
      <c r="D137" s="250">
        <f>MONTH(G109)</f>
        <v/>
      </c>
      <c r="E137" s="250">
        <f>YEAR(G109)</f>
        <v/>
      </c>
      <c r="F137" s="142">
        <f>F136+1</f>
        <v/>
      </c>
      <c r="G137" s="282" t="n">
        <v>48816</v>
      </c>
      <c r="H137" s="143" t="n">
        <v>0.29179</v>
      </c>
      <c r="I137" s="144" t="n">
        <v>162</v>
      </c>
      <c r="J137" s="283">
        <f>IFERROR((VLOOKUP($G137,'22F1187231'!$D$3:$N$4160,8,1))*O137,0)</f>
        <v/>
      </c>
      <c r="K137" s="283">
        <f>VLOOKUP(G137,'22F1187231'!$D$5:$L$4163,9,0)*O137</f>
        <v/>
      </c>
      <c r="L137" s="283">
        <f>SUM(J137:K137)</f>
        <v/>
      </c>
      <c r="M137" s="283">
        <f>(VLOOKUP($G137,'22F1187231'!$D$5:$N$4163,10,1))*O137</f>
        <v/>
      </c>
      <c r="N137" s="283">
        <f>SUM(L137:M137)</f>
        <v/>
      </c>
      <c r="O137" s="283" t="n">
        <v>1113210</v>
      </c>
      <c r="P137" s="283">
        <f>VLOOKUP(G137,'22F1187231'!$D$5:$J$4160,7,0)*O137-(SUM(J137:K137,M137))</f>
        <v/>
      </c>
      <c r="Q137" s="283">
        <f>(VLOOKUP(EOMONTH(G137,0),'22F1187231'!$D$5:$J$4160,7,0))*O137</f>
        <v/>
      </c>
      <c r="R137" s="283">
        <f>(VLOOKUP(G137,'22F1187231'!$D$5:$J$4160,4,0)-VLOOKUP(G137,'22F1187231'!$D$5:$J$4160,2,0))*O137</f>
        <v/>
      </c>
    </row>
    <row r="138">
      <c r="A138" s="250">
        <f>CONCATENATE(C138,D138,E138)</f>
        <v/>
      </c>
      <c r="B138" s="250">
        <f>CONCATENATE(D138,E138)</f>
        <v/>
      </c>
      <c r="C138" s="250">
        <f>IF(D138&gt;=1,IF(D138&lt;=3,"1",IF(D138&gt;=4,IF(D138&lt;=6,"2",IF(D138&gt;=7,IF(D138&lt;=9,"3",IF(D138&gt;=10,IF(D138&lt;=12,"4","-"))))))))</f>
        <v/>
      </c>
      <c r="D138" s="250">
        <f>MONTH(G110)</f>
        <v/>
      </c>
      <c r="E138" s="250">
        <f>YEAR(G110)</f>
        <v/>
      </c>
      <c r="F138" s="142">
        <f>F137+1</f>
        <v/>
      </c>
      <c r="G138" s="282" t="n">
        <v>48847</v>
      </c>
      <c r="H138" s="143" t="n">
        <v>0.414794</v>
      </c>
      <c r="I138" s="144" t="n">
        <v>163</v>
      </c>
      <c r="J138" s="283">
        <f>IFERROR((VLOOKUP($G138,'22F1187231'!$D$3:$N$4160,8,1))*O138,0)</f>
        <v/>
      </c>
      <c r="K138" s="283">
        <f>VLOOKUP(G138,'22F1187231'!$D$5:$L$4163,9,0)*O138</f>
        <v/>
      </c>
      <c r="L138" s="283">
        <f>SUM(J138:K138)</f>
        <v/>
      </c>
      <c r="M138" s="283">
        <f>(VLOOKUP($G138,'22F1187231'!$D$5:$N$4163,10,1))*O138</f>
        <v/>
      </c>
      <c r="N138" s="283">
        <f>SUM(L138:M138)</f>
        <v/>
      </c>
      <c r="O138" s="283" t="n">
        <v>1113210</v>
      </c>
      <c r="P138" s="283">
        <f>VLOOKUP(G138,'22F1187231'!$D$5:$J$4160,7,0)*O138-(SUM(J138:K138,M138))</f>
        <v/>
      </c>
      <c r="Q138" s="283">
        <f>(VLOOKUP(EOMONTH(G138,0),'22F1187231'!$D$5:$J$4160,7,0))*O138</f>
        <v/>
      </c>
      <c r="R138" s="283">
        <f>(VLOOKUP(G138,'22F1187231'!$D$5:$J$4160,4,0)-VLOOKUP(G138,'22F1187231'!$D$5:$J$4160,2,0))*O138</f>
        <v/>
      </c>
    </row>
    <row r="139">
      <c r="A139" s="250">
        <f>CONCATENATE(C139,D139,E139)</f>
        <v/>
      </c>
      <c r="B139" s="250">
        <f>CONCATENATE(D139,E139)</f>
        <v/>
      </c>
      <c r="C139" s="250">
        <f>IF(D139&gt;=1,IF(D139&lt;=3,"1",IF(D139&gt;=4,IF(D139&lt;=6,"2",IF(D139&gt;=7,IF(D139&lt;=9,"3",IF(D139&gt;=10,IF(D139&lt;=12,"4","-"))))))))</f>
        <v/>
      </c>
      <c r="D139" s="250">
        <f>MONTH(G111)</f>
        <v/>
      </c>
      <c r="E139" s="250">
        <f>YEAR(G111)</f>
        <v/>
      </c>
      <c r="F139" s="142">
        <f>F138+1</f>
        <v/>
      </c>
      <c r="G139" s="282" t="n">
        <v>48877</v>
      </c>
      <c r="H139" s="143" t="n">
        <v>0.713583</v>
      </c>
      <c r="I139" s="144" t="n">
        <v>164</v>
      </c>
      <c r="J139" s="283">
        <f>IFERROR((VLOOKUP($G139,'22F1187231'!$D$3:$N$4160,8,1))*O139,0)</f>
        <v/>
      </c>
      <c r="K139" s="283">
        <f>VLOOKUP(G139,'22F1187231'!$D$5:$L$4163,9,0)*O139</f>
        <v/>
      </c>
      <c r="L139" s="283">
        <f>SUM(J139:K139)</f>
        <v/>
      </c>
      <c r="M139" s="283">
        <f>(VLOOKUP($G139,'22F1187231'!$D$5:$N$4163,10,1))*O139</f>
        <v/>
      </c>
      <c r="N139" s="283">
        <f>SUM(L139:M139)</f>
        <v/>
      </c>
      <c r="O139" s="283" t="n">
        <v>1113210</v>
      </c>
      <c r="P139" s="283">
        <f>VLOOKUP(G139,'22F1187231'!$D$5:$J$4160,7,0)*O139-(SUM(J139:K139,M139))</f>
        <v/>
      </c>
      <c r="Q139" s="283">
        <f>(VLOOKUP(EOMONTH(G139,0),'22F1187231'!$D$5:$J$4160,7,0))*O139</f>
        <v/>
      </c>
      <c r="R139" s="283">
        <f>(VLOOKUP(G139,'22F1187231'!$D$5:$J$4160,4,0)-VLOOKUP(G139,'22F1187231'!$D$5:$J$4160,2,0))*O139</f>
        <v/>
      </c>
    </row>
    <row r="140">
      <c r="A140" s="250">
        <f>CONCATENATE(C140,D140,E140)</f>
        <v/>
      </c>
      <c r="B140" s="250">
        <f>CONCATENATE(D140,E140)</f>
        <v/>
      </c>
      <c r="C140" s="250">
        <f>IF(D140&gt;=1,IF(D140&lt;=3,"1",IF(D140&gt;=4,IF(D140&lt;=6,"2",IF(D140&gt;=7,IF(D140&lt;=9,"3",IF(D140&gt;=10,IF(D140&lt;=12,"4","-"))))))))</f>
        <v/>
      </c>
      <c r="D140" s="250">
        <f>MONTH(G112)</f>
        <v/>
      </c>
      <c r="E140" s="250">
        <f>YEAR(G112)</f>
        <v/>
      </c>
      <c r="F140" s="142">
        <f>F139+1</f>
        <v/>
      </c>
      <c r="G140" s="282" t="n">
        <v>48908</v>
      </c>
      <c r="H140" s="143" t="n">
        <v>1</v>
      </c>
      <c r="I140" s="144" t="n">
        <v>165</v>
      </c>
      <c r="J140" s="283">
        <f>IFERROR((VLOOKUP($G140,'22F1187231'!$D$3:$N$4160,8,1))*O140,0)</f>
        <v/>
      </c>
      <c r="K140" s="283">
        <f>VLOOKUP(G140,'22F1187231'!$D$5:$L$4163,9,0)*O140</f>
        <v/>
      </c>
      <c r="L140" s="283">
        <f>SUM(J140:K140)</f>
        <v/>
      </c>
      <c r="M140" s="283">
        <f>(VLOOKUP($G140,'22F1187231'!$D$5:$N$4163,10,1))*O140</f>
        <v/>
      </c>
      <c r="N140" s="283">
        <f>SUM(L140:M140)</f>
        <v/>
      </c>
      <c r="O140" s="283" t="n">
        <v>1113210</v>
      </c>
      <c r="P140" s="283">
        <f>VLOOKUP(G140,'22F1187231'!$D$5:$J$4160,7,0)*O140-(SUM(J140:K140,M140))</f>
        <v/>
      </c>
      <c r="Q140" s="283">
        <f>(VLOOKUP(EOMONTH(G140,0),'22F1187231'!$D$5:$J$4160,7,0))*O140</f>
        <v/>
      </c>
      <c r="R140" s="283">
        <f>(VLOOKUP(G140,'22F1187231'!$D$5:$J$4160,4,0)-VLOOKUP(G140,'22F1187231'!$D$5:$J$4160,2,0))*O140</f>
        <v/>
      </c>
    </row>
    <row r="141">
      <c r="A141" s="250">
        <f>CONCATENATE(C141,D141,E141)</f>
        <v/>
      </c>
      <c r="B141" s="250">
        <f>CONCATENATE(D141,E141)</f>
        <v/>
      </c>
      <c r="C141" s="250">
        <f>IF(D141&gt;=1,IF(D141&lt;=3,"1",IF(D141&gt;=4,IF(D141&lt;=6,"2",IF(D141&gt;=7,IF(D141&lt;=9,"3",IF(D141&gt;=10,IF(D141&lt;=12,"4","-"))))))))</f>
        <v/>
      </c>
      <c r="D141" s="250">
        <f>MONTH(G113)</f>
        <v/>
      </c>
      <c r="E141" s="250">
        <f>YEAR(G113)</f>
        <v/>
      </c>
    </row>
    <row r="142">
      <c r="A142" s="250">
        <f>CONCATENATE(C142,D142,E142)</f>
        <v/>
      </c>
      <c r="B142" s="250">
        <f>CONCATENATE(D142,E142)</f>
        <v/>
      </c>
      <c r="C142" s="250">
        <f>IF(D142&gt;=1,IF(D142&lt;=3,"1",IF(D142&gt;=4,IF(D142&lt;=6,"2",IF(D142&gt;=7,IF(D142&lt;=9,"3",IF(D142&gt;=10,IF(D142&lt;=12,"4","-"))))))))</f>
        <v/>
      </c>
      <c r="D142" s="250">
        <f>MONTH(G114)</f>
        <v/>
      </c>
      <c r="E142" s="250">
        <f>YEAR(G114)</f>
        <v/>
      </c>
    </row>
    <row r="143">
      <c r="A143" s="250">
        <f>CONCATENATE(C143,D143,E143)</f>
        <v/>
      </c>
      <c r="B143" s="250">
        <f>CONCATENATE(D143,E143)</f>
        <v/>
      </c>
      <c r="C143" s="250">
        <f>IF(D143&gt;=1,IF(D143&lt;=3,"1",IF(D143&gt;=4,IF(D143&lt;=6,"2",IF(D143&gt;=7,IF(D143&lt;=9,"3",IF(D143&gt;=10,IF(D143&lt;=12,"4","-"))))))))</f>
        <v/>
      </c>
      <c r="D143" s="250">
        <f>MONTH(G115)</f>
        <v/>
      </c>
      <c r="E143" s="250">
        <f>YEAR(G115)</f>
        <v/>
      </c>
    </row>
  </sheetData>
  <mergeCells count="7">
    <mergeCell ref="F1:H2"/>
    <mergeCell ref="T43:T44"/>
    <mergeCell ref="J2:N2"/>
    <mergeCell ref="T10:W10"/>
    <mergeCell ref="T34:T35"/>
    <mergeCell ref="R2:R3"/>
    <mergeCell ref="T4:U4"/>
  </mergeCells>
  <pageMargins left="0.511811024" right="0.511811024" top="0.787401575" bottom="0.787401575" header="0.31496062" footer="0.31496062"/>
  <pageSetup orientation="portrait" paperSize="9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0"/>
  <sheetViews>
    <sheetView topLeftCell="A18" workbookViewId="0">
      <selection activeCell="C36" sqref="C36"/>
    </sheetView>
  </sheetViews>
  <sheetFormatPr baseColWidth="8" defaultRowHeight="13.2"/>
  <cols>
    <col width="9.6640625" bestFit="1" customWidth="1" style="260" min="1" max="1"/>
    <col width="10.109375" bestFit="1" customWidth="1" style="260" min="2" max="2"/>
    <col width="15" customWidth="1" style="260" min="3" max="3"/>
    <col width="8.88671875" customWidth="1" style="260" min="4" max="9"/>
    <col width="10.44140625" bestFit="1" customWidth="1" style="260" min="10" max="10"/>
  </cols>
  <sheetData>
    <row r="1" ht="13.8" customHeight="1" s="260" thickBot="1">
      <c r="A1" s="20" t="inlineStr">
        <is>
          <t>EVENTO</t>
        </is>
      </c>
      <c r="B1" s="19" t="inlineStr">
        <is>
          <t>MÊS/ANO</t>
        </is>
      </c>
      <c r="C1" s="20" t="inlineStr">
        <is>
          <t>VARIAÇÃO</t>
        </is>
      </c>
    </row>
    <row r="2">
      <c r="A2" t="n">
        <v>1</v>
      </c>
      <c r="B2" s="5" t="n">
        <v>44706</v>
      </c>
      <c r="C2" s="295" t="n">
        <v>0.004700072694457713</v>
      </c>
    </row>
    <row r="3">
      <c r="A3">
        <f>A2+1</f>
        <v/>
      </c>
      <c r="B3" s="5" t="n">
        <v>44737</v>
      </c>
      <c r="C3" s="295" t="n">
        <v>0.006700577587605006</v>
      </c>
    </row>
    <row r="4">
      <c r="A4">
        <f>A3+1</f>
        <v/>
      </c>
      <c r="B4" s="5" t="n">
        <v>44767</v>
      </c>
      <c r="C4" s="295" t="n">
        <v>-0.006800034077619643</v>
      </c>
    </row>
    <row r="5">
      <c r="A5">
        <f>A4+1</f>
        <v/>
      </c>
      <c r="B5" s="5" t="n">
        <v>44798</v>
      </c>
      <c r="C5" s="295" t="n">
        <v>-0.003599529004437052</v>
      </c>
    </row>
    <row r="6">
      <c r="A6">
        <f>A5+1</f>
        <v/>
      </c>
      <c r="B6" s="5" t="n">
        <v>44829</v>
      </c>
      <c r="C6" s="295" t="n">
        <v>-0.002900356401053683</v>
      </c>
    </row>
    <row r="7">
      <c r="A7">
        <f>A6+1</f>
        <v/>
      </c>
      <c r="B7" s="5" t="n">
        <v>44859</v>
      </c>
      <c r="C7" s="295" t="n">
        <v>0.005900783945598009</v>
      </c>
    </row>
    <row r="8">
      <c r="A8">
        <f>A7+1</f>
        <v/>
      </c>
      <c r="B8" s="5" t="n">
        <v>44890</v>
      </c>
      <c r="C8" s="295" t="n">
        <v>0.004099607829673557</v>
      </c>
    </row>
    <row r="9">
      <c r="A9">
        <f>A8+1</f>
        <v/>
      </c>
      <c r="B9" s="5" t="n">
        <v>44920</v>
      </c>
      <c r="C9" s="295" t="n">
        <v>0.006199682944266538</v>
      </c>
    </row>
    <row r="10">
      <c r="A10">
        <f>A9+1</f>
        <v/>
      </c>
      <c r="B10" s="5" t="n">
        <v>44951</v>
      </c>
      <c r="C10" s="295" t="n">
        <v>0.005299586505593812</v>
      </c>
    </row>
    <row r="11">
      <c r="A11">
        <f>A10+1</f>
        <v/>
      </c>
      <c r="B11" s="5" t="n">
        <v>44982</v>
      </c>
      <c r="C11" s="295" t="n">
        <v>0.008399913957347405</v>
      </c>
    </row>
    <row r="12">
      <c r="A12">
        <f>A11+1</f>
        <v/>
      </c>
      <c r="B12" s="5" t="n">
        <v>45010</v>
      </c>
      <c r="C12" s="295" t="n">
        <v>0.007100335666083257</v>
      </c>
    </row>
    <row r="13">
      <c r="A13">
        <f>A12+1</f>
        <v/>
      </c>
      <c r="B13" s="5" t="n">
        <v>45041</v>
      </c>
      <c r="C13" s="295" t="n">
        <v>0.006100153260298891</v>
      </c>
    </row>
    <row r="14">
      <c r="A14">
        <f>A13+1</f>
        <v/>
      </c>
      <c r="B14" s="5" t="n">
        <v>45071</v>
      </c>
      <c r="C14" s="295" t="n">
        <v>0.002299251577821959</v>
      </c>
    </row>
    <row r="15">
      <c r="A15">
        <f>A14+1</f>
        <v/>
      </c>
      <c r="B15" s="5" t="n">
        <v>45102</v>
      </c>
      <c r="C15" s="295" t="n">
        <v>-0.0007996663305968044</v>
      </c>
    </row>
    <row r="16">
      <c r="A16">
        <f>A15+1</f>
        <v/>
      </c>
      <c r="B16" s="5" t="n">
        <v>45132</v>
      </c>
      <c r="C16" s="295" t="n">
        <v>0.00119970871</v>
      </c>
    </row>
    <row r="17">
      <c r="A17">
        <f>A16+1</f>
        <v/>
      </c>
      <c r="B17" s="5" t="n">
        <v>45163</v>
      </c>
      <c r="C17" s="295" t="n">
        <v>0.002300560592926715</v>
      </c>
    </row>
    <row r="18">
      <c r="A18">
        <f>A17+1</f>
        <v/>
      </c>
      <c r="B18" s="5" t="n">
        <v>45194</v>
      </c>
      <c r="C18" s="295" t="n">
        <v>0.00260051950539264</v>
      </c>
    </row>
    <row r="19">
      <c r="A19">
        <f>A18+1</f>
        <v/>
      </c>
      <c r="B19" s="5" t="n">
        <v>45224</v>
      </c>
      <c r="C19" s="295" t="n">
        <v>0.002399763605376082</v>
      </c>
    </row>
    <row r="20">
      <c r="A20">
        <f>A19+1</f>
        <v/>
      </c>
      <c r="B20" s="5" t="n">
        <v>45255</v>
      </c>
      <c r="C20" s="295" t="n">
        <v>0.002800465702111454</v>
      </c>
    </row>
    <row r="21">
      <c r="A21">
        <f>A20+1</f>
        <v/>
      </c>
      <c r="B21" s="5" t="n">
        <v>45285</v>
      </c>
      <c r="C21" s="295" t="n">
        <v>0.005600136588697291</v>
      </c>
    </row>
    <row r="22">
      <c r="A22">
        <f>A21+1</f>
        <v/>
      </c>
      <c r="B22" s="5" t="n">
        <v>45316</v>
      </c>
      <c r="C22" s="295" t="n">
        <v>0.004200334550372276</v>
      </c>
    </row>
    <row r="23">
      <c r="A23">
        <f>A22+1</f>
        <v/>
      </c>
      <c r="B23" s="5" t="n">
        <v>45347</v>
      </c>
      <c r="C23" s="295" t="n">
        <v>0.00829937133548575</v>
      </c>
    </row>
    <row r="24">
      <c r="A24">
        <f>A23+1</f>
        <v/>
      </c>
      <c r="B24" s="5" t="n">
        <v>45376</v>
      </c>
      <c r="C24" s="295" t="n">
        <v>0.00159955206709661</v>
      </c>
    </row>
    <row r="25">
      <c r="A25">
        <f>A24+1</f>
        <v/>
      </c>
      <c r="B25" s="5" t="n">
        <v>45407</v>
      </c>
      <c r="C25" s="295" t="n">
        <v>0.003799602279179082</v>
      </c>
    </row>
    <row r="26">
      <c r="A26">
        <f>A25+1</f>
        <v/>
      </c>
      <c r="B26" s="5" t="n">
        <v>45437</v>
      </c>
      <c r="C26" s="295" t="n">
        <v>0.004600274972299756</v>
      </c>
    </row>
    <row r="27">
      <c r="A27">
        <f>A26+1</f>
        <v/>
      </c>
      <c r="B27" s="5" t="n">
        <v>45468</v>
      </c>
      <c r="C27" s="295" t="n">
        <v>0.002100488525991207</v>
      </c>
    </row>
    <row r="28">
      <c r="A28">
        <f>A27+1</f>
        <v/>
      </c>
      <c r="B28" s="5" t="n">
        <v>45498</v>
      </c>
      <c r="C28" s="295" t="n">
        <v>0.003800325865697785</v>
      </c>
    </row>
    <row r="29">
      <c r="A29">
        <f>A28+1</f>
        <v/>
      </c>
      <c r="B29" s="5" t="n">
        <v>45529</v>
      </c>
      <c r="C29" s="295" t="n">
        <v>-0.0001994865016525793</v>
      </c>
    </row>
    <row r="30">
      <c r="A30">
        <f>A29+1</f>
        <v/>
      </c>
      <c r="B30" s="5" t="n">
        <v>45560</v>
      </c>
      <c r="C30" s="295" t="n">
        <v>0.00439962678532968</v>
      </c>
    </row>
    <row r="31">
      <c r="A31">
        <f>A30+1</f>
        <v/>
      </c>
      <c r="B31" s="5" t="n">
        <v>45590</v>
      </c>
      <c r="C31" s="295" t="n">
        <v>0.005599422622067696</v>
      </c>
    </row>
    <row r="32">
      <c r="A32">
        <f>A31+1</f>
        <v/>
      </c>
      <c r="B32" s="5" t="n">
        <v>45621</v>
      </c>
      <c r="C32" s="295" t="n">
        <v>0.003899760244332029</v>
      </c>
    </row>
    <row r="33">
      <c r="A33">
        <f>A32+1</f>
        <v/>
      </c>
      <c r="B33" s="5" t="n">
        <v>45651</v>
      </c>
      <c r="C33" s="295" t="n">
        <v>0.005199772925788881</v>
      </c>
    </row>
    <row r="34">
      <c r="A34">
        <f>A33+1</f>
        <v/>
      </c>
      <c r="B34" s="5" t="n">
        <v>45682</v>
      </c>
      <c r="C34" s="295" t="n">
        <v>0.001599887331877881</v>
      </c>
    </row>
    <row r="35">
      <c r="A35">
        <f>A34+1</f>
        <v/>
      </c>
      <c r="B35" s="5" t="n">
        <v>45713</v>
      </c>
      <c r="C35" s="295" t="n">
        <v>0.01310065158762974</v>
      </c>
    </row>
    <row r="36">
      <c r="A36" s="60">
        <f>A35+1</f>
        <v/>
      </c>
      <c r="B36" s="61" t="n">
        <v>45741</v>
      </c>
      <c r="C36" s="296" t="n">
        <v>0.005600254266810767</v>
      </c>
    </row>
    <row r="37">
      <c r="A37">
        <f>A36+1</f>
        <v/>
      </c>
      <c r="B37" s="5" t="n">
        <v>45772</v>
      </c>
      <c r="C37" s="295">
        <f>C36</f>
        <v/>
      </c>
    </row>
    <row r="38">
      <c r="A38">
        <f>A37+1</f>
        <v/>
      </c>
      <c r="B38" s="5" t="n">
        <v>45802</v>
      </c>
      <c r="C38" s="295">
        <f>C37</f>
        <v/>
      </c>
    </row>
    <row r="39">
      <c r="A39">
        <f>A38+1</f>
        <v/>
      </c>
      <c r="B39" s="5" t="n">
        <v>45833</v>
      </c>
      <c r="C39" s="295">
        <f>C38</f>
        <v/>
      </c>
    </row>
    <row r="40">
      <c r="A40">
        <f>A39+1</f>
        <v/>
      </c>
      <c r="B40" s="5" t="n">
        <v>45863</v>
      </c>
      <c r="C40" s="295">
        <f>C39</f>
        <v/>
      </c>
    </row>
    <row r="41">
      <c r="A41">
        <f>A40+1</f>
        <v/>
      </c>
      <c r="B41" s="5" t="n">
        <v>45894</v>
      </c>
      <c r="C41" s="295">
        <f>C40</f>
        <v/>
      </c>
    </row>
    <row r="42">
      <c r="A42">
        <f>A41+1</f>
        <v/>
      </c>
      <c r="B42" s="5" t="n">
        <v>45925</v>
      </c>
      <c r="C42" s="295">
        <f>C41</f>
        <v/>
      </c>
    </row>
    <row r="43">
      <c r="A43">
        <f>A42+1</f>
        <v/>
      </c>
      <c r="B43" s="5" t="n">
        <v>45955</v>
      </c>
      <c r="C43" s="295">
        <f>C42</f>
        <v/>
      </c>
    </row>
    <row r="44">
      <c r="A44">
        <f>A43+1</f>
        <v/>
      </c>
      <c r="B44" s="5" t="n">
        <v>45986</v>
      </c>
      <c r="C44" s="295">
        <f>C43</f>
        <v/>
      </c>
    </row>
    <row r="45">
      <c r="A45">
        <f>A44+1</f>
        <v/>
      </c>
      <c r="B45" s="5" t="n">
        <v>46016</v>
      </c>
      <c r="C45" s="295">
        <f>C44</f>
        <v/>
      </c>
    </row>
    <row r="46">
      <c r="A46">
        <f>A45+1</f>
        <v/>
      </c>
      <c r="B46" s="5" t="n">
        <v>46047</v>
      </c>
      <c r="C46" s="295">
        <f>C45</f>
        <v/>
      </c>
    </row>
    <row r="47">
      <c r="A47">
        <f>A46+1</f>
        <v/>
      </c>
      <c r="B47" s="5" t="n">
        <v>46078</v>
      </c>
      <c r="C47" s="295">
        <f>C46</f>
        <v/>
      </c>
    </row>
    <row r="48">
      <c r="A48">
        <f>A47+1</f>
        <v/>
      </c>
      <c r="B48" s="5" t="n">
        <v>46106</v>
      </c>
      <c r="C48" s="295">
        <f>C47</f>
        <v/>
      </c>
    </row>
    <row r="49">
      <c r="A49">
        <f>A48+1</f>
        <v/>
      </c>
      <c r="B49" s="5" t="n">
        <v>46137</v>
      </c>
      <c r="C49" s="295">
        <f>C48</f>
        <v/>
      </c>
    </row>
    <row r="50">
      <c r="A50">
        <f>A49+1</f>
        <v/>
      </c>
      <c r="B50" s="5" t="n">
        <v>46167</v>
      </c>
      <c r="C50" s="295">
        <f>C49</f>
        <v/>
      </c>
    </row>
    <row r="51">
      <c r="A51">
        <f>A50+1</f>
        <v/>
      </c>
      <c r="B51" s="5" t="n">
        <v>46198</v>
      </c>
      <c r="C51" s="295">
        <f>C50</f>
        <v/>
      </c>
    </row>
    <row r="52">
      <c r="A52">
        <f>A51+1</f>
        <v/>
      </c>
      <c r="B52" s="5" t="n">
        <v>46228</v>
      </c>
      <c r="C52" s="295">
        <f>C51</f>
        <v/>
      </c>
    </row>
    <row r="53">
      <c r="A53">
        <f>A52+1</f>
        <v/>
      </c>
      <c r="B53" s="5" t="n">
        <v>46259</v>
      </c>
      <c r="C53" s="295">
        <f>C52</f>
        <v/>
      </c>
    </row>
    <row r="54">
      <c r="A54">
        <f>A53+1</f>
        <v/>
      </c>
      <c r="B54" s="5" t="n">
        <v>46290</v>
      </c>
      <c r="C54" s="295">
        <f>C53</f>
        <v/>
      </c>
    </row>
    <row r="55">
      <c r="A55">
        <f>A54+1</f>
        <v/>
      </c>
      <c r="B55" s="5" t="n">
        <v>46320</v>
      </c>
      <c r="C55" s="295">
        <f>C54</f>
        <v/>
      </c>
    </row>
    <row r="56">
      <c r="A56">
        <f>A55+1</f>
        <v/>
      </c>
      <c r="B56" s="5" t="n">
        <v>46351</v>
      </c>
      <c r="C56" s="295">
        <f>C55</f>
        <v/>
      </c>
    </row>
    <row r="57">
      <c r="A57">
        <f>A56+1</f>
        <v/>
      </c>
      <c r="B57" s="5" t="n">
        <v>46381</v>
      </c>
      <c r="C57" s="295">
        <f>C56</f>
        <v/>
      </c>
    </row>
    <row r="58">
      <c r="A58">
        <f>A57+1</f>
        <v/>
      </c>
      <c r="B58" s="5" t="n">
        <v>46412</v>
      </c>
      <c r="C58" s="295">
        <f>C57</f>
        <v/>
      </c>
    </row>
    <row r="59">
      <c r="A59">
        <f>A58+1</f>
        <v/>
      </c>
      <c r="B59" s="5" t="n">
        <v>46443</v>
      </c>
      <c r="C59" s="295">
        <f>C58</f>
        <v/>
      </c>
    </row>
    <row r="60">
      <c r="A60">
        <f>A59+1</f>
        <v/>
      </c>
      <c r="B60" s="5" t="n">
        <v>46471</v>
      </c>
      <c r="C60" s="295">
        <f>C59</f>
        <v/>
      </c>
    </row>
    <row r="61">
      <c r="A61">
        <f>A60+1</f>
        <v/>
      </c>
      <c r="B61" s="5" t="n">
        <v>46502</v>
      </c>
      <c r="C61" s="295">
        <f>C60</f>
        <v/>
      </c>
    </row>
    <row r="62">
      <c r="A62">
        <f>A61+1</f>
        <v/>
      </c>
      <c r="B62" s="5" t="n">
        <v>46532</v>
      </c>
      <c r="C62" s="295">
        <f>C61</f>
        <v/>
      </c>
    </row>
    <row r="63">
      <c r="A63">
        <f>A62+1</f>
        <v/>
      </c>
      <c r="B63" s="5" t="n">
        <v>46563</v>
      </c>
      <c r="C63" s="295">
        <f>C62</f>
        <v/>
      </c>
    </row>
    <row r="64">
      <c r="A64">
        <f>A63+1</f>
        <v/>
      </c>
      <c r="B64" s="5" t="n">
        <v>46593</v>
      </c>
      <c r="C64" s="295">
        <f>C63</f>
        <v/>
      </c>
    </row>
    <row r="65">
      <c r="A65">
        <f>A64+1</f>
        <v/>
      </c>
      <c r="B65" s="5" t="n">
        <v>46624</v>
      </c>
      <c r="C65" s="295">
        <f>C64</f>
        <v/>
      </c>
    </row>
    <row r="66">
      <c r="A66">
        <f>A65+1</f>
        <v/>
      </c>
      <c r="B66" s="5" t="n">
        <v>46655</v>
      </c>
      <c r="C66" s="295">
        <f>C65</f>
        <v/>
      </c>
    </row>
    <row r="67">
      <c r="A67">
        <f>A66+1</f>
        <v/>
      </c>
      <c r="B67" s="5" t="n">
        <v>46685</v>
      </c>
      <c r="C67" s="295">
        <f>C66</f>
        <v/>
      </c>
    </row>
    <row r="68">
      <c r="A68">
        <f>A67+1</f>
        <v/>
      </c>
      <c r="B68" s="5" t="n">
        <v>46716</v>
      </c>
      <c r="C68" s="295">
        <f>C67</f>
        <v/>
      </c>
    </row>
    <row r="69">
      <c r="A69">
        <f>A68+1</f>
        <v/>
      </c>
      <c r="B69" s="5" t="n">
        <v>46746</v>
      </c>
      <c r="C69" s="295">
        <f>C68</f>
        <v/>
      </c>
    </row>
    <row r="70">
      <c r="A70">
        <f>A69+1</f>
        <v/>
      </c>
      <c r="B70" s="5" t="n">
        <v>46777</v>
      </c>
      <c r="C70" s="295">
        <f>C69</f>
        <v/>
      </c>
    </row>
    <row r="71">
      <c r="A71">
        <f>A70+1</f>
        <v/>
      </c>
      <c r="B71" s="5" t="n">
        <v>46808</v>
      </c>
      <c r="C71" s="295">
        <f>C70</f>
        <v/>
      </c>
    </row>
    <row r="72">
      <c r="A72">
        <f>A71+1</f>
        <v/>
      </c>
      <c r="B72" s="5" t="n">
        <v>46837</v>
      </c>
      <c r="C72" s="295">
        <f>C71</f>
        <v/>
      </c>
    </row>
    <row r="73">
      <c r="A73">
        <f>A72+1</f>
        <v/>
      </c>
      <c r="B73" s="5" t="n">
        <v>46868</v>
      </c>
      <c r="C73" s="295">
        <f>C72</f>
        <v/>
      </c>
    </row>
    <row r="74">
      <c r="A74">
        <f>A73+1</f>
        <v/>
      </c>
      <c r="B74" s="5" t="n">
        <v>46898</v>
      </c>
      <c r="C74" s="295">
        <f>C73</f>
        <v/>
      </c>
    </row>
    <row r="75">
      <c r="A75">
        <f>A74+1</f>
        <v/>
      </c>
      <c r="B75" s="5" t="n">
        <v>46929</v>
      </c>
      <c r="C75" s="295">
        <f>C74</f>
        <v/>
      </c>
    </row>
    <row r="76">
      <c r="A76">
        <f>A75+1</f>
        <v/>
      </c>
      <c r="B76" s="5" t="n">
        <v>46959</v>
      </c>
      <c r="C76" s="295">
        <f>C75</f>
        <v/>
      </c>
    </row>
    <row r="77">
      <c r="A77">
        <f>A76+1</f>
        <v/>
      </c>
      <c r="B77" s="5" t="n">
        <v>46990</v>
      </c>
      <c r="C77" s="295">
        <f>C76</f>
        <v/>
      </c>
    </row>
    <row r="78">
      <c r="A78">
        <f>A77+1</f>
        <v/>
      </c>
      <c r="B78" s="5" t="n">
        <v>47021</v>
      </c>
      <c r="C78" s="295">
        <f>C77</f>
        <v/>
      </c>
    </row>
    <row r="79">
      <c r="A79">
        <f>A78+1</f>
        <v/>
      </c>
      <c r="B79" s="5" t="n">
        <v>47051</v>
      </c>
      <c r="C79" s="295">
        <f>C78</f>
        <v/>
      </c>
    </row>
    <row r="80">
      <c r="A80">
        <f>A79+1</f>
        <v/>
      </c>
      <c r="B80" s="5" t="n">
        <v>47082</v>
      </c>
      <c r="C80" s="295">
        <f>C79</f>
        <v/>
      </c>
    </row>
    <row r="81">
      <c r="A81">
        <f>A80+1</f>
        <v/>
      </c>
      <c r="B81" s="5" t="n">
        <v>47112</v>
      </c>
      <c r="C81" s="295">
        <f>C80</f>
        <v/>
      </c>
    </row>
    <row r="82">
      <c r="A82">
        <f>A81+1</f>
        <v/>
      </c>
      <c r="B82" s="5" t="n">
        <v>47143</v>
      </c>
      <c r="C82" s="295">
        <f>C81</f>
        <v/>
      </c>
    </row>
    <row r="83">
      <c r="A83">
        <f>A82+1</f>
        <v/>
      </c>
      <c r="B83" s="5" t="n">
        <v>47174</v>
      </c>
      <c r="C83" s="295">
        <f>C82</f>
        <v/>
      </c>
    </row>
    <row r="84">
      <c r="A84">
        <f>A83+1</f>
        <v/>
      </c>
      <c r="B84" s="5" t="n">
        <v>47202</v>
      </c>
      <c r="C84" s="295">
        <f>C83</f>
        <v/>
      </c>
    </row>
    <row r="85">
      <c r="A85">
        <f>A84+1</f>
        <v/>
      </c>
      <c r="B85" s="5" t="n">
        <v>47233</v>
      </c>
      <c r="C85" s="295">
        <f>C84</f>
        <v/>
      </c>
    </row>
    <row r="86">
      <c r="A86">
        <f>A85+1</f>
        <v/>
      </c>
      <c r="B86" s="5" t="n">
        <v>47263</v>
      </c>
      <c r="C86" s="295">
        <f>C85</f>
        <v/>
      </c>
    </row>
    <row r="87">
      <c r="A87">
        <f>A86+1</f>
        <v/>
      </c>
      <c r="B87" s="5" t="n">
        <v>47294</v>
      </c>
      <c r="C87" s="295">
        <f>C86</f>
        <v/>
      </c>
    </row>
    <row r="88">
      <c r="A88">
        <f>A87+1</f>
        <v/>
      </c>
      <c r="B88" s="5" t="n">
        <v>47324</v>
      </c>
      <c r="C88" s="295">
        <f>C87</f>
        <v/>
      </c>
    </row>
    <row r="89">
      <c r="A89">
        <f>A88+1</f>
        <v/>
      </c>
      <c r="B89" s="5" t="n">
        <v>47355</v>
      </c>
      <c r="C89" s="295">
        <f>C88</f>
        <v/>
      </c>
    </row>
    <row r="90">
      <c r="A90">
        <f>A89+1</f>
        <v/>
      </c>
      <c r="B90" s="5" t="n">
        <v>47386</v>
      </c>
      <c r="C90" s="295">
        <f>C89</f>
        <v/>
      </c>
    </row>
    <row r="91">
      <c r="A91">
        <f>A90+1</f>
        <v/>
      </c>
      <c r="B91" s="5" t="n">
        <v>47416</v>
      </c>
      <c r="C91" s="295">
        <f>C90</f>
        <v/>
      </c>
    </row>
    <row r="92">
      <c r="A92">
        <f>A91+1</f>
        <v/>
      </c>
      <c r="B92" s="5" t="n">
        <v>47447</v>
      </c>
      <c r="C92" s="295">
        <f>C91</f>
        <v/>
      </c>
    </row>
    <row r="93">
      <c r="A93">
        <f>A92+1</f>
        <v/>
      </c>
      <c r="B93" s="5" t="n">
        <v>47477</v>
      </c>
      <c r="C93" s="295">
        <f>C92</f>
        <v/>
      </c>
    </row>
    <row r="94">
      <c r="A94">
        <f>A93+1</f>
        <v/>
      </c>
      <c r="B94" s="5" t="n">
        <v>47508</v>
      </c>
      <c r="C94" s="295">
        <f>C93</f>
        <v/>
      </c>
    </row>
    <row r="95">
      <c r="A95">
        <f>A94+1</f>
        <v/>
      </c>
      <c r="B95" s="5" t="n">
        <v>47539</v>
      </c>
      <c r="C95" s="295">
        <f>C94</f>
        <v/>
      </c>
    </row>
    <row r="96">
      <c r="A96">
        <f>A95+1</f>
        <v/>
      </c>
      <c r="B96" s="5" t="n">
        <v>47567</v>
      </c>
      <c r="C96" s="295">
        <f>C95</f>
        <v/>
      </c>
    </row>
    <row r="97">
      <c r="A97">
        <f>A96+1</f>
        <v/>
      </c>
      <c r="B97" s="5" t="n">
        <v>47598</v>
      </c>
      <c r="C97" s="295">
        <f>C96</f>
        <v/>
      </c>
    </row>
    <row r="98">
      <c r="A98">
        <f>A97+1</f>
        <v/>
      </c>
      <c r="B98" s="5" t="n">
        <v>47628</v>
      </c>
      <c r="C98" s="295">
        <f>C97</f>
        <v/>
      </c>
    </row>
    <row r="99">
      <c r="A99">
        <f>A98+1</f>
        <v/>
      </c>
      <c r="B99" s="5" t="n">
        <v>47659</v>
      </c>
      <c r="C99" s="295">
        <f>C98</f>
        <v/>
      </c>
    </row>
    <row r="100">
      <c r="A100">
        <f>A99+1</f>
        <v/>
      </c>
      <c r="B100" s="5" t="n">
        <v>47689</v>
      </c>
      <c r="C100" s="295">
        <f>C99</f>
        <v/>
      </c>
    </row>
    <row r="101">
      <c r="A101">
        <f>A100+1</f>
        <v/>
      </c>
      <c r="B101" s="5" t="n">
        <v>47720</v>
      </c>
      <c r="C101" s="295">
        <f>C100</f>
        <v/>
      </c>
    </row>
    <row r="102">
      <c r="A102">
        <f>A101+1</f>
        <v/>
      </c>
      <c r="B102" s="5" t="n">
        <v>47751</v>
      </c>
      <c r="C102" s="295">
        <f>C101</f>
        <v/>
      </c>
    </row>
    <row r="103">
      <c r="A103">
        <f>A102+1</f>
        <v/>
      </c>
      <c r="B103" s="5" t="n">
        <v>47781</v>
      </c>
      <c r="C103" s="295">
        <f>C102</f>
        <v/>
      </c>
    </row>
    <row r="104">
      <c r="A104">
        <f>A103+1</f>
        <v/>
      </c>
      <c r="B104" s="5" t="n">
        <v>47812</v>
      </c>
      <c r="C104" s="295">
        <f>C103</f>
        <v/>
      </c>
    </row>
    <row r="105">
      <c r="A105">
        <f>A104+1</f>
        <v/>
      </c>
      <c r="B105" s="5" t="n">
        <v>47842</v>
      </c>
      <c r="C105" s="295">
        <f>C104</f>
        <v/>
      </c>
    </row>
    <row r="106">
      <c r="A106">
        <f>A105+1</f>
        <v/>
      </c>
      <c r="B106" s="5" t="n">
        <v>47873</v>
      </c>
      <c r="C106" s="295">
        <f>C105</f>
        <v/>
      </c>
    </row>
    <row r="107">
      <c r="A107">
        <f>A106+1</f>
        <v/>
      </c>
      <c r="B107" s="5" t="n">
        <v>47904</v>
      </c>
      <c r="C107" s="295">
        <f>C106</f>
        <v/>
      </c>
    </row>
    <row r="108">
      <c r="A108">
        <f>A107+1</f>
        <v/>
      </c>
      <c r="B108" s="5" t="n">
        <v>47932</v>
      </c>
      <c r="C108" s="295">
        <f>C107</f>
        <v/>
      </c>
    </row>
    <row r="109">
      <c r="A109">
        <f>A108+1</f>
        <v/>
      </c>
      <c r="B109" s="5" t="n">
        <v>47963</v>
      </c>
      <c r="C109" s="295">
        <f>C108</f>
        <v/>
      </c>
    </row>
    <row r="110">
      <c r="A110">
        <f>A109+1</f>
        <v/>
      </c>
      <c r="B110" s="5" t="n">
        <v>47993</v>
      </c>
      <c r="C110" s="295">
        <f>C109</f>
        <v/>
      </c>
    </row>
    <row r="111">
      <c r="A111">
        <f>A110+1</f>
        <v/>
      </c>
      <c r="B111" s="5" t="n">
        <v>48024</v>
      </c>
      <c r="C111" s="295">
        <f>C110</f>
        <v/>
      </c>
    </row>
    <row r="112">
      <c r="A112">
        <f>A111+1</f>
        <v/>
      </c>
      <c r="B112" s="5" t="n">
        <v>48054</v>
      </c>
      <c r="C112" s="295">
        <f>C111</f>
        <v/>
      </c>
    </row>
    <row r="113">
      <c r="A113">
        <f>A112+1</f>
        <v/>
      </c>
      <c r="B113" s="5" t="n">
        <v>48085</v>
      </c>
      <c r="C113" s="295">
        <f>C112</f>
        <v/>
      </c>
    </row>
    <row r="114">
      <c r="A114">
        <f>A113+1</f>
        <v/>
      </c>
      <c r="B114" s="5" t="n">
        <v>48116</v>
      </c>
      <c r="C114" s="295">
        <f>C113</f>
        <v/>
      </c>
    </row>
    <row r="115">
      <c r="A115">
        <f>A114+1</f>
        <v/>
      </c>
      <c r="B115" s="5" t="n">
        <v>48146</v>
      </c>
      <c r="C115" s="295">
        <f>C114</f>
        <v/>
      </c>
    </row>
    <row r="116">
      <c r="A116">
        <f>A115+1</f>
        <v/>
      </c>
      <c r="B116" s="5" t="n">
        <v>48177</v>
      </c>
      <c r="C116" s="295">
        <f>C115</f>
        <v/>
      </c>
    </row>
    <row r="117">
      <c r="A117">
        <f>A116+1</f>
        <v/>
      </c>
      <c r="B117" s="5" t="n">
        <v>48207</v>
      </c>
      <c r="C117" s="295">
        <f>C116</f>
        <v/>
      </c>
    </row>
    <row r="118">
      <c r="A118">
        <f>A117+1</f>
        <v/>
      </c>
      <c r="B118" s="5" t="n">
        <v>48238</v>
      </c>
      <c r="C118" s="295">
        <f>C117</f>
        <v/>
      </c>
    </row>
    <row r="119">
      <c r="A119">
        <f>A118+1</f>
        <v/>
      </c>
      <c r="B119" s="5" t="n">
        <v>48269</v>
      </c>
      <c r="C119" s="295">
        <f>C118</f>
        <v/>
      </c>
    </row>
    <row r="120">
      <c r="A120">
        <f>A119+1</f>
        <v/>
      </c>
      <c r="B120" s="5" t="n">
        <v>48298</v>
      </c>
      <c r="C120" s="295">
        <f>C119</f>
        <v/>
      </c>
    </row>
    <row r="121">
      <c r="A121">
        <f>A120+1</f>
        <v/>
      </c>
      <c r="B121" s="5" t="n">
        <v>48329</v>
      </c>
      <c r="C121" s="295">
        <f>C120</f>
        <v/>
      </c>
    </row>
    <row r="122">
      <c r="A122">
        <f>A121+1</f>
        <v/>
      </c>
      <c r="B122" s="5" t="n">
        <v>48359</v>
      </c>
      <c r="C122" s="295">
        <f>C121</f>
        <v/>
      </c>
    </row>
    <row r="123">
      <c r="A123">
        <f>A122+1</f>
        <v/>
      </c>
      <c r="B123" s="5" t="n">
        <v>48390</v>
      </c>
      <c r="C123" s="295">
        <f>C122</f>
        <v/>
      </c>
    </row>
    <row r="124">
      <c r="A124">
        <f>A123+1</f>
        <v/>
      </c>
      <c r="B124" s="5" t="n">
        <v>48420</v>
      </c>
      <c r="C124" s="295">
        <f>C123</f>
        <v/>
      </c>
    </row>
    <row r="125">
      <c r="A125">
        <f>A124+1</f>
        <v/>
      </c>
      <c r="B125" s="5" t="n">
        <v>48451</v>
      </c>
      <c r="C125" s="295">
        <f>C124</f>
        <v/>
      </c>
    </row>
    <row r="126">
      <c r="A126">
        <f>A125+1</f>
        <v/>
      </c>
      <c r="B126" s="5" t="n">
        <v>48482</v>
      </c>
      <c r="C126" s="295">
        <f>C125</f>
        <v/>
      </c>
    </row>
    <row r="127">
      <c r="A127">
        <f>A126+1</f>
        <v/>
      </c>
      <c r="B127" s="5" t="n">
        <v>48512</v>
      </c>
      <c r="C127" s="295">
        <f>C126</f>
        <v/>
      </c>
    </row>
    <row r="128">
      <c r="A128">
        <f>A127+1</f>
        <v/>
      </c>
      <c r="B128" s="5" t="n">
        <v>48543</v>
      </c>
      <c r="C128" s="295">
        <f>C127</f>
        <v/>
      </c>
    </row>
    <row r="129">
      <c r="A129">
        <f>A128+1</f>
        <v/>
      </c>
      <c r="B129" s="5" t="n">
        <v>48573</v>
      </c>
      <c r="C129" s="295">
        <f>C128</f>
        <v/>
      </c>
    </row>
    <row r="130">
      <c r="A130">
        <f>A129+1</f>
        <v/>
      </c>
      <c r="B130" s="5" t="n">
        <v>48604</v>
      </c>
      <c r="C130" s="295">
        <f>C129</f>
        <v/>
      </c>
    </row>
    <row r="131">
      <c r="A131">
        <f>A130+1</f>
        <v/>
      </c>
      <c r="B131" s="5" t="n">
        <v>48635</v>
      </c>
      <c r="C131" s="295">
        <f>C130</f>
        <v/>
      </c>
    </row>
    <row r="132">
      <c r="A132">
        <f>A131+1</f>
        <v/>
      </c>
      <c r="B132" s="5" t="n">
        <v>48663</v>
      </c>
      <c r="C132" s="295">
        <f>C131</f>
        <v/>
      </c>
    </row>
    <row r="133">
      <c r="A133">
        <f>A132+1</f>
        <v/>
      </c>
      <c r="B133" s="5" t="n">
        <v>48694</v>
      </c>
      <c r="C133" s="295">
        <f>C132</f>
        <v/>
      </c>
    </row>
    <row r="134">
      <c r="A134">
        <f>A133+1</f>
        <v/>
      </c>
      <c r="B134" s="5" t="n">
        <v>48724</v>
      </c>
      <c r="C134" s="295">
        <f>C133</f>
        <v/>
      </c>
    </row>
    <row r="135">
      <c r="A135">
        <f>A134+1</f>
        <v/>
      </c>
      <c r="B135" s="5" t="n">
        <v>48755</v>
      </c>
      <c r="C135" s="295">
        <f>C134</f>
        <v/>
      </c>
    </row>
    <row r="136">
      <c r="A136">
        <f>A135+1</f>
        <v/>
      </c>
      <c r="B136" s="5" t="n">
        <v>48785</v>
      </c>
      <c r="C136" s="295">
        <f>C135</f>
        <v/>
      </c>
    </row>
    <row r="137">
      <c r="A137">
        <f>A136+1</f>
        <v/>
      </c>
      <c r="B137" s="5" t="n">
        <v>48816</v>
      </c>
      <c r="C137" s="295">
        <f>C136</f>
        <v/>
      </c>
    </row>
    <row r="138">
      <c r="A138">
        <f>A137+1</f>
        <v/>
      </c>
      <c r="B138" s="5" t="n">
        <v>48847</v>
      </c>
      <c r="C138" s="295">
        <f>C137</f>
        <v/>
      </c>
    </row>
    <row r="139">
      <c r="A139">
        <f>A138+1</f>
        <v/>
      </c>
      <c r="B139" s="5" t="n">
        <v>48877</v>
      </c>
      <c r="C139" s="295">
        <f>C138</f>
        <v/>
      </c>
    </row>
    <row r="140">
      <c r="A140">
        <f>A139+1</f>
        <v/>
      </c>
      <c r="B140" s="5" t="n">
        <v>48908</v>
      </c>
      <c r="C140" s="295">
        <f>C139</f>
        <v/>
      </c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40"/>
  <sheetViews>
    <sheetView showGridLines="0" zoomScale="70" zoomScaleNormal="70" workbookViewId="0">
      <selection activeCell="E25" sqref="E25:F25"/>
    </sheetView>
  </sheetViews>
  <sheetFormatPr baseColWidth="8" defaultRowHeight="13.2"/>
  <cols>
    <col width="3.33203125" customWidth="1" style="260" min="1" max="1"/>
    <col width="38.33203125" customWidth="1" style="260" min="2" max="2"/>
    <col width="27.44140625" customWidth="1" style="260" min="3" max="3"/>
    <col width="2" customWidth="1" style="260" min="4" max="4"/>
    <col width="18" bestFit="1" customWidth="1" style="260" min="5" max="5"/>
    <col width="19.6640625" bestFit="1" customWidth="1" style="260" min="6" max="6"/>
    <col width="1.44140625" customWidth="1" style="260" min="7" max="7"/>
    <col width="4.88671875" customWidth="1" style="260" min="8" max="8"/>
    <col width="2.6640625" customWidth="1" style="260" min="9" max="9"/>
    <col width="11.88671875" bestFit="1" customWidth="1" style="260" min="10" max="10"/>
    <col width="16.6640625" bestFit="1" customWidth="1" style="260" min="11" max="11"/>
    <col width="18.44140625" bestFit="1" customWidth="1" style="260" min="12" max="12"/>
    <col width="17.44140625" bestFit="1" customWidth="1" style="260" min="13" max="13"/>
    <col width="14.33203125" bestFit="1" customWidth="1" style="260" min="14" max="14"/>
    <col width="18.44140625" bestFit="1" customWidth="1" style="260" min="15" max="15"/>
  </cols>
  <sheetData>
    <row r="1" ht="13.8" customHeight="1" s="260" thickBot="1"/>
    <row r="2" ht="21" customHeight="1" s="260">
      <c r="B2" s="87" t="n"/>
      <c r="C2" s="266" t="n"/>
      <c r="D2" s="265" t="n"/>
      <c r="E2" s="265" t="n"/>
      <c r="F2" s="265" t="n"/>
      <c r="G2" s="88" t="n"/>
    </row>
    <row r="3" ht="17.4" customHeight="1" s="260">
      <c r="B3" s="89" t="n"/>
      <c r="C3" s="45" t="n"/>
      <c r="D3" s="45" t="n"/>
      <c r="E3" s="90" t="n"/>
      <c r="F3" s="91" t="n"/>
      <c r="G3" s="63" t="n"/>
    </row>
    <row r="4" ht="12.75" customHeight="1" s="260">
      <c r="B4" s="89" t="n"/>
      <c r="C4" s="263" t="inlineStr">
        <is>
          <t>RELATÓRIO DE PAGAMENTOS</t>
        </is>
      </c>
      <c r="G4" s="63" t="n"/>
    </row>
    <row r="5" ht="12.75" customHeight="1" s="260">
      <c r="B5" s="89" t="n"/>
      <c r="G5" s="63" t="n"/>
    </row>
    <row r="6">
      <c r="B6" s="89" t="n"/>
      <c r="C6" s="263" t="inlineStr">
        <is>
          <t>CERTIFICADO DE RECEBÍVEIS IMOBILIÁRIOS</t>
        </is>
      </c>
      <c r="G6" s="63" t="n"/>
    </row>
    <row r="7">
      <c r="B7" s="89" t="n"/>
      <c r="G7" s="63" t="n"/>
    </row>
    <row r="8" ht="17.4" customHeight="1" s="260">
      <c r="B8" s="89" t="n"/>
      <c r="C8" s="90" t="n"/>
      <c r="D8" s="90" t="n"/>
      <c r="E8" s="90" t="n"/>
      <c r="F8" s="105">
        <f>CONCATENATE("Evento ",F23)</f>
        <v/>
      </c>
      <c r="G8" s="63" t="n"/>
    </row>
    <row r="9" ht="16.2" customHeight="1" s="260" thickBot="1">
      <c r="B9" s="89" t="n"/>
      <c r="C9" s="45" t="n"/>
      <c r="D9" s="45" t="n"/>
      <c r="E9" s="45" t="n"/>
      <c r="F9" s="297">
        <f>F24</f>
        <v/>
      </c>
      <c r="G9" s="63" t="n"/>
    </row>
    <row r="10" ht="16.2" customHeight="1" s="260" thickBot="1">
      <c r="B10" s="258" t="n"/>
      <c r="C10" s="252" t="n"/>
      <c r="D10" s="252" t="n"/>
      <c r="E10" s="252" t="n"/>
      <c r="F10" s="252" t="n"/>
      <c r="G10" s="253" t="n"/>
    </row>
    <row r="11" ht="15.6" customHeight="1" s="260">
      <c r="B11" s="92" t="n"/>
      <c r="C11" s="93" t="n"/>
      <c r="D11" s="94" t="n"/>
      <c r="E11" s="95" t="inlineStr">
        <is>
          <t>Série:</t>
        </is>
      </c>
      <c r="F11" s="96" t="inlineStr">
        <is>
          <t>46ª</t>
        </is>
      </c>
      <c r="G11" s="63" t="n"/>
    </row>
    <row r="12" ht="15.6" customHeight="1" s="260">
      <c r="B12" s="92" t="inlineStr">
        <is>
          <t xml:space="preserve">Data da Emissão: </t>
        </is>
      </c>
      <c r="C12" s="64" t="n">
        <v>43906</v>
      </c>
      <c r="D12" s="97" t="n"/>
      <c r="E12" s="98" t="inlineStr">
        <is>
          <t>Emissão:</t>
        </is>
      </c>
      <c r="F12" s="96" t="inlineStr">
        <is>
          <t>1ª</t>
        </is>
      </c>
      <c r="G12" s="63" t="n"/>
    </row>
    <row r="13" ht="15.6" customHeight="1" s="260">
      <c r="B13" s="99" t="inlineStr">
        <is>
          <t>PU de Emissão:</t>
        </is>
      </c>
      <c r="C13" s="298" t="n">
        <v>1</v>
      </c>
      <c r="D13" s="97" t="n"/>
      <c r="E13" s="98" t="inlineStr">
        <is>
          <t>Código IF (CETIP):</t>
        </is>
      </c>
      <c r="F13" s="96" t="inlineStr">
        <is>
          <t>20F1187231</t>
        </is>
      </c>
      <c r="G13" s="63" t="n"/>
      <c r="J13" s="257" t="n"/>
      <c r="K13" s="240" t="inlineStr">
        <is>
          <t>QUANTIDADE</t>
        </is>
      </c>
      <c r="L13" s="240" t="inlineStr">
        <is>
          <t>JUROS</t>
        </is>
      </c>
      <c r="M13" s="240" t="inlineStr">
        <is>
          <t>AMORT</t>
        </is>
      </c>
      <c r="N13" s="240" t="inlineStr">
        <is>
          <t>AMEX</t>
        </is>
      </c>
      <c r="O13" s="240" t="inlineStr">
        <is>
          <t>TOTAL</t>
        </is>
      </c>
    </row>
    <row r="14" ht="15.6" customHeight="1" s="260">
      <c r="B14" s="99" t="inlineStr">
        <is>
          <t>CRI emitidos:</t>
        </is>
      </c>
      <c r="C14" s="299" t="n">
        <v>100000000</v>
      </c>
      <c r="D14" s="97" t="n"/>
      <c r="E14" s="98" t="inlineStr">
        <is>
          <t>Código ISIN:</t>
        </is>
      </c>
      <c r="F14" s="96" t="n"/>
      <c r="G14" s="63" t="n"/>
      <c r="J14" s="241" t="n"/>
      <c r="K14" s="241" t="n"/>
      <c r="L14" s="300">
        <f>C23</f>
        <v/>
      </c>
      <c r="M14" s="301">
        <f>C25</f>
        <v/>
      </c>
      <c r="N14" s="301">
        <f>C26</f>
        <v/>
      </c>
      <c r="O14" s="240" t="n"/>
    </row>
    <row r="15" ht="15.6" customHeight="1" s="260">
      <c r="B15" s="99" t="inlineStr">
        <is>
          <t>CRI integralizados:</t>
        </is>
      </c>
      <c r="C15" s="302">
        <f>K17</f>
        <v/>
      </c>
      <c r="D15" s="97" t="n"/>
      <c r="E15" s="98" t="n"/>
      <c r="F15" s="96" t="n"/>
      <c r="G15" s="63" t="n"/>
      <c r="J15" s="167" t="inlineStr">
        <is>
          <t>Investidor 01:</t>
        </is>
      </c>
      <c r="K15" s="303" t="n">
        <v>2541355</v>
      </c>
      <c r="L15" s="304">
        <f>IFERROR($L$14*K15,0)</f>
        <v/>
      </c>
      <c r="M15" s="304">
        <f>$M$14*K15</f>
        <v/>
      </c>
      <c r="N15" s="305">
        <f>N14*K15</f>
        <v/>
      </c>
      <c r="O15" s="306">
        <f>SUM(L15:N15)</f>
        <v/>
      </c>
    </row>
    <row r="16" ht="15.6" customHeight="1" s="260">
      <c r="B16" s="99" t="inlineStr">
        <is>
          <t>Valor total de Emissão:</t>
        </is>
      </c>
      <c r="C16" s="307">
        <f>C14*C13</f>
        <v/>
      </c>
      <c r="D16" s="97" t="n"/>
      <c r="E16" s="261" t="inlineStr">
        <is>
          <t>Pagamentos</t>
        </is>
      </c>
      <c r="G16" s="63" t="n"/>
      <c r="J16" s="167" t="inlineStr">
        <is>
          <t>Investidor 02:</t>
        </is>
      </c>
      <c r="K16" s="303" t="n">
        <v>635339</v>
      </c>
      <c r="L16" s="304">
        <f>IFERROR($L$14*K16,0)</f>
        <v/>
      </c>
      <c r="M16" s="304">
        <f>$M$14*K16</f>
        <v/>
      </c>
      <c r="N16" s="305">
        <f>N14*K16</f>
        <v/>
      </c>
      <c r="O16" s="306">
        <f>SUM(L16:N16)</f>
        <v/>
      </c>
    </row>
    <row r="17" ht="15.6" customHeight="1" s="260">
      <c r="B17" s="99" t="inlineStr">
        <is>
          <t>Taxa Remuneração:</t>
        </is>
      </c>
      <c r="C17" s="100" t="n">
        <v>0.095</v>
      </c>
      <c r="D17" s="97" t="n"/>
      <c r="E17" s="95" t="inlineStr">
        <is>
          <t>Remuneração:</t>
        </is>
      </c>
      <c r="F17" s="96" t="inlineStr">
        <is>
          <t>Mensal</t>
        </is>
      </c>
      <c r="G17" s="63" t="n"/>
      <c r="J17" s="168" t="inlineStr">
        <is>
          <t>TOTAL</t>
        </is>
      </c>
      <c r="K17" s="308">
        <f>SUM(K15:K16)</f>
        <v/>
      </c>
      <c r="L17" s="309">
        <f>SUM(L15:L16)</f>
        <v/>
      </c>
      <c r="M17" s="309">
        <f>SUM(M15:M16)</f>
        <v/>
      </c>
      <c r="N17" s="44" t="n"/>
      <c r="O17" s="306">
        <f>SUM(L17:N17)</f>
        <v/>
      </c>
    </row>
    <row r="18" ht="15.6" customHeight="1" s="260">
      <c r="B18" s="99" t="inlineStr">
        <is>
          <t xml:space="preserve">Indexador Correção: </t>
        </is>
      </c>
      <c r="C18" s="310" t="inlineStr">
        <is>
          <t>IPCA</t>
        </is>
      </c>
      <c r="D18" s="97" t="n"/>
      <c r="E18" s="95" t="inlineStr">
        <is>
          <t xml:space="preserve">Correção: </t>
        </is>
      </c>
      <c r="F18" s="96" t="inlineStr">
        <is>
          <t>Mensal</t>
        </is>
      </c>
      <c r="G18" s="63" t="n"/>
    </row>
    <row r="19" ht="15.6" customHeight="1" s="260">
      <c r="B19" s="99" t="inlineStr">
        <is>
          <t>Dia dos Eventos:</t>
        </is>
      </c>
      <c r="C19" s="98" t="n">
        <v>25</v>
      </c>
      <c r="D19" s="97" t="n"/>
      <c r="E19" s="98" t="inlineStr">
        <is>
          <t>Amortização:</t>
        </is>
      </c>
      <c r="F19" s="96" t="inlineStr">
        <is>
          <t>Mensal</t>
        </is>
      </c>
      <c r="G19" s="63" t="n"/>
      <c r="K19" s="197" t="n"/>
    </row>
    <row r="20" ht="15.6" customHeight="1" s="260">
      <c r="B20" s="99" t="n"/>
      <c r="C20" s="98" t="n"/>
      <c r="D20" s="97" t="n"/>
      <c r="E20" s="98" t="n"/>
      <c r="F20" s="96" t="n"/>
      <c r="G20" s="63" t="n"/>
      <c r="K20" s="311" t="n"/>
    </row>
    <row r="21" ht="16.2" customHeight="1" s="260" thickBot="1">
      <c r="B21" s="99" t="n"/>
      <c r="C21" s="98" t="n"/>
      <c r="D21" s="97" t="n"/>
      <c r="E21" s="98" t="n"/>
      <c r="F21" s="96" t="n"/>
      <c r="G21" s="63" t="n"/>
      <c r="K21" s="220" t="n"/>
    </row>
    <row r="22" ht="16.2" customHeight="1" s="260" thickBot="1">
      <c r="B22" s="258" t="n"/>
      <c r="C22" s="252" t="n"/>
      <c r="D22" s="252" t="n"/>
      <c r="E22" s="252" t="n"/>
      <c r="F22" s="252" t="n"/>
      <c r="G22" s="253" t="n"/>
      <c r="K22" s="197" t="n"/>
    </row>
    <row r="23" ht="15.6" customHeight="1" s="260">
      <c r="B23" s="102" t="inlineStr">
        <is>
          <t>Juros por Unidade:</t>
        </is>
      </c>
      <c r="C23" s="312">
        <f>VLOOKUP(F24,'22F1187231'!D5:N4161,8,0)</f>
        <v/>
      </c>
      <c r="D23" s="313" t="n"/>
      <c r="E23" s="313" t="inlineStr">
        <is>
          <t>Evento:</t>
        </is>
      </c>
      <c r="F23" s="109" t="n">
        <v>1</v>
      </c>
      <c r="G23" s="69" t="n"/>
    </row>
    <row r="24" ht="15.6" customHeight="1" s="260">
      <c r="B24" s="102" t="inlineStr">
        <is>
          <t>% Amortização:</t>
        </is>
      </c>
      <c r="C24" s="107">
        <f>VLOOKUP(F23,'Amort TS'!F4:H140,3,0)</f>
        <v/>
      </c>
      <c r="D24" s="314" t="n"/>
      <c r="E24" s="315" t="inlineStr">
        <is>
          <t xml:space="preserve">Data do Evento: </t>
        </is>
      </c>
      <c r="F24" s="192" t="n">
        <v>45376</v>
      </c>
      <c r="G24" s="69" t="n"/>
    </row>
    <row r="25" ht="15.6" customHeight="1" s="260">
      <c r="B25" s="102" t="inlineStr">
        <is>
          <t>Amortização por Unidade:</t>
        </is>
      </c>
      <c r="C25" s="316">
        <f>VLOOKUP(F24,'22F1187231'!D5:N4161,9,0)</f>
        <v/>
      </c>
      <c r="D25" s="314" t="n"/>
      <c r="E25" s="317" t="inlineStr">
        <is>
          <t>Pagamentos</t>
        </is>
      </c>
      <c r="G25" s="72" t="n"/>
      <c r="K25" s="318" t="n"/>
    </row>
    <row r="26" ht="15.6" customHeight="1" s="260">
      <c r="B26" s="102" t="inlineStr">
        <is>
          <t>Amortização Extraordinária por Unidade:</t>
        </is>
      </c>
      <c r="C26" s="316">
        <f>VLOOKUP(F24,'22F1187231'!D5:N4161,10,0)</f>
        <v/>
      </c>
      <c r="D26" s="73" t="n"/>
      <c r="E26" s="74" t="inlineStr">
        <is>
          <t>Investidor 01:</t>
        </is>
      </c>
      <c r="F26" s="75">
        <f>$C$27*K15</f>
        <v/>
      </c>
      <c r="G26" s="72" t="n"/>
      <c r="K26" s="318" t="n"/>
    </row>
    <row r="27" ht="15.6" customHeight="1" s="260">
      <c r="B27" s="102" t="inlineStr">
        <is>
          <t>Pagamento Total por Unidade:</t>
        </is>
      </c>
      <c r="C27" s="312">
        <f>IFERROR(SUM(C26+C25+C23),0)</f>
        <v/>
      </c>
      <c r="D27" s="73" t="n"/>
      <c r="E27" s="77" t="inlineStr">
        <is>
          <t>Investidor 02:</t>
        </is>
      </c>
      <c r="F27" s="78">
        <f>$C$27*K16</f>
        <v/>
      </c>
      <c r="G27" s="72" t="n"/>
    </row>
    <row r="28" ht="15.6" customHeight="1" s="260">
      <c r="B28" s="102" t="inlineStr">
        <is>
          <t>Pagamento Total CRI Circulação:</t>
        </is>
      </c>
      <c r="C28" s="312">
        <f>C27*$C$15</f>
        <v/>
      </c>
      <c r="D28" s="314" t="n"/>
      <c r="E28" s="77" t="n"/>
      <c r="F28" s="78" t="n"/>
      <c r="G28" s="69" t="n"/>
    </row>
    <row r="29" ht="15.6" customHeight="1" s="260">
      <c r="B29" s="102" t="n"/>
      <c r="C29" s="314" t="n"/>
      <c r="D29" s="314" t="n"/>
      <c r="E29" s="77" t="n"/>
      <c r="F29" s="314" t="n"/>
      <c r="G29" s="69" t="n"/>
    </row>
    <row r="30" ht="16.2" customHeight="1" s="260" thickBot="1">
      <c r="B30" s="102" t="n"/>
      <c r="C30" s="314" t="n"/>
      <c r="D30" s="314" t="n"/>
      <c r="E30" s="314" t="n"/>
      <c r="F30" s="314" t="n"/>
      <c r="G30" s="69" t="n"/>
    </row>
    <row r="31" ht="16.2" customHeight="1" s="260" thickBot="1">
      <c r="B31" s="258" t="n"/>
      <c r="C31" s="252" t="n"/>
      <c r="D31" s="252" t="n"/>
      <c r="E31" s="252" t="n"/>
      <c r="F31" s="252" t="n"/>
      <c r="G31" s="253" t="n"/>
    </row>
    <row r="32" ht="15.6" customHeight="1" s="260">
      <c r="B32" s="102" t="inlineStr">
        <is>
          <t>Saldo Devedor Unitário</t>
        </is>
      </c>
      <c r="C32" s="319">
        <f>VLOOKUP(F24,'22F1187231'!D5:N4161,11,0)</f>
        <v/>
      </c>
      <c r="D32" s="52" t="n"/>
      <c r="E32" s="320" t="n"/>
      <c r="F32" s="320" t="n"/>
      <c r="G32" s="63" t="n"/>
    </row>
    <row r="33" ht="15.6" customHeight="1" s="260">
      <c r="B33" s="102" t="inlineStr">
        <is>
          <t xml:space="preserve">Saldo Devedor Total </t>
        </is>
      </c>
      <c r="C33" s="319">
        <f>C32*$C$15</f>
        <v/>
      </c>
      <c r="D33" s="52" t="n"/>
      <c r="E33" s="320" t="n"/>
      <c r="F33" s="320" t="n"/>
      <c r="G33" s="63" t="n"/>
    </row>
    <row r="34" ht="15" customHeight="1" s="260" thickBot="1">
      <c r="B34" s="103" t="n"/>
      <c r="C34" s="321" t="n"/>
      <c r="D34" s="321" t="n"/>
      <c r="E34" s="321" t="n"/>
      <c r="F34" s="321" t="n"/>
      <c r="G34" s="63" t="n"/>
    </row>
    <row r="35" ht="16.2" customHeight="1" s="260" thickBot="1">
      <c r="B35" s="258" t="n"/>
      <c r="C35" s="252" t="n"/>
      <c r="D35" s="252" t="n"/>
      <c r="E35" s="252" t="n"/>
      <c r="F35" s="252" t="n"/>
      <c r="G35" s="253" t="n"/>
    </row>
    <row r="36" ht="15.6" customHeight="1" s="260">
      <c r="B36" s="102" t="inlineStr">
        <is>
          <t>José Roque</t>
        </is>
      </c>
      <c r="C36" s="80" t="inlineStr">
        <is>
          <t>(41) 3027-2040 / 99931-2040</t>
        </is>
      </c>
      <c r="D36" s="81" t="n"/>
      <c r="E36" s="264" t="inlineStr">
        <is>
          <t>jose.roque@ethosgroup.com.br</t>
        </is>
      </c>
      <c r="F36" s="265" t="n"/>
      <c r="G36" s="63" t="n"/>
    </row>
    <row r="37" ht="15.6" customHeight="1" s="260">
      <c r="B37" s="102" t="inlineStr">
        <is>
          <t>Andressa, Laura e Amanda</t>
        </is>
      </c>
      <c r="C37" s="82" t="inlineStr">
        <is>
          <t>(41) 3149-7103</t>
        </is>
      </c>
      <c r="D37" s="81" t="n"/>
      <c r="E37" s="259" t="inlineStr">
        <is>
          <t>securitizacao@ethosgroup.com.br</t>
        </is>
      </c>
      <c r="G37" s="63" t="n"/>
    </row>
    <row r="38" ht="15.6" customHeight="1" s="260">
      <c r="B38" s="102" t="inlineStr">
        <is>
          <t>Ricardo dos Santos Rosa</t>
        </is>
      </c>
      <c r="C38" s="82" t="inlineStr">
        <is>
          <t>(41) 3149-7103</t>
        </is>
      </c>
      <c r="D38" s="83" t="n"/>
      <c r="E38" s="259" t="inlineStr">
        <is>
          <t>ricardo.rosa@ethosgroup.com.br</t>
        </is>
      </c>
      <c r="G38" s="63" t="n"/>
    </row>
    <row r="39" ht="15.6" customHeight="1" s="260">
      <c r="B39" s="102" t="inlineStr">
        <is>
          <t>Edinéia Boruck</t>
        </is>
      </c>
      <c r="C39" s="82" t="inlineStr">
        <is>
          <t>(41) 3149-7103</t>
        </is>
      </c>
      <c r="D39" s="83" t="n"/>
      <c r="E39" s="259" t="inlineStr">
        <is>
          <t>edineia.boruck@ethosgroup.com.br</t>
        </is>
      </c>
      <c r="G39" s="63" t="n"/>
    </row>
    <row r="40" ht="13.8" customHeight="1" s="260" thickBot="1">
      <c r="B40" s="84" t="n"/>
      <c r="C40" s="85" t="n"/>
      <c r="D40" s="85" t="n"/>
      <c r="E40" s="85" t="n"/>
      <c r="F40" s="85" t="n"/>
      <c r="G40" s="86" t="n"/>
    </row>
  </sheetData>
  <mergeCells count="15">
    <mergeCell ref="J13:J14"/>
    <mergeCell ref="B10:G10"/>
    <mergeCell ref="E38:F38"/>
    <mergeCell ref="E16:F16"/>
    <mergeCell ref="B22:G22"/>
    <mergeCell ref="E25:F25"/>
    <mergeCell ref="B31:G31"/>
    <mergeCell ref="C4:F5"/>
    <mergeCell ref="B35:G35"/>
    <mergeCell ref="K13:K14"/>
    <mergeCell ref="C6:F7"/>
    <mergeCell ref="E36:F36"/>
    <mergeCell ref="E37:F37"/>
    <mergeCell ref="C2:F2"/>
    <mergeCell ref="E39:F39"/>
  </mergeCells>
  <hyperlinks>
    <hyperlink xmlns:r="http://schemas.openxmlformats.org/officeDocument/2006/relationships" ref="E37" r:id="rId1"/>
  </hyperlink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2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3.2"/>
  <sheetData>
    <row r="1">
      <c r="C1" t="inlineStr">
        <is>
          <t>08/07/2025 16:10:08</t>
        </is>
      </c>
    </row>
    <row r="2">
      <c r="A2" t="n">
        <v>1</v>
      </c>
      <c r="B2" t="n">
        <v>1</v>
      </c>
    </row>
    <row r="3">
      <c r="A3" t="n">
        <v>5</v>
      </c>
      <c r="B3" t="n">
        <v>5</v>
      </c>
    </row>
    <row r="4">
      <c r="A4" t="n">
        <v>2</v>
      </c>
      <c r="B4" t="n">
        <v>2</v>
      </c>
    </row>
    <row r="5">
      <c r="A5" t="n">
        <v>6</v>
      </c>
      <c r="B5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6"/>
  <sheetViews>
    <sheetView workbookViewId="0">
      <selection activeCell="A1" sqref="A1"/>
    </sheetView>
  </sheetViews>
  <sheetFormatPr baseColWidth="8" defaultRowHeight="13.2"/>
  <sheetData>
    <row r="2">
      <c r="B2" t="n">
        <v>152</v>
      </c>
    </row>
    <row r="3">
      <c r="B3" t="n">
        <v>252</v>
      </c>
    </row>
    <row r="4">
      <c r="B4" t="n">
        <v>54598.18645741</v>
      </c>
    </row>
    <row r="5">
      <c r="B5" t="inlineStr">
        <is>
          <t>05/08/2025 23:10:37</t>
        </is>
      </c>
    </row>
    <row r="6">
      <c r="A6" t="inlineStr">
        <is>
          <t>2025-08-06</t>
        </is>
      </c>
      <c r="B6" t="n">
        <v>165</v>
      </c>
      <c r="C6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Financeiro 3</dc:creator>
  <dcterms:created xmlns:dcterms="http://purl.org/dc/terms/" xmlns:xsi="http://www.w3.org/2001/XMLSchema-instance" xsi:type="dcterms:W3CDTF">2009-06-15T16:50:13Z</dcterms:created>
  <dcterms:modified xmlns:dcterms="http://purl.org/dc/terms/" xmlns:xsi="http://www.w3.org/2001/XMLSchema-instance" xsi:type="dcterms:W3CDTF">2026-02-20T13:05:36Z</dcterms:modified>
  <cp:lastModifiedBy>Rafael Karczmarski</cp:lastModifiedBy>
  <cp:lastPrinted>2018-10-03T12:21:17Z</cp:lastPrinted>
</cp:coreProperties>
</file>