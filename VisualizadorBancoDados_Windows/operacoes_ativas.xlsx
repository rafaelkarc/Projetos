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7f5a5a9b956faf/Desktop/"/>
    </mc:Choice>
  </mc:AlternateContent>
  <xr:revisionPtr revIDLastSave="5" documentId="13_ncr:1_{C1619DD3-E1FE-4B4B-AED3-9B3E22A9E6CB}" xr6:coauthVersionLast="47" xr6:coauthVersionMax="47" xr10:uidLastSave="{4CDFD236-BBC4-4C8A-AD2D-1795310A6ECB}"/>
  <bookViews>
    <workbookView xWindow="28680" yWindow="-120" windowWidth="29040" windowHeight="16440" tabRatio="601" xr2:uid="{00000000-000D-0000-FFFF-FFFF00000000}"/>
  </bookViews>
  <sheets>
    <sheet name="Características de CRI - LOGOS" sheetId="1" r:id="rId1"/>
    <sheet name="Prestadores de Serviço" sheetId="5" r:id="rId2"/>
    <sheet name="Investidores" sheetId="3" r:id="rId3"/>
    <sheet name="Distribuiçōes" sheetId="4" r:id="rId4"/>
    <sheet name="Resumo" sheetId="2" r:id="rId5"/>
  </sheets>
  <definedNames>
    <definedName name="_xlnm._FilterDatabase" localSheetId="0" hidden="1">'Características de CRI - LOGOS'!$A$1:$AG$42</definedName>
    <definedName name="_xlnm._FilterDatabase" localSheetId="4" hidden="1">Resumo!$A$1:$F$1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8" i="1" l="1"/>
  <c r="Z39" i="1"/>
  <c r="Z40" i="1"/>
  <c r="Z41" i="1"/>
  <c r="Z42" i="1"/>
  <c r="Z37" i="1"/>
  <c r="U43" i="1"/>
  <c r="Y7" i="1"/>
  <c r="Y43" i="1" s="1"/>
  <c r="X15" i="1"/>
  <c r="X7" i="1"/>
  <c r="X43" i="1" s="1"/>
  <c r="F3" i="2"/>
  <c r="F4" i="2"/>
  <c r="F5" i="2"/>
  <c r="F6" i="2"/>
  <c r="F7" i="2"/>
  <c r="F8" i="2"/>
  <c r="F9" i="2"/>
  <c r="F10" i="2"/>
  <c r="F11" i="2"/>
  <c r="F12" i="2"/>
  <c r="F13" i="2"/>
  <c r="F14" i="2"/>
  <c r="F2" i="2"/>
  <c r="X45" i="1" l="1"/>
  <c r="F15" i="2"/>
  <c r="B3" i="2" l="1"/>
  <c r="B4" i="2"/>
  <c r="B5" i="2"/>
  <c r="B6" i="2"/>
  <c r="B7" i="2"/>
  <c r="B8" i="2"/>
  <c r="B9" i="2"/>
  <c r="B10" i="2"/>
  <c r="B11" i="2"/>
  <c r="B12" i="2"/>
  <c r="B13" i="2"/>
  <c r="B14" i="2"/>
  <c r="B2" i="2"/>
  <c r="D6" i="2"/>
  <c r="D15" i="2" s="1"/>
  <c r="E15" i="2"/>
  <c r="C3" i="2"/>
  <c r="C4" i="2"/>
  <c r="C5" i="2"/>
  <c r="C6" i="2"/>
  <c r="C7" i="2"/>
  <c r="C8" i="2"/>
  <c r="C9" i="2"/>
  <c r="C10" i="2"/>
  <c r="C11" i="2"/>
  <c r="C12" i="2"/>
  <c r="C13" i="2"/>
  <c r="C14" i="2"/>
  <c r="C2" i="2"/>
  <c r="W43" i="1"/>
  <c r="C15" i="2" l="1"/>
</calcChain>
</file>

<file path=xl/sharedStrings.xml><?xml version="1.0" encoding="utf-8"?>
<sst xmlns="http://schemas.openxmlformats.org/spreadsheetml/2006/main" count="753" uniqueCount="318">
  <si>
    <t>Série</t>
  </si>
  <si>
    <t>Emissão</t>
  </si>
  <si>
    <t>Papel</t>
  </si>
  <si>
    <t>Código IF</t>
  </si>
  <si>
    <t>ISIN</t>
  </si>
  <si>
    <t>Investidor</t>
  </si>
  <si>
    <t>Emissor</t>
  </si>
  <si>
    <t>Agente Fiduci·rio</t>
  </si>
  <si>
    <t>Cedente</t>
  </si>
  <si>
    <t>Qtd Emitida</t>
  </si>
  <si>
    <t>Volume Emiss„o</t>
  </si>
  <si>
    <t>Saldo Devedor</t>
  </si>
  <si>
    <t>Data de Emiss„o</t>
  </si>
  <si>
    <t>Data de Vencimento</t>
  </si>
  <si>
    <t>Data Final de DistribuiÁ„o</t>
  </si>
  <si>
    <t>Indexador</t>
  </si>
  <si>
    <t>% Taxa Flutuante</t>
  </si>
  <si>
    <t>Taxa de Juros PrÈ/Spread</t>
  </si>
  <si>
    <t>Pagamento de Juros</t>
  </si>
  <si>
    <t>AmortizaÁ„o</t>
  </si>
  <si>
    <t>CRI</t>
  </si>
  <si>
    <t>15L0542115</t>
  </si>
  <si>
    <t>PH</t>
  </si>
  <si>
    <t>LOGOS COMPANHIA SECURITIZADORA S/A</t>
  </si>
  <si>
    <t>PENTAGONO DTVM SA</t>
  </si>
  <si>
    <t>Paysage</t>
  </si>
  <si>
    <t>IPCA</t>
  </si>
  <si>
    <t>Percentual variavel, periodos uniformes, sobre valor remanescente</t>
  </si>
  <si>
    <t>18F0732035</t>
  </si>
  <si>
    <t>BRLGOSCRI0H2</t>
  </si>
  <si>
    <t>Nexus e BoticárioPrev</t>
  </si>
  <si>
    <t>Premoaço</t>
  </si>
  <si>
    <t>DI</t>
  </si>
  <si>
    <t>17G1668350</t>
  </si>
  <si>
    <t>BRLGOSCRI0A7</t>
  </si>
  <si>
    <t>17G1668137</t>
  </si>
  <si>
    <t>BRLGOSCRI0B5</t>
  </si>
  <si>
    <t>17L0911027</t>
  </si>
  <si>
    <t>Nexus</t>
  </si>
  <si>
    <t>Rodobens e Paysage</t>
  </si>
  <si>
    <t>IGP-M</t>
  </si>
  <si>
    <t>19I0151853</t>
  </si>
  <si>
    <t>19I0151856</t>
  </si>
  <si>
    <t>19I0301816</t>
  </si>
  <si>
    <t>BRLGOSCRI0K6</t>
  </si>
  <si>
    <t>Tecnobens</t>
  </si>
  <si>
    <t>19I0301867</t>
  </si>
  <si>
    <t>BRLGOSCRI0L4</t>
  </si>
  <si>
    <t>20C0937823</t>
  </si>
  <si>
    <t>H. Commcor</t>
  </si>
  <si>
    <t>DJR Participações S.A.</t>
  </si>
  <si>
    <t>20C0937926</t>
  </si>
  <si>
    <t>20F0849615</t>
  </si>
  <si>
    <t>20K0609818</t>
  </si>
  <si>
    <t>Nexus, BoticárioPrev e PH</t>
  </si>
  <si>
    <t>CRA</t>
  </si>
  <si>
    <t>CRA020003VG</t>
  </si>
  <si>
    <t>Nexus e Grupo CiaTC</t>
  </si>
  <si>
    <t>Ciatc</t>
  </si>
  <si>
    <t>CRA020003VH</t>
  </si>
  <si>
    <t>21A0618761</t>
  </si>
  <si>
    <t>Life</t>
  </si>
  <si>
    <t>21A0618769</t>
  </si>
  <si>
    <t>21A0618771</t>
  </si>
  <si>
    <t>21H1083493</t>
  </si>
  <si>
    <t>GCD Partners</t>
  </si>
  <si>
    <t>22F1187231</t>
  </si>
  <si>
    <t>CRA023008SP</t>
  </si>
  <si>
    <t>23L1537405</t>
  </si>
  <si>
    <t>23L1537490</t>
  </si>
  <si>
    <t>23L2859168</t>
  </si>
  <si>
    <t>Fundo Artemis</t>
  </si>
  <si>
    <t>Vortx DTVM Ltda.</t>
  </si>
  <si>
    <t>23L2884758</t>
  </si>
  <si>
    <t>23L2884760</t>
  </si>
  <si>
    <t>23L2884761</t>
  </si>
  <si>
    <t>23L2884762</t>
  </si>
  <si>
    <t>23L2884763</t>
  </si>
  <si>
    <t>24D3312860</t>
  </si>
  <si>
    <t>24D3312914</t>
  </si>
  <si>
    <t>24D3313010</t>
  </si>
  <si>
    <t>24D3313141</t>
  </si>
  <si>
    <t>24D3313259</t>
  </si>
  <si>
    <t>24D3313323</t>
  </si>
  <si>
    <t>Operação</t>
  </si>
  <si>
    <t>4ª Série - Paysage</t>
  </si>
  <si>
    <t>12ª Série - Paysage</t>
  </si>
  <si>
    <t>18ª, 19ª, 20ª Séries - Premoaço</t>
  </si>
  <si>
    <t>22ª Série - Rodobens</t>
  </si>
  <si>
    <t>27ª, 28ª Séries - Paysage</t>
  </si>
  <si>
    <t>29ª, 30ª e 37ª Séries - Tecnobens</t>
  </si>
  <si>
    <t>31ª, 32ª e 46ª Séries - DJR</t>
  </si>
  <si>
    <t>33ª Série - Paysage</t>
  </si>
  <si>
    <t>35ª e 36ª - Mascor</t>
  </si>
  <si>
    <t>38ª, 39ª e 47ª Séries - CiaTC</t>
  </si>
  <si>
    <t>40ª, 41ª, 42ª, 48ª e 49ª Séries - Life</t>
  </si>
  <si>
    <t>45ª Série - Paysage</t>
  </si>
  <si>
    <t>1ª a 12ª Séries - Fundo Artemis</t>
  </si>
  <si>
    <t>Gestão</t>
  </si>
  <si>
    <t>Servicer</t>
  </si>
  <si>
    <t>TOTAL</t>
  </si>
  <si>
    <t>Escriturador</t>
  </si>
  <si>
    <t>Oliveira Trust</t>
  </si>
  <si>
    <t>Vortx</t>
  </si>
  <si>
    <t>Servicing</t>
  </si>
  <si>
    <t>GESTAO + SERVICING</t>
  </si>
  <si>
    <t>OBS: CRA RECEBE 90K ANUAL, FOI DIVIDO EM 12x PARA CALCULO MENSAL.</t>
  </si>
  <si>
    <t>Data de Integralizaçāo</t>
  </si>
  <si>
    <t>BRLGOSCRI0T7</t>
  </si>
  <si>
    <t>BRLGOSCRI0U5</t>
  </si>
  <si>
    <t>BRLGOSCRI0X9</t>
  </si>
  <si>
    <t>BRLGOSCRI0Y7</t>
  </si>
  <si>
    <t>BRLGOSCRI0N0</t>
  </si>
  <si>
    <t>BRLGOSCRI0Z4</t>
  </si>
  <si>
    <t>Qtd Integralizada</t>
  </si>
  <si>
    <t>Observaçāo</t>
  </si>
  <si>
    <t>ENVIAR AGT B3</t>
  </si>
  <si>
    <t>CANCELAR CRIS</t>
  </si>
  <si>
    <t>BRLGOSCRI0R1</t>
  </si>
  <si>
    <t>BRLGOSCRI110</t>
  </si>
  <si>
    <t>BRLGOSCRI128</t>
  </si>
  <si>
    <t>BRLGOSCRI136</t>
  </si>
  <si>
    <t>BRLGOSCRI144</t>
  </si>
  <si>
    <t>BRLGOSCRI151</t>
  </si>
  <si>
    <t>BRLGOSCRI185</t>
  </si>
  <si>
    <t>BRLGOSCRI193</t>
  </si>
  <si>
    <t>BRLGOSCRA000</t>
  </si>
  <si>
    <t>BRLGOSCRI1A5</t>
  </si>
  <si>
    <t>BRLGOSCRI1B3</t>
  </si>
  <si>
    <t>BRLGOSCRI1C1</t>
  </si>
  <si>
    <t>BRLGOSCRI1D9</t>
  </si>
  <si>
    <t>BRLGOSCRI1E7</t>
  </si>
  <si>
    <t>BRLGOSCRI1F4</t>
  </si>
  <si>
    <t>BRLGOSCRI1G2</t>
  </si>
  <si>
    <t>BRLGOSCRI1H0</t>
  </si>
  <si>
    <t>BRLGOSCRI1I8</t>
  </si>
  <si>
    <t>BRLGOSCRI1J6</t>
  </si>
  <si>
    <t>BRLGOSCRI1K4</t>
  </si>
  <si>
    <t>BRLGOSCRI1L2</t>
  </si>
  <si>
    <t>BRLGOSCRI1M0</t>
  </si>
  <si>
    <t>BRLGOSCRI1N8</t>
  </si>
  <si>
    <t>24H1626820</t>
  </si>
  <si>
    <t>24H1626902</t>
  </si>
  <si>
    <t>25A3984169</t>
  </si>
  <si>
    <t>25A3985624</t>
  </si>
  <si>
    <t>25C4762727</t>
  </si>
  <si>
    <t>25C4762773</t>
  </si>
  <si>
    <t>BRLGOSCRI1O6</t>
  </si>
  <si>
    <t>BRLGOSCRI1P3</t>
  </si>
  <si>
    <t>BRLGOSCRI1Q1</t>
  </si>
  <si>
    <t>BRLGOSCRI1R9</t>
  </si>
  <si>
    <t>BRLGOSCRI1S7</t>
  </si>
  <si>
    <t>BRLGOSCRI1T5</t>
  </si>
  <si>
    <t>PU Emissāo</t>
  </si>
  <si>
    <t>Ágio</t>
  </si>
  <si>
    <t>Dados Pessoais</t>
  </si>
  <si>
    <t>Campo</t>
  </si>
  <si>
    <t>Código do Cliente</t>
  </si>
  <si>
    <t>Nome do Cliente</t>
  </si>
  <si>
    <t>CPF</t>
  </si>
  <si>
    <t>Tipo de documento</t>
  </si>
  <si>
    <t>Número do documento</t>
  </si>
  <si>
    <t>Data de emissão</t>
  </si>
  <si>
    <t>Órgão Emissor</t>
  </si>
  <si>
    <t>UF do emissor</t>
  </si>
  <si>
    <t>Data de Nascimento</t>
  </si>
  <si>
    <t>Sexo</t>
  </si>
  <si>
    <t>Local de Nascimento</t>
  </si>
  <si>
    <t>UF (Nascimento)</t>
  </si>
  <si>
    <t>País de Nascimento</t>
  </si>
  <si>
    <t>País de Residência Fiscal</t>
  </si>
  <si>
    <t>NIF</t>
  </si>
  <si>
    <t>Nome do Pai</t>
  </si>
  <si>
    <t>Nome da Mãe</t>
  </si>
  <si>
    <t>Estado Civil</t>
  </si>
  <si>
    <t>Nome do Cônjuge</t>
  </si>
  <si>
    <t>Endereço</t>
  </si>
  <si>
    <t>Número</t>
  </si>
  <si>
    <t>Complemento</t>
  </si>
  <si>
    <t>Bairro</t>
  </si>
  <si>
    <t>Cidade</t>
  </si>
  <si>
    <t>UF</t>
  </si>
  <si>
    <t>CEP</t>
  </si>
  <si>
    <t>Caixa Postal</t>
  </si>
  <si>
    <t>Skype</t>
  </si>
  <si>
    <t>Telefone Residencial</t>
  </si>
  <si>
    <t>Celular</t>
  </si>
  <si>
    <t>E-mail</t>
  </si>
  <si>
    <t>Ocupação Principal</t>
  </si>
  <si>
    <t>Cargo/Função</t>
  </si>
  <si>
    <t>Empresa que Trabalha</t>
  </si>
  <si>
    <t>Endereço Comercial</t>
  </si>
  <si>
    <t>Telefone Comercial</t>
  </si>
  <si>
    <t>Endereço para correspondência</t>
  </si>
  <si>
    <t>Dados Bancários</t>
  </si>
  <si>
    <t>Banco</t>
  </si>
  <si>
    <t>Agência</t>
  </si>
  <si>
    <t>Número da Conta</t>
  </si>
  <si>
    <t>Co-Titular</t>
  </si>
  <si>
    <t>CPF do Co-Titular</t>
  </si>
  <si>
    <t>Bens Imóveis (Tipo)</t>
  </si>
  <si>
    <t>Endereço do Imóvel</t>
  </si>
  <si>
    <t>Valor</t>
  </si>
  <si>
    <t>Outros Bens (Tipo)</t>
  </si>
  <si>
    <t>Descrição</t>
  </si>
  <si>
    <t>Ativos Financeiros</t>
  </si>
  <si>
    <t>Salário/Pró Labore</t>
  </si>
  <si>
    <t>Outros Rendimentos</t>
  </si>
  <si>
    <t>Valor Total (Patrimônio)</t>
  </si>
  <si>
    <t>Opera por conta própria?</t>
  </si>
  <si>
    <t>Pessoa Vinculada à Securitizadora?</t>
  </si>
  <si>
    <t>Pessoa Politicamente Exposta?</t>
  </si>
  <si>
    <t>Autoriza transmissão por procurador?</t>
  </si>
  <si>
    <t>Forma de transmissão de ordens: Verbal ( ) / Escrito ( )</t>
  </si>
  <si>
    <t>Permite carteira própria como contraparte? (Concordo/Não Concordo/Consulta)</t>
  </si>
  <si>
    <t>É US Person?</t>
  </si>
  <si>
    <t>País de nascimento/cidadania é EUA?</t>
  </si>
  <si>
    <t>Possui Green Card?</t>
  </si>
  <si>
    <t>Residência fiscal nos EUA?</t>
  </si>
  <si>
    <t>Americano Naturalizado?</t>
  </si>
  <si>
    <t>Pai/Mãe estrangeiros? (Se sim, país)</t>
  </si>
  <si>
    <t>Observações</t>
  </si>
  <si>
    <t>Assinatura do Cliente</t>
  </si>
  <si>
    <t>Data</t>
  </si>
  <si>
    <t>Nome do Responsável (Securitizadora)</t>
  </si>
  <si>
    <t>Assinatura do Responsável</t>
  </si>
  <si>
    <t>Data_assinatura_cad_inv</t>
  </si>
  <si>
    <t>Data_conferencia_cad_inv</t>
  </si>
  <si>
    <t>Preço Unitário</t>
  </si>
  <si>
    <t>Quantidades</t>
  </si>
  <si>
    <t>Valor total</t>
  </si>
  <si>
    <t>Tipo ativo</t>
  </si>
  <si>
    <t>Codigo_if</t>
  </si>
  <si>
    <t>Coordenador Líder</t>
  </si>
  <si>
    <t>CCI</t>
  </si>
  <si>
    <t>Debêntures</t>
  </si>
  <si>
    <t>Cessāo Fiduciária, AF Quotas, AF Açōes</t>
  </si>
  <si>
    <t>Estrutura/</t>
  </si>
  <si>
    <t>Cessāo Conta Bancária</t>
  </si>
  <si>
    <t>Cessāo Definitiva, CCI</t>
  </si>
  <si>
    <t>BTS, Contrato de Cessāo Aluguel</t>
  </si>
  <si>
    <t>Cessāo Fiduciária</t>
  </si>
  <si>
    <t>egoria</t>
  </si>
  <si>
    <t>Tipo de Dado</t>
  </si>
  <si>
    <t>Obrigatório?</t>
  </si>
  <si>
    <t>Exemplo</t>
  </si>
  <si>
    <t>Dados Cadastrais</t>
  </si>
  <si>
    <t>Razão Social</t>
  </si>
  <si>
    <t>Texto</t>
  </si>
  <si>
    <t>Sim</t>
  </si>
  <si>
    <t>XYZ Indústria Ltda.</t>
  </si>
  <si>
    <t>Nome Fantasia</t>
  </si>
  <si>
    <t>Não</t>
  </si>
  <si>
    <t>XYZ Soluções</t>
  </si>
  <si>
    <t>CNPJ</t>
  </si>
  <si>
    <t>Número (14 dígitos)</t>
  </si>
  <si>
    <t>12.345.678/0001-99</t>
  </si>
  <si>
    <t>Inscrição Estadual (IE)</t>
  </si>
  <si>
    <t>Depende*</t>
  </si>
  <si>
    <t>Inscrição Municipal (IM)</t>
  </si>
  <si>
    <t>Data de Abertura</t>
  </si>
  <si>
    <t>CNAE Principal</t>
  </si>
  <si>
    <t>Número (7 dígitos)</t>
  </si>
  <si>
    <t>2829-1/00</t>
  </si>
  <si>
    <t>Dados Fiscais</t>
  </si>
  <si>
    <t>Regime Tributário</t>
  </si>
  <si>
    <t>Lista (Simples, Lucro Real/Presumido)</t>
  </si>
  <si>
    <t>Simples Nacional</t>
  </si>
  <si>
    <t>Optante pelo SIMPLES?</t>
  </si>
  <si>
    <t>Sim/Não</t>
  </si>
  <si>
    <t>Substituição Tributária?</t>
  </si>
  <si>
    <t>Certificado Digital (e-CNPJ)?</t>
  </si>
  <si>
    <t>Logradouro</t>
  </si>
  <si>
    <t>Av. das Indústrias</t>
  </si>
  <si>
    <t>Texto/Número</t>
  </si>
  <si>
    <t>Bloco B, Sala 301</t>
  </si>
  <si>
    <t>Industrial</t>
  </si>
  <si>
    <t>São Paulo</t>
  </si>
  <si>
    <t>Lista (BR)</t>
  </si>
  <si>
    <t>SP</t>
  </si>
  <si>
    <t>Número (8 dígitos)</t>
  </si>
  <si>
    <t>01234-567</t>
  </si>
  <si>
    <t>Contato</t>
  </si>
  <si>
    <t>Telefone Principal</t>
  </si>
  <si>
    <t>(11) 98765-4321</t>
  </si>
  <si>
    <t>contato@xyz.com.br</t>
  </si>
  <si>
    <t>Nome do Responsável</t>
  </si>
  <si>
    <t>João Silva</t>
  </si>
  <si>
    <t>Cargo do Responsável</t>
  </si>
  <si>
    <t>Gerente Comercial</t>
  </si>
  <si>
    <t>Banco do Brasil</t>
  </si>
  <si>
    <t>Conta Corrente</t>
  </si>
  <si>
    <t>Número/Texto</t>
  </si>
  <si>
    <t>56789-0</t>
  </si>
  <si>
    <t>Tipo de Conta (Corrente/Poupança)</t>
  </si>
  <si>
    <t>Lista</t>
  </si>
  <si>
    <t>Corrente</t>
  </si>
  <si>
    <t>Pix (Chave)</t>
  </si>
  <si>
    <t>12.345.678/0001-99 (CNPJ)</t>
  </si>
  <si>
    <t>Informações Adicionais</t>
  </si>
  <si>
    <t>Produtos/Serviços Fornecidos</t>
  </si>
  <si>
    <t>Peças automotivas</t>
  </si>
  <si>
    <t>Prazo de Entrega Médio</t>
  </si>
  <si>
    <t>15 dias úteis</t>
  </si>
  <si>
    <t>Condições de Pagamento</t>
  </si>
  <si>
    <t>30 dias após fatura</t>
  </si>
  <si>
    <t>Texto Livre</t>
  </si>
  <si>
    <t>Fornecedor preferencial desde 2018</t>
  </si>
  <si>
    <t>Coordenador Lider</t>
  </si>
  <si>
    <t>Conta Emissor</t>
  </si>
  <si>
    <t>Conta Coordenador Líder</t>
  </si>
  <si>
    <t>Conta Escriturador</t>
  </si>
  <si>
    <t>Banco_custodiante</t>
  </si>
  <si>
    <t>Conta_banco_custodiante</t>
  </si>
  <si>
    <t>Tipo da Oferta</t>
  </si>
  <si>
    <t>CVM 476</t>
  </si>
  <si>
    <t>RCVM 60</t>
  </si>
  <si>
    <t>PENTAGONO DTVM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</si>
</sst>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</font>
    <font>
      <sz val="16"/>
      <color rgb="FF404040"/>
      <name val="Helvetica Neue"/>
      <family val="2"/>
    </font>
    <font>
      <b/>
      <sz val="16"/>
      <color rgb="FF404040"/>
      <name val="Helvetica Neue"/>
      <family val="2"/>
    </font>
    <font>
      <sz val="12"/>
      <color rgb="FF404040"/>
      <name val="Calibri"/>
      <family val="2"/>
    </font>
    <font>
      <u/>
      <sz val="12"/>
      <color theme="1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33">
    <xf numFmtId="0" fontId="0" fillId="0" borderId="0" xfId="0"/>
    <xf numFmtId="4" fontId="0" fillId="0" borderId="0" xfId="0" applyNumberFormat="1"/>
    <xf numFmtId="14" fontId="0" fillId="0" borderId="0" xfId="0" applyNumberFormat="1"/>
    <xf numFmtId="9" fontId="0" fillId="0" borderId="0" xfId="0" applyNumberFormat="1"/>
    <xf numFmtId="3" fontId="0" fillId="0" borderId="0" xfId="0" applyNumberFormat="1"/>
    <xf numFmtId="10" fontId="0" fillId="0" borderId="0" xfId="0" applyNumberFormat="1"/>
    <xf numFmtId="0" fontId="0" fillId="0" borderId="10" xfId="0" applyBorder="1"/>
    <xf numFmtId="0" fontId="16" fillId="33" borderId="10" xfId="0" applyFont="1" applyFill="1" applyBorder="1"/>
    <xf numFmtId="0" fontId="16" fillId="33" borderId="0" xfId="0" applyFont="1" applyFill="1"/>
    <xf numFmtId="4" fontId="16" fillId="34" borderId="0" xfId="0" applyNumberFormat="1" applyFont="1" applyFill="1"/>
    <xf numFmtId="43" fontId="0" fillId="0" borderId="0" xfId="42" applyFont="1"/>
    <xf numFmtId="43" fontId="0" fillId="0" borderId="10" xfId="42" applyFont="1" applyBorder="1"/>
    <xf numFmtId="0" fontId="16" fillId="35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43" fontId="16" fillId="34" borderId="0" xfId="42" applyFont="1" applyFill="1"/>
    <xf numFmtId="43" fontId="14" fillId="0" borderId="0" xfId="42" applyFont="1"/>
    <xf numFmtId="4" fontId="0" fillId="0" borderId="0" xfId="0" applyNumberFormat="1" applyAlignment="1">
      <alignment wrapText="1"/>
    </xf>
    <xf numFmtId="4" fontId="0" fillId="36" borderId="0" xfId="0" applyNumberFormat="1" applyFill="1"/>
    <xf numFmtId="0" fontId="0" fillId="0" borderId="11" xfId="0" applyBorder="1"/>
    <xf numFmtId="4" fontId="16" fillId="34" borderId="12" xfId="0" applyNumberFormat="1" applyFont="1" applyFill="1" applyBorder="1"/>
    <xf numFmtId="4" fontId="0" fillId="37" borderId="0" xfId="0" applyNumberFormat="1" applyFill="1"/>
    <xf numFmtId="164" fontId="0" fillId="0" borderId="0" xfId="42" applyNumberFormat="1" applyFont="1"/>
    <xf numFmtId="0" fontId="0" fillId="34" borderId="0" xfId="0" applyFill="1"/>
    <xf numFmtId="164" fontId="0" fillId="0" borderId="0" xfId="42" applyNumberFormat="1" applyFont="1" applyBorder="1"/>
    <xf numFmtId="0" fontId="16" fillId="34" borderId="10" xfId="0" applyFont="1" applyFill="1" applyBorder="1"/>
    <xf numFmtId="2" fontId="0" fillId="0" borderId="0" xfId="0" applyNumberForma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21" fillId="0" borderId="0" xfId="0" applyFont="1"/>
    <xf numFmtId="3" fontId="19" fillId="0" borderId="0" xfId="0" applyNumberFormat="1" applyFont="1"/>
    <xf numFmtId="14" fontId="19" fillId="0" borderId="0" xfId="0" applyNumberFormat="1" applyFont="1"/>
    <xf numFmtId="0" fontId="22" fillId="0" borderId="0" xfId="43"/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3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ilto:contato@xyz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7"/>
  <sheetViews>
    <sheetView showGridLines="0" tabSelected="1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E26" sqref="E26"/>
    </sheetView>
  </sheetViews>
  <sheetFormatPr defaultColWidth="11.19921875" defaultRowHeight="15.6"/>
  <cols>
    <col min="1" max="1" width="8" bestFit="1" customWidth="1"/>
    <col min="2" max="2" width="5.69921875" bestFit="1" customWidth="1"/>
    <col min="3" max="3" width="13.19921875" customWidth="1"/>
    <col min="4" max="4" width="7.59765625" customWidth="1"/>
    <col min="5" max="5" width="13.19921875" customWidth="1"/>
    <col min="6" max="7" width="14.69921875" customWidth="1"/>
    <col min="8" max="8" width="22.296875" bestFit="1" customWidth="1"/>
    <col min="9" max="9" width="14.19921875" customWidth="1"/>
    <col min="10" max="10" width="33.5" bestFit="1" customWidth="1"/>
    <col min="11" max="11" width="22.5" customWidth="1"/>
    <col min="12" max="12" width="37.19921875" bestFit="1" customWidth="1"/>
    <col min="13" max="13" width="20.296875" bestFit="1" customWidth="1"/>
    <col min="14" max="15" width="20.296875" customWidth="1"/>
    <col min="16" max="18" width="19.19921875" customWidth="1"/>
    <col min="19" max="19" width="11.19921875" customWidth="1"/>
    <col min="20" max="22" width="14.69921875" customWidth="1"/>
    <col min="23" max="23" width="19.19921875" bestFit="1" customWidth="1"/>
    <col min="24" max="24" width="9.5" bestFit="1" customWidth="1"/>
    <col min="25" max="25" width="11.19921875" bestFit="1" customWidth="1"/>
    <col min="26" max="26" width="14.69921875" bestFit="1" customWidth="1"/>
    <col min="27" max="27" width="18.19921875" bestFit="1" customWidth="1"/>
    <col min="28" max="28" width="23" bestFit="1" customWidth="1"/>
    <col min="29" max="29" width="9.296875" bestFit="1" customWidth="1"/>
    <col min="30" max="30" width="15.5" bestFit="1" customWidth="1"/>
    <col min="31" max="31" width="22.5" bestFit="1" customWidth="1"/>
    <col min="32" max="32" width="17.796875" bestFit="1" customWidth="1"/>
    <col min="33" max="33" width="57" bestFit="1" customWidth="1"/>
  </cols>
  <sheetData>
    <row r="1" spans="1:33" s="8" customFormat="1" ht="16.2" thickBot="1">
      <c r="A1" s="7" t="s">
        <v>1</v>
      </c>
      <c r="B1" s="7" t="s">
        <v>2</v>
      </c>
      <c r="C1" s="7" t="s">
        <v>3</v>
      </c>
      <c r="D1" s="7" t="s">
        <v>0</v>
      </c>
      <c r="E1" s="7" t="s">
        <v>101</v>
      </c>
      <c r="F1" s="7" t="s">
        <v>12</v>
      </c>
      <c r="G1" s="7" t="s">
        <v>314</v>
      </c>
      <c r="H1" s="7" t="s">
        <v>107</v>
      </c>
      <c r="I1" s="7" t="s">
        <v>4</v>
      </c>
      <c r="J1" s="7" t="s">
        <v>237</v>
      </c>
      <c r="K1" s="7" t="s">
        <v>5</v>
      </c>
      <c r="L1" s="7" t="s">
        <v>6</v>
      </c>
      <c r="M1" s="7" t="s">
        <v>7</v>
      </c>
      <c r="N1" s="7" t="s">
        <v>101</v>
      </c>
      <c r="O1" s="7" t="s">
        <v>233</v>
      </c>
      <c r="P1" s="7" t="s">
        <v>8</v>
      </c>
      <c r="Q1" s="7" t="s">
        <v>153</v>
      </c>
      <c r="R1" s="7" t="s">
        <v>154</v>
      </c>
      <c r="S1" s="7" t="s">
        <v>9</v>
      </c>
      <c r="T1" s="7" t="s">
        <v>10</v>
      </c>
      <c r="U1" s="7" t="s">
        <v>114</v>
      </c>
      <c r="V1" s="24" t="s">
        <v>115</v>
      </c>
      <c r="W1" s="7" t="s">
        <v>11</v>
      </c>
      <c r="X1" s="7" t="s">
        <v>98</v>
      </c>
      <c r="Y1" s="7" t="s">
        <v>104</v>
      </c>
      <c r="Z1" s="7" t="s">
        <v>12</v>
      </c>
      <c r="AA1" s="7" t="s">
        <v>13</v>
      </c>
      <c r="AB1" s="7" t="s">
        <v>14</v>
      </c>
      <c r="AC1" s="7" t="s">
        <v>15</v>
      </c>
      <c r="AD1" s="7" t="s">
        <v>16</v>
      </c>
      <c r="AE1" s="7" t="s">
        <v>17</v>
      </c>
      <c r="AF1" s="7" t="s">
        <v>18</v>
      </c>
      <c r="AG1" s="7" t="s">
        <v>19</v>
      </c>
    </row>
    <row r="2" spans="1:33">
      <c r="A2">
        <v>1</v>
      </c>
      <c r="B2" t="s">
        <v>20</v>
      </c>
      <c r="C2" t="s">
        <v>21</v>
      </c>
      <c r="D2">
        <v>4</v>
      </c>
      <c r="E2" t="s">
        <v>102</v>
      </c>
      <c r="F2" s="2">
        <v>42348</v>
      </c>
      <c r="G2" s="2" t="s">
        <v>315</v>
      </c>
      <c r="H2" s="2"/>
      <c r="I2" t="s">
        <v>108</v>
      </c>
      <c r="J2" t="s">
        <v>241</v>
      </c>
      <c r="K2" t="s">
        <v>22</v>
      </c>
      <c r="L2" t="s">
        <v>23</v>
      </c>
      <c r="M2" t="s">
        <v>24</v>
      </c>
      <c r="P2" t="s">
        <v>25</v>
      </c>
      <c r="Q2" s="10">
        <v>1000000</v>
      </c>
      <c r="R2" s="10">
        <v>0</v>
      </c>
      <c r="S2">
        <v>5</v>
      </c>
      <c r="T2" s="1">
        <v>5000000</v>
      </c>
      <c r="U2" s="21">
        <v>5</v>
      </c>
      <c r="V2" s="21"/>
      <c r="W2" s="1">
        <v>2658662.96</v>
      </c>
      <c r="X2" s="1">
        <v>9652.32</v>
      </c>
      <c r="Y2" s="1">
        <v>837.68</v>
      </c>
      <c r="Z2" s="2">
        <v>42348</v>
      </c>
      <c r="AA2" s="2">
        <v>47684</v>
      </c>
      <c r="AB2" s="2">
        <v>42539</v>
      </c>
      <c r="AC2" t="s">
        <v>26</v>
      </c>
      <c r="AE2" s="3">
        <v>0.11</v>
      </c>
      <c r="AF2">
        <v>360</v>
      </c>
      <c r="AG2" t="s">
        <v>27</v>
      </c>
    </row>
    <row r="3" spans="1:33">
      <c r="A3">
        <v>1</v>
      </c>
      <c r="B3" t="s">
        <v>20</v>
      </c>
      <c r="C3" t="s">
        <v>28</v>
      </c>
      <c r="D3">
        <v>18</v>
      </c>
      <c r="E3" t="s">
        <v>102</v>
      </c>
      <c r="F3" s="2">
        <v>43262</v>
      </c>
      <c r="G3" s="2" t="s">
        <v>315</v>
      </c>
      <c r="H3" s="2"/>
      <c r="I3" t="s">
        <v>29</v>
      </c>
      <c r="J3" t="s">
        <v>240</v>
      </c>
      <c r="K3" t="s">
        <v>30</v>
      </c>
      <c r="L3" t="s">
        <v>23</v>
      </c>
      <c r="M3" t="s">
        <v>317</v>
      </c>
      <c r="P3" t="s">
        <v>31</v>
      </c>
      <c r="Q3" s="25">
        <v>1</v>
      </c>
      <c r="R3" s="25">
        <v>0</v>
      </c>
      <c r="S3" s="4">
        <v>7200000</v>
      </c>
      <c r="T3" s="1">
        <v>7200000</v>
      </c>
      <c r="U3" s="21">
        <v>7200000</v>
      </c>
      <c r="V3" s="21"/>
      <c r="W3" s="1">
        <v>3755938.75</v>
      </c>
      <c r="X3" s="17">
        <v>0</v>
      </c>
      <c r="Y3" s="1"/>
      <c r="Z3" s="2">
        <v>43262</v>
      </c>
      <c r="AA3" s="2">
        <v>47983</v>
      </c>
      <c r="AB3" s="2">
        <v>43453</v>
      </c>
      <c r="AC3" t="s">
        <v>32</v>
      </c>
      <c r="AD3">
        <v>100</v>
      </c>
      <c r="AE3" s="5">
        <v>5.2499999999999998E-2</v>
      </c>
      <c r="AF3">
        <v>252</v>
      </c>
      <c r="AG3" t="s">
        <v>27</v>
      </c>
    </row>
    <row r="4" spans="1:33">
      <c r="A4">
        <v>1</v>
      </c>
      <c r="B4" t="s">
        <v>20</v>
      </c>
      <c r="C4" t="s">
        <v>33</v>
      </c>
      <c r="D4">
        <v>19</v>
      </c>
      <c r="E4" t="s">
        <v>102</v>
      </c>
      <c r="F4" s="2">
        <v>42941</v>
      </c>
      <c r="G4" s="2" t="s">
        <v>315</v>
      </c>
      <c r="H4" s="2"/>
      <c r="I4" t="s">
        <v>34</v>
      </c>
      <c r="J4" t="s">
        <v>240</v>
      </c>
      <c r="K4" t="s">
        <v>30</v>
      </c>
      <c r="L4" t="s">
        <v>23</v>
      </c>
      <c r="M4" t="s">
        <v>24</v>
      </c>
      <c r="P4" t="s">
        <v>31</v>
      </c>
      <c r="Q4" s="25">
        <v>1</v>
      </c>
      <c r="R4" s="25">
        <v>0</v>
      </c>
      <c r="S4" s="4">
        <v>18246106</v>
      </c>
      <c r="T4" s="1">
        <v>18246106</v>
      </c>
      <c r="U4" s="21">
        <v>0</v>
      </c>
      <c r="V4" s="21"/>
      <c r="W4" s="1">
        <v>113590.63</v>
      </c>
      <c r="X4" s="1">
        <v>10761.36</v>
      </c>
      <c r="Y4" s="1"/>
      <c r="Z4" s="2">
        <v>42941</v>
      </c>
      <c r="AA4" s="2">
        <v>45641</v>
      </c>
      <c r="AB4" s="2">
        <v>43126</v>
      </c>
      <c r="AC4" t="s">
        <v>32</v>
      </c>
      <c r="AD4">
        <v>100</v>
      </c>
      <c r="AE4" s="5">
        <v>1.4999999999999999E-2</v>
      </c>
      <c r="AF4">
        <v>252</v>
      </c>
      <c r="AG4" t="s">
        <v>27</v>
      </c>
    </row>
    <row r="5" spans="1:33">
      <c r="A5">
        <v>1</v>
      </c>
      <c r="B5" t="s">
        <v>20</v>
      </c>
      <c r="C5" t="s">
        <v>35</v>
      </c>
      <c r="D5">
        <v>20</v>
      </c>
      <c r="E5" t="s">
        <v>102</v>
      </c>
      <c r="F5" s="2">
        <v>42941</v>
      </c>
      <c r="G5" s="2" t="s">
        <v>315</v>
      </c>
      <c r="H5" s="2"/>
      <c r="I5" t="s">
        <v>36</v>
      </c>
      <c r="J5" t="s">
        <v>240</v>
      </c>
      <c r="K5" t="s">
        <v>30</v>
      </c>
      <c r="L5" t="s">
        <v>23</v>
      </c>
      <c r="M5" t="s">
        <v>24</v>
      </c>
      <c r="P5" t="s">
        <v>31</v>
      </c>
      <c r="Q5" s="25">
        <v>1</v>
      </c>
      <c r="R5" s="25">
        <v>0</v>
      </c>
      <c r="S5" s="4">
        <v>7819760</v>
      </c>
      <c r="T5" s="1">
        <v>7819760</v>
      </c>
      <c r="U5" s="21">
        <v>7805513</v>
      </c>
      <c r="V5" s="21"/>
      <c r="W5" s="1">
        <v>1854069.18</v>
      </c>
      <c r="X5" s="1">
        <v>0</v>
      </c>
      <c r="Y5" s="1"/>
      <c r="Z5" s="2">
        <v>42941</v>
      </c>
      <c r="AA5" s="2">
        <v>46188</v>
      </c>
      <c r="AB5" s="2">
        <v>43126</v>
      </c>
      <c r="AC5" t="s">
        <v>32</v>
      </c>
      <c r="AD5">
        <v>100</v>
      </c>
      <c r="AE5" s="5">
        <v>9.4E-2</v>
      </c>
      <c r="AF5">
        <v>252</v>
      </c>
      <c r="AG5" t="s">
        <v>27</v>
      </c>
    </row>
    <row r="6" spans="1:33">
      <c r="A6">
        <v>1</v>
      </c>
      <c r="B6" t="s">
        <v>20</v>
      </c>
      <c r="C6" t="s">
        <v>37</v>
      </c>
      <c r="D6">
        <v>22</v>
      </c>
      <c r="E6" t="s">
        <v>102</v>
      </c>
      <c r="F6" s="2">
        <v>43095</v>
      </c>
      <c r="G6" s="2" t="s">
        <v>315</v>
      </c>
      <c r="H6" s="2"/>
      <c r="I6" t="s">
        <v>109</v>
      </c>
      <c r="J6" t="s">
        <v>239</v>
      </c>
      <c r="K6" t="s">
        <v>38</v>
      </c>
      <c r="L6" t="s">
        <v>23</v>
      </c>
      <c r="M6" t="s">
        <v>24</v>
      </c>
      <c r="P6" t="s">
        <v>39</v>
      </c>
      <c r="Q6" s="25">
        <v>1</v>
      </c>
      <c r="R6" s="25">
        <v>0</v>
      </c>
      <c r="S6" s="4">
        <v>6996891</v>
      </c>
      <c r="T6" s="1">
        <v>6996891</v>
      </c>
      <c r="U6" s="21">
        <v>6996891</v>
      </c>
      <c r="V6" s="21"/>
      <c r="W6" s="1">
        <v>5429079.2300000004</v>
      </c>
      <c r="X6" s="17">
        <v>0</v>
      </c>
      <c r="Y6" s="1"/>
      <c r="Z6" s="2">
        <v>43095</v>
      </c>
      <c r="AA6" s="2">
        <v>47832</v>
      </c>
      <c r="AB6" s="2">
        <v>43278</v>
      </c>
      <c r="AC6" t="s">
        <v>40</v>
      </c>
      <c r="AE6" s="5">
        <v>8.4000000000000005E-2</v>
      </c>
      <c r="AF6">
        <v>365</v>
      </c>
      <c r="AG6" t="s">
        <v>27</v>
      </c>
    </row>
    <row r="7" spans="1:33">
      <c r="A7">
        <v>1</v>
      </c>
      <c r="B7" t="s">
        <v>20</v>
      </c>
      <c r="C7" t="s">
        <v>41</v>
      </c>
      <c r="D7">
        <v>27</v>
      </c>
      <c r="E7" t="s">
        <v>102</v>
      </c>
      <c r="F7" s="2">
        <v>43718</v>
      </c>
      <c r="G7" s="2" t="s">
        <v>315</v>
      </c>
      <c r="H7" s="2"/>
      <c r="I7" t="s">
        <v>110</v>
      </c>
      <c r="J7" t="s">
        <v>236</v>
      </c>
      <c r="K7" t="s">
        <v>22</v>
      </c>
      <c r="L7" t="s">
        <v>23</v>
      </c>
      <c r="M7" t="s">
        <v>24</v>
      </c>
      <c r="P7" t="s">
        <v>25</v>
      </c>
      <c r="Q7" s="25">
        <v>1</v>
      </c>
      <c r="R7" s="25">
        <v>0</v>
      </c>
      <c r="S7" s="4">
        <v>11040000</v>
      </c>
      <c r="T7" s="1">
        <v>11040000</v>
      </c>
      <c r="U7" s="21">
        <v>11010010</v>
      </c>
      <c r="V7" s="21"/>
      <c r="W7" s="16">
        <v>4866328.08</v>
      </c>
      <c r="X7" s="16">
        <f>5336.36+1952.49+1116.9</f>
        <v>8405.75</v>
      </c>
      <c r="Y7" s="16">
        <f>66.27+1586+226.16</f>
        <v>1878.43</v>
      </c>
      <c r="Z7" s="2">
        <v>43718</v>
      </c>
      <c r="AA7" s="2">
        <v>47776</v>
      </c>
      <c r="AB7" s="2">
        <v>43901</v>
      </c>
      <c r="AC7" t="s">
        <v>26</v>
      </c>
      <c r="AE7" s="5">
        <v>8.5000000000000006E-2</v>
      </c>
      <c r="AF7">
        <v>360</v>
      </c>
      <c r="AG7" t="s">
        <v>27</v>
      </c>
    </row>
    <row r="8" spans="1:33">
      <c r="A8">
        <v>1</v>
      </c>
      <c r="B8" t="s">
        <v>20</v>
      </c>
      <c r="C8" t="s">
        <v>42</v>
      </c>
      <c r="D8">
        <v>28</v>
      </c>
      <c r="E8" t="s">
        <v>102</v>
      </c>
      <c r="F8" s="2">
        <v>43718</v>
      </c>
      <c r="G8" s="2" t="s">
        <v>315</v>
      </c>
      <c r="H8" s="2"/>
      <c r="I8" t="s">
        <v>111</v>
      </c>
      <c r="J8" t="s">
        <v>236</v>
      </c>
      <c r="K8" t="s">
        <v>22</v>
      </c>
      <c r="L8" t="s">
        <v>23</v>
      </c>
      <c r="M8" t="s">
        <v>24</v>
      </c>
      <c r="P8" t="s">
        <v>25</v>
      </c>
      <c r="Q8" s="25">
        <v>1</v>
      </c>
      <c r="R8" s="25">
        <v>0</v>
      </c>
      <c r="S8" s="4">
        <v>2760000</v>
      </c>
      <c r="T8" s="1">
        <v>2760000</v>
      </c>
      <c r="U8" s="21">
        <v>2748117</v>
      </c>
      <c r="V8" s="21"/>
      <c r="W8" s="1">
        <v>1861380.6</v>
      </c>
      <c r="X8" s="1">
        <v>0</v>
      </c>
      <c r="Y8" s="1"/>
      <c r="Z8" s="2">
        <v>43718</v>
      </c>
      <c r="AA8" s="2">
        <v>48750</v>
      </c>
      <c r="AB8" s="2">
        <v>43901</v>
      </c>
      <c r="AC8" t="s">
        <v>26</v>
      </c>
      <c r="AE8" s="5">
        <v>0.14899999999999999</v>
      </c>
      <c r="AF8">
        <v>360</v>
      </c>
      <c r="AG8" t="s">
        <v>27</v>
      </c>
    </row>
    <row r="9" spans="1:33">
      <c r="A9">
        <v>1</v>
      </c>
      <c r="B9" t="s">
        <v>20</v>
      </c>
      <c r="C9" t="s">
        <v>43</v>
      </c>
      <c r="D9">
        <v>29</v>
      </c>
      <c r="E9" t="s">
        <v>102</v>
      </c>
      <c r="F9" s="2">
        <v>43728</v>
      </c>
      <c r="G9" s="2" t="s">
        <v>315</v>
      </c>
      <c r="H9" s="2"/>
      <c r="I9" t="s">
        <v>44</v>
      </c>
      <c r="J9" t="s">
        <v>236</v>
      </c>
      <c r="K9" t="s">
        <v>30</v>
      </c>
      <c r="L9" t="s">
        <v>23</v>
      </c>
      <c r="M9" t="s">
        <v>24</v>
      </c>
      <c r="P9" t="s">
        <v>45</v>
      </c>
      <c r="Q9" s="25">
        <v>1</v>
      </c>
      <c r="R9" s="25">
        <v>0</v>
      </c>
      <c r="S9" s="4">
        <v>34000000</v>
      </c>
      <c r="T9" s="1">
        <v>34000000</v>
      </c>
      <c r="U9" s="21">
        <v>32631725</v>
      </c>
      <c r="V9" s="21" t="s">
        <v>116</v>
      </c>
      <c r="W9" s="1">
        <v>28719742.760000002</v>
      </c>
      <c r="X9" s="1">
        <v>11768.04</v>
      </c>
      <c r="Y9" s="1">
        <v>817.74</v>
      </c>
      <c r="Z9" s="2">
        <v>43728</v>
      </c>
      <c r="AA9" s="2">
        <v>44824</v>
      </c>
      <c r="AB9" s="2">
        <v>43910</v>
      </c>
      <c r="AC9" t="s">
        <v>26</v>
      </c>
      <c r="AE9" s="3">
        <v>7.0000000000000007E-2</v>
      </c>
      <c r="AF9">
        <v>360</v>
      </c>
      <c r="AG9" t="s">
        <v>27</v>
      </c>
    </row>
    <row r="10" spans="1:33">
      <c r="A10">
        <v>1</v>
      </c>
      <c r="B10" t="s">
        <v>20</v>
      </c>
      <c r="C10" t="s">
        <v>46</v>
      </c>
      <c r="D10">
        <v>30</v>
      </c>
      <c r="E10" t="s">
        <v>102</v>
      </c>
      <c r="F10" s="2">
        <v>43728</v>
      </c>
      <c r="G10" s="2" t="s">
        <v>315</v>
      </c>
      <c r="H10" s="2"/>
      <c r="I10" t="s">
        <v>47</v>
      </c>
      <c r="J10" t="s">
        <v>236</v>
      </c>
      <c r="K10" t="s">
        <v>30</v>
      </c>
      <c r="L10" t="s">
        <v>23</v>
      </c>
      <c r="M10" t="s">
        <v>24</v>
      </c>
      <c r="P10" t="s">
        <v>45</v>
      </c>
      <c r="Q10" s="25">
        <v>1</v>
      </c>
      <c r="R10" s="25">
        <v>0</v>
      </c>
      <c r="S10" s="4">
        <v>6000000</v>
      </c>
      <c r="T10" s="1">
        <v>6000000</v>
      </c>
      <c r="U10" s="21">
        <v>5172958</v>
      </c>
      <c r="V10" s="21" t="s">
        <v>116</v>
      </c>
      <c r="W10" s="1">
        <v>6341737.8799999999</v>
      </c>
      <c r="X10" s="1">
        <v>0</v>
      </c>
      <c r="Y10" s="1"/>
      <c r="Z10" s="2">
        <v>43728</v>
      </c>
      <c r="AA10" s="2">
        <v>44824</v>
      </c>
      <c r="AB10" s="2">
        <v>43910</v>
      </c>
      <c r="AC10" t="s">
        <v>26</v>
      </c>
      <c r="AE10" s="5">
        <v>0.39100000000000001</v>
      </c>
      <c r="AF10">
        <v>360</v>
      </c>
      <c r="AG10" t="s">
        <v>27</v>
      </c>
    </row>
    <row r="11" spans="1:33">
      <c r="A11">
        <v>1</v>
      </c>
      <c r="B11" t="s">
        <v>20</v>
      </c>
      <c r="C11" t="s">
        <v>48</v>
      </c>
      <c r="D11">
        <v>31</v>
      </c>
      <c r="E11" t="s">
        <v>103</v>
      </c>
      <c r="F11" s="2">
        <v>43906</v>
      </c>
      <c r="G11" s="2" t="s">
        <v>315</v>
      </c>
      <c r="H11" s="2"/>
      <c r="I11" t="s">
        <v>112</v>
      </c>
      <c r="J11" t="s">
        <v>235</v>
      </c>
      <c r="K11" t="s">
        <v>30</v>
      </c>
      <c r="L11" t="s">
        <v>23</v>
      </c>
      <c r="M11" t="s">
        <v>49</v>
      </c>
      <c r="P11" t="s">
        <v>50</v>
      </c>
      <c r="Q11" s="25">
        <v>1</v>
      </c>
      <c r="R11" s="25">
        <v>0</v>
      </c>
      <c r="S11" s="4">
        <v>80000000</v>
      </c>
      <c r="T11" s="4">
        <v>80000000</v>
      </c>
      <c r="U11" s="21">
        <v>39334942</v>
      </c>
      <c r="V11" s="21" t="s">
        <v>117</v>
      </c>
      <c r="W11" s="1">
        <v>63882373.560000002</v>
      </c>
      <c r="X11" s="1">
        <v>0</v>
      </c>
      <c r="Y11" s="1"/>
      <c r="Z11" s="2">
        <v>43906</v>
      </c>
      <c r="AA11" s="2">
        <v>48908</v>
      </c>
      <c r="AC11" t="s">
        <v>26</v>
      </c>
      <c r="AE11" s="3">
        <v>7.0000000000000007E-2</v>
      </c>
      <c r="AF11">
        <v>360</v>
      </c>
      <c r="AG11" t="s">
        <v>27</v>
      </c>
    </row>
    <row r="12" spans="1:33">
      <c r="A12">
        <v>1</v>
      </c>
      <c r="B12" t="s">
        <v>20</v>
      </c>
      <c r="C12" t="s">
        <v>51</v>
      </c>
      <c r="D12">
        <v>32</v>
      </c>
      <c r="E12" t="s">
        <v>103</v>
      </c>
      <c r="F12" s="2">
        <v>43906</v>
      </c>
      <c r="G12" s="2" t="s">
        <v>315</v>
      </c>
      <c r="H12" s="2"/>
      <c r="I12" s="22" t="s">
        <v>113</v>
      </c>
      <c r="J12" t="s">
        <v>235</v>
      </c>
      <c r="K12" t="s">
        <v>30</v>
      </c>
      <c r="L12" t="s">
        <v>23</v>
      </c>
      <c r="M12" t="s">
        <v>49</v>
      </c>
      <c r="P12" t="s">
        <v>50</v>
      </c>
      <c r="Q12" s="25">
        <v>1</v>
      </c>
      <c r="R12" s="25">
        <v>0</v>
      </c>
      <c r="S12" s="4">
        <v>20000000</v>
      </c>
      <c r="T12" s="4">
        <v>20000000</v>
      </c>
      <c r="U12" s="21">
        <v>9801433</v>
      </c>
      <c r="V12" s="21"/>
      <c r="W12" s="1">
        <v>19178089.140000001</v>
      </c>
      <c r="X12" s="1">
        <v>0</v>
      </c>
      <c r="Y12" s="1"/>
      <c r="Z12" s="2">
        <v>43906</v>
      </c>
      <c r="AA12" s="2">
        <v>49334</v>
      </c>
      <c r="AC12" t="s">
        <v>26</v>
      </c>
      <c r="AE12" s="3">
        <v>0.11</v>
      </c>
      <c r="AF12">
        <v>360</v>
      </c>
      <c r="AG12" t="s">
        <v>27</v>
      </c>
    </row>
    <row r="13" spans="1:33">
      <c r="A13">
        <v>1</v>
      </c>
      <c r="B13" t="s">
        <v>20</v>
      </c>
      <c r="C13" t="s">
        <v>52</v>
      </c>
      <c r="D13">
        <v>33</v>
      </c>
      <c r="E13" t="s">
        <v>102</v>
      </c>
      <c r="F13" s="2">
        <v>44012</v>
      </c>
      <c r="G13" s="2" t="s">
        <v>315</v>
      </c>
      <c r="H13" s="2"/>
      <c r="I13" s="22" t="s">
        <v>113</v>
      </c>
      <c r="J13" t="s">
        <v>238</v>
      </c>
      <c r="K13" t="s">
        <v>22</v>
      </c>
      <c r="L13" t="s">
        <v>23</v>
      </c>
      <c r="M13" t="s">
        <v>24</v>
      </c>
      <c r="P13" t="s">
        <v>25</v>
      </c>
      <c r="Q13" s="25">
        <v>1</v>
      </c>
      <c r="R13" s="25">
        <v>0</v>
      </c>
      <c r="S13" s="4">
        <v>16000000</v>
      </c>
      <c r="T13" s="4">
        <v>16000000</v>
      </c>
      <c r="U13" s="21">
        <v>15005117</v>
      </c>
      <c r="V13" s="21"/>
      <c r="W13" s="1">
        <v>15406810.130000001</v>
      </c>
      <c r="X13" s="1">
        <v>8109.39</v>
      </c>
      <c r="Y13" s="1"/>
      <c r="Z13" s="2">
        <v>44012</v>
      </c>
      <c r="AA13" s="2">
        <v>47107</v>
      </c>
      <c r="AC13" t="s">
        <v>26</v>
      </c>
      <c r="AE13" s="3">
        <v>0.09</v>
      </c>
      <c r="AF13">
        <v>360</v>
      </c>
      <c r="AG13" t="s">
        <v>27</v>
      </c>
    </row>
    <row r="14" spans="1:33">
      <c r="A14">
        <v>1</v>
      </c>
      <c r="B14" t="s">
        <v>20</v>
      </c>
      <c r="C14" t="s">
        <v>53</v>
      </c>
      <c r="D14">
        <v>37</v>
      </c>
      <c r="E14" t="s">
        <v>102</v>
      </c>
      <c r="F14" s="2">
        <v>44151</v>
      </c>
      <c r="G14" s="2" t="s">
        <v>315</v>
      </c>
      <c r="H14" s="2"/>
      <c r="I14" t="s">
        <v>118</v>
      </c>
      <c r="J14" t="s">
        <v>236</v>
      </c>
      <c r="K14" t="s">
        <v>54</v>
      </c>
      <c r="L14" t="s">
        <v>23</v>
      </c>
      <c r="M14" t="s">
        <v>24</v>
      </c>
      <c r="P14" t="s">
        <v>45</v>
      </c>
      <c r="Q14" s="25">
        <v>1</v>
      </c>
      <c r="R14" s="25">
        <v>0</v>
      </c>
      <c r="S14" s="4">
        <v>13000000</v>
      </c>
      <c r="T14" s="4">
        <v>13000000</v>
      </c>
      <c r="U14" s="21">
        <v>10302019</v>
      </c>
      <c r="V14" s="21"/>
      <c r="W14" s="1">
        <v>10492164.289999999</v>
      </c>
      <c r="X14" s="17">
        <v>0</v>
      </c>
      <c r="Y14" s="1"/>
      <c r="Z14" s="2">
        <v>44151</v>
      </c>
      <c r="AA14" s="2">
        <v>45250</v>
      </c>
      <c r="AC14" t="s">
        <v>26</v>
      </c>
      <c r="AE14" s="5">
        <v>0.1275</v>
      </c>
      <c r="AF14">
        <v>360</v>
      </c>
      <c r="AG14" t="s">
        <v>27</v>
      </c>
    </row>
    <row r="15" spans="1:33">
      <c r="A15">
        <v>1</v>
      </c>
      <c r="B15" t="s">
        <v>55</v>
      </c>
      <c r="C15" t="s">
        <v>56</v>
      </c>
      <c r="D15">
        <v>38</v>
      </c>
      <c r="E15" t="s">
        <v>103</v>
      </c>
      <c r="F15" s="2">
        <v>44180</v>
      </c>
      <c r="G15" s="2" t="s">
        <v>315</v>
      </c>
      <c r="H15" s="2"/>
      <c r="I15" t="s">
        <v>119</v>
      </c>
      <c r="J15" t="s">
        <v>235</v>
      </c>
      <c r="K15" t="s">
        <v>57</v>
      </c>
      <c r="L15" t="s">
        <v>23</v>
      </c>
      <c r="M15" t="s">
        <v>49</v>
      </c>
      <c r="P15" t="s">
        <v>58</v>
      </c>
      <c r="Q15" s="25">
        <v>1</v>
      </c>
      <c r="R15" s="25">
        <v>0</v>
      </c>
      <c r="S15" s="4">
        <v>10000000</v>
      </c>
      <c r="T15" s="4">
        <v>10000000</v>
      </c>
      <c r="U15" s="21">
        <v>6790542</v>
      </c>
      <c r="V15" s="21"/>
      <c r="W15" s="1">
        <v>4381426.9800000004</v>
      </c>
      <c r="X15" s="20">
        <f>90000/12</f>
        <v>7500</v>
      </c>
      <c r="Y15" s="1"/>
      <c r="Z15" s="2">
        <v>44180</v>
      </c>
      <c r="AA15" s="2">
        <v>46381</v>
      </c>
      <c r="AC15" t="s">
        <v>26</v>
      </c>
      <c r="AE15" s="5">
        <v>5.5E-2</v>
      </c>
      <c r="AF15">
        <v>360</v>
      </c>
      <c r="AG15" t="s">
        <v>27</v>
      </c>
    </row>
    <row r="16" spans="1:33">
      <c r="A16">
        <v>1</v>
      </c>
      <c r="B16" t="s">
        <v>55</v>
      </c>
      <c r="C16" t="s">
        <v>59</v>
      </c>
      <c r="D16">
        <v>39</v>
      </c>
      <c r="E16" t="s">
        <v>103</v>
      </c>
      <c r="F16" s="2">
        <v>44180</v>
      </c>
      <c r="G16" s="2" t="s">
        <v>315</v>
      </c>
      <c r="H16" s="2"/>
      <c r="I16" t="s">
        <v>120</v>
      </c>
      <c r="J16" t="s">
        <v>235</v>
      </c>
      <c r="K16" t="s">
        <v>57</v>
      </c>
      <c r="L16" t="s">
        <v>23</v>
      </c>
      <c r="M16" t="s">
        <v>49</v>
      </c>
      <c r="P16" t="s">
        <v>58</v>
      </c>
      <c r="Q16" s="25">
        <v>1</v>
      </c>
      <c r="R16" s="25">
        <v>0</v>
      </c>
      <c r="S16" s="4">
        <v>20000000</v>
      </c>
      <c r="T16" s="4">
        <v>20000000</v>
      </c>
      <c r="U16" s="21">
        <v>19400435</v>
      </c>
      <c r="V16" s="21"/>
      <c r="W16" s="1">
        <v>12534083.85</v>
      </c>
      <c r="X16" s="1">
        <v>0</v>
      </c>
      <c r="Y16" s="1"/>
      <c r="Z16" s="2">
        <v>44180</v>
      </c>
      <c r="AA16" s="2">
        <v>46381</v>
      </c>
      <c r="AC16" t="s">
        <v>26</v>
      </c>
      <c r="AE16" s="5">
        <v>0.06</v>
      </c>
      <c r="AF16">
        <v>360</v>
      </c>
      <c r="AG16" t="s">
        <v>27</v>
      </c>
    </row>
    <row r="17" spans="1:33">
      <c r="A17">
        <v>1</v>
      </c>
      <c r="B17" t="s">
        <v>20</v>
      </c>
      <c r="C17" t="s">
        <v>60</v>
      </c>
      <c r="D17">
        <v>40</v>
      </c>
      <c r="F17" s="2">
        <v>44210</v>
      </c>
      <c r="G17" s="2" t="s">
        <v>315</v>
      </c>
      <c r="H17" s="2"/>
      <c r="I17" t="s">
        <v>121</v>
      </c>
      <c r="J17" t="s">
        <v>235</v>
      </c>
      <c r="K17" t="s">
        <v>30</v>
      </c>
      <c r="L17" t="s">
        <v>23</v>
      </c>
      <c r="M17" t="s">
        <v>49</v>
      </c>
      <c r="P17" t="s">
        <v>61</v>
      </c>
      <c r="Q17" s="25">
        <v>1</v>
      </c>
      <c r="R17" s="25">
        <v>0</v>
      </c>
      <c r="S17" s="4">
        <v>35000000</v>
      </c>
      <c r="T17" s="4">
        <v>35000000</v>
      </c>
      <c r="U17" s="21">
        <v>35000000</v>
      </c>
      <c r="V17" s="21"/>
      <c r="W17" s="1">
        <v>41382629.399999999</v>
      </c>
      <c r="X17" s="1">
        <v>15444.59</v>
      </c>
      <c r="Y17" s="1"/>
      <c r="Z17" s="2">
        <v>44210</v>
      </c>
      <c r="AA17" s="2">
        <v>49663</v>
      </c>
      <c r="AC17" t="s">
        <v>26</v>
      </c>
      <c r="AE17" s="5">
        <v>0.105</v>
      </c>
      <c r="AF17">
        <v>360</v>
      </c>
      <c r="AG17" t="s">
        <v>27</v>
      </c>
    </row>
    <row r="18" spans="1:33">
      <c r="A18">
        <v>1</v>
      </c>
      <c r="B18" t="s">
        <v>20</v>
      </c>
      <c r="C18" t="s">
        <v>62</v>
      </c>
      <c r="D18">
        <v>41</v>
      </c>
      <c r="F18" s="2">
        <v>44210</v>
      </c>
      <c r="G18" s="2" t="s">
        <v>315</v>
      </c>
      <c r="H18" s="2"/>
      <c r="I18" t="s">
        <v>122</v>
      </c>
      <c r="J18" t="s">
        <v>235</v>
      </c>
      <c r="K18" t="s">
        <v>30</v>
      </c>
      <c r="L18" t="s">
        <v>23</v>
      </c>
      <c r="M18" t="s">
        <v>49</v>
      </c>
      <c r="P18" t="s">
        <v>61</v>
      </c>
      <c r="Q18" s="25">
        <v>1</v>
      </c>
      <c r="R18" s="25">
        <v>0</v>
      </c>
      <c r="S18" s="4">
        <v>66860907</v>
      </c>
      <c r="T18" s="4">
        <v>66860907</v>
      </c>
      <c r="U18" s="21">
        <v>65445547</v>
      </c>
      <c r="V18" s="21"/>
      <c r="W18" s="1">
        <v>77380251.920000002</v>
      </c>
      <c r="X18" s="1">
        <v>0</v>
      </c>
      <c r="Y18" s="1"/>
      <c r="Z18" s="2">
        <v>44210</v>
      </c>
      <c r="AA18" s="2">
        <v>49663</v>
      </c>
      <c r="AC18" t="s">
        <v>26</v>
      </c>
      <c r="AE18" s="3">
        <v>7.0000000000000007E-2</v>
      </c>
      <c r="AF18">
        <v>360</v>
      </c>
      <c r="AG18" t="s">
        <v>27</v>
      </c>
    </row>
    <row r="19" spans="1:33">
      <c r="A19">
        <v>1</v>
      </c>
      <c r="B19" t="s">
        <v>20</v>
      </c>
      <c r="C19" t="s">
        <v>63</v>
      </c>
      <c r="D19">
        <v>42</v>
      </c>
      <c r="F19" s="2">
        <v>44210</v>
      </c>
      <c r="G19" s="2" t="s">
        <v>315</v>
      </c>
      <c r="H19" s="2"/>
      <c r="I19" t="s">
        <v>123</v>
      </c>
      <c r="J19" t="s">
        <v>235</v>
      </c>
      <c r="K19" t="s">
        <v>30</v>
      </c>
      <c r="L19" t="s">
        <v>23</v>
      </c>
      <c r="M19" t="s">
        <v>49</v>
      </c>
      <c r="P19" t="s">
        <v>61</v>
      </c>
      <c r="Q19" s="25">
        <v>1</v>
      </c>
      <c r="R19" s="25">
        <v>0</v>
      </c>
      <c r="S19" s="4">
        <v>11798984</v>
      </c>
      <c r="T19" s="4">
        <v>11798984</v>
      </c>
      <c r="U19" s="21">
        <v>11798984</v>
      </c>
      <c r="V19" s="21"/>
      <c r="W19" s="1">
        <v>13080211.359999999</v>
      </c>
      <c r="X19" s="1">
        <v>0</v>
      </c>
      <c r="Y19" s="1"/>
      <c r="Z19" s="2">
        <v>44210</v>
      </c>
      <c r="AA19" s="2">
        <v>49663</v>
      </c>
      <c r="AC19" t="s">
        <v>26</v>
      </c>
      <c r="AE19" s="5">
        <v>0.1734</v>
      </c>
      <c r="AF19">
        <v>360</v>
      </c>
      <c r="AG19" t="s">
        <v>27</v>
      </c>
    </row>
    <row r="20" spans="1:33">
      <c r="A20">
        <v>1</v>
      </c>
      <c r="B20" t="s">
        <v>20</v>
      </c>
      <c r="C20" t="s">
        <v>64</v>
      </c>
      <c r="D20">
        <v>45</v>
      </c>
      <c r="E20" t="s">
        <v>102</v>
      </c>
      <c r="F20" s="2">
        <v>44469</v>
      </c>
      <c r="G20" s="2" t="s">
        <v>315</v>
      </c>
      <c r="H20" s="2"/>
      <c r="I20" t="s">
        <v>124</v>
      </c>
      <c r="J20" t="s">
        <v>236</v>
      </c>
      <c r="K20" t="s">
        <v>22</v>
      </c>
      <c r="L20" t="s">
        <v>23</v>
      </c>
      <c r="M20" t="s">
        <v>65</v>
      </c>
      <c r="P20" t="s">
        <v>25</v>
      </c>
      <c r="Q20" s="25">
        <v>1</v>
      </c>
      <c r="R20" s="25">
        <v>0</v>
      </c>
      <c r="S20" s="4">
        <v>20000000</v>
      </c>
      <c r="T20" s="4">
        <v>20000000</v>
      </c>
      <c r="U20" s="21">
        <v>20000000</v>
      </c>
      <c r="V20" s="21"/>
      <c r="W20" s="1">
        <v>2039779.2</v>
      </c>
      <c r="X20" s="1">
        <v>6290.3</v>
      </c>
      <c r="Y20" s="1"/>
      <c r="Z20" s="2">
        <v>44469</v>
      </c>
      <c r="AA20" s="2">
        <v>48080</v>
      </c>
      <c r="AC20" t="s">
        <v>26</v>
      </c>
      <c r="AE20" s="5">
        <v>9.5000000000000001E-2</v>
      </c>
      <c r="AF20">
        <v>360</v>
      </c>
      <c r="AG20" t="s">
        <v>27</v>
      </c>
    </row>
    <row r="21" spans="1:33">
      <c r="A21">
        <v>1</v>
      </c>
      <c r="B21" t="s">
        <v>20</v>
      </c>
      <c r="C21" t="s">
        <v>66</v>
      </c>
      <c r="D21">
        <v>46</v>
      </c>
      <c r="F21" s="2">
        <v>44739</v>
      </c>
      <c r="G21" s="2" t="s">
        <v>315</v>
      </c>
      <c r="H21" s="2"/>
      <c r="I21" t="s">
        <v>125</v>
      </c>
      <c r="J21" t="s">
        <v>235</v>
      </c>
      <c r="K21" t="s">
        <v>38</v>
      </c>
      <c r="L21" t="s">
        <v>23</v>
      </c>
      <c r="M21" t="s">
        <v>49</v>
      </c>
      <c r="P21" t="s">
        <v>50</v>
      </c>
      <c r="Q21" s="25">
        <v>1</v>
      </c>
      <c r="R21" s="25">
        <v>0</v>
      </c>
      <c r="S21" s="4">
        <v>100000000</v>
      </c>
      <c r="T21" s="4">
        <v>100000000</v>
      </c>
      <c r="U21" s="21">
        <v>24317016</v>
      </c>
      <c r="V21" s="21"/>
      <c r="W21" s="1">
        <v>32474628.09</v>
      </c>
      <c r="X21" s="1">
        <v>0</v>
      </c>
      <c r="Y21" s="1"/>
      <c r="Z21" s="2">
        <v>44739</v>
      </c>
      <c r="AA21" s="2">
        <v>48908</v>
      </c>
      <c r="AC21" t="s">
        <v>26</v>
      </c>
      <c r="AE21" s="5">
        <v>9.5000000000000001E-2</v>
      </c>
      <c r="AF21">
        <v>360</v>
      </c>
      <c r="AG21" t="s">
        <v>27</v>
      </c>
    </row>
    <row r="22" spans="1:33">
      <c r="A22">
        <v>1</v>
      </c>
      <c r="B22" t="s">
        <v>55</v>
      </c>
      <c r="C22" t="s">
        <v>67</v>
      </c>
      <c r="D22">
        <v>47</v>
      </c>
      <c r="F22" s="2">
        <v>45041</v>
      </c>
      <c r="G22" s="2" t="s">
        <v>316</v>
      </c>
      <c r="H22" s="2"/>
      <c r="I22" t="s">
        <v>126</v>
      </c>
      <c r="J22" t="s">
        <v>235</v>
      </c>
      <c r="K22" t="s">
        <v>57</v>
      </c>
      <c r="L22" t="s">
        <v>23</v>
      </c>
      <c r="M22" t="s">
        <v>49</v>
      </c>
      <c r="P22" t="s">
        <v>58</v>
      </c>
      <c r="Q22" s="25">
        <v>1</v>
      </c>
      <c r="R22" s="25">
        <v>0</v>
      </c>
      <c r="S22" s="4">
        <v>15000000</v>
      </c>
      <c r="T22" s="4">
        <v>15000000</v>
      </c>
      <c r="U22" s="21">
        <v>14745477</v>
      </c>
      <c r="V22" s="21"/>
      <c r="W22" s="1">
        <v>12615533.1</v>
      </c>
      <c r="X22" s="1">
        <v>0</v>
      </c>
      <c r="Y22" s="1"/>
      <c r="Z22" s="2">
        <v>45041</v>
      </c>
      <c r="AA22" s="2">
        <v>46137</v>
      </c>
      <c r="AC22" t="s">
        <v>26</v>
      </c>
      <c r="AE22" s="5">
        <v>8.5000000000000006E-2</v>
      </c>
      <c r="AF22">
        <v>360</v>
      </c>
      <c r="AG22" t="s">
        <v>27</v>
      </c>
    </row>
    <row r="23" spans="1:33">
      <c r="A23">
        <v>1</v>
      </c>
      <c r="B23" t="s">
        <v>20</v>
      </c>
      <c r="C23" t="s">
        <v>68</v>
      </c>
      <c r="D23">
        <v>48</v>
      </c>
      <c r="F23" s="2">
        <v>45267</v>
      </c>
      <c r="G23" s="2" t="s">
        <v>316</v>
      </c>
      <c r="H23" s="2"/>
      <c r="I23" t="s">
        <v>127</v>
      </c>
      <c r="J23" t="s">
        <v>235</v>
      </c>
      <c r="K23" t="s">
        <v>30</v>
      </c>
      <c r="L23" t="s">
        <v>23</v>
      </c>
      <c r="M23" t="s">
        <v>49</v>
      </c>
      <c r="P23" t="s">
        <v>61</v>
      </c>
      <c r="Q23" s="25">
        <v>1</v>
      </c>
      <c r="R23" s="25">
        <v>0</v>
      </c>
      <c r="S23" s="4">
        <v>102000000</v>
      </c>
      <c r="T23" s="4">
        <v>102000000</v>
      </c>
      <c r="U23" s="21">
        <v>21250000</v>
      </c>
      <c r="V23" s="21"/>
      <c r="W23" s="1">
        <v>21250929.68</v>
      </c>
      <c r="X23" s="1">
        <v>0</v>
      </c>
      <c r="Y23" s="1"/>
      <c r="Z23" s="2">
        <v>45267</v>
      </c>
      <c r="AA23" s="2">
        <v>50729</v>
      </c>
      <c r="AC23" t="s">
        <v>26</v>
      </c>
      <c r="AE23" s="3">
        <v>7.0000000000000007E-2</v>
      </c>
      <c r="AF23">
        <v>360</v>
      </c>
      <c r="AG23" t="s">
        <v>27</v>
      </c>
    </row>
    <row r="24" spans="1:33">
      <c r="A24">
        <v>1</v>
      </c>
      <c r="B24" t="s">
        <v>20</v>
      </c>
      <c r="C24" t="s">
        <v>69</v>
      </c>
      <c r="D24">
        <v>49</v>
      </c>
      <c r="F24" s="2">
        <v>45267</v>
      </c>
      <c r="G24" s="2" t="s">
        <v>316</v>
      </c>
      <c r="H24" s="2"/>
      <c r="I24" t="s">
        <v>128</v>
      </c>
      <c r="J24" t="s">
        <v>235</v>
      </c>
      <c r="K24" t="s">
        <v>30</v>
      </c>
      <c r="L24" t="s">
        <v>23</v>
      </c>
      <c r="M24" t="s">
        <v>49</v>
      </c>
      <c r="P24" t="s">
        <v>61</v>
      </c>
      <c r="Q24" s="25">
        <v>1</v>
      </c>
      <c r="R24" s="25">
        <v>0</v>
      </c>
      <c r="S24" s="4">
        <v>18000000</v>
      </c>
      <c r="T24" s="4">
        <v>18000000</v>
      </c>
      <c r="U24" s="21">
        <v>5212225</v>
      </c>
      <c r="V24" s="21"/>
      <c r="W24" s="1">
        <v>4639316.4000000004</v>
      </c>
      <c r="X24" s="1">
        <v>0</v>
      </c>
      <c r="Y24" s="1"/>
      <c r="Z24" s="2">
        <v>45267</v>
      </c>
      <c r="AA24" s="2">
        <v>50729</v>
      </c>
      <c r="AC24" t="s">
        <v>26</v>
      </c>
      <c r="AE24" s="3">
        <v>0.22</v>
      </c>
      <c r="AF24">
        <v>360</v>
      </c>
      <c r="AG24" t="s">
        <v>27</v>
      </c>
    </row>
    <row r="25" spans="1:33">
      <c r="A25">
        <v>2</v>
      </c>
      <c r="B25" t="s">
        <v>20</v>
      </c>
      <c r="C25" t="s">
        <v>70</v>
      </c>
      <c r="D25">
        <v>1</v>
      </c>
      <c r="F25" s="2">
        <v>45279</v>
      </c>
      <c r="G25" s="2" t="s">
        <v>316</v>
      </c>
      <c r="H25" s="2"/>
      <c r="I25" t="s">
        <v>129</v>
      </c>
      <c r="J25" t="s">
        <v>234</v>
      </c>
      <c r="K25" t="s">
        <v>71</v>
      </c>
      <c r="L25" t="s">
        <v>23</v>
      </c>
      <c r="M25" t="s">
        <v>72</v>
      </c>
      <c r="P25" t="s">
        <v>61</v>
      </c>
      <c r="Q25" s="25">
        <v>1</v>
      </c>
      <c r="R25" s="25"/>
      <c r="S25" s="4">
        <v>3853412</v>
      </c>
      <c r="T25" s="4">
        <v>3853412</v>
      </c>
      <c r="U25" s="21">
        <v>3853412</v>
      </c>
      <c r="V25" s="21"/>
      <c r="W25" s="1">
        <v>3745267.14</v>
      </c>
      <c r="X25" s="1">
        <v>7000</v>
      </c>
      <c r="Y25" s="1"/>
      <c r="Z25" s="2">
        <v>45279</v>
      </c>
      <c r="AA25" s="2">
        <v>50734</v>
      </c>
      <c r="AC25" t="s">
        <v>26</v>
      </c>
      <c r="AE25" s="5">
        <v>0.1193</v>
      </c>
      <c r="AF25">
        <v>252</v>
      </c>
      <c r="AG25" t="s">
        <v>27</v>
      </c>
    </row>
    <row r="26" spans="1:33">
      <c r="A26">
        <v>2</v>
      </c>
      <c r="B26" t="s">
        <v>20</v>
      </c>
      <c r="C26" t="s">
        <v>73</v>
      </c>
      <c r="D26">
        <v>2</v>
      </c>
      <c r="F26" s="2">
        <v>45279</v>
      </c>
      <c r="G26" s="2" t="s">
        <v>316</v>
      </c>
      <c r="H26" s="2"/>
      <c r="I26" t="s">
        <v>130</v>
      </c>
      <c r="J26" t="s">
        <v>234</v>
      </c>
      <c r="K26" t="s">
        <v>71</v>
      </c>
      <c r="L26" t="s">
        <v>23</v>
      </c>
      <c r="M26" t="s">
        <v>72</v>
      </c>
      <c r="P26" t="s">
        <v>61</v>
      </c>
      <c r="Q26" s="25">
        <v>1</v>
      </c>
      <c r="R26" s="25"/>
      <c r="S26" s="4">
        <v>3471185</v>
      </c>
      <c r="T26" s="4">
        <v>3471185</v>
      </c>
      <c r="U26" s="21">
        <v>3471185</v>
      </c>
      <c r="V26" s="21"/>
      <c r="W26" s="1">
        <v>3323130.55</v>
      </c>
      <c r="X26" s="1">
        <v>0</v>
      </c>
      <c r="Y26" s="1"/>
      <c r="Z26" s="2">
        <v>45280</v>
      </c>
      <c r="AA26" s="2">
        <v>50734</v>
      </c>
      <c r="AC26" t="s">
        <v>26</v>
      </c>
      <c r="AE26" s="5">
        <v>0.1193</v>
      </c>
      <c r="AF26">
        <v>252</v>
      </c>
      <c r="AG26" t="s">
        <v>27</v>
      </c>
    </row>
    <row r="27" spans="1:33">
      <c r="A27">
        <v>2</v>
      </c>
      <c r="B27" t="s">
        <v>20</v>
      </c>
      <c r="C27" t="s">
        <v>74</v>
      </c>
      <c r="D27">
        <v>3</v>
      </c>
      <c r="F27" s="2">
        <v>45279</v>
      </c>
      <c r="G27" s="2" t="s">
        <v>316</v>
      </c>
      <c r="H27" s="2"/>
      <c r="I27" t="s">
        <v>131</v>
      </c>
      <c r="J27" t="s">
        <v>234</v>
      </c>
      <c r="K27" t="s">
        <v>71</v>
      </c>
      <c r="L27" t="s">
        <v>23</v>
      </c>
      <c r="M27" t="s">
        <v>72</v>
      </c>
      <c r="P27" t="s">
        <v>61</v>
      </c>
      <c r="Q27" s="25">
        <v>1</v>
      </c>
      <c r="R27" s="25"/>
      <c r="S27" s="4">
        <v>3868594</v>
      </c>
      <c r="T27" s="4">
        <v>3868594</v>
      </c>
      <c r="U27" s="21">
        <v>3868594</v>
      </c>
      <c r="V27" s="21"/>
      <c r="W27" s="1">
        <v>3683852.89</v>
      </c>
      <c r="X27" s="1">
        <v>0</v>
      </c>
      <c r="Y27" s="1"/>
      <c r="Z27" s="2">
        <v>45281</v>
      </c>
      <c r="AA27" s="2">
        <v>50734</v>
      </c>
      <c r="AC27" t="s">
        <v>26</v>
      </c>
      <c r="AE27" s="5">
        <v>0.1193</v>
      </c>
      <c r="AF27">
        <v>252</v>
      </c>
      <c r="AG27" t="s">
        <v>27</v>
      </c>
    </row>
    <row r="28" spans="1:33">
      <c r="A28">
        <v>2</v>
      </c>
      <c r="B28" t="s">
        <v>20</v>
      </c>
      <c r="C28" t="s">
        <v>75</v>
      </c>
      <c r="D28">
        <v>4</v>
      </c>
      <c r="F28" s="2">
        <v>45279</v>
      </c>
      <c r="G28" s="2" t="s">
        <v>316</v>
      </c>
      <c r="H28" s="2"/>
      <c r="I28" t="s">
        <v>132</v>
      </c>
      <c r="J28" t="s">
        <v>234</v>
      </c>
      <c r="K28" t="s">
        <v>71</v>
      </c>
      <c r="L28" t="s">
        <v>23</v>
      </c>
      <c r="M28" t="s">
        <v>72</v>
      </c>
      <c r="P28" t="s">
        <v>61</v>
      </c>
      <c r="Q28" s="25">
        <v>1</v>
      </c>
      <c r="R28" s="25"/>
      <c r="S28" s="4">
        <v>4099594</v>
      </c>
      <c r="T28" s="4">
        <v>4099594</v>
      </c>
      <c r="U28" s="21">
        <v>4099594</v>
      </c>
      <c r="V28" s="21"/>
      <c r="W28" s="1">
        <v>3866270.56</v>
      </c>
      <c r="X28" s="1">
        <v>0</v>
      </c>
      <c r="Y28" s="1"/>
      <c r="Z28" s="2">
        <v>45282</v>
      </c>
      <c r="AA28" s="2">
        <v>50734</v>
      </c>
      <c r="AC28" t="s">
        <v>26</v>
      </c>
      <c r="AE28" s="5">
        <v>0.1193</v>
      </c>
      <c r="AF28">
        <v>252</v>
      </c>
      <c r="AG28" t="s">
        <v>27</v>
      </c>
    </row>
    <row r="29" spans="1:33">
      <c r="A29">
        <v>2</v>
      </c>
      <c r="B29" t="s">
        <v>20</v>
      </c>
      <c r="C29" t="s">
        <v>76</v>
      </c>
      <c r="D29">
        <v>5</v>
      </c>
      <c r="F29" s="2">
        <v>45279</v>
      </c>
      <c r="G29" s="2" t="s">
        <v>316</v>
      </c>
      <c r="H29" s="2"/>
      <c r="I29" t="s">
        <v>133</v>
      </c>
      <c r="J29" t="s">
        <v>234</v>
      </c>
      <c r="K29" t="s">
        <v>71</v>
      </c>
      <c r="L29" t="s">
        <v>23</v>
      </c>
      <c r="M29" t="s">
        <v>72</v>
      </c>
      <c r="P29" t="s">
        <v>61</v>
      </c>
      <c r="Q29" s="25">
        <v>1</v>
      </c>
      <c r="R29" s="25"/>
      <c r="S29" s="4">
        <v>3726870</v>
      </c>
      <c r="T29" s="4">
        <v>3726870</v>
      </c>
      <c r="U29" s="21">
        <v>3726870</v>
      </c>
      <c r="V29" s="21"/>
      <c r="W29" s="1">
        <v>3304333.02</v>
      </c>
      <c r="X29" s="1">
        <v>0</v>
      </c>
      <c r="Y29" s="1"/>
      <c r="Z29" s="2">
        <v>45283</v>
      </c>
      <c r="AA29" s="2">
        <v>50734</v>
      </c>
      <c r="AC29" t="s">
        <v>26</v>
      </c>
      <c r="AE29" s="5">
        <v>0.1193</v>
      </c>
      <c r="AF29">
        <v>252</v>
      </c>
      <c r="AG29" t="s">
        <v>27</v>
      </c>
    </row>
    <row r="30" spans="1:33">
      <c r="A30">
        <v>2</v>
      </c>
      <c r="B30" t="s">
        <v>20</v>
      </c>
      <c r="C30" t="s">
        <v>77</v>
      </c>
      <c r="D30">
        <v>6</v>
      </c>
      <c r="F30" s="2">
        <v>45279</v>
      </c>
      <c r="G30" s="2" t="s">
        <v>316</v>
      </c>
      <c r="H30" s="2"/>
      <c r="I30" t="s">
        <v>134</v>
      </c>
      <c r="J30" t="s">
        <v>234</v>
      </c>
      <c r="K30" t="s">
        <v>71</v>
      </c>
      <c r="L30" t="s">
        <v>23</v>
      </c>
      <c r="M30" t="s">
        <v>72</v>
      </c>
      <c r="P30" t="s">
        <v>61</v>
      </c>
      <c r="Q30" s="25">
        <v>1</v>
      </c>
      <c r="R30" s="25"/>
      <c r="S30" s="4">
        <v>3882659</v>
      </c>
      <c r="T30" s="4">
        <v>3882659</v>
      </c>
      <c r="U30" s="21">
        <v>3882659</v>
      </c>
      <c r="V30" s="21"/>
      <c r="W30" s="1">
        <v>3562291.56</v>
      </c>
      <c r="X30" s="1">
        <v>0</v>
      </c>
      <c r="Y30" s="1"/>
      <c r="Z30" s="2">
        <v>45284</v>
      </c>
      <c r="AA30" s="2">
        <v>50734</v>
      </c>
      <c r="AC30" t="s">
        <v>26</v>
      </c>
      <c r="AE30" s="5">
        <v>0.1193</v>
      </c>
      <c r="AF30">
        <v>252</v>
      </c>
      <c r="AG30" t="s">
        <v>27</v>
      </c>
    </row>
    <row r="31" spans="1:33">
      <c r="A31">
        <v>2</v>
      </c>
      <c r="B31" t="s">
        <v>20</v>
      </c>
      <c r="C31" t="s">
        <v>78</v>
      </c>
      <c r="D31">
        <v>7</v>
      </c>
      <c r="F31" s="2">
        <v>45401</v>
      </c>
      <c r="G31" s="2" t="s">
        <v>316</v>
      </c>
      <c r="H31" s="2"/>
      <c r="I31" t="s">
        <v>135</v>
      </c>
      <c r="J31" t="s">
        <v>234</v>
      </c>
      <c r="K31" t="s">
        <v>71</v>
      </c>
      <c r="L31" t="s">
        <v>23</v>
      </c>
      <c r="M31" t="s">
        <v>72</v>
      </c>
      <c r="P31" t="s">
        <v>61</v>
      </c>
      <c r="Q31" s="25">
        <v>1</v>
      </c>
      <c r="R31" s="25"/>
      <c r="S31" s="4">
        <v>4982038</v>
      </c>
      <c r="T31" s="4">
        <v>4982038</v>
      </c>
      <c r="U31" s="21">
        <v>4982038</v>
      </c>
      <c r="V31" s="21"/>
      <c r="W31" s="1">
        <v>4816427.83</v>
      </c>
      <c r="X31" s="1">
        <v>0</v>
      </c>
      <c r="Y31" s="1"/>
      <c r="Z31" s="2">
        <v>45401</v>
      </c>
      <c r="AA31" s="2">
        <v>50854</v>
      </c>
      <c r="AC31" t="s">
        <v>26</v>
      </c>
      <c r="AE31" s="5">
        <v>0.105</v>
      </c>
      <c r="AF31">
        <v>252</v>
      </c>
      <c r="AG31" t="s">
        <v>27</v>
      </c>
    </row>
    <row r="32" spans="1:33">
      <c r="A32">
        <v>2</v>
      </c>
      <c r="B32" t="s">
        <v>20</v>
      </c>
      <c r="C32" t="s">
        <v>79</v>
      </c>
      <c r="D32">
        <v>8</v>
      </c>
      <c r="F32" s="2">
        <v>45401</v>
      </c>
      <c r="G32" s="2" t="s">
        <v>316</v>
      </c>
      <c r="H32" s="2"/>
      <c r="I32" t="s">
        <v>136</v>
      </c>
      <c r="J32" t="s">
        <v>234</v>
      </c>
      <c r="K32" t="s">
        <v>71</v>
      </c>
      <c r="L32" t="s">
        <v>23</v>
      </c>
      <c r="M32" t="s">
        <v>72</v>
      </c>
      <c r="P32" t="s">
        <v>61</v>
      </c>
      <c r="Q32" s="25">
        <v>1</v>
      </c>
      <c r="R32" s="25"/>
      <c r="S32" s="4">
        <v>4727722</v>
      </c>
      <c r="T32" s="4">
        <v>4727722</v>
      </c>
      <c r="U32" s="21">
        <v>4727722</v>
      </c>
      <c r="V32" s="21"/>
      <c r="W32" s="1">
        <v>4493116.6399999997</v>
      </c>
      <c r="X32" s="1">
        <v>0</v>
      </c>
      <c r="Y32" s="1"/>
      <c r="Z32" s="2">
        <v>45401</v>
      </c>
      <c r="AA32" s="2">
        <v>50854</v>
      </c>
      <c r="AC32" t="s">
        <v>26</v>
      </c>
      <c r="AE32" s="5">
        <v>0.105</v>
      </c>
      <c r="AF32">
        <v>252</v>
      </c>
      <c r="AG32" t="s">
        <v>27</v>
      </c>
    </row>
    <row r="33" spans="1:33">
      <c r="A33">
        <v>2</v>
      </c>
      <c r="B33" t="s">
        <v>20</v>
      </c>
      <c r="C33" t="s">
        <v>80</v>
      </c>
      <c r="D33">
        <v>9</v>
      </c>
      <c r="F33" s="2">
        <v>45401</v>
      </c>
      <c r="G33" s="2" t="s">
        <v>316</v>
      </c>
      <c r="H33" s="2"/>
      <c r="I33" t="s">
        <v>137</v>
      </c>
      <c r="J33" t="s">
        <v>234</v>
      </c>
      <c r="K33" t="s">
        <v>71</v>
      </c>
      <c r="L33" t="s">
        <v>23</v>
      </c>
      <c r="M33" t="s">
        <v>72</v>
      </c>
      <c r="P33" t="s">
        <v>61</v>
      </c>
      <c r="Q33" s="25">
        <v>1</v>
      </c>
      <c r="R33" s="25"/>
      <c r="S33" s="4">
        <v>5460147</v>
      </c>
      <c r="T33" s="4">
        <v>5460147</v>
      </c>
      <c r="U33" s="21">
        <v>5460147</v>
      </c>
      <c r="V33" s="21"/>
      <c r="W33" s="1">
        <v>5054523.2699999996</v>
      </c>
      <c r="X33" s="1">
        <v>0</v>
      </c>
      <c r="Y33" s="1"/>
      <c r="Z33" s="2">
        <v>45401</v>
      </c>
      <c r="AA33" s="2">
        <v>50854</v>
      </c>
      <c r="AC33" t="s">
        <v>26</v>
      </c>
      <c r="AE33" s="5">
        <v>0.105</v>
      </c>
      <c r="AF33">
        <v>252</v>
      </c>
      <c r="AG33" t="s">
        <v>27</v>
      </c>
    </row>
    <row r="34" spans="1:33">
      <c r="A34">
        <v>2</v>
      </c>
      <c r="B34" t="s">
        <v>20</v>
      </c>
      <c r="C34" t="s">
        <v>81</v>
      </c>
      <c r="D34">
        <v>10</v>
      </c>
      <c r="F34" s="2">
        <v>45401</v>
      </c>
      <c r="G34" s="2" t="s">
        <v>316</v>
      </c>
      <c r="H34" s="2"/>
      <c r="I34" t="s">
        <v>138</v>
      </c>
      <c r="J34" t="s">
        <v>234</v>
      </c>
      <c r="K34" t="s">
        <v>71</v>
      </c>
      <c r="L34" t="s">
        <v>23</v>
      </c>
      <c r="M34" t="s">
        <v>72</v>
      </c>
      <c r="P34" t="s">
        <v>61</v>
      </c>
      <c r="Q34" s="25">
        <v>1</v>
      </c>
      <c r="R34" s="25"/>
      <c r="S34" s="4">
        <v>5297424</v>
      </c>
      <c r="T34" s="4">
        <v>5297424</v>
      </c>
      <c r="U34" s="21">
        <v>5297424</v>
      </c>
      <c r="V34" s="21"/>
      <c r="W34" s="1">
        <v>4921596.08</v>
      </c>
      <c r="X34" s="1">
        <v>0</v>
      </c>
      <c r="Y34" s="1"/>
      <c r="Z34" s="2">
        <v>45401</v>
      </c>
      <c r="AA34" s="2">
        <v>50854</v>
      </c>
      <c r="AC34" t="s">
        <v>26</v>
      </c>
      <c r="AE34" s="5">
        <v>0.105</v>
      </c>
      <c r="AF34">
        <v>252</v>
      </c>
      <c r="AG34" t="s">
        <v>27</v>
      </c>
    </row>
    <row r="35" spans="1:33">
      <c r="A35">
        <v>2</v>
      </c>
      <c r="B35" t="s">
        <v>20</v>
      </c>
      <c r="C35" t="s">
        <v>82</v>
      </c>
      <c r="D35">
        <v>11</v>
      </c>
      <c r="F35" s="2">
        <v>45401</v>
      </c>
      <c r="G35" s="2" t="s">
        <v>316</v>
      </c>
      <c r="H35" s="2"/>
      <c r="I35" t="s">
        <v>139</v>
      </c>
      <c r="J35" t="s">
        <v>234</v>
      </c>
      <c r="K35" t="s">
        <v>71</v>
      </c>
      <c r="L35" t="s">
        <v>23</v>
      </c>
      <c r="M35" t="s">
        <v>72</v>
      </c>
      <c r="P35" t="s">
        <v>61</v>
      </c>
      <c r="Q35" s="25">
        <v>1</v>
      </c>
      <c r="R35" s="25"/>
      <c r="S35" s="4">
        <v>5421143</v>
      </c>
      <c r="T35" s="4">
        <v>5421143</v>
      </c>
      <c r="U35" s="21">
        <v>5421143</v>
      </c>
      <c r="V35" s="21"/>
      <c r="W35" s="1">
        <v>5212901.5999999996</v>
      </c>
      <c r="X35" s="1">
        <v>0</v>
      </c>
      <c r="Y35" s="1"/>
      <c r="Z35" s="2">
        <v>45401</v>
      </c>
      <c r="AA35" s="2">
        <v>50854</v>
      </c>
      <c r="AC35" t="s">
        <v>26</v>
      </c>
      <c r="AE35" s="5">
        <v>0.105</v>
      </c>
      <c r="AF35">
        <v>252</v>
      </c>
      <c r="AG35" t="s">
        <v>27</v>
      </c>
    </row>
    <row r="36" spans="1:33">
      <c r="A36">
        <v>2</v>
      </c>
      <c r="B36" t="s">
        <v>20</v>
      </c>
      <c r="C36" t="s">
        <v>83</v>
      </c>
      <c r="D36">
        <v>12</v>
      </c>
      <c r="F36" s="2">
        <v>45401</v>
      </c>
      <c r="G36" s="2" t="s">
        <v>316</v>
      </c>
      <c r="H36" s="2"/>
      <c r="I36" t="s">
        <v>140</v>
      </c>
      <c r="J36" t="s">
        <v>234</v>
      </c>
      <c r="K36" t="s">
        <v>71</v>
      </c>
      <c r="L36" t="s">
        <v>23</v>
      </c>
      <c r="M36" t="s">
        <v>72</v>
      </c>
      <c r="P36" t="s">
        <v>61</v>
      </c>
      <c r="Q36" s="25">
        <v>1</v>
      </c>
      <c r="R36" s="25"/>
      <c r="S36" s="4">
        <v>4118100</v>
      </c>
      <c r="T36" s="4">
        <v>4118100</v>
      </c>
      <c r="U36" s="23">
        <v>4118100</v>
      </c>
      <c r="V36" s="23"/>
      <c r="W36" s="1">
        <v>3961698.84</v>
      </c>
      <c r="X36" s="1">
        <v>0</v>
      </c>
      <c r="Y36" s="1"/>
      <c r="Z36" s="2">
        <v>45401</v>
      </c>
      <c r="AA36" s="2">
        <v>50854</v>
      </c>
      <c r="AC36" t="s">
        <v>26</v>
      </c>
      <c r="AE36" s="5">
        <v>0.105</v>
      </c>
      <c r="AF36">
        <v>252</v>
      </c>
      <c r="AG36" t="s">
        <v>27</v>
      </c>
    </row>
    <row r="37" spans="1:33">
      <c r="A37">
        <v>2</v>
      </c>
      <c r="B37" t="s">
        <v>20</v>
      </c>
      <c r="C37" t="s">
        <v>141</v>
      </c>
      <c r="D37">
        <v>13</v>
      </c>
      <c r="F37" s="2">
        <v>45519</v>
      </c>
      <c r="G37" s="2" t="s">
        <v>316</v>
      </c>
      <c r="H37" s="2"/>
      <c r="I37" t="s">
        <v>147</v>
      </c>
      <c r="J37" t="s">
        <v>234</v>
      </c>
      <c r="K37" t="s">
        <v>71</v>
      </c>
      <c r="L37" t="s">
        <v>23</v>
      </c>
      <c r="M37" t="s">
        <v>72</v>
      </c>
      <c r="P37" t="s">
        <v>61</v>
      </c>
      <c r="Q37" s="25">
        <v>1</v>
      </c>
      <c r="R37" s="25"/>
      <c r="S37" s="4">
        <v>5047048</v>
      </c>
      <c r="T37" s="4">
        <v>5047048</v>
      </c>
      <c r="U37" s="4">
        <v>5047048</v>
      </c>
      <c r="V37" s="4"/>
      <c r="W37" s="1"/>
      <c r="X37" s="1"/>
      <c r="Y37" s="1"/>
      <c r="Z37" s="2">
        <f>F37</f>
        <v>45519</v>
      </c>
      <c r="AA37" s="2">
        <v>50885</v>
      </c>
      <c r="AC37" t="s">
        <v>26</v>
      </c>
      <c r="AE37" s="5">
        <v>0.105</v>
      </c>
      <c r="AF37">
        <v>253</v>
      </c>
      <c r="AG37" t="s">
        <v>27</v>
      </c>
    </row>
    <row r="38" spans="1:33">
      <c r="A38">
        <v>2</v>
      </c>
      <c r="B38" t="s">
        <v>20</v>
      </c>
      <c r="C38" t="s">
        <v>142</v>
      </c>
      <c r="D38">
        <v>14</v>
      </c>
      <c r="F38" s="2">
        <v>45519</v>
      </c>
      <c r="G38" s="2" t="s">
        <v>316</v>
      </c>
      <c r="H38" s="2"/>
      <c r="I38" t="s">
        <v>148</v>
      </c>
      <c r="J38" t="s">
        <v>234</v>
      </c>
      <c r="K38" t="s">
        <v>71</v>
      </c>
      <c r="L38" t="s">
        <v>23</v>
      </c>
      <c r="M38" t="s">
        <v>72</v>
      </c>
      <c r="P38" t="s">
        <v>61</v>
      </c>
      <c r="Q38" s="25">
        <v>1</v>
      </c>
      <c r="R38" s="25"/>
      <c r="S38" s="4">
        <v>6006205</v>
      </c>
      <c r="T38" s="4">
        <v>6006205</v>
      </c>
      <c r="U38" s="4">
        <v>5818686</v>
      </c>
      <c r="V38" s="4" t="s">
        <v>117</v>
      </c>
      <c r="W38" s="1"/>
      <c r="X38" s="1"/>
      <c r="Y38" s="1"/>
      <c r="Z38" s="2">
        <f t="shared" ref="Z38:Z42" si="0">F38</f>
        <v>45519</v>
      </c>
      <c r="AA38" s="2">
        <v>50885</v>
      </c>
      <c r="AC38" t="s">
        <v>26</v>
      </c>
      <c r="AE38" s="5">
        <v>0.105</v>
      </c>
      <c r="AF38">
        <v>254</v>
      </c>
      <c r="AG38" t="s">
        <v>27</v>
      </c>
    </row>
    <row r="39" spans="1:33">
      <c r="A39">
        <v>2</v>
      </c>
      <c r="B39" t="s">
        <v>20</v>
      </c>
      <c r="C39" t="s">
        <v>143</v>
      </c>
      <c r="D39">
        <v>15</v>
      </c>
      <c r="F39" s="2">
        <v>45681</v>
      </c>
      <c r="G39" s="2" t="s">
        <v>316</v>
      </c>
      <c r="H39" s="2"/>
      <c r="I39" t="s">
        <v>149</v>
      </c>
      <c r="J39" t="s">
        <v>234</v>
      </c>
      <c r="K39" t="s">
        <v>71</v>
      </c>
      <c r="L39" t="s">
        <v>23</v>
      </c>
      <c r="M39" t="s">
        <v>72</v>
      </c>
      <c r="P39" t="s">
        <v>61</v>
      </c>
      <c r="Q39" s="25">
        <v>1</v>
      </c>
      <c r="R39" s="25"/>
      <c r="S39" s="4">
        <v>5006524</v>
      </c>
      <c r="T39" s="4">
        <v>5006524</v>
      </c>
      <c r="U39" s="4">
        <v>5006524</v>
      </c>
      <c r="V39" s="4"/>
      <c r="W39" s="1"/>
      <c r="X39" s="1"/>
      <c r="Y39" s="1"/>
      <c r="Z39" s="2">
        <f t="shared" si="0"/>
        <v>45681</v>
      </c>
      <c r="AA39" s="2">
        <v>51007</v>
      </c>
      <c r="AC39" t="s">
        <v>26</v>
      </c>
      <c r="AE39" s="5">
        <v>0.12</v>
      </c>
      <c r="AF39">
        <v>255</v>
      </c>
      <c r="AG39" t="s">
        <v>27</v>
      </c>
    </row>
    <row r="40" spans="1:33">
      <c r="A40">
        <v>2</v>
      </c>
      <c r="B40" t="s">
        <v>20</v>
      </c>
      <c r="C40" t="s">
        <v>144</v>
      </c>
      <c r="D40">
        <v>16</v>
      </c>
      <c r="F40" s="2">
        <v>45681</v>
      </c>
      <c r="G40" s="2" t="s">
        <v>316</v>
      </c>
      <c r="H40" s="2"/>
      <c r="I40" t="s">
        <v>150</v>
      </c>
      <c r="J40" t="s">
        <v>234</v>
      </c>
      <c r="K40" t="s">
        <v>71</v>
      </c>
      <c r="L40" t="s">
        <v>23</v>
      </c>
      <c r="M40" t="s">
        <v>72</v>
      </c>
      <c r="P40" t="s">
        <v>61</v>
      </c>
      <c r="Q40" s="25">
        <v>1</v>
      </c>
      <c r="R40" s="25"/>
      <c r="S40" s="4">
        <v>4999991</v>
      </c>
      <c r="T40" s="4">
        <v>4999991</v>
      </c>
      <c r="U40" s="4">
        <v>4999991</v>
      </c>
      <c r="V40" s="4"/>
      <c r="W40" s="1"/>
      <c r="X40" s="1"/>
      <c r="Y40" s="1"/>
      <c r="Z40" s="2">
        <f t="shared" si="0"/>
        <v>45681</v>
      </c>
      <c r="AA40" s="2">
        <v>51007</v>
      </c>
      <c r="AC40" t="s">
        <v>26</v>
      </c>
      <c r="AE40" s="5">
        <v>0.12</v>
      </c>
      <c r="AF40">
        <v>256</v>
      </c>
      <c r="AG40" t="s">
        <v>27</v>
      </c>
    </row>
    <row r="41" spans="1:33">
      <c r="A41">
        <v>2</v>
      </c>
      <c r="B41" t="s">
        <v>20</v>
      </c>
      <c r="C41" t="s">
        <v>145</v>
      </c>
      <c r="D41">
        <v>17</v>
      </c>
      <c r="F41" s="2">
        <v>45740</v>
      </c>
      <c r="G41" s="2" t="s">
        <v>316</v>
      </c>
      <c r="H41" s="2"/>
      <c r="I41" t="s">
        <v>151</v>
      </c>
      <c r="J41" t="s">
        <v>234</v>
      </c>
      <c r="K41" t="s">
        <v>71</v>
      </c>
      <c r="L41" t="s">
        <v>23</v>
      </c>
      <c r="M41" t="s">
        <v>72</v>
      </c>
      <c r="P41" t="s">
        <v>61</v>
      </c>
      <c r="Q41" s="25">
        <v>1</v>
      </c>
      <c r="R41" s="25"/>
      <c r="S41" s="4">
        <v>5397603</v>
      </c>
      <c r="T41" s="4">
        <v>5397603</v>
      </c>
      <c r="U41" s="4">
        <v>5397603</v>
      </c>
      <c r="V41" s="4"/>
      <c r="W41" s="1"/>
      <c r="X41" s="1"/>
      <c r="Y41" s="1"/>
      <c r="Z41" s="2">
        <f t="shared" si="0"/>
        <v>45740</v>
      </c>
      <c r="AA41" s="2">
        <v>50946</v>
      </c>
      <c r="AC41" t="s">
        <v>26</v>
      </c>
      <c r="AE41" s="5">
        <v>0.12</v>
      </c>
      <c r="AF41">
        <v>257</v>
      </c>
      <c r="AG41" t="s">
        <v>27</v>
      </c>
    </row>
    <row r="42" spans="1:33">
      <c r="A42">
        <v>2</v>
      </c>
      <c r="B42" t="s">
        <v>20</v>
      </c>
      <c r="C42" t="s">
        <v>146</v>
      </c>
      <c r="D42">
        <v>18</v>
      </c>
      <c r="F42" s="2">
        <v>45740</v>
      </c>
      <c r="G42" s="2" t="s">
        <v>316</v>
      </c>
      <c r="H42" s="2"/>
      <c r="I42" t="s">
        <v>152</v>
      </c>
      <c r="J42" t="s">
        <v>234</v>
      </c>
      <c r="K42" t="s">
        <v>71</v>
      </c>
      <c r="L42" t="s">
        <v>23</v>
      </c>
      <c r="M42" t="s">
        <v>72</v>
      </c>
      <c r="P42" t="s">
        <v>61</v>
      </c>
      <c r="Q42" s="25">
        <v>1</v>
      </c>
      <c r="R42" s="25"/>
      <c r="S42" s="4">
        <v>5286002</v>
      </c>
      <c r="T42" s="4">
        <v>5286002</v>
      </c>
      <c r="U42" s="4">
        <v>5286002</v>
      </c>
      <c r="V42" s="4"/>
      <c r="W42" s="1"/>
      <c r="X42" s="1"/>
      <c r="Y42" s="1"/>
      <c r="Z42" s="2">
        <f t="shared" si="0"/>
        <v>45740</v>
      </c>
      <c r="AA42" s="2">
        <v>50764</v>
      </c>
      <c r="AC42" t="s">
        <v>26</v>
      </c>
      <c r="AE42" s="5">
        <v>0.12</v>
      </c>
      <c r="AF42">
        <v>258</v>
      </c>
      <c r="AG42" t="s">
        <v>27</v>
      </c>
    </row>
    <row r="43" spans="1:33">
      <c r="U43" s="4">
        <f>SUM(U2:U42)</f>
        <v>456433698</v>
      </c>
      <c r="W43" s="9">
        <f>SUBTOTAL(9,W2:W36)</f>
        <v>436284167.14999986</v>
      </c>
      <c r="X43" s="9">
        <f t="shared" ref="X43:Y43" si="1">SUBTOTAL(9,X2:X36)</f>
        <v>84931.75</v>
      </c>
      <c r="Y43" s="9">
        <f t="shared" si="1"/>
        <v>3533.8500000000004</v>
      </c>
    </row>
    <row r="44" spans="1:33" ht="16.2" thickBot="1"/>
    <row r="45" spans="1:33" ht="16.2" thickBot="1">
      <c r="W45" s="18" t="s">
        <v>105</v>
      </c>
      <c r="X45" s="19">
        <f>SUM(X43:Y43)</f>
        <v>88465.600000000006</v>
      </c>
    </row>
    <row r="47" spans="1:33">
      <c r="W47" t="s">
        <v>106</v>
      </c>
    </row>
  </sheetData>
  <autoFilter ref="A1:AG42" xr:uid="{00000000-0001-0000-0000-000000000000}"/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C38B-5BCF-E14D-953B-D568DD83ECDB}">
  <dimension ref="B2:F33"/>
  <sheetViews>
    <sheetView workbookViewId="0">
      <selection activeCell="D11" sqref="D11"/>
    </sheetView>
  </sheetViews>
  <sheetFormatPr defaultColWidth="11" defaultRowHeight="15.6"/>
  <cols>
    <col min="1" max="1" width="9.69921875" customWidth="1"/>
    <col min="2" max="2" width="32.19921875" bestFit="1" customWidth="1"/>
    <col min="3" max="3" width="45" bestFit="1" customWidth="1"/>
    <col min="4" max="4" width="48.19921875" bestFit="1" customWidth="1"/>
    <col min="5" max="5" width="17.69921875" bestFit="1" customWidth="1"/>
    <col min="6" max="6" width="45.796875" bestFit="1" customWidth="1"/>
  </cols>
  <sheetData>
    <row r="2" spans="2:6" ht="21">
      <c r="B2" s="26" t="s">
        <v>242</v>
      </c>
      <c r="C2" s="26" t="s">
        <v>156</v>
      </c>
      <c r="D2" s="26" t="s">
        <v>243</v>
      </c>
      <c r="E2" s="26" t="s">
        <v>244</v>
      </c>
      <c r="F2" s="26" t="s">
        <v>245</v>
      </c>
    </row>
    <row r="3" spans="2:6" ht="21">
      <c r="B3" s="26" t="s">
        <v>246</v>
      </c>
      <c r="C3" s="27" t="s">
        <v>247</v>
      </c>
      <c r="D3" s="27" t="s">
        <v>248</v>
      </c>
      <c r="E3" s="27" t="s">
        <v>249</v>
      </c>
      <c r="F3" s="27" t="s">
        <v>250</v>
      </c>
    </row>
    <row r="4" spans="2:6" ht="20.399999999999999">
      <c r="B4" s="27"/>
      <c r="C4" s="27" t="s">
        <v>251</v>
      </c>
      <c r="D4" s="27" t="s">
        <v>248</v>
      </c>
      <c r="E4" s="27" t="s">
        <v>252</v>
      </c>
      <c r="F4" s="27" t="s">
        <v>253</v>
      </c>
    </row>
    <row r="5" spans="2:6" ht="20.399999999999999">
      <c r="B5" s="27"/>
      <c r="C5" s="27" t="s">
        <v>254</v>
      </c>
      <c r="D5" s="27" t="s">
        <v>255</v>
      </c>
      <c r="E5" s="27" t="s">
        <v>249</v>
      </c>
      <c r="F5" s="27" t="s">
        <v>256</v>
      </c>
    </row>
    <row r="6" spans="2:6" ht="20.399999999999999">
      <c r="B6" s="27"/>
      <c r="C6" s="27" t="s">
        <v>257</v>
      </c>
      <c r="D6" s="27" t="s">
        <v>248</v>
      </c>
      <c r="E6" s="27" t="s">
        <v>258</v>
      </c>
      <c r="F6" s="30">
        <v>123456789112</v>
      </c>
    </row>
    <row r="7" spans="2:6" ht="20.399999999999999">
      <c r="B7" s="27"/>
      <c r="C7" s="27" t="s">
        <v>259</v>
      </c>
      <c r="D7" s="27" t="s">
        <v>248</v>
      </c>
      <c r="E7" s="27" t="s">
        <v>258</v>
      </c>
      <c r="F7" s="27">
        <v>987654</v>
      </c>
    </row>
    <row r="8" spans="2:6" ht="20.399999999999999">
      <c r="B8" s="27"/>
      <c r="C8" s="27" t="s">
        <v>260</v>
      </c>
      <c r="D8" s="27" t="s">
        <v>223</v>
      </c>
      <c r="E8" s="27" t="s">
        <v>249</v>
      </c>
      <c r="F8" s="31">
        <v>40252</v>
      </c>
    </row>
    <row r="9" spans="2:6" ht="20.399999999999999">
      <c r="B9" s="27"/>
      <c r="C9" s="27" t="s">
        <v>261</v>
      </c>
      <c r="D9" s="27" t="s">
        <v>262</v>
      </c>
      <c r="E9" s="27" t="s">
        <v>249</v>
      </c>
      <c r="F9" s="27" t="s">
        <v>263</v>
      </c>
    </row>
    <row r="10" spans="2:6" ht="21">
      <c r="B10" s="26" t="s">
        <v>264</v>
      </c>
      <c r="C10" s="27" t="s">
        <v>265</v>
      </c>
      <c r="D10" s="27" t="s">
        <v>266</v>
      </c>
      <c r="E10" s="27" t="s">
        <v>249</v>
      </c>
      <c r="F10" s="27" t="s">
        <v>267</v>
      </c>
    </row>
    <row r="11" spans="2:6" ht="20.399999999999999">
      <c r="B11" s="27"/>
      <c r="C11" s="27" t="s">
        <v>268</v>
      </c>
      <c r="D11" s="27" t="s">
        <v>269</v>
      </c>
      <c r="E11" s="27" t="s">
        <v>249</v>
      </c>
      <c r="F11" s="27" t="s">
        <v>249</v>
      </c>
    </row>
    <row r="12" spans="2:6" ht="20.399999999999999">
      <c r="B12" s="27"/>
      <c r="C12" s="27" t="s">
        <v>270</v>
      </c>
      <c r="D12" s="27" t="s">
        <v>269</v>
      </c>
      <c r="E12" s="27" t="s">
        <v>249</v>
      </c>
      <c r="F12" s="27" t="s">
        <v>252</v>
      </c>
    </row>
    <row r="13" spans="2:6" ht="20.399999999999999">
      <c r="B13" s="27"/>
      <c r="C13" s="27" t="s">
        <v>271</v>
      </c>
      <c r="D13" s="27" t="s">
        <v>269</v>
      </c>
      <c r="E13" s="27" t="s">
        <v>252</v>
      </c>
      <c r="F13" s="27" t="s">
        <v>249</v>
      </c>
    </row>
    <row r="14" spans="2:6" ht="21">
      <c r="B14" s="26" t="s">
        <v>176</v>
      </c>
      <c r="C14" s="27" t="s">
        <v>272</v>
      </c>
      <c r="D14" s="27" t="s">
        <v>248</v>
      </c>
      <c r="E14" s="27" t="s">
        <v>249</v>
      </c>
      <c r="F14" s="27" t="s">
        <v>273</v>
      </c>
    </row>
    <row r="15" spans="2:6" ht="20.399999999999999">
      <c r="B15" s="27"/>
      <c r="C15" s="27" t="s">
        <v>177</v>
      </c>
      <c r="D15" s="27" t="s">
        <v>274</v>
      </c>
      <c r="E15" s="27" t="s">
        <v>249</v>
      </c>
      <c r="F15" s="27">
        <v>1500</v>
      </c>
    </row>
    <row r="16" spans="2:6" ht="20.399999999999999">
      <c r="B16" s="27"/>
      <c r="C16" s="27" t="s">
        <v>178</v>
      </c>
      <c r="D16" s="27" t="s">
        <v>248</v>
      </c>
      <c r="E16" s="27" t="s">
        <v>252</v>
      </c>
      <c r="F16" s="27" t="s">
        <v>275</v>
      </c>
    </row>
    <row r="17" spans="2:6" ht="20.399999999999999">
      <c r="B17" s="27"/>
      <c r="C17" s="27" t="s">
        <v>179</v>
      </c>
      <c r="D17" s="27" t="s">
        <v>248</v>
      </c>
      <c r="E17" s="27" t="s">
        <v>249</v>
      </c>
      <c r="F17" s="27" t="s">
        <v>276</v>
      </c>
    </row>
    <row r="18" spans="2:6" ht="20.399999999999999">
      <c r="B18" s="27"/>
      <c r="C18" s="27" t="s">
        <v>180</v>
      </c>
      <c r="D18" s="27" t="s">
        <v>248</v>
      </c>
      <c r="E18" s="27" t="s">
        <v>249</v>
      </c>
      <c r="F18" s="27" t="s">
        <v>277</v>
      </c>
    </row>
    <row r="19" spans="2:6" ht="20.399999999999999">
      <c r="B19" s="27"/>
      <c r="C19" s="27" t="s">
        <v>181</v>
      </c>
      <c r="D19" s="27" t="s">
        <v>278</v>
      </c>
      <c r="E19" s="27" t="s">
        <v>249</v>
      </c>
      <c r="F19" s="27" t="s">
        <v>279</v>
      </c>
    </row>
    <row r="20" spans="2:6" ht="20.399999999999999">
      <c r="B20" s="27"/>
      <c r="C20" s="27" t="s">
        <v>182</v>
      </c>
      <c r="D20" s="27" t="s">
        <v>280</v>
      </c>
      <c r="E20" s="27" t="s">
        <v>249</v>
      </c>
      <c r="F20" s="27" t="s">
        <v>281</v>
      </c>
    </row>
    <row r="21" spans="2:6" ht="21">
      <c r="B21" s="26" t="s">
        <v>282</v>
      </c>
      <c r="C21" s="27" t="s">
        <v>283</v>
      </c>
      <c r="D21" s="27" t="s">
        <v>248</v>
      </c>
      <c r="E21" s="27" t="s">
        <v>249</v>
      </c>
      <c r="F21" s="27" t="s">
        <v>284</v>
      </c>
    </row>
    <row r="22" spans="2:6" ht="20.399999999999999">
      <c r="B22" s="27"/>
      <c r="C22" s="27" t="s">
        <v>187</v>
      </c>
      <c r="D22" s="27" t="s">
        <v>187</v>
      </c>
      <c r="E22" s="27" t="s">
        <v>249</v>
      </c>
      <c r="F22" s="32" t="s">
        <v>285</v>
      </c>
    </row>
    <row r="23" spans="2:6" ht="20.399999999999999">
      <c r="B23" s="27"/>
      <c r="C23" s="27" t="s">
        <v>286</v>
      </c>
      <c r="D23" s="27" t="s">
        <v>248</v>
      </c>
      <c r="E23" s="27" t="s">
        <v>249</v>
      </c>
      <c r="F23" s="27" t="s">
        <v>287</v>
      </c>
    </row>
    <row r="24" spans="2:6" ht="20.399999999999999">
      <c r="B24" s="27"/>
      <c r="C24" s="27" t="s">
        <v>288</v>
      </c>
      <c r="D24" s="27" t="s">
        <v>248</v>
      </c>
      <c r="E24" s="27" t="s">
        <v>252</v>
      </c>
      <c r="F24" s="27" t="s">
        <v>289</v>
      </c>
    </row>
    <row r="25" spans="2:6" ht="21">
      <c r="B25" s="26" t="s">
        <v>194</v>
      </c>
      <c r="C25" s="27" t="s">
        <v>195</v>
      </c>
      <c r="D25" s="27" t="s">
        <v>248</v>
      </c>
      <c r="E25" s="27" t="s">
        <v>252</v>
      </c>
      <c r="F25" s="27" t="s">
        <v>290</v>
      </c>
    </row>
    <row r="26" spans="2:6" ht="20.399999999999999">
      <c r="B26" s="27"/>
      <c r="C26" s="27" t="s">
        <v>196</v>
      </c>
      <c r="D26" s="27" t="s">
        <v>177</v>
      </c>
      <c r="E26" s="27" t="s">
        <v>252</v>
      </c>
      <c r="F26" s="27">
        <v>1234</v>
      </c>
    </row>
    <row r="27" spans="2:6" ht="20.399999999999999">
      <c r="B27" s="27"/>
      <c r="C27" s="27" t="s">
        <v>291</v>
      </c>
      <c r="D27" s="27" t="s">
        <v>292</v>
      </c>
      <c r="E27" s="27" t="s">
        <v>252</v>
      </c>
      <c r="F27" s="27" t="s">
        <v>293</v>
      </c>
    </row>
    <row r="28" spans="2:6" ht="20.399999999999999">
      <c r="B28" s="27"/>
      <c r="C28" s="27" t="s">
        <v>294</v>
      </c>
      <c r="D28" s="27" t="s">
        <v>295</v>
      </c>
      <c r="E28" s="27" t="s">
        <v>252</v>
      </c>
      <c r="F28" s="27" t="s">
        <v>296</v>
      </c>
    </row>
    <row r="29" spans="2:6" ht="20.399999999999999">
      <c r="B29" s="27"/>
      <c r="C29" s="27" t="s">
        <v>297</v>
      </c>
      <c r="D29" s="27" t="s">
        <v>248</v>
      </c>
      <c r="E29" s="27" t="s">
        <v>252</v>
      </c>
      <c r="F29" s="27" t="s">
        <v>298</v>
      </c>
    </row>
    <row r="30" spans="2:6" ht="21">
      <c r="B30" s="26" t="s">
        <v>299</v>
      </c>
      <c r="C30" s="27" t="s">
        <v>300</v>
      </c>
      <c r="D30" s="27" t="s">
        <v>248</v>
      </c>
      <c r="E30" s="27" t="s">
        <v>252</v>
      </c>
      <c r="F30" s="27" t="s">
        <v>301</v>
      </c>
    </row>
    <row r="31" spans="2:6" ht="20.399999999999999">
      <c r="B31" s="27"/>
      <c r="C31" s="27" t="s">
        <v>302</v>
      </c>
      <c r="D31" s="27" t="s">
        <v>248</v>
      </c>
      <c r="E31" s="27" t="s">
        <v>252</v>
      </c>
      <c r="F31" s="27" t="s">
        <v>303</v>
      </c>
    </row>
    <row r="32" spans="2:6" ht="20.399999999999999">
      <c r="B32" s="27"/>
      <c r="C32" s="27" t="s">
        <v>304</v>
      </c>
      <c r="D32" s="27" t="s">
        <v>248</v>
      </c>
      <c r="E32" s="27" t="s">
        <v>252</v>
      </c>
      <c r="F32" s="27" t="s">
        <v>305</v>
      </c>
    </row>
    <row r="33" spans="2:6" ht="20.399999999999999">
      <c r="B33" s="27"/>
      <c r="C33" s="27" t="s">
        <v>221</v>
      </c>
      <c r="D33" s="27" t="s">
        <v>306</v>
      </c>
      <c r="E33" s="27" t="s">
        <v>252</v>
      </c>
      <c r="F33" s="27" t="s">
        <v>307</v>
      </c>
    </row>
  </sheetData>
  <hyperlinks>
    <hyperlink ref="F22" r:id="rId1" display="https://mailto:contato@xyz.com.br/" xr:uid="{FD9E0487-C9C5-E84A-B1CA-D9951E1441D2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702E-DED7-D742-8F91-8AD2B6CADF41}">
  <dimension ref="A2:CG86"/>
  <sheetViews>
    <sheetView workbookViewId="0">
      <selection activeCell="CB36" sqref="CB36"/>
    </sheetView>
  </sheetViews>
  <sheetFormatPr defaultColWidth="23.69921875" defaultRowHeight="15.6"/>
  <cols>
    <col min="1" max="1" width="23.296875" bestFit="1" customWidth="1"/>
    <col min="2" max="2" width="22.19921875" bestFit="1" customWidth="1"/>
    <col min="3" max="3" width="6.69921875" bestFit="1" customWidth="1"/>
    <col min="4" max="4" width="25" bestFit="1" customWidth="1"/>
    <col min="5" max="5" width="29.69921875" bestFit="1" customWidth="1"/>
    <col min="6" max="6" width="21.796875" bestFit="1" customWidth="1"/>
    <col min="7" max="7" width="19.296875" bestFit="1" customWidth="1"/>
    <col min="8" max="8" width="19" bestFit="1" customWidth="1"/>
    <col min="9" max="9" width="26.5" bestFit="1" customWidth="1"/>
    <col min="10" max="10" width="7.5" bestFit="1" customWidth="1"/>
    <col min="11" max="11" width="27.69921875" bestFit="1" customWidth="1"/>
    <col min="12" max="12" width="22" bestFit="1" customWidth="1"/>
    <col min="13" max="13" width="25.69921875" bestFit="1" customWidth="1"/>
    <col min="14" max="14" width="32.5" bestFit="1" customWidth="1"/>
    <col min="15" max="15" width="5.69921875" bestFit="1" customWidth="1"/>
    <col min="16" max="16" width="17.19921875" bestFit="1" customWidth="1"/>
    <col min="17" max="17" width="18.5" bestFit="1" customWidth="1"/>
    <col min="18" max="18" width="15.796875" bestFit="1" customWidth="1"/>
    <col min="19" max="19" width="23.5" bestFit="1" customWidth="1"/>
    <col min="20" max="20" width="12.796875" bestFit="1" customWidth="1"/>
    <col min="21" max="21" width="11" bestFit="1" customWidth="1"/>
    <col min="22" max="22" width="18.796875" bestFit="1" customWidth="1"/>
    <col min="23" max="23" width="8.69921875" bestFit="1" customWidth="1"/>
    <col min="24" max="24" width="10.19921875" bestFit="1" customWidth="1"/>
    <col min="25" max="25" width="5" bestFit="1" customWidth="1"/>
    <col min="26" max="26" width="6.796875" bestFit="1" customWidth="1"/>
    <col min="27" max="27" width="16.796875" bestFit="1" customWidth="1"/>
    <col min="28" max="28" width="8.796875" bestFit="1" customWidth="1"/>
    <col min="29" max="29" width="27.296875" bestFit="1" customWidth="1"/>
    <col min="30" max="30" width="10.19921875" bestFit="1" customWidth="1"/>
    <col min="31" max="31" width="9.296875" bestFit="1" customWidth="1"/>
    <col min="32" max="32" width="25.19921875" bestFit="1" customWidth="1"/>
    <col min="33" max="33" width="18.796875" bestFit="1" customWidth="1"/>
    <col min="34" max="34" width="29" bestFit="1" customWidth="1"/>
    <col min="35" max="35" width="26" bestFit="1" customWidth="1"/>
    <col min="36" max="36" width="11" bestFit="1" customWidth="1"/>
    <col min="37" max="37" width="18.796875" bestFit="1" customWidth="1"/>
    <col min="38" max="38" width="8.69921875" bestFit="1" customWidth="1"/>
    <col min="39" max="39" width="10.19921875" bestFit="1" customWidth="1"/>
    <col min="40" max="40" width="5" bestFit="1" customWidth="1"/>
    <col min="41" max="41" width="6.796875" bestFit="1" customWidth="1"/>
    <col min="42" max="42" width="16.796875" bestFit="1" customWidth="1"/>
    <col min="43" max="43" width="8.796875" bestFit="1" customWidth="1"/>
    <col min="44" max="44" width="25.5" bestFit="1" customWidth="1"/>
    <col min="45" max="45" width="10.19921875" bestFit="1" customWidth="1"/>
    <col min="46" max="46" width="9.296875" bestFit="1" customWidth="1"/>
    <col min="47" max="47" width="40.69921875" bestFit="1" customWidth="1"/>
    <col min="48" max="48" width="9.296875" bestFit="1" customWidth="1"/>
    <col min="49" max="49" width="11.19921875" bestFit="1" customWidth="1"/>
    <col min="50" max="50" width="23" bestFit="1" customWidth="1"/>
    <col min="51" max="51" width="13.5" bestFit="1" customWidth="1"/>
    <col min="52" max="52" width="23.296875" bestFit="1" customWidth="1"/>
    <col min="53" max="53" width="25.19921875" bestFit="1" customWidth="1"/>
    <col min="54" max="54" width="25.69921875" bestFit="1" customWidth="1"/>
    <col min="55" max="55" width="10.19921875" bestFit="1" customWidth="1"/>
    <col min="56" max="56" width="5" bestFit="1" customWidth="1"/>
    <col min="57" max="57" width="7.69921875" bestFit="1" customWidth="1"/>
    <col min="58" max="58" width="23.796875" bestFit="1" customWidth="1"/>
    <col min="59" max="59" width="13.5" bestFit="1" customWidth="1"/>
    <col min="60" max="60" width="7.69921875" bestFit="1" customWidth="1"/>
    <col min="61" max="61" width="23.796875" bestFit="1" customWidth="1"/>
    <col min="62" max="62" width="13.5" bestFit="1" customWidth="1"/>
    <col min="63" max="63" width="7.69921875" bestFit="1" customWidth="1"/>
    <col min="64" max="64" width="24.19921875" bestFit="1" customWidth="1"/>
    <col min="65" max="65" width="26.5" bestFit="1" customWidth="1"/>
    <col min="66" max="66" width="29.796875" bestFit="1" customWidth="1"/>
    <col min="67" max="67" width="32.5" bestFit="1" customWidth="1"/>
    <col min="68" max="68" width="45.19921875" bestFit="1" customWidth="1"/>
    <col min="69" max="69" width="40.296875" bestFit="1" customWidth="1"/>
    <col min="70" max="70" width="47.796875" bestFit="1" customWidth="1"/>
    <col min="71" max="71" width="67.796875" bestFit="1" customWidth="1"/>
    <col min="72" max="72" width="99.796875" bestFit="1" customWidth="1"/>
    <col min="73" max="73" width="18.296875" bestFit="1" customWidth="1"/>
    <col min="74" max="74" width="48.19921875" bestFit="1" customWidth="1"/>
    <col min="75" max="75" width="25.796875" bestFit="1" customWidth="1"/>
    <col min="76" max="76" width="34.796875" bestFit="1" customWidth="1"/>
    <col min="77" max="77" width="32.69921875" bestFit="1" customWidth="1"/>
    <col min="78" max="78" width="45.796875" bestFit="1" customWidth="1"/>
    <col min="79" max="79" width="27.69921875" bestFit="1" customWidth="1"/>
    <col min="80" max="80" width="32.296875" bestFit="1" customWidth="1"/>
    <col min="81" max="81" width="49" bestFit="1" customWidth="1"/>
    <col min="82" max="82" width="34.69921875" bestFit="1" customWidth="1"/>
    <col min="83" max="83" width="34.19921875" bestFit="1" customWidth="1"/>
  </cols>
  <sheetData>
    <row r="2" spans="1:85">
      <c r="A2" t="s">
        <v>155</v>
      </c>
    </row>
    <row r="3" spans="1:85" s="28" customFormat="1">
      <c r="A3" s="29" t="s">
        <v>157</v>
      </c>
      <c r="B3" s="29" t="s">
        <v>158</v>
      </c>
      <c r="C3" s="29" t="s">
        <v>159</v>
      </c>
      <c r="D3" s="29" t="s">
        <v>160</v>
      </c>
      <c r="E3" s="29" t="s">
        <v>161</v>
      </c>
      <c r="F3" s="29" t="s">
        <v>162</v>
      </c>
      <c r="G3" s="29" t="s">
        <v>163</v>
      </c>
      <c r="H3" s="29" t="s">
        <v>164</v>
      </c>
      <c r="I3" s="29" t="s">
        <v>165</v>
      </c>
      <c r="J3" s="29" t="s">
        <v>166</v>
      </c>
      <c r="K3" s="29" t="s">
        <v>167</v>
      </c>
      <c r="L3" s="29" t="s">
        <v>168</v>
      </c>
      <c r="M3" s="29" t="s">
        <v>169</v>
      </c>
      <c r="N3" s="29" t="s">
        <v>170</v>
      </c>
      <c r="O3" s="29" t="s">
        <v>171</v>
      </c>
      <c r="P3" s="29" t="s">
        <v>172</v>
      </c>
      <c r="Q3" s="29" t="s">
        <v>173</v>
      </c>
      <c r="R3" s="29" t="s">
        <v>174</v>
      </c>
      <c r="S3" s="29" t="s">
        <v>175</v>
      </c>
      <c r="T3" s="29" t="s">
        <v>176</v>
      </c>
      <c r="U3" s="29" t="s">
        <v>177</v>
      </c>
      <c r="V3" s="29" t="s">
        <v>178</v>
      </c>
      <c r="W3" s="29" t="s">
        <v>179</v>
      </c>
      <c r="X3" s="29" t="s">
        <v>180</v>
      </c>
      <c r="Y3" s="29" t="s">
        <v>181</v>
      </c>
      <c r="Z3" s="29" t="s">
        <v>182</v>
      </c>
      <c r="AA3" s="29" t="s">
        <v>183</v>
      </c>
      <c r="AB3" s="29" t="s">
        <v>184</v>
      </c>
      <c r="AC3" s="29" t="s">
        <v>185</v>
      </c>
      <c r="AD3" s="29" t="s">
        <v>186</v>
      </c>
      <c r="AE3" s="29" t="s">
        <v>187</v>
      </c>
      <c r="AF3" s="29" t="s">
        <v>188</v>
      </c>
      <c r="AG3" s="29" t="s">
        <v>189</v>
      </c>
      <c r="AH3" s="29" t="s">
        <v>190</v>
      </c>
      <c r="AI3" s="29" t="s">
        <v>191</v>
      </c>
      <c r="AJ3" s="29" t="s">
        <v>177</v>
      </c>
      <c r="AK3" s="29" t="s">
        <v>178</v>
      </c>
      <c r="AL3" s="29" t="s">
        <v>179</v>
      </c>
      <c r="AM3" s="29" t="s">
        <v>180</v>
      </c>
      <c r="AN3" s="29" t="s">
        <v>181</v>
      </c>
      <c r="AO3" s="29" t="s">
        <v>182</v>
      </c>
      <c r="AP3" s="29" t="s">
        <v>183</v>
      </c>
      <c r="AQ3" s="29" t="s">
        <v>184</v>
      </c>
      <c r="AR3" s="29" t="s">
        <v>192</v>
      </c>
      <c r="AS3" s="29" t="s">
        <v>186</v>
      </c>
      <c r="AT3" s="29" t="s">
        <v>187</v>
      </c>
      <c r="AU3" s="29" t="s">
        <v>193</v>
      </c>
      <c r="AV3" s="29" t="s">
        <v>195</v>
      </c>
      <c r="AW3" s="29" t="s">
        <v>196</v>
      </c>
      <c r="AX3" s="29" t="s">
        <v>197</v>
      </c>
      <c r="AY3" s="29" t="s">
        <v>198</v>
      </c>
      <c r="AZ3" s="29" t="s">
        <v>199</v>
      </c>
      <c r="BA3" s="29" t="s">
        <v>200</v>
      </c>
      <c r="BB3" s="29" t="s">
        <v>201</v>
      </c>
      <c r="BC3" s="29" t="s">
        <v>180</v>
      </c>
      <c r="BD3" s="29" t="s">
        <v>181</v>
      </c>
      <c r="BE3" s="29" t="s">
        <v>202</v>
      </c>
      <c r="BF3" s="29" t="s">
        <v>203</v>
      </c>
      <c r="BG3" s="29" t="s">
        <v>204</v>
      </c>
      <c r="BH3" s="29" t="s">
        <v>202</v>
      </c>
      <c r="BI3" s="29" t="s">
        <v>205</v>
      </c>
      <c r="BJ3" s="29" t="s">
        <v>204</v>
      </c>
      <c r="BK3" s="29" t="s">
        <v>202</v>
      </c>
      <c r="BL3" s="29" t="s">
        <v>206</v>
      </c>
      <c r="BM3" s="29" t="s">
        <v>207</v>
      </c>
      <c r="BN3" s="29" t="s">
        <v>208</v>
      </c>
      <c r="BO3" s="29" t="s">
        <v>209</v>
      </c>
      <c r="BP3" s="29" t="s">
        <v>210</v>
      </c>
      <c r="BQ3" s="29" t="s">
        <v>211</v>
      </c>
      <c r="BR3" s="29" t="s">
        <v>212</v>
      </c>
      <c r="BS3" s="29" t="s">
        <v>213</v>
      </c>
      <c r="BT3" s="29" t="s">
        <v>214</v>
      </c>
      <c r="BU3" s="29" t="s">
        <v>215</v>
      </c>
      <c r="BV3" s="29" t="s">
        <v>216</v>
      </c>
      <c r="BW3" s="29" t="s">
        <v>217</v>
      </c>
      <c r="BX3" s="29" t="s">
        <v>218</v>
      </c>
      <c r="BY3" s="29" t="s">
        <v>219</v>
      </c>
      <c r="BZ3" s="29" t="s">
        <v>220</v>
      </c>
      <c r="CA3" s="29" t="s">
        <v>222</v>
      </c>
      <c r="CB3" s="29" t="s">
        <v>226</v>
      </c>
      <c r="CC3" s="29" t="s">
        <v>224</v>
      </c>
      <c r="CD3" s="29" t="s">
        <v>225</v>
      </c>
      <c r="CE3" s="29" t="s">
        <v>227</v>
      </c>
      <c r="CF3" s="29" t="s">
        <v>312</v>
      </c>
      <c r="CG3" s="29" t="s">
        <v>313</v>
      </c>
    </row>
    <row r="23" spans="1:1" ht="20.399999999999999">
      <c r="A23" s="27"/>
    </row>
    <row r="24" spans="1:1" ht="20.399999999999999">
      <c r="A24" s="27"/>
    </row>
    <row r="25" spans="1:1" ht="20.399999999999999">
      <c r="A25" s="27"/>
    </row>
    <row r="26" spans="1:1" ht="20.399999999999999">
      <c r="A26" s="27"/>
    </row>
    <row r="27" spans="1:1" ht="20.399999999999999">
      <c r="A27" s="27"/>
    </row>
    <row r="28" spans="1:1" ht="20.399999999999999">
      <c r="A28" s="27"/>
    </row>
    <row r="29" spans="1:1" ht="20.399999999999999">
      <c r="A29" s="27"/>
    </row>
    <row r="30" spans="1:1" ht="20.399999999999999">
      <c r="A30" s="27"/>
    </row>
    <row r="31" spans="1:1" ht="20.399999999999999">
      <c r="A31" s="27"/>
    </row>
    <row r="32" spans="1:1" ht="20.399999999999999">
      <c r="A32" s="27"/>
    </row>
    <row r="33" spans="1:1" ht="20.399999999999999">
      <c r="A33" s="27"/>
    </row>
    <row r="34" spans="1:1" ht="20.399999999999999">
      <c r="A34" s="27"/>
    </row>
    <row r="35" spans="1:1" ht="20.399999999999999">
      <c r="A35" s="27"/>
    </row>
    <row r="36" spans="1:1" ht="20.399999999999999">
      <c r="A36" s="27"/>
    </row>
    <row r="37" spans="1:1" ht="20.399999999999999">
      <c r="A37" s="27"/>
    </row>
    <row r="38" spans="1:1" ht="20.399999999999999">
      <c r="A38" s="27"/>
    </row>
    <row r="39" spans="1:1" ht="20.399999999999999">
      <c r="A39" s="27"/>
    </row>
    <row r="40" spans="1:1" ht="20.399999999999999">
      <c r="A40" s="27"/>
    </row>
    <row r="41" spans="1:1" ht="20.399999999999999">
      <c r="A41" s="27"/>
    </row>
    <row r="42" spans="1:1" ht="20.399999999999999">
      <c r="A42" s="27"/>
    </row>
    <row r="43" spans="1:1" ht="20.399999999999999">
      <c r="A43" s="27"/>
    </row>
    <row r="44" spans="1:1" ht="20.399999999999999">
      <c r="A44" s="27"/>
    </row>
    <row r="45" spans="1:1" ht="20.399999999999999">
      <c r="A45" s="27"/>
    </row>
    <row r="46" spans="1:1" ht="20.399999999999999">
      <c r="A46" s="27"/>
    </row>
    <row r="47" spans="1:1" ht="20.399999999999999">
      <c r="A47" s="27"/>
    </row>
    <row r="48" spans="1:1" ht="20.399999999999999">
      <c r="A48" s="27"/>
    </row>
    <row r="49" spans="1:1" ht="20.399999999999999">
      <c r="A49" s="27"/>
    </row>
    <row r="50" spans="1:1" ht="20.399999999999999">
      <c r="A50" s="27"/>
    </row>
    <row r="51" spans="1:1" ht="20.399999999999999">
      <c r="A51" s="27"/>
    </row>
    <row r="52" spans="1:1" ht="20.399999999999999">
      <c r="A52" s="27"/>
    </row>
    <row r="53" spans="1:1" ht="20.399999999999999">
      <c r="A53" s="27"/>
    </row>
    <row r="54" spans="1:1" ht="20.399999999999999">
      <c r="A54" s="27"/>
    </row>
    <row r="55" spans="1:1" ht="20.399999999999999">
      <c r="A55" s="27"/>
    </row>
    <row r="56" spans="1:1" ht="20.399999999999999">
      <c r="A56" s="27"/>
    </row>
    <row r="57" spans="1:1" ht="20.399999999999999">
      <c r="A57" s="27"/>
    </row>
    <row r="58" spans="1:1" ht="20.399999999999999">
      <c r="A58" s="27"/>
    </row>
    <row r="59" spans="1:1" ht="20.399999999999999">
      <c r="A59" s="27"/>
    </row>
    <row r="60" spans="1:1" ht="20.399999999999999">
      <c r="A60" s="27"/>
    </row>
    <row r="61" spans="1:1" ht="20.399999999999999">
      <c r="A61" s="27"/>
    </row>
    <row r="62" spans="1:1" ht="20.399999999999999">
      <c r="A62" s="27"/>
    </row>
    <row r="63" spans="1:1" ht="20.399999999999999">
      <c r="A63" s="27"/>
    </row>
    <row r="64" spans="1:1" ht="20.399999999999999">
      <c r="A64" s="27"/>
    </row>
    <row r="65" spans="1:1" ht="20.399999999999999">
      <c r="A65" s="27"/>
    </row>
    <row r="66" spans="1:1" ht="20.399999999999999">
      <c r="A66" s="27"/>
    </row>
    <row r="67" spans="1:1" ht="20.399999999999999">
      <c r="A67" s="27"/>
    </row>
    <row r="68" spans="1:1" ht="20.399999999999999">
      <c r="A68" s="27"/>
    </row>
    <row r="69" spans="1:1" ht="20.399999999999999">
      <c r="A69" s="27"/>
    </row>
    <row r="70" spans="1:1" ht="20.399999999999999">
      <c r="A70" s="27"/>
    </row>
    <row r="71" spans="1:1" ht="20.399999999999999">
      <c r="A71" s="27"/>
    </row>
    <row r="72" spans="1:1" ht="20.399999999999999">
      <c r="A72" s="27"/>
    </row>
    <row r="73" spans="1:1" ht="20.399999999999999">
      <c r="A73" s="27"/>
    </row>
    <row r="74" spans="1:1" ht="20.399999999999999">
      <c r="A74" s="27"/>
    </row>
    <row r="75" spans="1:1" ht="20.399999999999999">
      <c r="A75" s="27"/>
    </row>
    <row r="76" spans="1:1" ht="20.399999999999999">
      <c r="A76" s="27"/>
    </row>
    <row r="77" spans="1:1" ht="20.399999999999999">
      <c r="A77" s="27"/>
    </row>
    <row r="78" spans="1:1" ht="20.399999999999999">
      <c r="A78" s="27"/>
    </row>
    <row r="79" spans="1:1" ht="20.399999999999999">
      <c r="A79" s="27"/>
    </row>
    <row r="80" spans="1:1" ht="20.399999999999999">
      <c r="A80" s="27"/>
    </row>
    <row r="81" spans="1:1" ht="20.399999999999999">
      <c r="A81" s="27"/>
    </row>
    <row r="82" spans="1:1" ht="20.399999999999999">
      <c r="A82" s="27"/>
    </row>
    <row r="83" spans="1:1" ht="20.399999999999999">
      <c r="A83" s="27"/>
    </row>
    <row r="84" spans="1:1" ht="20.399999999999999">
      <c r="A84" s="27"/>
    </row>
    <row r="85" spans="1:1" ht="20.399999999999999">
      <c r="A85" s="27"/>
    </row>
    <row r="86" spans="1:1" ht="20.399999999999999">
      <c r="A86" s="27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6BAD-E2D3-4B46-84F2-B7A42DDA0A80}">
  <dimension ref="A1:L1"/>
  <sheetViews>
    <sheetView workbookViewId="0">
      <selection activeCell="K23" sqref="K23"/>
    </sheetView>
  </sheetViews>
  <sheetFormatPr defaultColWidth="11" defaultRowHeight="15.6"/>
  <cols>
    <col min="1" max="1" width="5" bestFit="1" customWidth="1"/>
    <col min="2" max="2" width="9.19921875" bestFit="1" customWidth="1"/>
    <col min="3" max="3" width="8.796875" bestFit="1" customWidth="1"/>
    <col min="4" max="4" width="12.796875" bestFit="1" customWidth="1"/>
    <col min="5" max="5" width="11.5" bestFit="1" customWidth="1"/>
    <col min="6" max="6" width="9.796875" bestFit="1" customWidth="1"/>
    <col min="8" max="8" width="16.296875" bestFit="1" customWidth="1"/>
    <col min="9" max="9" width="16" bestFit="1" customWidth="1"/>
    <col min="10" max="10" width="12.796875" bestFit="1" customWidth="1"/>
    <col min="11" max="11" width="22" bestFit="1" customWidth="1"/>
    <col min="12" max="12" width="9.19921875" bestFit="1" customWidth="1"/>
  </cols>
  <sheetData>
    <row r="1" spans="1:12">
      <c r="A1" t="s">
        <v>223</v>
      </c>
      <c r="B1" t="s">
        <v>231</v>
      </c>
      <c r="C1" t="s">
        <v>232</v>
      </c>
      <c r="D1" t="s">
        <v>228</v>
      </c>
      <c r="E1" t="s">
        <v>229</v>
      </c>
      <c r="F1" t="s">
        <v>230</v>
      </c>
      <c r="G1" t="s">
        <v>101</v>
      </c>
      <c r="H1" t="s">
        <v>311</v>
      </c>
      <c r="I1" t="s">
        <v>308</v>
      </c>
      <c r="J1" t="s">
        <v>309</v>
      </c>
      <c r="K1" t="s">
        <v>310</v>
      </c>
      <c r="L1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133C-FAB5-9F4D-A1EA-CF5D88155BA1}">
  <dimension ref="A1:F15"/>
  <sheetViews>
    <sheetView showGridLines="0" workbookViewId="0">
      <selection activeCell="C13" sqref="C13"/>
    </sheetView>
  </sheetViews>
  <sheetFormatPr defaultColWidth="11.19921875" defaultRowHeight="15.6"/>
  <cols>
    <col min="1" max="1" width="30.296875" bestFit="1" customWidth="1"/>
    <col min="2" max="2" width="30.296875" customWidth="1"/>
    <col min="3" max="3" width="15" bestFit="1" customWidth="1"/>
    <col min="4" max="4" width="11.5" bestFit="1" customWidth="1"/>
    <col min="6" max="6" width="12.69921875" customWidth="1"/>
  </cols>
  <sheetData>
    <row r="1" spans="1:6" ht="16.2" thickBot="1">
      <c r="A1" s="12" t="s">
        <v>84</v>
      </c>
      <c r="B1" s="13" t="s">
        <v>11</v>
      </c>
      <c r="C1" s="13" t="s">
        <v>11</v>
      </c>
      <c r="D1" s="13" t="s">
        <v>98</v>
      </c>
      <c r="E1" s="13" t="s">
        <v>99</v>
      </c>
      <c r="F1" s="13" t="s">
        <v>100</v>
      </c>
    </row>
    <row r="2" spans="1:6">
      <c r="A2" t="s">
        <v>85</v>
      </c>
      <c r="B2" t="e">
        <f>VLOOKUP(A2,'Características de CRI - LOGOS'!$A$2:$K$36,7,0)</f>
        <v>#N/A</v>
      </c>
      <c r="C2" s="10" t="e">
        <f>SUMIF('Características de CRI - LOGOS'!#REF!,Resumo!A2,'Características de CRI - LOGOS'!$W$2:$W$43)</f>
        <v>#REF!</v>
      </c>
      <c r="D2" s="10">
        <v>10284.84</v>
      </c>
      <c r="E2" s="10">
        <v>902.91748732671431</v>
      </c>
      <c r="F2" s="10">
        <f>SUM(D2:E2)</f>
        <v>11187.757487326715</v>
      </c>
    </row>
    <row r="3" spans="1:6">
      <c r="A3" t="s">
        <v>86</v>
      </c>
      <c r="B3" t="e">
        <f>VLOOKUP(A3,'Características de CRI - LOGOS'!$A$2:$K$36,7,0)</f>
        <v>#N/A</v>
      </c>
      <c r="C3" s="10" t="e">
        <f>SUMIF('Características de CRI - LOGOS'!#REF!,Resumo!A3,'Características de CRI - LOGOS'!$W$2:$W$43)</f>
        <v>#REF!</v>
      </c>
      <c r="D3" s="15">
        <v>19068.95</v>
      </c>
      <c r="E3" s="15">
        <v>2081.1680283529495</v>
      </c>
      <c r="F3" s="15">
        <f t="shared" ref="F3:F14" si="0">SUM(D3:E3)</f>
        <v>21150.11802835295</v>
      </c>
    </row>
    <row r="4" spans="1:6">
      <c r="A4" t="s">
        <v>87</v>
      </c>
      <c r="B4" t="e">
        <f>VLOOKUP(A4,'Características de CRI - LOGOS'!$A$2:$K$36,7,0)</f>
        <v>#N/A</v>
      </c>
      <c r="C4" s="10" t="e">
        <f>SUMIF('Características de CRI - LOGOS'!#REF!,Resumo!A4,'Características de CRI - LOGOS'!$W$2:$W$43)</f>
        <v>#REF!</v>
      </c>
      <c r="D4" s="10">
        <v>11388.81</v>
      </c>
      <c r="E4" s="10"/>
      <c r="F4" s="10">
        <f t="shared" si="0"/>
        <v>11388.81</v>
      </c>
    </row>
    <row r="5" spans="1:6">
      <c r="A5" t="s">
        <v>88</v>
      </c>
      <c r="B5" t="e">
        <f>VLOOKUP(A5,'Características de CRI - LOGOS'!$A$2:$K$36,7,0)</f>
        <v>#N/A</v>
      </c>
      <c r="C5" s="10" t="e">
        <f>SUMIF('Características de CRI - LOGOS'!#REF!,Resumo!A5,'Características de CRI - LOGOS'!$W$2:$W$43)</f>
        <v>#REF!</v>
      </c>
      <c r="D5" s="10">
        <v>0</v>
      </c>
      <c r="E5" s="10"/>
      <c r="F5" s="10">
        <f t="shared" si="0"/>
        <v>0</v>
      </c>
    </row>
    <row r="6" spans="1:6">
      <c r="A6" t="s">
        <v>89</v>
      </c>
      <c r="B6" t="e">
        <f>VLOOKUP(A6,'Características de CRI - LOGOS'!$A$2:$K$36,7,0)</f>
        <v>#N/A</v>
      </c>
      <c r="C6" s="10" t="e">
        <f>SUMIF('Características de CRI - LOGOS'!#REF!,Resumo!A6,'Características de CRI - LOGOS'!$W$2:$W$43)</f>
        <v>#REF!</v>
      </c>
      <c r="D6" s="10">
        <f>5441.29+1990.88+1138.36</f>
        <v>8570.5300000000007</v>
      </c>
      <c r="E6" s="10">
        <v>2106.0736005813797</v>
      </c>
      <c r="F6" s="10">
        <f t="shared" si="0"/>
        <v>10676.60360058138</v>
      </c>
    </row>
    <row r="7" spans="1:6">
      <c r="A7" t="s">
        <v>90</v>
      </c>
      <c r="B7" t="e">
        <f>VLOOKUP(A7,'Características de CRI - LOGOS'!$A$2:$K$36,7,0)</f>
        <v>#N/A</v>
      </c>
      <c r="C7" s="10" t="e">
        <f>SUMIF('Características de CRI - LOGOS'!#REF!,Resumo!A7,'Características de CRI - LOGOS'!$W$2:$W$43)</f>
        <v>#REF!</v>
      </c>
      <c r="D7" s="10">
        <v>11700.36</v>
      </c>
      <c r="E7" s="10">
        <v>813.06000000000006</v>
      </c>
      <c r="F7" s="10">
        <f t="shared" si="0"/>
        <v>12513.42</v>
      </c>
    </row>
    <row r="8" spans="1:6">
      <c r="A8" t="s">
        <v>91</v>
      </c>
      <c r="B8" t="e">
        <f>VLOOKUP(A8,'Características de CRI - LOGOS'!$A$2:$K$36,7,0)</f>
        <v>#N/A</v>
      </c>
      <c r="C8" s="10" t="e">
        <f>SUMIF('Características de CRI - LOGOS'!#REF!,Resumo!A8,'Características de CRI - LOGOS'!$W$2:$W$43)</f>
        <v>#REF!</v>
      </c>
      <c r="D8" s="10">
        <v>0</v>
      </c>
      <c r="E8" s="10"/>
      <c r="F8" s="10">
        <f t="shared" si="0"/>
        <v>0</v>
      </c>
    </row>
    <row r="9" spans="1:6">
      <c r="A9" t="s">
        <v>92</v>
      </c>
      <c r="B9" t="e">
        <f>VLOOKUP(A9,'Características de CRI - LOGOS'!$A$2:$K$36,7,0)</f>
        <v>#N/A</v>
      </c>
      <c r="C9" s="10" t="e">
        <f>SUMIF('Características de CRI - LOGOS'!#REF!,Resumo!A9,'Características de CRI - LOGOS'!$W$2:$W$43)</f>
        <v>#REF!</v>
      </c>
      <c r="D9" s="10">
        <v>8333.4599999999991</v>
      </c>
      <c r="E9" s="10"/>
      <c r="F9" s="10">
        <f t="shared" si="0"/>
        <v>8333.4599999999991</v>
      </c>
    </row>
    <row r="10" spans="1:6">
      <c r="A10" t="s">
        <v>93</v>
      </c>
      <c r="B10" t="e">
        <f>VLOOKUP(A10,'Características de CRI - LOGOS'!$A$2:$K$36,7,0)</f>
        <v>#N/A</v>
      </c>
      <c r="C10" s="10" t="e">
        <f>SUMIF('Características de CRI - LOGOS'!#REF!,Resumo!A10,'Características de CRI - LOGOS'!$W$2:$W$43)</f>
        <v>#REF!</v>
      </c>
      <c r="D10" s="10">
        <v>17011.59</v>
      </c>
      <c r="E10" s="10"/>
      <c r="F10" s="10">
        <f t="shared" si="0"/>
        <v>17011.59</v>
      </c>
    </row>
    <row r="11" spans="1:6">
      <c r="A11" t="s">
        <v>94</v>
      </c>
      <c r="B11" t="e">
        <f>VLOOKUP(A11,'Características de CRI - LOGOS'!$A$2:$K$36,7,0)</f>
        <v>#N/A</v>
      </c>
      <c r="C11" s="10" t="e">
        <f>SUMIF('Características de CRI - LOGOS'!#REF!,Resumo!A11,'Características de CRI - LOGOS'!$W$2:$W$43)</f>
        <v>#REF!</v>
      </c>
      <c r="D11" s="10">
        <v>75000</v>
      </c>
      <c r="E11" s="10"/>
      <c r="F11" s="10">
        <f t="shared" si="0"/>
        <v>75000</v>
      </c>
    </row>
    <row r="12" spans="1:6">
      <c r="A12" t="s">
        <v>95</v>
      </c>
      <c r="B12" t="e">
        <f>VLOOKUP(A12,'Características de CRI - LOGOS'!$A$2:$K$36,7,0)</f>
        <v>#N/A</v>
      </c>
      <c r="C12" s="10" t="e">
        <f>SUMIF('Características de CRI - LOGOS'!#REF!,Resumo!A12,'Características de CRI - LOGOS'!$W$2:$W$43)</f>
        <v>#REF!</v>
      </c>
      <c r="D12" s="10">
        <v>16456.669999999998</v>
      </c>
      <c r="E12" s="10"/>
      <c r="F12" s="10">
        <f t="shared" si="0"/>
        <v>16456.669999999998</v>
      </c>
    </row>
    <row r="13" spans="1:6">
      <c r="A13" t="s">
        <v>96</v>
      </c>
      <c r="B13" t="e">
        <f>VLOOKUP(A13,'Características de CRI - LOGOS'!$A$2:$K$36,7,0)</f>
        <v>#N/A</v>
      </c>
      <c r="C13" s="10" t="e">
        <f>SUMIF('Características de CRI - LOGOS'!#REF!,Resumo!A13,'Características de CRI - LOGOS'!$W$2:$W$43)</f>
        <v>#REF!</v>
      </c>
      <c r="D13" s="10">
        <v>6702</v>
      </c>
      <c r="E13" s="10"/>
      <c r="F13" s="10">
        <f t="shared" si="0"/>
        <v>6702</v>
      </c>
    </row>
    <row r="14" spans="1:6" ht="16.2" thickBot="1">
      <c r="A14" s="6" t="s">
        <v>97</v>
      </c>
      <c r="B14" s="6" t="e">
        <f>VLOOKUP(A14,'Características de CRI - LOGOS'!$A$2:$K$36,7,0)</f>
        <v>#N/A</v>
      </c>
      <c r="C14" s="11" t="e">
        <f>SUMIF('Características de CRI - LOGOS'!#REF!,Resumo!A14,'Características de CRI - LOGOS'!$W$2:$W$43)</f>
        <v>#REF!</v>
      </c>
      <c r="D14" s="11">
        <v>5500</v>
      </c>
      <c r="E14" s="11"/>
      <c r="F14" s="11">
        <f t="shared" si="0"/>
        <v>5500</v>
      </c>
    </row>
    <row r="15" spans="1:6">
      <c r="C15" s="14" t="e">
        <f>SUM(C2:C14)</f>
        <v>#REF!</v>
      </c>
      <c r="D15" s="14">
        <f t="shared" ref="D15:F15" si="1">SUM(D2:D14)</f>
        <v>190017.20999999996</v>
      </c>
      <c r="E15" s="14">
        <f t="shared" si="1"/>
        <v>5903.2191162610443</v>
      </c>
      <c r="F15" s="14">
        <f t="shared" si="1"/>
        <v>195920.42911626102</v>
      </c>
    </row>
  </sheetData>
  <autoFilter ref="A1:F1" xr:uid="{B460133C-FAB5-9F4D-A1EA-CF5D88155BA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Características de CRI - LOGOS</vt:lpstr>
      <vt:lpstr>Prestadores de Serviço</vt:lpstr>
      <vt:lpstr>Investidores</vt:lpstr>
      <vt:lpstr>Distribuiçōes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Santos da Rosa</dc:creator>
  <cp:lastModifiedBy>Rafael Karczmarski</cp:lastModifiedBy>
  <dcterms:created xsi:type="dcterms:W3CDTF">2024-06-12T17:23:16Z</dcterms:created>
  <dcterms:modified xsi:type="dcterms:W3CDTF">2025-05-19T18:52:19Z</dcterms:modified>
</cp:coreProperties>
</file>